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ukas\milleVAT\milleVAT\research\"/>
    </mc:Choice>
  </mc:AlternateContent>
  <xr:revisionPtr revIDLastSave="0" documentId="13_ncr:1_{B5934210-1D0E-489D-828B-589E3E68AD1E}" xr6:coauthVersionLast="47" xr6:coauthVersionMax="47" xr10:uidLastSave="{00000000-0000-0000-0000-000000000000}"/>
  <bookViews>
    <workbookView xWindow="-120" yWindow="-16320" windowWidth="29040" windowHeight="15840" activeTab="1" xr2:uid="{00000000-000D-0000-FFFF-FFFF00000000}"/>
  </bookViews>
  <sheets>
    <sheet name="Arkusz1" sheetId="2" r:id="rId1"/>
    <sheet name="Data" sheetId="1" r:id="rId2"/>
  </sheets>
  <definedNames>
    <definedName name="_xlnm._FilterDatabase" localSheetId="1" hidden="1">Data!$A$2:$Q$4209</definedName>
  </definedNames>
  <calcPr calcId="181029"/>
  <pivotCaches>
    <pivotCache cacheId="6" r:id="rId3"/>
  </pivotCaches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3" i="1"/>
</calcChain>
</file>

<file path=xl/sharedStrings.xml><?xml version="1.0" encoding="utf-8"?>
<sst xmlns="http://schemas.openxmlformats.org/spreadsheetml/2006/main" count="35667" uniqueCount="1401">
  <si>
    <t>BR</t>
  </si>
  <si>
    <t>KTP_DEALNO</t>
  </si>
  <si>
    <t>FO_DEALNO</t>
  </si>
  <si>
    <t>PRODUCT</t>
  </si>
  <si>
    <t>Cpty_ShortName</t>
  </si>
  <si>
    <t>DealType</t>
  </si>
  <si>
    <t>Currency1</t>
  </si>
  <si>
    <t>PrincipalCur1</t>
  </si>
  <si>
    <t>Currency2</t>
  </si>
  <si>
    <t>PrincipalCur2</t>
  </si>
  <si>
    <t>ValueDate</t>
  </si>
  <si>
    <t>CCYRATE</t>
  </si>
  <si>
    <t>CTRRATE</t>
  </si>
  <si>
    <t>SPOTRATE_T_1_CCY</t>
  </si>
  <si>
    <t>SPOTRATE_T_1_CRTCCY</t>
  </si>
  <si>
    <t>TURNOVER_VAT</t>
  </si>
  <si>
    <t>Countries_Name</t>
  </si>
  <si>
    <t>Forward</t>
  </si>
  <si>
    <t>D-OMISSA</t>
  </si>
  <si>
    <t>Buy Fwd</t>
  </si>
  <si>
    <t>EUR</t>
  </si>
  <si>
    <t>PLN</t>
  </si>
  <si>
    <t>2026-01-16</t>
  </si>
  <si>
    <t>D-BUKPOL</t>
  </si>
  <si>
    <t>2026-01-05</t>
  </si>
  <si>
    <t>D-STOCZ_WI</t>
  </si>
  <si>
    <t>D-NOVA_TEC</t>
  </si>
  <si>
    <t>2026-01-30</t>
  </si>
  <si>
    <t>D-KACZKAN</t>
  </si>
  <si>
    <t>2026-01-08</t>
  </si>
  <si>
    <t>2026-01-28</t>
  </si>
  <si>
    <t>D-ZPSJAMAR</t>
  </si>
  <si>
    <t>Sell Fwd</t>
  </si>
  <si>
    <t>D-TP_SA</t>
  </si>
  <si>
    <t>USD</t>
  </si>
  <si>
    <t>2026-01-15</t>
  </si>
  <si>
    <t>D-POLMOTOR</t>
  </si>
  <si>
    <t>2026-01-14</t>
  </si>
  <si>
    <t>D-SILESIAZ</t>
  </si>
  <si>
    <t>2026-01-20</t>
  </si>
  <si>
    <t>D-JANT_GRY</t>
  </si>
  <si>
    <t>D-HARXTOOL</t>
  </si>
  <si>
    <t>2026-01-09</t>
  </si>
  <si>
    <t>D-ROVERTI</t>
  </si>
  <si>
    <t>D-RAINBOWT</t>
  </si>
  <si>
    <t>2026-01-02</t>
  </si>
  <si>
    <t>2026-01-07</t>
  </si>
  <si>
    <t>2026-01-12</t>
  </si>
  <si>
    <t>2026-01-13</t>
  </si>
  <si>
    <t>2026-01-19</t>
  </si>
  <si>
    <t>2026-01-21</t>
  </si>
  <si>
    <t>2026-01-22</t>
  </si>
  <si>
    <t>2026-01-23</t>
  </si>
  <si>
    <t>2026-01-26</t>
  </si>
  <si>
    <t>2026-01-27</t>
  </si>
  <si>
    <t>2026-01-29</t>
  </si>
  <si>
    <t>D-CIECH_WA</t>
  </si>
  <si>
    <t>D-BATERPOL</t>
  </si>
  <si>
    <t>D-URTICA</t>
  </si>
  <si>
    <t>D-MASSPZOO</t>
  </si>
  <si>
    <t>D-AGROTR_P</t>
  </si>
  <si>
    <t>D-KONTRKOC</t>
  </si>
  <si>
    <t>D-WIPSP</t>
  </si>
  <si>
    <t>D-BARTEX</t>
  </si>
  <si>
    <t>D-VCOSA</t>
  </si>
  <si>
    <t>F-BEL_LEAS</t>
  </si>
  <si>
    <t>D-MATBUDSP</t>
  </si>
  <si>
    <t>D-BLSBLAZE</t>
  </si>
  <si>
    <t>D-DAJARSP</t>
  </si>
  <si>
    <t>D-TADARSP</t>
  </si>
  <si>
    <t>D-ICOMPPL</t>
  </si>
  <si>
    <t>D-LUKOWA</t>
  </si>
  <si>
    <t>D-TAHAMI</t>
  </si>
  <si>
    <t>D-PHOECHEM</t>
  </si>
  <si>
    <t>NOK</t>
  </si>
  <si>
    <t>D-TERMO_OR</t>
  </si>
  <si>
    <t>D-SANDRA</t>
  </si>
  <si>
    <t>D-POLASZME</t>
  </si>
  <si>
    <t>D-SHARDA</t>
  </si>
  <si>
    <t>D-VICTUS</t>
  </si>
  <si>
    <t>CNY</t>
  </si>
  <si>
    <t>Spot</t>
  </si>
  <si>
    <t>B-RBSL</t>
  </si>
  <si>
    <t>Sell</t>
  </si>
  <si>
    <t>SEK</t>
  </si>
  <si>
    <t>D-NPASKAWI</t>
  </si>
  <si>
    <t>B-ABNA</t>
  </si>
  <si>
    <t>Buy</t>
  </si>
  <si>
    <t>B-CCFX</t>
  </si>
  <si>
    <t>DKK</t>
  </si>
  <si>
    <t>B-CHASDE</t>
  </si>
  <si>
    <t>GBP</t>
  </si>
  <si>
    <t>B-DBFF</t>
  </si>
  <si>
    <t>CHF</t>
  </si>
  <si>
    <t>B-UBSWDE24</t>
  </si>
  <si>
    <t>B-BNPP</t>
  </si>
  <si>
    <t>B-BREXPW</t>
  </si>
  <si>
    <t>B-ZKBZ</t>
  </si>
  <si>
    <t>D-STOLBUDR</t>
  </si>
  <si>
    <t>B-SOGP</t>
  </si>
  <si>
    <t>D-MPWLOGIS</t>
  </si>
  <si>
    <t>CZK</t>
  </si>
  <si>
    <t>D-BESERV</t>
  </si>
  <si>
    <t>B-GBWCPP</t>
  </si>
  <si>
    <t>JPY</t>
  </si>
  <si>
    <t>2026-01-06</t>
  </si>
  <si>
    <t>D-NETBROKE</t>
  </si>
  <si>
    <t>D-FERLAS</t>
  </si>
  <si>
    <t>D-AUTORADA</t>
  </si>
  <si>
    <t>D-MINOAUTO</t>
  </si>
  <si>
    <t>AUD</t>
  </si>
  <si>
    <t>B-BBVX</t>
  </si>
  <si>
    <t>D-LUTTGENS</t>
  </si>
  <si>
    <t>D-ADARHNS</t>
  </si>
  <si>
    <t>D-CRSTYLE</t>
  </si>
  <si>
    <t>D-RAILOGPL</t>
  </si>
  <si>
    <t>D-ABSA</t>
  </si>
  <si>
    <t>D-QUIZASP</t>
  </si>
  <si>
    <t>D-OLANPOL</t>
  </si>
  <si>
    <t>D-MIRWAL</t>
  </si>
  <si>
    <t>D-BELPOL</t>
  </si>
  <si>
    <t>D-PHUWEDLI</t>
  </si>
  <si>
    <t>O-269_CF</t>
  </si>
  <si>
    <t>D-BONAVIST</t>
  </si>
  <si>
    <t>D-PHKONRAD</t>
  </si>
  <si>
    <t>D-ZAKLADYM</t>
  </si>
  <si>
    <t>D-PRIFURNI</t>
  </si>
  <si>
    <t>D-AISKO</t>
  </si>
  <si>
    <t>D-ANEBERGT</t>
  </si>
  <si>
    <t>D-HAGRIC</t>
  </si>
  <si>
    <t>D-MGSPOLKA</t>
  </si>
  <si>
    <t>D-ROTRANSR</t>
  </si>
  <si>
    <t>D-AGAINSA</t>
  </si>
  <si>
    <t>D-RAWIT</t>
  </si>
  <si>
    <t>D-MPLAST</t>
  </si>
  <si>
    <t>D-FROZENWA</t>
  </si>
  <si>
    <t>D-PIEKUS</t>
  </si>
  <si>
    <t>D-STOGDA</t>
  </si>
  <si>
    <t>D-AKCES</t>
  </si>
  <si>
    <t>D-ZBMINWZA</t>
  </si>
  <si>
    <t>B-BMILLBH</t>
  </si>
  <si>
    <t>B-BIGW</t>
  </si>
  <si>
    <t>D-EXPOM_KU</t>
  </si>
  <si>
    <t>D-OLIMPIAG</t>
  </si>
  <si>
    <t>O-595_MILL</t>
  </si>
  <si>
    <t>D-ALFAFENC</t>
  </si>
  <si>
    <t>D-SCHWARZ</t>
  </si>
  <si>
    <t>D-AMICAWRO</t>
  </si>
  <si>
    <t>O-274_MILL</t>
  </si>
  <si>
    <t>D-MURBETGA</t>
  </si>
  <si>
    <t>B-RZBV</t>
  </si>
  <si>
    <t>O-105_CF</t>
  </si>
  <si>
    <t>D-RSPECTIV</t>
  </si>
  <si>
    <t>D-JUTRZEN</t>
  </si>
  <si>
    <t>D-ICE</t>
  </si>
  <si>
    <t>D-TTTRAK</t>
  </si>
  <si>
    <t>D-FOKUSPR</t>
  </si>
  <si>
    <t>D-MEBLEX</t>
  </si>
  <si>
    <t>D-CHEMIROL</t>
  </si>
  <si>
    <t>D-PUNTOPRU</t>
  </si>
  <si>
    <t>O-249_MILL</t>
  </si>
  <si>
    <t>D-EGGSJAR</t>
  </si>
  <si>
    <t>D-FOLIARST</t>
  </si>
  <si>
    <t>O-210_CF</t>
  </si>
  <si>
    <t>D-BALTIX</t>
  </si>
  <si>
    <t>D-TOMASPZO</t>
  </si>
  <si>
    <t>D-BONVIRO</t>
  </si>
  <si>
    <t>D-PRUSZYNS</t>
  </si>
  <si>
    <t>D-CORO_PLA</t>
  </si>
  <si>
    <t>D-DPJ_JAK</t>
  </si>
  <si>
    <t>D-GRAMAZIS</t>
  </si>
  <si>
    <t>D-DKPOLSKA</t>
  </si>
  <si>
    <t>O-078_MILL</t>
  </si>
  <si>
    <t>D-STPOLAND</t>
  </si>
  <si>
    <t>D-DENONDEN</t>
  </si>
  <si>
    <t>O-243_MILL</t>
  </si>
  <si>
    <t>D-GRUPAHAN</t>
  </si>
  <si>
    <t>D-NORCOSPE</t>
  </si>
  <si>
    <t>D-HANYANG</t>
  </si>
  <si>
    <t>D-MARSUN</t>
  </si>
  <si>
    <t>D-TIMORO</t>
  </si>
  <si>
    <t>D-MZIMEGAW</t>
  </si>
  <si>
    <t>D-BPJANUS</t>
  </si>
  <si>
    <t>D-MOLSPZOO</t>
  </si>
  <si>
    <t>D-PRONAR</t>
  </si>
  <si>
    <t>D-ORNO</t>
  </si>
  <si>
    <t>D-HYDRONAU</t>
  </si>
  <si>
    <t>D-ETIPOLAM</t>
  </si>
  <si>
    <t>O-882_MILL</t>
  </si>
  <si>
    <t>D-OLANSPZO</t>
  </si>
  <si>
    <t>D-ELMEXLO</t>
  </si>
  <si>
    <t>D-ELMEXGRO</t>
  </si>
  <si>
    <t>D-ELOGIS</t>
  </si>
  <si>
    <t>D-DROBEX</t>
  </si>
  <si>
    <t>D-AMEXSP</t>
  </si>
  <si>
    <t>D-KONKOLRZ</t>
  </si>
  <si>
    <t>D-DAEWOO_I</t>
  </si>
  <si>
    <t>D-ABRAXAS</t>
  </si>
  <si>
    <t>D-KARPOL</t>
  </si>
  <si>
    <t>D-TECHBETO</t>
  </si>
  <si>
    <t>D-CEO</t>
  </si>
  <si>
    <t>D-PROFEXP</t>
  </si>
  <si>
    <t>D-DTKNIFEL</t>
  </si>
  <si>
    <t>D-DWLJOB</t>
  </si>
  <si>
    <t>D-CAVATIGW</t>
  </si>
  <si>
    <t>D-GRUPAMO</t>
  </si>
  <si>
    <t>D-ADRIATKW</t>
  </si>
  <si>
    <t>D-APLICHTA</t>
  </si>
  <si>
    <t>D-RMIESPOP</t>
  </si>
  <si>
    <t>O-464_CF</t>
  </si>
  <si>
    <t>D-RYWAL_RH</t>
  </si>
  <si>
    <t>D-PARTCENT</t>
  </si>
  <si>
    <t>D-EXIMSERV</t>
  </si>
  <si>
    <t>D-GURTRUCK</t>
  </si>
  <si>
    <t>D-TOMPLAKO</t>
  </si>
  <si>
    <t>D-WOLFFTRA</t>
  </si>
  <si>
    <t>D-TOMCAR</t>
  </si>
  <si>
    <t>D-LOGSYS</t>
  </si>
  <si>
    <t>D-WOZNIAK</t>
  </si>
  <si>
    <t>D-BRAMTECH</t>
  </si>
  <si>
    <t>D-PROINTEC</t>
  </si>
  <si>
    <t>O-242_CF</t>
  </si>
  <si>
    <t>D-HELIOEN</t>
  </si>
  <si>
    <t>D-FRESHWOR</t>
  </si>
  <si>
    <t>D-BOGUTTI</t>
  </si>
  <si>
    <t>D-ETPROMO</t>
  </si>
  <si>
    <t>D-LEWTRANS</t>
  </si>
  <si>
    <t>D-DOLSAT</t>
  </si>
  <si>
    <t>D-ADWERGRU</t>
  </si>
  <si>
    <t>D-PRIMEPVC</t>
  </si>
  <si>
    <t>D-ELEKTWIA</t>
  </si>
  <si>
    <t>D-MEGATR_S</t>
  </si>
  <si>
    <t>D-SUMARA</t>
  </si>
  <si>
    <t>D-DARPOL</t>
  </si>
  <si>
    <t>D-MIQUIDO</t>
  </si>
  <si>
    <t>D-KAYAXPP</t>
  </si>
  <si>
    <t>D-KRYSIAK</t>
  </si>
  <si>
    <t>D-KONECCY</t>
  </si>
  <si>
    <t>D-HASSSZOO</t>
  </si>
  <si>
    <t>D-STENSP</t>
  </si>
  <si>
    <t>D-FORUM</t>
  </si>
  <si>
    <t>D-GINTERTR</t>
  </si>
  <si>
    <t>D-BELLAPH</t>
  </si>
  <si>
    <t>D-SPOLNOTA</t>
  </si>
  <si>
    <t>D-AMPOL</t>
  </si>
  <si>
    <t>D-PACCO</t>
  </si>
  <si>
    <t>D-SKAT_TRA</t>
  </si>
  <si>
    <t>D-HENZEL</t>
  </si>
  <si>
    <t>D-PPUHPROS</t>
  </si>
  <si>
    <t>D-360PL</t>
  </si>
  <si>
    <t>O-330_MILL</t>
  </si>
  <si>
    <t>D-DACTER</t>
  </si>
  <si>
    <t>D-ZIEMPOLB</t>
  </si>
  <si>
    <t>D-PPHBONA</t>
  </si>
  <si>
    <t>D-TRANSPLU</t>
  </si>
  <si>
    <t>D-AASTUDIO</t>
  </si>
  <si>
    <t>O-340_MILL</t>
  </si>
  <si>
    <t>D-WPWINVES</t>
  </si>
  <si>
    <t>D-FUNDRAT</t>
  </si>
  <si>
    <t>D-GRODCONO</t>
  </si>
  <si>
    <t>D-SPEDLOGI</t>
  </si>
  <si>
    <t>D-ASTAR</t>
  </si>
  <si>
    <t>D-TRILOGIQ</t>
  </si>
  <si>
    <t>D-ALSFOOD</t>
  </si>
  <si>
    <t>D-KREPEL</t>
  </si>
  <si>
    <t>O-967_MILB</t>
  </si>
  <si>
    <t>D-PASTERNJ</t>
  </si>
  <si>
    <t>D-MEINVEST</t>
  </si>
  <si>
    <t>D-PDELSMAK</t>
  </si>
  <si>
    <t>D-ASHTECH</t>
  </si>
  <si>
    <t>D-AMKOVO</t>
  </si>
  <si>
    <t>D-COMSET</t>
  </si>
  <si>
    <t>D-ELASTPOL</t>
  </si>
  <si>
    <t>D-REXBUDPR</t>
  </si>
  <si>
    <t>O-251_MILL</t>
  </si>
  <si>
    <t>D-MAANSP</t>
  </si>
  <si>
    <t>D-POLKOLOR</t>
  </si>
  <si>
    <t>D-PASTRANS</t>
  </si>
  <si>
    <t>D-MODRO</t>
  </si>
  <si>
    <t>D-NOVIMAA</t>
  </si>
  <si>
    <t>D-AGATA</t>
  </si>
  <si>
    <t>D-APIA</t>
  </si>
  <si>
    <t>D-CHAMPLAN</t>
  </si>
  <si>
    <t>D-HE3STRY2</t>
  </si>
  <si>
    <t>D-USLBUDMM</t>
  </si>
  <si>
    <t>D-NAVEN</t>
  </si>
  <si>
    <t>D-GFSENG</t>
  </si>
  <si>
    <t>D-WESOB</t>
  </si>
  <si>
    <t>D-MICHLPOL</t>
  </si>
  <si>
    <t>P-ZMB</t>
  </si>
  <si>
    <t>O-944_MILL</t>
  </si>
  <si>
    <t>D-ZABLOCKI</t>
  </si>
  <si>
    <t>D-MMKSOLUT</t>
  </si>
  <si>
    <t>D-PZJ</t>
  </si>
  <si>
    <t>D-BARTRANS</t>
  </si>
  <si>
    <t>D-CRDZIECK</t>
  </si>
  <si>
    <t>D-AGROSTOP</t>
  </si>
  <si>
    <t>D-GLEIPNIR</t>
  </si>
  <si>
    <t>D-CIGNASTU</t>
  </si>
  <si>
    <t>D-DOMINO</t>
  </si>
  <si>
    <t>D-TOTEM</t>
  </si>
  <si>
    <t>D-HYDRO</t>
  </si>
  <si>
    <t>D-DWLWORK</t>
  </si>
  <si>
    <t>D-SLVGRSPZ</t>
  </si>
  <si>
    <t>D-GRAHEN</t>
  </si>
  <si>
    <t>D-GALA_PHU</t>
  </si>
  <si>
    <t>D-COLIANHO</t>
  </si>
  <si>
    <t>D-DIVA</t>
  </si>
  <si>
    <t>O-088_MILL</t>
  </si>
  <si>
    <t>D-SISBOBIN</t>
  </si>
  <si>
    <t>D-PROFITPH</t>
  </si>
  <si>
    <t>D-LMGSK</t>
  </si>
  <si>
    <t>D-FABRFLAG</t>
  </si>
  <si>
    <t>D-VENTTRAD</t>
  </si>
  <si>
    <t>D-JANSEN</t>
  </si>
  <si>
    <t>D-PHPIOMAR</t>
  </si>
  <si>
    <t>D-VIRGODM</t>
  </si>
  <si>
    <t>D-CDLUKULL</t>
  </si>
  <si>
    <t>D-SLAWITW</t>
  </si>
  <si>
    <t>O-789_RCK</t>
  </si>
  <si>
    <t>D-FILOSKI</t>
  </si>
  <si>
    <t>D-MPROMO</t>
  </si>
  <si>
    <t>D-MARKIEPO</t>
  </si>
  <si>
    <t>D-DRYWALKE</t>
  </si>
  <si>
    <t>D-AQUAWORK</t>
  </si>
  <si>
    <t>D-CORAL</t>
  </si>
  <si>
    <t>B-KASE</t>
  </si>
  <si>
    <t>D-ZALMET</t>
  </si>
  <si>
    <t>D-OLCZAK</t>
  </si>
  <si>
    <t>D-VGTRANSP</t>
  </si>
  <si>
    <t>D-STANFEX</t>
  </si>
  <si>
    <t>D-STYROBUD</t>
  </si>
  <si>
    <t>O-274_MILB</t>
  </si>
  <si>
    <t>D-GRZADZIN</t>
  </si>
  <si>
    <t>D-NIKORSPZ</t>
  </si>
  <si>
    <t>D-AGROLOK</t>
  </si>
  <si>
    <t>D-RRSPZOO</t>
  </si>
  <si>
    <t>D-STALFOX</t>
  </si>
  <si>
    <t>D-FLEXO</t>
  </si>
  <si>
    <t>B-RHBHPW</t>
  </si>
  <si>
    <t>D-CARMEX</t>
  </si>
  <si>
    <t>D-TRACZYK</t>
  </si>
  <si>
    <t>D-MSBO</t>
  </si>
  <si>
    <t>D-STWKULT</t>
  </si>
  <si>
    <t>D-ZWIERZYN</t>
  </si>
  <si>
    <t>D-HURTOSTA</t>
  </si>
  <si>
    <t>D-BETEXBA</t>
  </si>
  <si>
    <t>D-CARIT_PL</t>
  </si>
  <si>
    <t>D-TESMA</t>
  </si>
  <si>
    <t>D-ALMARPRO</t>
  </si>
  <si>
    <t>D-ALICEKI</t>
  </si>
  <si>
    <t>D-ESTROPOL</t>
  </si>
  <si>
    <t>D-TOWIMOR</t>
  </si>
  <si>
    <t>D-SDK_OSTR</t>
  </si>
  <si>
    <t>D-CLINICAM</t>
  </si>
  <si>
    <t>D-MOTPOL</t>
  </si>
  <si>
    <t>D-SPOLINWA</t>
  </si>
  <si>
    <t>D-AMBASBRA</t>
  </si>
  <si>
    <t>D-RESICAPI</t>
  </si>
  <si>
    <t>D-JITSERV</t>
  </si>
  <si>
    <t>D-JITSOLUT</t>
  </si>
  <si>
    <t>D-BOFER</t>
  </si>
  <si>
    <t>D-KOCHPART</t>
  </si>
  <si>
    <t>D-CARLINE</t>
  </si>
  <si>
    <t>O-173_MILB</t>
  </si>
  <si>
    <t>D-ROLTEC</t>
  </si>
  <si>
    <t>D-RAYTRANS</t>
  </si>
  <si>
    <t>D-MENOR</t>
  </si>
  <si>
    <t>D-PERFECTL</t>
  </si>
  <si>
    <t>D-POLPACK</t>
  </si>
  <si>
    <t>D-PROANIMA</t>
  </si>
  <si>
    <t>D-WOKSP</t>
  </si>
  <si>
    <t>D-MAGNEAST</t>
  </si>
  <si>
    <t>D-PARTNEXS</t>
  </si>
  <si>
    <t>D-KOHLER_B</t>
  </si>
  <si>
    <t>D-ALAMA</t>
  </si>
  <si>
    <t>D-WORKSERV</t>
  </si>
  <si>
    <t>D-SARR</t>
  </si>
  <si>
    <t>D-RESSFRU</t>
  </si>
  <si>
    <t>D-OBOYA</t>
  </si>
  <si>
    <t>D-AURA</t>
  </si>
  <si>
    <t>D-TRANELKO</t>
  </si>
  <si>
    <t>D-INVESTA</t>
  </si>
  <si>
    <t>D-ARTI</t>
  </si>
  <si>
    <t>D-POLPOLAK</t>
  </si>
  <si>
    <t>D-CDNERGO</t>
  </si>
  <si>
    <t>D-ERTUS</t>
  </si>
  <si>
    <t>D-AVEROLOG</t>
  </si>
  <si>
    <t>D-NEUROHM</t>
  </si>
  <si>
    <t>D-SHIPPING</t>
  </si>
  <si>
    <t>D-KOLLOGIS</t>
  </si>
  <si>
    <t>D-EPARKIII</t>
  </si>
  <si>
    <t>D-PTHW</t>
  </si>
  <si>
    <t>D-ZIPAGRO</t>
  </si>
  <si>
    <t>O-522_RCO</t>
  </si>
  <si>
    <t>D-MONOGO</t>
  </si>
  <si>
    <t>D-HEMAPL</t>
  </si>
  <si>
    <t>D-MPLASTSP</t>
  </si>
  <si>
    <t>D-KUCHNIOT</t>
  </si>
  <si>
    <t>D-SCHNUG</t>
  </si>
  <si>
    <t>D-PPHUDZIE</t>
  </si>
  <si>
    <t>D-POLSTART</t>
  </si>
  <si>
    <t>D-USLMEYER</t>
  </si>
  <si>
    <t>D-BIO_CHEM</t>
  </si>
  <si>
    <t>D-MONSTER</t>
  </si>
  <si>
    <t>D-KORAL_SP</t>
  </si>
  <si>
    <t>D-XBESTSK</t>
  </si>
  <si>
    <t>D-FHU_HIT</t>
  </si>
  <si>
    <t>D-YESCARGO</t>
  </si>
  <si>
    <t>D-KADIMEX</t>
  </si>
  <si>
    <t>D-PEPESJ</t>
  </si>
  <si>
    <t>D-DARTOMEK</t>
  </si>
  <si>
    <t>D-MEBELUX</t>
  </si>
  <si>
    <t>D-SSALMON</t>
  </si>
  <si>
    <t>D-ZIEMDL</t>
  </si>
  <si>
    <t>D-STMSPZOO</t>
  </si>
  <si>
    <t>D-ERONLOGI</t>
  </si>
  <si>
    <t>D-ZARMEN</t>
  </si>
  <si>
    <t>D-GEBRUEDE</t>
  </si>
  <si>
    <t>D-SANHA</t>
  </si>
  <si>
    <t>D-NORDENIA</t>
  </si>
  <si>
    <t>D-KMTECHSP</t>
  </si>
  <si>
    <t>D-VACO</t>
  </si>
  <si>
    <t>D-NORCO</t>
  </si>
  <si>
    <t>D-AGROSIME</t>
  </si>
  <si>
    <t>D-FALCOPHU</t>
  </si>
  <si>
    <t>D-GLOBALM</t>
  </si>
  <si>
    <t>D-FUTURE</t>
  </si>
  <si>
    <t>D-GLKABRAS</t>
  </si>
  <si>
    <t>D-FALESIAS</t>
  </si>
  <si>
    <t>D-ORZECH</t>
  </si>
  <si>
    <t>D-PHUTARAS</t>
  </si>
  <si>
    <t>D-PLEJ</t>
  </si>
  <si>
    <t>D-MEBLEGA</t>
  </si>
  <si>
    <t>D-DOMEL</t>
  </si>
  <si>
    <t>D-BEKTER</t>
  </si>
  <si>
    <t>D-RECSPV12</t>
  </si>
  <si>
    <t>D-GRSCHNEI</t>
  </si>
  <si>
    <t>D-NETIA</t>
  </si>
  <si>
    <t>D-EUROTRWA</t>
  </si>
  <si>
    <t>D-NTISPZOO</t>
  </si>
  <si>
    <t>D-EXOENERG</t>
  </si>
  <si>
    <t>D-DBPROSPZ</t>
  </si>
  <si>
    <t>D-KAMETAL</t>
  </si>
  <si>
    <t>D-SZYNAKA</t>
  </si>
  <si>
    <t>D-TRAX</t>
  </si>
  <si>
    <t>D-CAVATINA</t>
  </si>
  <si>
    <t>D-PRETTLAD</t>
  </si>
  <si>
    <t>D-PROGYM</t>
  </si>
  <si>
    <t>D-WODOC_BL</t>
  </si>
  <si>
    <t>D-POLBIAN</t>
  </si>
  <si>
    <t>D-ROHHE</t>
  </si>
  <si>
    <t>D-AQUAPOLT</t>
  </si>
  <si>
    <t>CAD</t>
  </si>
  <si>
    <t>D-ATIVON</t>
  </si>
  <si>
    <t>D-AUFORHUM</t>
  </si>
  <si>
    <t>D-CARLAB</t>
  </si>
  <si>
    <t>D-REKORDHA</t>
  </si>
  <si>
    <t>D-HEWITECH</t>
  </si>
  <si>
    <t>D-VIVUSFIN</t>
  </si>
  <si>
    <t>D-WISENT</t>
  </si>
  <si>
    <t>B-HYPF</t>
  </si>
  <si>
    <t>D-GRHCZARN</t>
  </si>
  <si>
    <t>D-ENBRA</t>
  </si>
  <si>
    <t>D-ADACLEW</t>
  </si>
  <si>
    <t>D-CELOPL</t>
  </si>
  <si>
    <t>D-GRISTON</t>
  </si>
  <si>
    <t>D-TAURUS_T</t>
  </si>
  <si>
    <t>D-FANEXTR</t>
  </si>
  <si>
    <t>O-515_MILL</t>
  </si>
  <si>
    <t>D-DREWLEC</t>
  </si>
  <si>
    <t>D-POLLUX</t>
  </si>
  <si>
    <t>D-BIOKOM</t>
  </si>
  <si>
    <t>D-RHENLOGI</t>
  </si>
  <si>
    <t>D-FROGUM</t>
  </si>
  <si>
    <t>D-MMRCONSU</t>
  </si>
  <si>
    <t>D-PROAUTO</t>
  </si>
  <si>
    <t>O-218_MILL</t>
  </si>
  <si>
    <t>D-NAUTA_TU</t>
  </si>
  <si>
    <t>O-528_MILL</t>
  </si>
  <si>
    <t>D-KACZMISY</t>
  </si>
  <si>
    <t>D-INVESTR2</t>
  </si>
  <si>
    <t>D-ALMATRAD</t>
  </si>
  <si>
    <t>D-MONPOL</t>
  </si>
  <si>
    <t>D-FIRMARCI</t>
  </si>
  <si>
    <t>O-554_MILB</t>
  </si>
  <si>
    <t>D-SOLVADIS</t>
  </si>
  <si>
    <t>D-BEZET</t>
  </si>
  <si>
    <t>D-PROMETKK</t>
  </si>
  <si>
    <t>D-MALINOWS</t>
  </si>
  <si>
    <t>D-FORMED</t>
  </si>
  <si>
    <t>O-817_CF</t>
  </si>
  <si>
    <t>O-171_MILL</t>
  </si>
  <si>
    <t>D-INTERP</t>
  </si>
  <si>
    <t>D-CEMETSA</t>
  </si>
  <si>
    <t>D-WYBRZEZ</t>
  </si>
  <si>
    <t>P-UNIW_WAR</t>
  </si>
  <si>
    <t>D-EUROTEL</t>
  </si>
  <si>
    <t>D-KAMMET</t>
  </si>
  <si>
    <t>D-FINO_KRZ</t>
  </si>
  <si>
    <t>D-OILERREC</t>
  </si>
  <si>
    <t>D-KITRON</t>
  </si>
  <si>
    <t>D-AVASP</t>
  </si>
  <si>
    <t>D-MAXI</t>
  </si>
  <si>
    <t>D-KIKAKURE</t>
  </si>
  <si>
    <t>D-STANLEY</t>
  </si>
  <si>
    <t>D-MONTA</t>
  </si>
  <si>
    <t>D-YILBA</t>
  </si>
  <si>
    <t>O-002_MILL</t>
  </si>
  <si>
    <t>D-BALT_TAG</t>
  </si>
  <si>
    <t>D-CONCEPTS</t>
  </si>
  <si>
    <t>D-EURONOVA</t>
  </si>
  <si>
    <t>D-W_SZKO_P</t>
  </si>
  <si>
    <t>D-HFP</t>
  </si>
  <si>
    <t>D-GSRTECH</t>
  </si>
  <si>
    <t>D-GRASO</t>
  </si>
  <si>
    <t>D-STER_POZ</t>
  </si>
  <si>
    <t>D-BERTANI</t>
  </si>
  <si>
    <t>D-POLGER</t>
  </si>
  <si>
    <t>D-EUROTRAW</t>
  </si>
  <si>
    <t>D-STSPZOO</t>
  </si>
  <si>
    <t>D-KEMIRA</t>
  </si>
  <si>
    <t>D-POLBEEF</t>
  </si>
  <si>
    <t>D-USBMIS</t>
  </si>
  <si>
    <t>D-HEALTH</t>
  </si>
  <si>
    <t>D-DMSKANCE</t>
  </si>
  <si>
    <t>P-UMK_TORU</t>
  </si>
  <si>
    <t>D-KANZLOTY</t>
  </si>
  <si>
    <t>D-NOVARSPJ</t>
  </si>
  <si>
    <t>D-ALIEN</t>
  </si>
  <si>
    <t>D-PATRIAM</t>
  </si>
  <si>
    <t>D-REINWEST</t>
  </si>
  <si>
    <t>D-CEZAMAT</t>
  </si>
  <si>
    <t>O-214_CF</t>
  </si>
  <si>
    <t>D-SANDERSY</t>
  </si>
  <si>
    <t>D-TTE</t>
  </si>
  <si>
    <t>D-ARTEXSK</t>
  </si>
  <si>
    <t>D-SILESIAK</t>
  </si>
  <si>
    <t>D-POLPANEL</t>
  </si>
  <si>
    <t>D-PUPCOMPL</t>
  </si>
  <si>
    <t>D-MEDIM</t>
  </si>
  <si>
    <t>D-AMBMALTY</t>
  </si>
  <si>
    <t>D-CGB</t>
  </si>
  <si>
    <t>D-ATMOSFER</t>
  </si>
  <si>
    <t>D-GERCZAK</t>
  </si>
  <si>
    <t>D-MAKROMED</t>
  </si>
  <si>
    <t>D-POLGEBIS</t>
  </si>
  <si>
    <t>O-288_MILL</t>
  </si>
  <si>
    <t>D-BAUTECRO</t>
  </si>
  <si>
    <t>D-GBTRANSB</t>
  </si>
  <si>
    <t>D-STARGRES</t>
  </si>
  <si>
    <t>D-BALTDIV</t>
  </si>
  <si>
    <t>D-KAMAJSPK</t>
  </si>
  <si>
    <t>D-COMMERCW</t>
  </si>
  <si>
    <t>D-BUTZBACH</t>
  </si>
  <si>
    <t>D-HORTON</t>
  </si>
  <si>
    <t>O-235_MILL</t>
  </si>
  <si>
    <t>D-EUMED</t>
  </si>
  <si>
    <t>D-DELUXE</t>
  </si>
  <si>
    <t>O-575_RCO</t>
  </si>
  <si>
    <t>D-UYMA</t>
  </si>
  <si>
    <t>D-KTRSTEEL</t>
  </si>
  <si>
    <t>D-KAMIENCZ</t>
  </si>
  <si>
    <t>D-BROPOL</t>
  </si>
  <si>
    <t>D-POLYNPL</t>
  </si>
  <si>
    <t>D-PATRON</t>
  </si>
  <si>
    <t>D-AGROMEYE</t>
  </si>
  <si>
    <t>D-MEGASTOR</t>
  </si>
  <si>
    <t>D-MURATPOL</t>
  </si>
  <si>
    <t>D-PROJEKMS</t>
  </si>
  <si>
    <t>D-ENERGPOZ</t>
  </si>
  <si>
    <t>D-KONMETPM</t>
  </si>
  <si>
    <t>D-TRDXSPZO</t>
  </si>
  <si>
    <t>D-ELKABEL</t>
  </si>
  <si>
    <t>D-ALPIEKAR</t>
  </si>
  <si>
    <t>D-HANSE</t>
  </si>
  <si>
    <t>D-NETMEDIA</t>
  </si>
  <si>
    <t>D-ANDAROIT</t>
  </si>
  <si>
    <t>D-EURODARM</t>
  </si>
  <si>
    <t>D-AGEMAR</t>
  </si>
  <si>
    <t>D-PABE</t>
  </si>
  <si>
    <t>D-INDEXPTU</t>
  </si>
  <si>
    <t>D-ZPUMARAN</t>
  </si>
  <si>
    <t>D-KONOPKA</t>
  </si>
  <si>
    <t>D-COCOA</t>
  </si>
  <si>
    <t>D-DAWIECZN</t>
  </si>
  <si>
    <t>O-276_MILL</t>
  </si>
  <si>
    <t>D-KOSMAZ</t>
  </si>
  <si>
    <t>D-AMBASPT</t>
  </si>
  <si>
    <t>D-HE5TYCH</t>
  </si>
  <si>
    <t>D-MEXEM</t>
  </si>
  <si>
    <t>B-ALIOR</t>
  </si>
  <si>
    <t>D-DIERREPO</t>
  </si>
  <si>
    <t>D-SPAWTEST</t>
  </si>
  <si>
    <t>D-AGROTEX</t>
  </si>
  <si>
    <t>D-CHOMIK</t>
  </si>
  <si>
    <t>D-FERROXEL</t>
  </si>
  <si>
    <t>D-TADPLAST</t>
  </si>
  <si>
    <t>HUF</t>
  </si>
  <si>
    <t>D-CAVASP24</t>
  </si>
  <si>
    <t>D-ORLAT</t>
  </si>
  <si>
    <t>D-STARTER</t>
  </si>
  <si>
    <t>D-KOMFPOD</t>
  </si>
  <si>
    <t>D-PAZAL</t>
  </si>
  <si>
    <t>D-DERU</t>
  </si>
  <si>
    <t>D-TEMA2</t>
  </si>
  <si>
    <t>D-ABMBOZEN</t>
  </si>
  <si>
    <t>D-EFMED</t>
  </si>
  <si>
    <t>D-TRES</t>
  </si>
  <si>
    <t>D-FILLERPH</t>
  </si>
  <si>
    <t>D-MAXBUD</t>
  </si>
  <si>
    <t>D-FENICJA</t>
  </si>
  <si>
    <t>D-ARMATURA</t>
  </si>
  <si>
    <t>D-JEDLICZE</t>
  </si>
  <si>
    <t>D-BOTTARI</t>
  </si>
  <si>
    <t>D-ELEMENT</t>
  </si>
  <si>
    <t>D-HE5WRO7</t>
  </si>
  <si>
    <t>D-7RPRO82</t>
  </si>
  <si>
    <t>D-ENERGOMG</t>
  </si>
  <si>
    <t>D-MADAGR</t>
  </si>
  <si>
    <t>D-KATMET</t>
  </si>
  <si>
    <t>O-788_RCK</t>
  </si>
  <si>
    <t>O-332_MILL</t>
  </si>
  <si>
    <t>D-METALPOL</t>
  </si>
  <si>
    <t>RON</t>
  </si>
  <si>
    <t>D-WROPOLSP</t>
  </si>
  <si>
    <t>D-KTD</t>
  </si>
  <si>
    <t>D-JMBDES</t>
  </si>
  <si>
    <t>D-SANNPROF</t>
  </si>
  <si>
    <t>D-ISPOLGL</t>
  </si>
  <si>
    <t>D-SEITOPOL</t>
  </si>
  <si>
    <t>D-MOTO_PRO</t>
  </si>
  <si>
    <t>D-ATAS_JOZ</t>
  </si>
  <si>
    <t>D-PLICHTAC</t>
  </si>
  <si>
    <t>D-TAKOAMK</t>
  </si>
  <si>
    <t>D-METINPOL</t>
  </si>
  <si>
    <t>D-AGRIGRO</t>
  </si>
  <si>
    <t>D-SAIL_SER</t>
  </si>
  <si>
    <t>D-EUROFIR</t>
  </si>
  <si>
    <t>D-DRZMANAG</t>
  </si>
  <si>
    <t>D-EUROWELD</t>
  </si>
  <si>
    <t>D-SANPLAST</t>
  </si>
  <si>
    <t>D-PROINDYK</t>
  </si>
  <si>
    <t>O-471_MILL</t>
  </si>
  <si>
    <t>D-DUDAADS</t>
  </si>
  <si>
    <t>D-WERXAL</t>
  </si>
  <si>
    <t>D-2FASTSP</t>
  </si>
  <si>
    <t>D-KAMTESP</t>
  </si>
  <si>
    <t>D-NRRPOLDI</t>
  </si>
  <si>
    <t>D-AMPLUSKA</t>
  </si>
  <si>
    <t>D-KARTEL</t>
  </si>
  <si>
    <t>D-EURSER24</t>
  </si>
  <si>
    <t>D-DK_LASER</t>
  </si>
  <si>
    <t>D-RFMAH</t>
  </si>
  <si>
    <t>D-AUTOMATU</t>
  </si>
  <si>
    <t>D-BUSCHPL</t>
  </si>
  <si>
    <t>D-FENUMALI</t>
  </si>
  <si>
    <t>D-SULSIL</t>
  </si>
  <si>
    <t>D-SOFT4YOU</t>
  </si>
  <si>
    <t>D-AGRONAFT</t>
  </si>
  <si>
    <t>D-LINAISE</t>
  </si>
  <si>
    <t>D-INTERVAX</t>
  </si>
  <si>
    <t>D-GDAN_STO</t>
  </si>
  <si>
    <t>D-PES52</t>
  </si>
  <si>
    <t>D-MEDASEPT</t>
  </si>
  <si>
    <t>O-492_MILB</t>
  </si>
  <si>
    <t>O-217_MILL</t>
  </si>
  <si>
    <t>D-OPGK</t>
  </si>
  <si>
    <t>D-MOONCOLL</t>
  </si>
  <si>
    <t>D-MARKAB</t>
  </si>
  <si>
    <t>D-SLIWAPLA</t>
  </si>
  <si>
    <t>O-008_MILB</t>
  </si>
  <si>
    <t>O-307_CF</t>
  </si>
  <si>
    <t>B-BNYB</t>
  </si>
  <si>
    <t>D-NOVOLABS</t>
  </si>
  <si>
    <t>D-METROAIM</t>
  </si>
  <si>
    <t>D-ELPROF</t>
  </si>
  <si>
    <t>D-ELPROFES</t>
  </si>
  <si>
    <t>D-OVOTEK</t>
  </si>
  <si>
    <t>D-AGA</t>
  </si>
  <si>
    <t>D-AGROKOCI</t>
  </si>
  <si>
    <t>D-APN_PROM</t>
  </si>
  <si>
    <t>D-ASKO_TEC</t>
  </si>
  <si>
    <t>D-RYNEK</t>
  </si>
  <si>
    <t>O-839_MILL</t>
  </si>
  <si>
    <t>D-DITXIN</t>
  </si>
  <si>
    <t>D-KOPRUMIN</t>
  </si>
  <si>
    <t>D-FIDUCIA</t>
  </si>
  <si>
    <t>O-586_MILL</t>
  </si>
  <si>
    <t>D-GOSPROLH</t>
  </si>
  <si>
    <t>O-467_CF</t>
  </si>
  <si>
    <t>D-CENTERFL</t>
  </si>
  <si>
    <t>D-CONFLO</t>
  </si>
  <si>
    <t>D-LEADER_T</t>
  </si>
  <si>
    <t>D-DELTAWIS</t>
  </si>
  <si>
    <t>D-POTOKELM</t>
  </si>
  <si>
    <t>D-DREWLACH</t>
  </si>
  <si>
    <t>D-SLTURBO</t>
  </si>
  <si>
    <t>D-PROMASZL</t>
  </si>
  <si>
    <t>O-460_MILL</t>
  </si>
  <si>
    <t>D-SWOROWSK</t>
  </si>
  <si>
    <t>D-FARTPR</t>
  </si>
  <si>
    <t>O-375_MILL</t>
  </si>
  <si>
    <t>D-WTRESO</t>
  </si>
  <si>
    <t>D-PSTLSPZO</t>
  </si>
  <si>
    <t>D-CERCOLOR</t>
  </si>
  <si>
    <t>D-HURRA</t>
  </si>
  <si>
    <t>D-ARAMEKS</t>
  </si>
  <si>
    <t>D-GEWINDBU</t>
  </si>
  <si>
    <t>D-SPYSHOP</t>
  </si>
  <si>
    <t>D-GARBAR_W</t>
  </si>
  <si>
    <t>D-BYDDREW</t>
  </si>
  <si>
    <t>D-KUPIEC_P</t>
  </si>
  <si>
    <t>D-SKPLCARG</t>
  </si>
  <si>
    <t>D-JBM</t>
  </si>
  <si>
    <t>D-CORRIITA</t>
  </si>
  <si>
    <t>D-STOLKOSC</t>
  </si>
  <si>
    <t>O-404_MILL</t>
  </si>
  <si>
    <t>D-KWTRANS</t>
  </si>
  <si>
    <t>D-HTDT</t>
  </si>
  <si>
    <t>D-RENEX</t>
  </si>
  <si>
    <t>O-592_MILL</t>
  </si>
  <si>
    <t>D-TERMOFOL</t>
  </si>
  <si>
    <t>Etykiety wierszy</t>
  </si>
  <si>
    <t>Suma końcowa</t>
  </si>
  <si>
    <t>CUSTOMER_1</t>
  </si>
  <si>
    <t>CUSTOMER_2</t>
  </si>
  <si>
    <t>CUSTOMER_3</t>
  </si>
  <si>
    <t>CUSTOMER_4</t>
  </si>
  <si>
    <t>CUSTOMER_5</t>
  </si>
  <si>
    <t>CUSTOMER_6</t>
  </si>
  <si>
    <t>CUSTOMER_7</t>
  </si>
  <si>
    <t>CUSTOMER_8</t>
  </si>
  <si>
    <t>CUSTOMER_9</t>
  </si>
  <si>
    <t>CUSTOMER_10</t>
  </si>
  <si>
    <t>CUSTOMER_11</t>
  </si>
  <si>
    <t>CUSTOMER_12</t>
  </si>
  <si>
    <t>CUSTOMER_13</t>
  </si>
  <si>
    <t>CUSTOMER_14</t>
  </si>
  <si>
    <t>CUSTOMER_15</t>
  </si>
  <si>
    <t>CUSTOMER_16</t>
  </si>
  <si>
    <t>CUSTOMER_17</t>
  </si>
  <si>
    <t>CUSTOMER_18</t>
  </si>
  <si>
    <t>CUSTOMER_19</t>
  </si>
  <si>
    <t>CUSTOMER_20</t>
  </si>
  <si>
    <t>CUSTOMER_21</t>
  </si>
  <si>
    <t>CUSTOMER_22</t>
  </si>
  <si>
    <t>CUSTOMER_23</t>
  </si>
  <si>
    <t>CUSTOMER_24</t>
  </si>
  <si>
    <t>CUSTOMER_25</t>
  </si>
  <si>
    <t>CUSTOMER_26</t>
  </si>
  <si>
    <t>CUSTOMER_27</t>
  </si>
  <si>
    <t>CUSTOMER_28</t>
  </si>
  <si>
    <t>CUSTOMER_29</t>
  </si>
  <si>
    <t>CUSTOMER_30</t>
  </si>
  <si>
    <t>CUSTOMER_31</t>
  </si>
  <si>
    <t>CUSTOMER_32</t>
  </si>
  <si>
    <t>CUSTOMER_33</t>
  </si>
  <si>
    <t>CUSTOMER_34</t>
  </si>
  <si>
    <t>CUSTOMER_35</t>
  </si>
  <si>
    <t>CUSTOMER_36</t>
  </si>
  <si>
    <t>CUSTOMER_37</t>
  </si>
  <si>
    <t>CUSTOMER_38</t>
  </si>
  <si>
    <t>CUSTOMER_39</t>
  </si>
  <si>
    <t>CUSTOMER_40</t>
  </si>
  <si>
    <t>CUSTOMER_41</t>
  </si>
  <si>
    <t>CUSTOMER_42</t>
  </si>
  <si>
    <t>CUSTOMER_43</t>
  </si>
  <si>
    <t>CUSTOMER_44</t>
  </si>
  <si>
    <t>CUSTOMER_45</t>
  </si>
  <si>
    <t>CUSTOMER_46</t>
  </si>
  <si>
    <t>CUSTOMER_47</t>
  </si>
  <si>
    <t>CUSTOMER_48</t>
  </si>
  <si>
    <t>CUSTOMER_49</t>
  </si>
  <si>
    <t>CUSTOMER_50</t>
  </si>
  <si>
    <t>CUSTOMER_51</t>
  </si>
  <si>
    <t>CUSTOMER_52</t>
  </si>
  <si>
    <t>CUSTOMER_53</t>
  </si>
  <si>
    <t>CUSTOMER_54</t>
  </si>
  <si>
    <t>CUSTOMER_55</t>
  </si>
  <si>
    <t>CUSTOMER_56</t>
  </si>
  <si>
    <t>CUSTOMER_57</t>
  </si>
  <si>
    <t>CUSTOMER_58</t>
  </si>
  <si>
    <t>CUSTOMER_59</t>
  </si>
  <si>
    <t>CUSTOMER_60</t>
  </si>
  <si>
    <t>CUSTOMER_61</t>
  </si>
  <si>
    <t>CUSTOMER_62</t>
  </si>
  <si>
    <t>CUSTOMER_63</t>
  </si>
  <si>
    <t>CUSTOMER_64</t>
  </si>
  <si>
    <t>CUSTOMER_65</t>
  </si>
  <si>
    <t>CUSTOMER_66</t>
  </si>
  <si>
    <t>CUSTOMER_67</t>
  </si>
  <si>
    <t>CUSTOMER_68</t>
  </si>
  <si>
    <t>CUSTOMER_69</t>
  </si>
  <si>
    <t>CUSTOMER_70</t>
  </si>
  <si>
    <t>CUSTOMER_71</t>
  </si>
  <si>
    <t>CUSTOMER_72</t>
  </si>
  <si>
    <t>CUSTOMER_73</t>
  </si>
  <si>
    <t>CUSTOMER_74</t>
  </si>
  <si>
    <t>CUSTOMER_75</t>
  </si>
  <si>
    <t>CUSTOMER_76</t>
  </si>
  <si>
    <t>CUSTOMER_77</t>
  </si>
  <si>
    <t>CUSTOMER_78</t>
  </si>
  <si>
    <t>CUSTOMER_79</t>
  </si>
  <si>
    <t>CUSTOMER_80</t>
  </si>
  <si>
    <t>CUSTOMER_81</t>
  </si>
  <si>
    <t>CUSTOMER_82</t>
  </si>
  <si>
    <t>CUSTOMER_83</t>
  </si>
  <si>
    <t>CUSTOMER_84</t>
  </si>
  <si>
    <t>CUSTOMER_85</t>
  </si>
  <si>
    <t>CUSTOMER_86</t>
  </si>
  <si>
    <t>CUSTOMER_87</t>
  </si>
  <si>
    <t>CUSTOMER_88</t>
  </si>
  <si>
    <t>CUSTOMER_89</t>
  </si>
  <si>
    <t>CUSTOMER_90</t>
  </si>
  <si>
    <t>CUSTOMER_91</t>
  </si>
  <si>
    <t>CUSTOMER_92</t>
  </si>
  <si>
    <t>CUSTOMER_93</t>
  </si>
  <si>
    <t>CUSTOMER_94</t>
  </si>
  <si>
    <t>CUSTOMER_95</t>
  </si>
  <si>
    <t>CUSTOMER_96</t>
  </si>
  <si>
    <t>CUSTOMER_97</t>
  </si>
  <si>
    <t>CUSTOMER_98</t>
  </si>
  <si>
    <t>CUSTOMER_99</t>
  </si>
  <si>
    <t>CUSTOMER_100</t>
  </si>
  <si>
    <t>CUSTOMER_101</t>
  </si>
  <si>
    <t>CUSTOMER_102</t>
  </si>
  <si>
    <t>CUSTOMER_103</t>
  </si>
  <si>
    <t>CUSTOMER_104</t>
  </si>
  <si>
    <t>CUSTOMER_105</t>
  </si>
  <si>
    <t>CUSTOMER_106</t>
  </si>
  <si>
    <t>CUSTOMER_107</t>
  </si>
  <si>
    <t>CUSTOMER_108</t>
  </si>
  <si>
    <t>CUSTOMER_109</t>
  </si>
  <si>
    <t>CUSTOMER_110</t>
  </si>
  <si>
    <t>CUSTOMER_111</t>
  </si>
  <si>
    <t>CUSTOMER_112</t>
  </si>
  <si>
    <t>CUSTOMER_113</t>
  </si>
  <si>
    <t>CUSTOMER_114</t>
  </si>
  <si>
    <t>CUSTOMER_115</t>
  </si>
  <si>
    <t>CUSTOMER_116</t>
  </si>
  <si>
    <t>CUSTOMER_117</t>
  </si>
  <si>
    <t>CUSTOMER_118</t>
  </si>
  <si>
    <t>CUSTOMER_119</t>
  </si>
  <si>
    <t>CUSTOMER_120</t>
  </si>
  <si>
    <t>CUSTOMER_121</t>
  </si>
  <si>
    <t>CUSTOMER_122</t>
  </si>
  <si>
    <t>CUSTOMER_123</t>
  </si>
  <si>
    <t>CUSTOMER_124</t>
  </si>
  <si>
    <t>CUSTOMER_125</t>
  </si>
  <si>
    <t>CUSTOMER_126</t>
  </si>
  <si>
    <t>CUSTOMER_127</t>
  </si>
  <si>
    <t>CUSTOMER_128</t>
  </si>
  <si>
    <t>CUSTOMER_129</t>
  </si>
  <si>
    <t>CUSTOMER_130</t>
  </si>
  <si>
    <t>CUSTOMER_131</t>
  </si>
  <si>
    <t>CUSTOMER_132</t>
  </si>
  <si>
    <t>CUSTOMER_133</t>
  </si>
  <si>
    <t>CUSTOMER_134</t>
  </si>
  <si>
    <t>CUSTOMER_135</t>
  </si>
  <si>
    <t>CUSTOMER_136</t>
  </si>
  <si>
    <t>CUSTOMER_137</t>
  </si>
  <si>
    <t>CUSTOMER_138</t>
  </si>
  <si>
    <t>CUSTOMER_139</t>
  </si>
  <si>
    <t>CUSTOMER_140</t>
  </si>
  <si>
    <t>CUSTOMER_141</t>
  </si>
  <si>
    <t>CUSTOMER_142</t>
  </si>
  <si>
    <t>CUSTOMER_143</t>
  </si>
  <si>
    <t>CUSTOMER_144</t>
  </si>
  <si>
    <t>CUSTOMER_145</t>
  </si>
  <si>
    <t>CUSTOMER_146</t>
  </si>
  <si>
    <t>CUSTOMER_147</t>
  </si>
  <si>
    <t>CUSTOMER_148</t>
  </si>
  <si>
    <t>CUSTOMER_149</t>
  </si>
  <si>
    <t>CUSTOMER_150</t>
  </si>
  <si>
    <t>CUSTOMER_151</t>
  </si>
  <si>
    <t>CUSTOMER_152</t>
  </si>
  <si>
    <t>CUSTOMER_153</t>
  </si>
  <si>
    <t>CUSTOMER_154</t>
  </si>
  <si>
    <t>CUSTOMER_155</t>
  </si>
  <si>
    <t>CUSTOMER_156</t>
  </si>
  <si>
    <t>CUSTOMER_157</t>
  </si>
  <si>
    <t>CUSTOMER_158</t>
  </si>
  <si>
    <t>CUSTOMER_159</t>
  </si>
  <si>
    <t>CUSTOMER_160</t>
  </si>
  <si>
    <t>CUSTOMER_161</t>
  </si>
  <si>
    <t>CUSTOMER_162</t>
  </si>
  <si>
    <t>CUSTOMER_163</t>
  </si>
  <si>
    <t>CUSTOMER_164</t>
  </si>
  <si>
    <t>CUSTOMER_165</t>
  </si>
  <si>
    <t>CUSTOMER_166</t>
  </si>
  <si>
    <t>CUSTOMER_167</t>
  </si>
  <si>
    <t>CUSTOMER_168</t>
  </si>
  <si>
    <t>CUSTOMER_169</t>
  </si>
  <si>
    <t>CUSTOMER_170</t>
  </si>
  <si>
    <t>CUSTOMER_171</t>
  </si>
  <si>
    <t>CUSTOMER_172</t>
  </si>
  <si>
    <t>CUSTOMER_173</t>
  </si>
  <si>
    <t>CUSTOMER_174</t>
  </si>
  <si>
    <t>CUSTOMER_175</t>
  </si>
  <si>
    <t>CUSTOMER_176</t>
  </si>
  <si>
    <t>CUSTOMER_177</t>
  </si>
  <si>
    <t>CUSTOMER_178</t>
  </si>
  <si>
    <t>CUSTOMER_179</t>
  </si>
  <si>
    <t>CUSTOMER_180</t>
  </si>
  <si>
    <t>CUSTOMER_181</t>
  </si>
  <si>
    <t>CUSTOMER_182</t>
  </si>
  <si>
    <t>CUSTOMER_183</t>
  </si>
  <si>
    <t>CUSTOMER_184</t>
  </si>
  <si>
    <t>CUSTOMER_185</t>
  </si>
  <si>
    <t>CUSTOMER_186</t>
  </si>
  <si>
    <t>CUSTOMER_187</t>
  </si>
  <si>
    <t>CUSTOMER_188</t>
  </si>
  <si>
    <t>CUSTOMER_189</t>
  </si>
  <si>
    <t>CUSTOMER_190</t>
  </si>
  <si>
    <t>CUSTOMER_191</t>
  </si>
  <si>
    <t>CUSTOMER_192</t>
  </si>
  <si>
    <t>CUSTOMER_193</t>
  </si>
  <si>
    <t>CUSTOMER_194</t>
  </si>
  <si>
    <t>CUSTOMER_195</t>
  </si>
  <si>
    <t>CUSTOMER_196</t>
  </si>
  <si>
    <t>CUSTOMER_197</t>
  </si>
  <si>
    <t>CUSTOMER_198</t>
  </si>
  <si>
    <t>CUSTOMER_199</t>
  </si>
  <si>
    <t>CUSTOMER_200</t>
  </si>
  <si>
    <t>CUSTOMER_201</t>
  </si>
  <si>
    <t>CUSTOMER_202</t>
  </si>
  <si>
    <t>CUSTOMER_203</t>
  </si>
  <si>
    <t>CUSTOMER_204</t>
  </si>
  <si>
    <t>CUSTOMER_205</t>
  </si>
  <si>
    <t>CUSTOMER_206</t>
  </si>
  <si>
    <t>CUSTOMER_207</t>
  </si>
  <si>
    <t>CUSTOMER_208</t>
  </si>
  <si>
    <t>CUSTOMER_209</t>
  </si>
  <si>
    <t>CUSTOMER_210</t>
  </si>
  <si>
    <t>CUSTOMER_211</t>
  </si>
  <si>
    <t>CUSTOMER_212</t>
  </si>
  <si>
    <t>CUSTOMER_213</t>
  </si>
  <si>
    <t>CUSTOMER_214</t>
  </si>
  <si>
    <t>CUSTOMER_215</t>
  </si>
  <si>
    <t>CUSTOMER_216</t>
  </si>
  <si>
    <t>CUSTOMER_217</t>
  </si>
  <si>
    <t>CUSTOMER_218</t>
  </si>
  <si>
    <t>CUSTOMER_219</t>
  </si>
  <si>
    <t>CUSTOMER_220</t>
  </si>
  <si>
    <t>CUSTOMER_221</t>
  </si>
  <si>
    <t>CUSTOMER_222</t>
  </si>
  <si>
    <t>CUSTOMER_223</t>
  </si>
  <si>
    <t>CUSTOMER_224</t>
  </si>
  <si>
    <t>CUSTOMER_225</t>
  </si>
  <si>
    <t>CUSTOMER_226</t>
  </si>
  <si>
    <t>CUSTOMER_227</t>
  </si>
  <si>
    <t>CUSTOMER_228</t>
  </si>
  <si>
    <t>CUSTOMER_229</t>
  </si>
  <si>
    <t>CUSTOMER_230</t>
  </si>
  <si>
    <t>CUSTOMER_231</t>
  </si>
  <si>
    <t>CUSTOMER_232</t>
  </si>
  <si>
    <t>CUSTOMER_233</t>
  </si>
  <si>
    <t>CUSTOMER_234</t>
  </si>
  <si>
    <t>CUSTOMER_235</t>
  </si>
  <si>
    <t>CUSTOMER_236</t>
  </si>
  <si>
    <t>CUSTOMER_237</t>
  </si>
  <si>
    <t>CUSTOMER_238</t>
  </si>
  <si>
    <t>CUSTOMER_239</t>
  </si>
  <si>
    <t>CUSTOMER_240</t>
  </si>
  <si>
    <t>CUSTOMER_241</t>
  </si>
  <si>
    <t>CUSTOMER_242</t>
  </si>
  <si>
    <t>CUSTOMER_243</t>
  </si>
  <si>
    <t>CUSTOMER_244</t>
  </si>
  <si>
    <t>CUSTOMER_245</t>
  </si>
  <si>
    <t>CUSTOMER_246</t>
  </si>
  <si>
    <t>CUSTOMER_247</t>
  </si>
  <si>
    <t>CUSTOMER_248</t>
  </si>
  <si>
    <t>CUSTOMER_249</t>
  </si>
  <si>
    <t>CUSTOMER_250</t>
  </si>
  <si>
    <t>CUSTOMER_251</t>
  </si>
  <si>
    <t>CUSTOMER_252</t>
  </si>
  <si>
    <t>CUSTOMER_253</t>
  </si>
  <si>
    <t>CUSTOMER_254</t>
  </si>
  <si>
    <t>CUSTOMER_255</t>
  </si>
  <si>
    <t>CUSTOMER_256</t>
  </si>
  <si>
    <t>CUSTOMER_257</t>
  </si>
  <si>
    <t>CUSTOMER_258</t>
  </si>
  <si>
    <t>CUSTOMER_259</t>
  </si>
  <si>
    <t>CUSTOMER_260</t>
  </si>
  <si>
    <t>CUSTOMER_261</t>
  </si>
  <si>
    <t>CUSTOMER_262</t>
  </si>
  <si>
    <t>CUSTOMER_263</t>
  </si>
  <si>
    <t>CUSTOMER_264</t>
  </si>
  <si>
    <t>CUSTOMER_265</t>
  </si>
  <si>
    <t>CUSTOMER_266</t>
  </si>
  <si>
    <t>CUSTOMER_267</t>
  </si>
  <si>
    <t>CUSTOMER_268</t>
  </si>
  <si>
    <t>CUSTOMER_269</t>
  </si>
  <si>
    <t>CUSTOMER_270</t>
  </si>
  <si>
    <t>CUSTOMER_271</t>
  </si>
  <si>
    <t>CUSTOMER_272</t>
  </si>
  <si>
    <t>CUSTOMER_273</t>
  </si>
  <si>
    <t>CUSTOMER_274</t>
  </si>
  <si>
    <t>CUSTOMER_275</t>
  </si>
  <si>
    <t>CUSTOMER_276</t>
  </si>
  <si>
    <t>CUSTOMER_277</t>
  </si>
  <si>
    <t>CUSTOMER_278</t>
  </si>
  <si>
    <t>CUSTOMER_279</t>
  </si>
  <si>
    <t>CUSTOMER_280</t>
  </si>
  <si>
    <t>CUSTOMER_281</t>
  </si>
  <si>
    <t>CUSTOMER_282</t>
  </si>
  <si>
    <t>CUSTOMER_283</t>
  </si>
  <si>
    <t>CUSTOMER_284</t>
  </si>
  <si>
    <t>CUSTOMER_285</t>
  </si>
  <si>
    <t>CUSTOMER_286</t>
  </si>
  <si>
    <t>CUSTOMER_287</t>
  </si>
  <si>
    <t>CUSTOMER_288</t>
  </si>
  <si>
    <t>CUSTOMER_289</t>
  </si>
  <si>
    <t>CUSTOMER_290</t>
  </si>
  <si>
    <t>CUSTOMER_291</t>
  </si>
  <si>
    <t>CUSTOMER_292</t>
  </si>
  <si>
    <t>CUSTOMER_293</t>
  </si>
  <si>
    <t>CUSTOMER_294</t>
  </si>
  <si>
    <t>CUSTOMER_295</t>
  </si>
  <si>
    <t>CUSTOMER_296</t>
  </si>
  <si>
    <t>CUSTOMER_297</t>
  </si>
  <si>
    <t>CUSTOMER_298</t>
  </si>
  <si>
    <t>CUSTOMER_299</t>
  </si>
  <si>
    <t>CUSTOMER_300</t>
  </si>
  <si>
    <t>CUSTOMER_301</t>
  </si>
  <si>
    <t>CUSTOMER_302</t>
  </si>
  <si>
    <t>CUSTOMER_303</t>
  </si>
  <si>
    <t>CUSTOMER_304</t>
  </si>
  <si>
    <t>CUSTOMER_305</t>
  </si>
  <si>
    <t>CUSTOMER_306</t>
  </si>
  <si>
    <t>CUSTOMER_307</t>
  </si>
  <si>
    <t>CUSTOMER_308</t>
  </si>
  <si>
    <t>CUSTOMER_309</t>
  </si>
  <si>
    <t>CUSTOMER_310</t>
  </si>
  <si>
    <t>CUSTOMER_311</t>
  </si>
  <si>
    <t>CUSTOMER_312</t>
  </si>
  <si>
    <t>CUSTOMER_313</t>
  </si>
  <si>
    <t>CUSTOMER_314</t>
  </si>
  <si>
    <t>CUSTOMER_315</t>
  </si>
  <si>
    <t>CUSTOMER_316</t>
  </si>
  <si>
    <t>CUSTOMER_317</t>
  </si>
  <si>
    <t>CUSTOMER_318</t>
  </si>
  <si>
    <t>CUSTOMER_319</t>
  </si>
  <si>
    <t>CUSTOMER_320</t>
  </si>
  <si>
    <t>CUSTOMER_321</t>
  </si>
  <si>
    <t>CUSTOMER_322</t>
  </si>
  <si>
    <t>CUSTOMER_323</t>
  </si>
  <si>
    <t>CUSTOMER_324</t>
  </si>
  <si>
    <t>CUSTOMER_325</t>
  </si>
  <si>
    <t>CUSTOMER_326</t>
  </si>
  <si>
    <t>CUSTOMER_327</t>
  </si>
  <si>
    <t>CUSTOMER_328</t>
  </si>
  <si>
    <t>CUSTOMER_329</t>
  </si>
  <si>
    <t>CUSTOMER_330</t>
  </si>
  <si>
    <t>CUSTOMER_331</t>
  </si>
  <si>
    <t>CUSTOMER_332</t>
  </si>
  <si>
    <t>CUSTOMER_333</t>
  </si>
  <si>
    <t>CUSTOMER_334</t>
  </si>
  <si>
    <t>CUSTOMER_335</t>
  </si>
  <si>
    <t>CUSTOMER_336</t>
  </si>
  <si>
    <t>CUSTOMER_337</t>
  </si>
  <si>
    <t>CUSTOMER_338</t>
  </si>
  <si>
    <t>CUSTOMER_339</t>
  </si>
  <si>
    <t>CUSTOMER_340</t>
  </si>
  <si>
    <t>CUSTOMER_341</t>
  </si>
  <si>
    <t>CUSTOMER_342</t>
  </si>
  <si>
    <t>CUSTOMER_343</t>
  </si>
  <si>
    <t>CUSTOMER_344</t>
  </si>
  <si>
    <t>CUSTOMER_345</t>
  </si>
  <si>
    <t>CUSTOMER_346</t>
  </si>
  <si>
    <t>CUSTOMER_347</t>
  </si>
  <si>
    <t>CUSTOMER_348</t>
  </si>
  <si>
    <t>CUSTOMER_349</t>
  </si>
  <si>
    <t>CUSTOMER_350</t>
  </si>
  <si>
    <t>CUSTOMER_351</t>
  </si>
  <si>
    <t>CUSTOMER_352</t>
  </si>
  <si>
    <t>CUSTOMER_353</t>
  </si>
  <si>
    <t>CUSTOMER_354</t>
  </si>
  <si>
    <t>CUSTOMER_355</t>
  </si>
  <si>
    <t>CUSTOMER_356</t>
  </si>
  <si>
    <t>CUSTOMER_357</t>
  </si>
  <si>
    <t>CUSTOMER_358</t>
  </si>
  <si>
    <t>CUSTOMER_359</t>
  </si>
  <si>
    <t>CUSTOMER_360</t>
  </si>
  <si>
    <t>CUSTOMER_361</t>
  </si>
  <si>
    <t>CUSTOMER_362</t>
  </si>
  <si>
    <t>CUSTOMER_363</t>
  </si>
  <si>
    <t>CUSTOMER_364</t>
  </si>
  <si>
    <t>CUSTOMER_365</t>
  </si>
  <si>
    <t>CUSTOMER_366</t>
  </si>
  <si>
    <t>CUSTOMER_367</t>
  </si>
  <si>
    <t>CUSTOMER_368</t>
  </si>
  <si>
    <t>CUSTOMER_369</t>
  </si>
  <si>
    <t>CUSTOMER_370</t>
  </si>
  <si>
    <t>CUSTOMER_371</t>
  </si>
  <si>
    <t>CUSTOMER_372</t>
  </si>
  <si>
    <t>CUSTOMER_373</t>
  </si>
  <si>
    <t>CUSTOMER_374</t>
  </si>
  <si>
    <t>CUSTOMER_375</t>
  </si>
  <si>
    <t>CUSTOMER_376</t>
  </si>
  <si>
    <t>CUSTOMER_377</t>
  </si>
  <si>
    <t>CUSTOMER_378</t>
  </si>
  <si>
    <t>CUSTOMER_379</t>
  </si>
  <si>
    <t>CUSTOMER_380</t>
  </si>
  <si>
    <t>CUSTOMER_381</t>
  </si>
  <si>
    <t>CUSTOMER_382</t>
  </si>
  <si>
    <t>CUSTOMER_383</t>
  </si>
  <si>
    <t>CUSTOMER_384</t>
  </si>
  <si>
    <t>CUSTOMER_385</t>
  </si>
  <si>
    <t>CUSTOMER_386</t>
  </si>
  <si>
    <t>CUSTOMER_387</t>
  </si>
  <si>
    <t>CUSTOMER_388</t>
  </si>
  <si>
    <t>CUSTOMER_389</t>
  </si>
  <si>
    <t>CUSTOMER_390</t>
  </si>
  <si>
    <t>CUSTOMER_391</t>
  </si>
  <si>
    <t>CUSTOMER_392</t>
  </si>
  <si>
    <t>CUSTOMER_393</t>
  </si>
  <si>
    <t>CUSTOMER_394</t>
  </si>
  <si>
    <t>CUSTOMER_395</t>
  </si>
  <si>
    <t>CUSTOMER_396</t>
  </si>
  <si>
    <t>CUSTOMER_397</t>
  </si>
  <si>
    <t>CUSTOMER_398</t>
  </si>
  <si>
    <t>CUSTOMER_399</t>
  </si>
  <si>
    <t>CUSTOMER_400</t>
  </si>
  <si>
    <t>CUSTOMER_401</t>
  </si>
  <si>
    <t>CUSTOMER_402</t>
  </si>
  <si>
    <t>CUSTOMER_403</t>
  </si>
  <si>
    <t>CUSTOMER_404</t>
  </si>
  <si>
    <t>CUSTOMER_405</t>
  </si>
  <si>
    <t>CUSTOMER_406</t>
  </si>
  <si>
    <t>CUSTOMER_407</t>
  </si>
  <si>
    <t>CUSTOMER_408</t>
  </si>
  <si>
    <t>CUSTOMER_409</t>
  </si>
  <si>
    <t>CUSTOMER_410</t>
  </si>
  <si>
    <t>CUSTOMER_411</t>
  </si>
  <si>
    <t>CUSTOMER_412</t>
  </si>
  <si>
    <t>CUSTOMER_413</t>
  </si>
  <si>
    <t>CUSTOMER_414</t>
  </si>
  <si>
    <t>CUSTOMER_415</t>
  </si>
  <si>
    <t>CUSTOMER_416</t>
  </si>
  <si>
    <t>CUSTOMER_417</t>
  </si>
  <si>
    <t>CUSTOMER_418</t>
  </si>
  <si>
    <t>CUSTOMER_419</t>
  </si>
  <si>
    <t>CUSTOMER_420</t>
  </si>
  <si>
    <t>CUSTOMER_421</t>
  </si>
  <si>
    <t>CUSTOMER_422</t>
  </si>
  <si>
    <t>CUSTOMER_423</t>
  </si>
  <si>
    <t>CUSTOMER_424</t>
  </si>
  <si>
    <t>CUSTOMER_425</t>
  </si>
  <si>
    <t>CUSTOMER_426</t>
  </si>
  <si>
    <t>CUSTOMER_427</t>
  </si>
  <si>
    <t>CUSTOMER_428</t>
  </si>
  <si>
    <t>CUSTOMER_429</t>
  </si>
  <si>
    <t>CUSTOMER_430</t>
  </si>
  <si>
    <t>CUSTOMER_431</t>
  </si>
  <si>
    <t>CUSTOMER_432</t>
  </si>
  <si>
    <t>CUSTOMER_433</t>
  </si>
  <si>
    <t>CUSTOMER_434</t>
  </si>
  <si>
    <t>CUSTOMER_435</t>
  </si>
  <si>
    <t>CUSTOMER_436</t>
  </si>
  <si>
    <t>CUSTOMER_437</t>
  </si>
  <si>
    <t>CUSTOMER_438</t>
  </si>
  <si>
    <t>CUSTOMER_439</t>
  </si>
  <si>
    <t>CUSTOMER_440</t>
  </si>
  <si>
    <t>CUSTOMER_441</t>
  </si>
  <si>
    <t>CUSTOMER_442</t>
  </si>
  <si>
    <t>CUSTOMER_443</t>
  </si>
  <si>
    <t>CUSTOMER_444</t>
  </si>
  <si>
    <t>CUSTOMER_445</t>
  </si>
  <si>
    <t>CUSTOMER_446</t>
  </si>
  <si>
    <t>CUSTOMER_447</t>
  </si>
  <si>
    <t>CUSTOMER_448</t>
  </si>
  <si>
    <t>CUSTOMER_449</t>
  </si>
  <si>
    <t>CUSTOMER_450</t>
  </si>
  <si>
    <t>CUSTOMER_451</t>
  </si>
  <si>
    <t>CUSTOMER_452</t>
  </si>
  <si>
    <t>CUSTOMER_453</t>
  </si>
  <si>
    <t>CUSTOMER_454</t>
  </si>
  <si>
    <t>CUSTOMER_455</t>
  </si>
  <si>
    <t>CUSTOMER_456</t>
  </si>
  <si>
    <t>CUSTOMER_457</t>
  </si>
  <si>
    <t>CUSTOMER_458</t>
  </si>
  <si>
    <t>CUSTOMER_459</t>
  </si>
  <si>
    <t>CUSTOMER_460</t>
  </si>
  <si>
    <t>CUSTOMER_461</t>
  </si>
  <si>
    <t>CUSTOMER_462</t>
  </si>
  <si>
    <t>CUSTOMER_463</t>
  </si>
  <si>
    <t>CUSTOMER_464</t>
  </si>
  <si>
    <t>CUSTOMER_465</t>
  </si>
  <si>
    <t>CUSTOMER_466</t>
  </si>
  <si>
    <t>CUSTOMER_467</t>
  </si>
  <si>
    <t>CUSTOMER_468</t>
  </si>
  <si>
    <t>CUSTOMER_469</t>
  </si>
  <si>
    <t>CUSTOMER_470</t>
  </si>
  <si>
    <t>CUSTOMER_471</t>
  </si>
  <si>
    <t>CUSTOMER_472</t>
  </si>
  <si>
    <t>CUSTOMER_473</t>
  </si>
  <si>
    <t>CUSTOMER_474</t>
  </si>
  <si>
    <t>CUSTOMER_475</t>
  </si>
  <si>
    <t>CUSTOMER_476</t>
  </si>
  <si>
    <t>CUSTOMER_477</t>
  </si>
  <si>
    <t>CUSTOMER_478</t>
  </si>
  <si>
    <t>CUSTOMER_479</t>
  </si>
  <si>
    <t>CUSTOMER_480</t>
  </si>
  <si>
    <t>CUSTOMER_481</t>
  </si>
  <si>
    <t>CUSTOMER_482</t>
  </si>
  <si>
    <t>CUSTOMER_483</t>
  </si>
  <si>
    <t>CUSTOMER_484</t>
  </si>
  <si>
    <t>CUSTOMER_485</t>
  </si>
  <si>
    <t>CUSTOMER_486</t>
  </si>
  <si>
    <t>CUSTOMER_487</t>
  </si>
  <si>
    <t>CUSTOMER_488</t>
  </si>
  <si>
    <t>CUSTOMER_489</t>
  </si>
  <si>
    <t>CUSTOMER_490</t>
  </si>
  <si>
    <t>CUSTOMER_491</t>
  </si>
  <si>
    <t>CUSTOMER_492</t>
  </si>
  <si>
    <t>CUSTOMER_493</t>
  </si>
  <si>
    <t>CUSTOMER_494</t>
  </si>
  <si>
    <t>CUSTOMER_495</t>
  </si>
  <si>
    <t>CUSTOMER_496</t>
  </si>
  <si>
    <t>CUSTOMER_497</t>
  </si>
  <si>
    <t>CUSTOMER_498</t>
  </si>
  <si>
    <t>CUSTOMER_499</t>
  </si>
  <si>
    <t>CUSTOMER_500</t>
  </si>
  <si>
    <t>CUSTOMER_501</t>
  </si>
  <si>
    <t>CUSTOMER_502</t>
  </si>
  <si>
    <t>CUSTOMER_503</t>
  </si>
  <si>
    <t>CUSTOMER_504</t>
  </si>
  <si>
    <t>CUSTOMER_505</t>
  </si>
  <si>
    <t>CUSTOMER_506</t>
  </si>
  <si>
    <t>CUSTOMER_507</t>
  </si>
  <si>
    <t>CUSTOMER_508</t>
  </si>
  <si>
    <t>CUSTOMER_509</t>
  </si>
  <si>
    <t>CUSTOMER_510</t>
  </si>
  <si>
    <t>CUSTOMER_511</t>
  </si>
  <si>
    <t>CUSTOMER_512</t>
  </si>
  <si>
    <t>CUSTOMER_513</t>
  </si>
  <si>
    <t>CUSTOMER_514</t>
  </si>
  <si>
    <t>CUSTOMER_515</t>
  </si>
  <si>
    <t>CUSTOMER_516</t>
  </si>
  <si>
    <t>CUSTOMER_517</t>
  </si>
  <si>
    <t>CUSTOMER_518</t>
  </si>
  <si>
    <t>CUSTOMER_519</t>
  </si>
  <si>
    <t>CUSTOMER_520</t>
  </si>
  <si>
    <t>CUSTOMER_521</t>
  </si>
  <si>
    <t>CUSTOMER_522</t>
  </si>
  <si>
    <t>CUSTOMER_523</t>
  </si>
  <si>
    <t>CUSTOMER_524</t>
  </si>
  <si>
    <t>CUSTOMER_525</t>
  </si>
  <si>
    <t>CUSTOMER_526</t>
  </si>
  <si>
    <t>CUSTOMER_527</t>
  </si>
  <si>
    <t>CUSTOMER_528</t>
  </si>
  <si>
    <t>CUSTOMER_529</t>
  </si>
  <si>
    <t>CUSTOMER_530</t>
  </si>
  <si>
    <t>CUSTOMER_531</t>
  </si>
  <si>
    <t>CUSTOMER_532</t>
  </si>
  <si>
    <t>CUSTOMER_533</t>
  </si>
  <si>
    <t>CUSTOMER_534</t>
  </si>
  <si>
    <t>CUSTOMER_535</t>
  </si>
  <si>
    <t>CUSTOMER_536</t>
  </si>
  <si>
    <t>CUSTOMER_537</t>
  </si>
  <si>
    <t>CUSTOMER_538</t>
  </si>
  <si>
    <t>CUSTOMER_539</t>
  </si>
  <si>
    <t>CUSTOMER_540</t>
  </si>
  <si>
    <t>CUSTOMER_541</t>
  </si>
  <si>
    <t>CUSTOMER_542</t>
  </si>
  <si>
    <t>CUSTOMER_543</t>
  </si>
  <si>
    <t>CUSTOMER_544</t>
  </si>
  <si>
    <t>CUSTOMER_545</t>
  </si>
  <si>
    <t>CUSTOMER_546</t>
  </si>
  <si>
    <t>CUSTOMER_547</t>
  </si>
  <si>
    <t>CUSTOMER_548</t>
  </si>
  <si>
    <t>CUSTOMER_549</t>
  </si>
  <si>
    <t>CUSTOMER_550</t>
  </si>
  <si>
    <t>CUSTOMER_551</t>
  </si>
  <si>
    <t>CUSTOMER_552</t>
  </si>
  <si>
    <t>CUSTOMER_553</t>
  </si>
  <si>
    <t>CUSTOMER_554</t>
  </si>
  <si>
    <t>CUSTOMER_555</t>
  </si>
  <si>
    <t>CUSTOMER_556</t>
  </si>
  <si>
    <t>CUSTOMER_557</t>
  </si>
  <si>
    <t>CUSTOMER_558</t>
  </si>
  <si>
    <t>CUSTOMER_559</t>
  </si>
  <si>
    <t>CUSTOMER_560</t>
  </si>
  <si>
    <t>CUSTOMER_561</t>
  </si>
  <si>
    <t>CUSTOMER_562</t>
  </si>
  <si>
    <t>CUSTOMER_563</t>
  </si>
  <si>
    <t>CUSTOMER_564</t>
  </si>
  <si>
    <t>CUSTOMER_565</t>
  </si>
  <si>
    <t>CUSTOMER_566</t>
  </si>
  <si>
    <t>CUSTOMER_567</t>
  </si>
  <si>
    <t>CUSTOMER_568</t>
  </si>
  <si>
    <t>CUSTOMER_569</t>
  </si>
  <si>
    <t>CUSTOMER_570</t>
  </si>
  <si>
    <t>CUSTOMER_571</t>
  </si>
  <si>
    <t>CUSTOMER_572</t>
  </si>
  <si>
    <t>CUSTOMER_573</t>
  </si>
  <si>
    <t>CUSTOMER_574</t>
  </si>
  <si>
    <t>CUSTOMER_575</t>
  </si>
  <si>
    <t>CUSTOMER_576</t>
  </si>
  <si>
    <t>CUSTOMER_577</t>
  </si>
  <si>
    <t>CUSTOMER_578</t>
  </si>
  <si>
    <t>CUSTOMER_579</t>
  </si>
  <si>
    <t>CUSTOMER_580</t>
  </si>
  <si>
    <t>CUSTOMER_581</t>
  </si>
  <si>
    <t>CUSTOMER_582</t>
  </si>
  <si>
    <t>CUSTOMER_583</t>
  </si>
  <si>
    <t>CUSTOMER_584</t>
  </si>
  <si>
    <t>CUSTOMER_585</t>
  </si>
  <si>
    <t>CUSTOMER_586</t>
  </si>
  <si>
    <t>CUSTOMER_587</t>
  </si>
  <si>
    <t>CUSTOMER_588</t>
  </si>
  <si>
    <t>CUSTOMER_589</t>
  </si>
  <si>
    <t>CUSTOMER_590</t>
  </si>
  <si>
    <t>CUSTOMER_591</t>
  </si>
  <si>
    <t>CUSTOMER_592</t>
  </si>
  <si>
    <t>CUSTOMER_593</t>
  </si>
  <si>
    <t>CUSTOMER_594</t>
  </si>
  <si>
    <t>CUSTOMER_595</t>
  </si>
  <si>
    <t>CUSTOMER_596</t>
  </si>
  <si>
    <t>CUSTOMER_597</t>
  </si>
  <si>
    <t>CUSTOMER_598</t>
  </si>
  <si>
    <t>CUSTOMER_599</t>
  </si>
  <si>
    <t>CUSTOMER_600</t>
  </si>
  <si>
    <t>CUSTOMER_601</t>
  </si>
  <si>
    <t>CUSTOMER_602</t>
  </si>
  <si>
    <t>CUSTOMER_603</t>
  </si>
  <si>
    <t>CUSTOMER_604</t>
  </si>
  <si>
    <t>CUSTOMER_605</t>
  </si>
  <si>
    <t>CUSTOMER_606</t>
  </si>
  <si>
    <t>CUSTOMER_607</t>
  </si>
  <si>
    <t>CUSTOMER_608</t>
  </si>
  <si>
    <t>CUSTOMER_609</t>
  </si>
  <si>
    <t>CUSTOMER_610</t>
  </si>
  <si>
    <t>CUSTOMER_611</t>
  </si>
  <si>
    <t>CUSTOMER_612</t>
  </si>
  <si>
    <t>CUSTOMER_613</t>
  </si>
  <si>
    <t>CUSTOMER_614</t>
  </si>
  <si>
    <t>CUSTOMER_615</t>
  </si>
  <si>
    <t>CUSTOMER_616</t>
  </si>
  <si>
    <t>CUSTOMER_617</t>
  </si>
  <si>
    <t>CUSTOMER_618</t>
  </si>
  <si>
    <t>CUSTOMER_619</t>
  </si>
  <si>
    <t>CUSTOMER_620</t>
  </si>
  <si>
    <t>CUSTOMER_621</t>
  </si>
  <si>
    <t>CUSTOMER_622</t>
  </si>
  <si>
    <t>CUSTOMER_623</t>
  </si>
  <si>
    <t>CUSTOMER_624</t>
  </si>
  <si>
    <t>CUSTOMER_625</t>
  </si>
  <si>
    <t>CUSTOMER_626</t>
  </si>
  <si>
    <t>CUSTOMER_627</t>
  </si>
  <si>
    <t>CUSTOMER_628</t>
  </si>
  <si>
    <t>CUSTOMER_629</t>
  </si>
  <si>
    <t>CUSTOMER_630</t>
  </si>
  <si>
    <t>CUSTOMER_631</t>
  </si>
  <si>
    <t>CUSTOMER_632</t>
  </si>
  <si>
    <t>CUSTOMER_633</t>
  </si>
  <si>
    <t>CUSTOMER_634</t>
  </si>
  <si>
    <t>CUSTOMER_635</t>
  </si>
  <si>
    <t>CUSTOMER_636</t>
  </si>
  <si>
    <t>CUSTOMER_637</t>
  </si>
  <si>
    <t>CUSTOMER_638</t>
  </si>
  <si>
    <t>CUSTOMER_639</t>
  </si>
  <si>
    <t>CUSTOMER_640</t>
  </si>
  <si>
    <t>CUSTOMER_641</t>
  </si>
  <si>
    <t>CUSTOMER_642</t>
  </si>
  <si>
    <t>CUSTOMER_643</t>
  </si>
  <si>
    <t>CUSTOMER_644</t>
  </si>
  <si>
    <t>CUSTOMER_645</t>
  </si>
  <si>
    <t>CUSTOMER_646</t>
  </si>
  <si>
    <t>CUSTOMER_647</t>
  </si>
  <si>
    <t>CUSTOMER_648</t>
  </si>
  <si>
    <t>CUSTOMER_649</t>
  </si>
  <si>
    <t>CUSTOMER_650</t>
  </si>
  <si>
    <t>CUSTOMER_651</t>
  </si>
  <si>
    <t>CUSTOMER_652</t>
  </si>
  <si>
    <t>CUSTOMER_653</t>
  </si>
  <si>
    <t>CUSTOMER_654</t>
  </si>
  <si>
    <t>CUSTOMER_655</t>
  </si>
  <si>
    <t>CUSTOMER_656</t>
  </si>
  <si>
    <t>CUSTOMER_657</t>
  </si>
  <si>
    <t>CUSTOMER_658</t>
  </si>
  <si>
    <t>CUSTOMER_659</t>
  </si>
  <si>
    <t>CUSTOMER_660</t>
  </si>
  <si>
    <t>CUSTOMER_661</t>
  </si>
  <si>
    <t>CUSTOMER_662</t>
  </si>
  <si>
    <t>CUSTOMER_663</t>
  </si>
  <si>
    <t>CUSTOMER_664</t>
  </si>
  <si>
    <t>BR1</t>
  </si>
  <si>
    <t>PL</t>
  </si>
  <si>
    <t>GB</t>
  </si>
  <si>
    <t>NL</t>
  </si>
  <si>
    <t>US</t>
  </si>
  <si>
    <t>DE</t>
  </si>
  <si>
    <t>CH</t>
  </si>
  <si>
    <t>FR</t>
  </si>
  <si>
    <t>ES</t>
  </si>
  <si>
    <t>AT</t>
  </si>
  <si>
    <t>IT</t>
  </si>
  <si>
    <t>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</si>
</sst>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0"/>
    <numFmt numFmtId="165" formatCode="#,##0.0000"/>
  </numFmts>
  <fonts count="4" x14ac:knownFonts="1">
    <font>
      <sz val="11"/>
      <color indexed="8"/>
      <name val="Aptos Narrow"/>
      <family val="2"/>
      <scheme val="minor"/>
    </font>
    <font>
      <b/>
      <sz val="10"/>
      <color indexed="9"/>
      <name val="Tahoma"/>
    </font>
    <font>
      <b/>
      <sz val="8"/>
      <color indexed="56"/>
      <name val="Tahoma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6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 style="thin">
        <color indexed="8"/>
      </right>
      <top/>
      <bottom style="dotted">
        <color indexed="55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1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164" fontId="2" fillId="0" borderId="3" xfId="0" applyNumberFormat="1" applyFont="1" applyBorder="1" applyAlignment="1">
      <alignment horizontal="center"/>
    </xf>
    <xf numFmtId="165" fontId="2" fillId="0" borderId="3" xfId="0" applyNumberFormat="1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SZEWSKI LUKASZ" refreshedDate="46079.520951967592" createdVersion="8" refreshedVersion="8" minRefreshableVersion="3" recordCount="4207" xr:uid="{8F04AA0F-6389-42D4-935C-94A6EAF097E9}">
  <cacheSource type="worksheet">
    <worksheetSource ref="A2:Q4209" sheet="Data"/>
  </cacheSource>
  <cacheFields count="17">
    <cacheField name="BR" numFmtId="0">
      <sharedItems/>
    </cacheField>
    <cacheField name="KTP_DEALNO" numFmtId="1">
      <sharedItems containsSemiMixedTypes="0" containsString="0" containsNumber="1" containsInteger="1" minValue="12664" maxValue="160631"/>
    </cacheField>
    <cacheField name="FO_DEALNO" numFmtId="1">
      <sharedItems containsSemiMixedTypes="0" containsString="0" containsNumber="1" containsInteger="1" minValue="46197" maxValue="914045"/>
    </cacheField>
    <cacheField name="PRODUCT" numFmtId="0">
      <sharedItems/>
    </cacheField>
    <cacheField name="Cpty_ShortName" numFmtId="0">
      <sharedItems count="664">
        <s v="D-OMISSA"/>
        <s v="D-BUKPOL"/>
        <s v="D-STOCZ_WI"/>
        <s v="D-NOVA_TEC"/>
        <s v="D-KACZKAN"/>
        <s v="D-ZPSJAMAR"/>
        <s v="D-TP_SA"/>
        <s v="D-POLMOTOR"/>
        <s v="D-SILESIAZ"/>
        <s v="D-JANT_GRY"/>
        <s v="D-HARXTOOL"/>
        <s v="D-ROVERTI"/>
        <s v="D-RAINBOWT"/>
        <s v="D-CIECH_WA"/>
        <s v="D-BATERPOL"/>
        <s v="D-URTICA"/>
        <s v="D-MASSPZOO"/>
        <s v="D-AGROTR_P"/>
        <s v="D-KONTRKOC"/>
        <s v="D-WIPSP"/>
        <s v="D-BARTEX"/>
        <s v="D-VCOSA"/>
        <s v="F-BEL_LEAS"/>
        <s v="D-MATBUDSP"/>
        <s v="D-BLSBLAZE"/>
        <s v="D-DAJARSP"/>
        <s v="D-TADARSP"/>
        <s v="D-ICOMPPL"/>
        <s v="D-LUKOWA"/>
        <s v="D-TAHAMI"/>
        <s v="D-PHOECHEM"/>
        <s v="D-TERMO_OR"/>
        <s v="D-SANDRA"/>
        <s v="D-POLASZME"/>
        <s v="D-SHARDA"/>
        <s v="D-VICTUS"/>
        <s v="B-RBSL"/>
        <s v="D-NPASKAWI"/>
        <s v="B-ABNA"/>
        <s v="B-CCFX"/>
        <s v="B-CHASDE"/>
        <s v="B-DBFF"/>
        <s v="B-UBSWDE24"/>
        <s v="B-BNPP"/>
        <s v="B-BREXPW"/>
        <s v="B-ZKBZ"/>
        <s v="D-STOLBUDR"/>
        <s v="B-SOGP"/>
        <s v="D-MPWLOGIS"/>
        <s v="D-BESERV"/>
        <s v="B-GBWCPP"/>
        <s v="D-NETBROKE"/>
        <s v="D-FERLAS"/>
        <s v="D-AUTORADA"/>
        <s v="D-MINOAUTO"/>
        <s v="B-BBVX"/>
        <s v="D-LUTTGENS"/>
        <s v="D-ADARHNS"/>
        <s v="D-CRSTYLE"/>
        <s v="D-RAILOGPL"/>
        <s v="D-ABSA"/>
        <s v="D-QUIZASP"/>
        <s v="D-OLANPOL"/>
        <s v="D-MIRWAL"/>
        <s v="D-BELPOL"/>
        <s v="D-PHUWEDLI"/>
        <s v="O-269_CF"/>
        <s v="D-BONAVIST"/>
        <s v="D-PHKONRAD"/>
        <s v="D-ZAKLADYM"/>
        <s v="D-PRIFURNI"/>
        <s v="D-AISKO"/>
        <s v="D-ANEBERGT"/>
        <s v="D-HAGRIC"/>
        <s v="D-MGSPOLKA"/>
        <s v="D-ROTRANSR"/>
        <s v="D-AGAINSA"/>
        <s v="D-RAWIT"/>
        <s v="D-MPLAST"/>
        <s v="D-FROZENWA"/>
        <s v="D-PIEKUS"/>
        <s v="D-STOGDA"/>
        <s v="D-AKCES"/>
        <s v="D-ZBMINWZA"/>
        <s v="B-BMILLBH"/>
        <s v="B-BIGW"/>
        <s v="D-EXPOM_KU"/>
        <s v="D-OLIMPIAG"/>
        <s v="O-595_MILL"/>
        <s v="D-ALFAFENC"/>
        <s v="D-SCHWARZ"/>
        <s v="D-AMICAWRO"/>
        <s v="O-274_MILL"/>
        <s v="D-MURBETGA"/>
        <s v="B-RZBV"/>
        <s v="O-105_CF"/>
        <s v="D-RSPECTIV"/>
        <s v="D-JUTRZEN"/>
        <s v="D-ICE"/>
        <s v="D-TTTRAK"/>
        <s v="D-FOKUSPR"/>
        <s v="D-MEBLEX"/>
        <s v="D-CHEMIROL"/>
        <s v="D-PUNTOPRU"/>
        <s v="O-249_MILL"/>
        <s v="D-EGGSJAR"/>
        <s v="D-FOLIARST"/>
        <s v="O-210_CF"/>
        <s v="D-BALTIX"/>
        <s v="D-TOMASPZO"/>
        <s v="D-BONVIRO"/>
        <s v="D-PRUSZYNS"/>
        <s v="D-CORO_PLA"/>
        <s v="D-DPJ_JAK"/>
        <s v="D-GRAMAZIS"/>
        <s v="D-DKPOLSKA"/>
        <s v="O-078_MILL"/>
        <s v="D-STPOLAND"/>
        <s v="D-DENONDEN"/>
        <s v="O-243_MILL"/>
        <s v="D-GRUPAHAN"/>
        <s v="D-NORCOSPE"/>
        <s v="D-HANYANG"/>
        <s v="D-MARSUN"/>
        <s v="D-TIMORO"/>
        <s v="D-MZIMEGAW"/>
        <s v="D-BPJANUS"/>
        <s v="D-MOLSPZOO"/>
        <s v="D-PRONAR"/>
        <s v="D-ORNO"/>
        <s v="D-HYDRONAU"/>
        <s v="D-ETIPOLAM"/>
        <s v="O-882_MILL"/>
        <s v="D-OLANSPZO"/>
        <s v="D-ELMEXLO"/>
        <s v="D-ELMEXGRO"/>
        <s v="D-ELOGIS"/>
        <s v="D-DROBEX"/>
        <s v="D-AMEXSP"/>
        <s v="D-KONKOLRZ"/>
        <s v="D-DAEWOO_I"/>
        <s v="D-ABRAXAS"/>
        <s v="D-KARPOL"/>
        <s v="D-TECHBETO"/>
        <s v="D-CEO"/>
        <s v="D-PROFEXP"/>
        <s v="D-DTKNIFEL"/>
        <s v="D-DWLJOB"/>
        <s v="D-CAVATIGW"/>
        <s v="D-GRUPAMO"/>
        <s v="D-ADRIATKW"/>
        <s v="D-APLICHTA"/>
        <s v="D-RMIESPOP"/>
        <s v="O-464_CF"/>
        <s v="D-RYWAL_RH"/>
        <s v="D-PARTCENT"/>
        <s v="D-EXIMSERV"/>
        <s v="D-GURTRUCK"/>
        <s v="D-TOMPLAKO"/>
        <s v="D-WOLFFTRA"/>
        <s v="D-TOMCAR"/>
        <s v="D-LOGSYS"/>
        <s v="D-WOZNIAK"/>
        <s v="D-BRAMTECH"/>
        <s v="D-PROINTEC"/>
        <s v="O-242_CF"/>
        <s v="D-HELIOEN"/>
        <s v="D-FRESHWOR"/>
        <s v="D-BOGUTTI"/>
        <s v="D-ETPROMO"/>
        <s v="D-LEWTRANS"/>
        <s v="D-DOLSAT"/>
        <s v="D-ADWERGRU"/>
        <s v="D-PRIMEPVC"/>
        <s v="D-ELEKTWIA"/>
        <s v="D-MEGATR_S"/>
        <s v="D-SUMARA"/>
        <s v="D-DARPOL"/>
        <s v="D-MIQUIDO"/>
        <s v="D-KAYAXPP"/>
        <s v="D-KRYSIAK"/>
        <s v="D-KONECCY"/>
        <s v="D-HASSSZOO"/>
        <s v="D-STENSP"/>
        <s v="D-FORUM"/>
        <s v="D-GINTERTR"/>
        <s v="D-BELLAPH"/>
        <s v="D-SPOLNOTA"/>
        <s v="D-AMPOL"/>
        <s v="D-PACCO"/>
        <s v="D-SKAT_TRA"/>
        <s v="D-HENZEL"/>
        <s v="D-PPUHPROS"/>
        <s v="D-360PL"/>
        <s v="O-330_MILL"/>
        <s v="D-DACTER"/>
        <s v="D-ZIEMPOLB"/>
        <s v="D-PPHBONA"/>
        <s v="D-TRANSPLU"/>
        <s v="D-AASTUDIO"/>
        <s v="O-340_MILL"/>
        <s v="D-WPWINVES"/>
        <s v="D-FUNDRAT"/>
        <s v="D-GRODCONO"/>
        <s v="D-SPEDLOGI"/>
        <s v="D-ASTAR"/>
        <s v="D-TRILOGIQ"/>
        <s v="D-ALSFOOD"/>
        <s v="D-KREPEL"/>
        <s v="O-967_MILB"/>
        <s v="D-PASTERNJ"/>
        <s v="D-MEINVEST"/>
        <s v="D-PDELSMAK"/>
        <s v="D-ASHTECH"/>
        <s v="D-AMKOVO"/>
        <s v="D-COMSET"/>
        <s v="D-ELASTPOL"/>
        <s v="D-REXBUDPR"/>
        <s v="O-251_MILL"/>
        <s v="D-MAANSP"/>
        <s v="D-POLKOLOR"/>
        <s v="D-PASTRANS"/>
        <s v="D-MODRO"/>
        <s v="D-NOVIMAA"/>
        <s v="D-AGATA"/>
        <s v="D-APIA"/>
        <s v="D-CHAMPLAN"/>
        <s v="D-HE3STRY2"/>
        <s v="D-USLBUDMM"/>
        <s v="D-NAVEN"/>
        <s v="D-GFSENG"/>
        <s v="D-WESOB"/>
        <s v="D-MICHLPOL"/>
        <s v="P-ZMB"/>
        <s v="O-944_MILL"/>
        <s v="D-ZABLOCKI"/>
        <s v="D-MMKSOLUT"/>
        <s v="D-PZJ"/>
        <s v="D-BARTRANS"/>
        <s v="D-CRDZIECK"/>
        <s v="D-AGROSTOP"/>
        <s v="D-GLEIPNIR"/>
        <s v="D-CIGNASTU"/>
        <s v="D-DOMINO"/>
        <s v="D-TOTEM"/>
        <s v="D-HYDRO"/>
        <s v="D-DWLWORK"/>
        <s v="D-SLVGRSPZ"/>
        <s v="D-GRAHEN"/>
        <s v="D-GALA_PHU"/>
        <s v="D-COLIANHO"/>
        <s v="D-DIVA"/>
        <s v="O-088_MILL"/>
        <s v="D-SISBOBIN"/>
        <s v="D-PROFITPH"/>
        <s v="D-LMGSK"/>
        <s v="D-FABRFLAG"/>
        <s v="D-VENTTRAD"/>
        <s v="D-JANSEN"/>
        <s v="D-PHPIOMAR"/>
        <s v="D-VIRGODM"/>
        <s v="D-CDLUKULL"/>
        <s v="D-SLAWITW"/>
        <s v="O-789_RCK"/>
        <s v="D-FILOSKI"/>
        <s v="D-MPROMO"/>
        <s v="D-MARKIEPO"/>
        <s v="D-DRYWALKE"/>
        <s v="D-AQUAWORK"/>
        <s v="D-CORAL"/>
        <s v="B-KASE"/>
        <s v="D-ZALMET"/>
        <s v="D-OLCZAK"/>
        <s v="D-VGTRANSP"/>
        <s v="D-STANFEX"/>
        <s v="D-STYROBUD"/>
        <s v="O-274_MILB"/>
        <s v="D-GRZADZIN"/>
        <s v="D-NIKORSPZ"/>
        <s v="D-AGROLOK"/>
        <s v="D-RRSPZOO"/>
        <s v="D-STALFOX"/>
        <s v="D-FLEXO"/>
        <s v="B-RHBHPW"/>
        <s v="D-CARMEX"/>
        <s v="D-TRACZYK"/>
        <s v="D-MSBO"/>
        <s v="D-STWKULT"/>
        <s v="D-ZWIERZYN"/>
        <s v="D-HURTOSTA"/>
        <s v="D-BETEXBA"/>
        <s v="D-CARIT_PL"/>
        <s v="D-TESMA"/>
        <s v="D-ALMARPRO"/>
        <s v="D-ALICEKI"/>
        <s v="D-ESTROPOL"/>
        <s v="D-TOWIMOR"/>
        <s v="D-SDK_OSTR"/>
        <s v="D-CLINICAM"/>
        <s v="D-MOTPOL"/>
        <s v="D-SPOLINWA"/>
        <s v="D-AMBASBRA"/>
        <s v="D-RESICAPI"/>
        <s v="D-JITSERV"/>
        <s v="D-JITSOLUT"/>
        <s v="D-BOFER"/>
        <s v="D-KOCHPART"/>
        <s v="D-CARLINE"/>
        <s v="O-173_MILB"/>
        <s v="D-ROLTEC"/>
        <s v="D-RAYTRANS"/>
        <s v="D-MENOR"/>
        <s v="D-PERFECTL"/>
        <s v="D-POLPACK"/>
        <s v="D-PROANIMA"/>
        <s v="D-WOKSP"/>
        <s v="D-MAGNEAST"/>
        <s v="D-PARTNEXS"/>
        <s v="D-KOHLER_B"/>
        <s v="D-ALAMA"/>
        <s v="D-WORKSERV"/>
        <s v="D-SARR"/>
        <s v="D-RESSFRU"/>
        <s v="D-OBOYA"/>
        <s v="D-AURA"/>
        <s v="D-TRANELKO"/>
        <s v="D-INVESTA"/>
        <s v="D-ARTI"/>
        <s v="D-POLPOLAK"/>
        <s v="D-CDNERGO"/>
        <s v="D-ERTUS"/>
        <s v="D-AVEROLOG"/>
        <s v="D-NEUROHM"/>
        <s v="D-SHIPPING"/>
        <s v="D-KOLLOGIS"/>
        <s v="D-EPARKIII"/>
        <s v="D-PTHW"/>
        <s v="D-ZIPAGRO"/>
        <s v="O-522_RCO"/>
        <s v="D-MONOGO"/>
        <s v="D-HEMAPL"/>
        <s v="D-MPLASTSP"/>
        <s v="D-KUCHNIOT"/>
        <s v="D-SCHNUG"/>
        <s v="D-PPHUDZIE"/>
        <s v="D-POLSTART"/>
        <s v="D-USLMEYER"/>
        <s v="D-BIO_CHEM"/>
        <s v="D-MONSTER"/>
        <s v="D-KORAL_SP"/>
        <s v="D-XBESTSK"/>
        <s v="D-FHU_HIT"/>
        <s v="D-YESCARGO"/>
        <s v="D-KADIMEX"/>
        <s v="D-PEPESJ"/>
        <s v="D-DARTOMEK"/>
        <s v="D-MEBELUX"/>
        <s v="D-SSALMON"/>
        <s v="D-ZIEMDL"/>
        <s v="D-STMSPZOO"/>
        <s v="D-ERONLOGI"/>
        <s v="D-ZARMEN"/>
        <s v="D-GEBRUEDE"/>
        <s v="D-SANHA"/>
        <s v="D-NORDENIA"/>
        <s v="D-KMTECHSP"/>
        <s v="D-VACO"/>
        <s v="D-NORCO"/>
        <s v="D-AGROSIME"/>
        <s v="D-FALCOPHU"/>
        <s v="D-GLOBALM"/>
        <s v="D-FUTURE"/>
        <s v="D-GLKABRAS"/>
        <s v="D-FALESIAS"/>
        <s v="D-ORZECH"/>
        <s v="D-PHUTARAS"/>
        <s v="D-PLEJ"/>
        <s v="D-MEBLEGA"/>
        <s v="D-DOMEL"/>
        <s v="D-BEKTER"/>
        <s v="D-RECSPV12"/>
        <s v="D-GRSCHNEI"/>
        <s v="D-NETIA"/>
        <s v="D-EUROTRWA"/>
        <s v="D-NTISPZOO"/>
        <s v="D-EXOENERG"/>
        <s v="D-DBPROSPZ"/>
        <s v="D-KAMETAL"/>
        <s v="D-SZYNAKA"/>
        <s v="D-TRAX"/>
        <s v="D-CAVATINA"/>
        <s v="D-PRETTLAD"/>
        <s v="D-PROGYM"/>
        <s v="D-WODOC_BL"/>
        <s v="D-POLBIAN"/>
        <s v="D-ROHHE"/>
        <s v="D-AQUAPOLT"/>
        <s v="D-ATIVON"/>
        <s v="D-AUFORHUM"/>
        <s v="D-CARLAB"/>
        <s v="D-REKORDHA"/>
        <s v="D-HEWITECH"/>
        <s v="D-VIVUSFIN"/>
        <s v="D-WISENT"/>
        <s v="B-HYPF"/>
        <s v="D-GRHCZARN"/>
        <s v="D-ENBRA"/>
        <s v="D-ADACLEW"/>
        <s v="D-CELOPL"/>
        <s v="D-GRISTON"/>
        <s v="D-TAURUS_T"/>
        <s v="D-FANEXTR"/>
        <s v="O-515_MILL"/>
        <s v="D-DREWLEC"/>
        <s v="D-POLLUX"/>
        <s v="D-BIOKOM"/>
        <s v="D-RHENLOGI"/>
        <s v="D-FROGUM"/>
        <s v="D-MMRCONSU"/>
        <s v="D-PROAUTO"/>
        <s v="O-218_MILL"/>
        <s v="D-NAUTA_TU"/>
        <s v="O-528_MILL"/>
        <s v="D-KACZMISY"/>
        <s v="D-INVESTR2"/>
        <s v="D-ALMATRAD"/>
        <s v="D-MONPOL"/>
        <s v="D-FIRMARCI"/>
        <s v="O-554_MILB"/>
        <s v="D-SOLVADIS"/>
        <s v="D-BEZET"/>
        <s v="D-PROMETKK"/>
        <s v="D-MALINOWS"/>
        <s v="D-FORMED"/>
        <s v="O-817_CF"/>
        <s v="O-171_MILL"/>
        <s v="D-INTERP"/>
        <s v="D-CEMETSA"/>
        <s v="D-WYBRZEZ"/>
        <s v="P-UNIW_WAR"/>
        <s v="D-EUROTEL"/>
        <s v="D-KAMMET"/>
        <s v="D-FINO_KRZ"/>
        <s v="D-OILERREC"/>
        <s v="D-KITRON"/>
        <s v="D-AVASP"/>
        <s v="D-MAXI"/>
        <s v="D-KIKAKURE"/>
        <s v="D-STANLEY"/>
        <s v="D-MONTA"/>
        <s v="D-YILBA"/>
        <s v="O-002_MILL"/>
        <s v="D-BALT_TAG"/>
        <s v="D-CONCEPTS"/>
        <s v="D-EURONOVA"/>
        <s v="D-W_SZKO_P"/>
        <s v="D-HFP"/>
        <s v="D-GSRTECH"/>
        <s v="D-GRASO"/>
        <s v="D-STER_POZ"/>
        <s v="D-BERTANI"/>
        <s v="D-POLGER"/>
        <s v="D-EUROTRAW"/>
        <s v="D-STSPZOO"/>
        <s v="D-KEMIRA"/>
        <s v="D-POLBEEF"/>
        <s v="D-USBMIS"/>
        <s v="D-HEALTH"/>
        <s v="D-DMSKANCE"/>
        <s v="P-UMK_TORU"/>
        <s v="D-KANZLOTY"/>
        <s v="D-NOVARSPJ"/>
        <s v="D-ALIEN"/>
        <s v="D-PATRIAM"/>
        <s v="D-REINWEST"/>
        <s v="D-CEZAMAT"/>
        <s v="O-214_CF"/>
        <s v="D-SANDERSY"/>
        <s v="D-TTE"/>
        <s v="D-ARTEXSK"/>
        <s v="D-SILESIAK"/>
        <s v="D-POLPANEL"/>
        <s v="D-PUPCOMPL"/>
        <s v="D-MEDIM"/>
        <s v="D-AMBMALTY"/>
        <s v="D-CGB"/>
        <s v="D-ATMOSFER"/>
        <s v="D-GERCZAK"/>
        <s v="D-MAKROMED"/>
        <s v="D-POLGEBIS"/>
        <s v="O-288_MILL"/>
        <s v="D-BAUTECRO"/>
        <s v="D-GBTRANSB"/>
        <s v="D-STARGRES"/>
        <s v="D-BALTDIV"/>
        <s v="D-KAMAJSPK"/>
        <s v="D-COMMERCW"/>
        <s v="D-BUTZBACH"/>
        <s v="D-HORTON"/>
        <s v="O-235_MILL"/>
        <s v="D-EUMED"/>
        <s v="D-DELUXE"/>
        <s v="O-575_RCO"/>
        <s v="D-UYMA"/>
        <s v="D-KTRSTEEL"/>
        <s v="D-KAMIENCZ"/>
        <s v="D-BROPOL"/>
        <s v="D-POLYNPL"/>
        <s v="D-PATRON"/>
        <s v="D-AGROMEYE"/>
        <s v="D-MEGASTOR"/>
        <s v="D-MURATPOL"/>
        <s v="D-PROJEKMS"/>
        <s v="D-ENERGPOZ"/>
        <s v="D-KONMETPM"/>
        <s v="D-TRDXSPZO"/>
        <s v="D-ELKABEL"/>
        <s v="D-ALPIEKAR"/>
        <s v="D-HANSE"/>
        <s v="D-NETMEDIA"/>
        <s v="D-ANDAROIT"/>
        <s v="D-EURODARM"/>
        <s v="D-AGEMAR"/>
        <s v="D-PABE"/>
        <s v="D-INDEXPTU"/>
        <s v="D-ZPUMARAN"/>
        <s v="D-KONOPKA"/>
        <s v="D-COCOA"/>
        <s v="D-DAWIECZN"/>
        <s v="O-276_MILL"/>
        <s v="D-KOSMAZ"/>
        <s v="D-AMBASPT"/>
        <s v="D-HE5TYCH"/>
        <s v="D-MEXEM"/>
        <s v="B-ALIOR"/>
        <s v="D-DIERREPO"/>
        <s v="D-SPAWTEST"/>
        <s v="D-AGROTEX"/>
        <s v="D-CHOMIK"/>
        <s v="D-FERROXEL"/>
        <s v="D-TADPLAST"/>
        <s v="D-CAVASP24"/>
        <s v="D-ORLAT"/>
        <s v="D-STARTER"/>
        <s v="D-KOMFPOD"/>
        <s v="D-PAZAL"/>
        <s v="D-DERU"/>
        <s v="D-TEMA2"/>
        <s v="D-ABMBOZEN"/>
        <s v="D-EFMED"/>
        <s v="D-TRES"/>
        <s v="D-FILLERPH"/>
        <s v="D-MAXBUD"/>
        <s v="D-FENICJA"/>
        <s v="D-ARMATURA"/>
        <s v="D-JEDLICZE"/>
        <s v="D-BOTTARI"/>
        <s v="D-ELEMENT"/>
        <s v="D-HE5WRO7"/>
        <s v="D-7RPRO82"/>
        <s v="D-ENERGOMG"/>
        <s v="D-MADAGR"/>
        <s v="D-KATMET"/>
        <s v="O-788_RCK"/>
        <s v="O-332_MILL"/>
        <s v="D-METALPOL"/>
        <s v="D-WROPOLSP"/>
        <s v="D-KTD"/>
        <s v="D-JMBDES"/>
        <s v="D-SANNPROF"/>
        <s v="D-ISPOLGL"/>
        <s v="D-SEITOPOL"/>
        <s v="D-MOTO_PRO"/>
        <s v="D-ATAS_JOZ"/>
        <s v="D-PLICHTAC"/>
        <s v="D-TAKOAMK"/>
        <s v="D-METINPOL"/>
        <s v="D-AGRIGRO"/>
        <s v="D-SAIL_SER"/>
        <s v="D-EUROFIR"/>
        <s v="D-DRZMANAG"/>
        <s v="D-EUROWELD"/>
        <s v="D-SANPLAST"/>
        <s v="D-PROINDYK"/>
        <s v="O-471_MILL"/>
        <s v="D-DUDAADS"/>
        <s v="D-WERXAL"/>
        <s v="D-2FASTSP"/>
        <s v="D-KAMTESP"/>
        <s v="D-NRRPOLDI"/>
        <s v="D-AMPLUSKA"/>
        <s v="D-KARTEL"/>
        <s v="D-EURSER24"/>
        <s v="D-DK_LASER"/>
        <s v="D-RFMAH"/>
        <s v="D-AUTOMATU"/>
        <s v="D-BUSCHPL"/>
        <s v="D-FENUMALI"/>
        <s v="D-SULSIL"/>
        <s v="D-SOFT4YOU"/>
        <s v="D-AGRONAFT"/>
        <s v="D-LINAISE"/>
        <s v="D-INTERVAX"/>
        <s v="D-GDAN_STO"/>
        <s v="D-PES52"/>
        <s v="D-MEDASEPT"/>
        <s v="O-492_MILB"/>
        <s v="O-217_MILL"/>
        <s v="D-OPGK"/>
        <s v="D-MOONCOLL"/>
        <s v="D-MARKAB"/>
        <s v="D-SLIWAPLA"/>
        <s v="O-008_MILB"/>
        <s v="O-307_CF"/>
        <s v="B-BNYB"/>
        <s v="D-NOVOLABS"/>
        <s v="D-METROAIM"/>
        <s v="D-ELPROF"/>
        <s v="D-ELPROFES"/>
        <s v="D-OVOTEK"/>
        <s v="D-AGA"/>
        <s v="D-AGROKOCI"/>
        <s v="D-APN_PROM"/>
        <s v="D-ASKO_TEC"/>
        <s v="D-RYNEK"/>
        <s v="O-839_MILL"/>
        <s v="D-DITXIN"/>
        <s v="D-KOPRUMIN"/>
        <s v="D-FIDUCIA"/>
        <s v="O-586_MILL"/>
        <s v="D-GOSPROLH"/>
        <s v="O-467_CF"/>
        <s v="D-CENTERFL"/>
        <s v="D-CONFLO"/>
        <s v="D-LEADER_T"/>
        <s v="D-DELTAWIS"/>
        <s v="D-POTOKELM"/>
        <s v="D-DREWLACH"/>
        <s v="D-SLTURBO"/>
        <s v="D-PROMASZL"/>
        <s v="O-460_MILL"/>
        <s v="D-SWOROWSK"/>
        <s v="D-FARTPR"/>
        <s v="O-375_MILL"/>
        <s v="D-WTRESO"/>
        <s v="D-PSTLSPZO"/>
        <s v="D-CERCOLOR"/>
        <s v="D-HURRA"/>
        <s v="D-ARAMEKS"/>
        <s v="D-GEWINDBU"/>
        <s v="D-SPYSHOP"/>
        <s v="D-GARBAR_W"/>
        <s v="D-BYDDREW"/>
        <s v="D-KUPIEC_P"/>
        <s v="D-SKPLCARG"/>
        <s v="D-JBM"/>
        <s v="D-CORRIITA"/>
        <s v="D-STOLKOSC"/>
        <s v="O-404_MILL"/>
        <s v="D-KWTRANS"/>
        <s v="D-HTDT"/>
        <s v="D-RENEX"/>
        <s v="O-592_MILL"/>
        <s v="D-TERMOFOL"/>
      </sharedItems>
    </cacheField>
    <cacheField name="DealType" numFmtId="0">
      <sharedItems/>
    </cacheField>
    <cacheField name="Currency1" numFmtId="0">
      <sharedItems/>
    </cacheField>
    <cacheField name="PrincipalCur1" numFmtId="164">
      <sharedItems containsSemiMixedTypes="0" containsString="0" containsNumber="1" minValue="-30000000" maxValue="20000000"/>
    </cacheField>
    <cacheField name="Currency2" numFmtId="0">
      <sharedItems/>
    </cacheField>
    <cacheField name="PrincipalCur2" numFmtId="164">
      <sharedItems containsSemiMixedTypes="0" containsString="0" containsNumber="1" minValue="-70990000" maxValue="84130000"/>
    </cacheField>
    <cacheField name="ValueDate" numFmtId="0">
      <sharedItems/>
    </cacheField>
    <cacheField name="CCYRATE" numFmtId="165">
      <sharedItems containsSemiMixedTypes="0" containsString="0" containsNumber="1" minValue="0.17369999999999999" maxValue="383.49799999999999"/>
    </cacheField>
    <cacheField name="CTRRATE" numFmtId="165">
      <sharedItems containsSemiMixedTypes="0" containsString="0" containsNumber="1" minValue="2.5999999999999999E-3" maxValue="5.7571000000000003"/>
    </cacheField>
    <cacheField name="SPOTRATE_T_1_CCY" numFmtId="165">
      <sharedItems containsSemiMixedTypes="0" containsString="0" containsNumber="1" minValue="0.17319999999999999" maxValue="4.8704000000000001"/>
    </cacheField>
    <cacheField name="SPOTRATE_T_1_CRTCCY" numFmtId="165">
      <sharedItems containsSemiMixedTypes="0" containsString="0" containsNumber="1" minValue="0.1731" maxValue="4.8704000000000001"/>
    </cacheField>
    <cacheField name="TURNOVER_VAT" numFmtId="164">
      <sharedItems containsSemiMixedTypes="0" containsString="0" containsNumber="1" minValue="-20866800.079999998" maxValue="168366000"/>
    </cacheField>
    <cacheField name="Countries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7">
  <r>
    <s v="BKMILL"/>
    <n v="12664"/>
    <n v="46197"/>
    <s v="Forward"/>
    <x v="0"/>
    <s v="Buy Fwd"/>
    <s v="EUR"/>
    <n v="200000"/>
    <s v="PLN"/>
    <n v="919000"/>
    <s v="2026-01-16"/>
    <n v="4.37"/>
    <n v="0.2288"/>
    <n v="4.2068000000000003"/>
    <n v="1"/>
    <n v="1760360"/>
    <s v="POLAND PL"/>
  </r>
  <r>
    <s v="BKMILL"/>
    <n v="12667"/>
    <n v="46200"/>
    <s v="Forward"/>
    <x v="0"/>
    <s v="Buy Fwd"/>
    <s v="EUR"/>
    <n v="200000"/>
    <s v="PLN"/>
    <n v="921000"/>
    <s v="2026-01-16"/>
    <n v="4.38"/>
    <n v="0.2283"/>
    <n v="4.2068000000000003"/>
    <n v="1"/>
    <n v="1762360"/>
    <s v="POLAND PL"/>
  </r>
  <r>
    <s v="BKMILL"/>
    <n v="12668"/>
    <n v="46201"/>
    <s v="Forward"/>
    <x v="0"/>
    <s v="Buy Fwd"/>
    <s v="EUR"/>
    <n v="200000"/>
    <s v="PLN"/>
    <n v="923000"/>
    <s v="2026-01-16"/>
    <n v="4.3899999999999997"/>
    <n v="0.2278"/>
    <n v="4.2068000000000003"/>
    <n v="1"/>
    <n v="1764360"/>
    <s v="POLAND PL"/>
  </r>
  <r>
    <s v="BKMILL"/>
    <n v="13347"/>
    <n v="46884"/>
    <s v="Forward"/>
    <x v="1"/>
    <s v="Buy Fwd"/>
    <s v="EUR"/>
    <n v="100000"/>
    <s v="PLN"/>
    <n v="451000"/>
    <s v="2026-01-05"/>
    <n v="4.3250000000000002"/>
    <n v="0.23119999999999999"/>
    <n v="4.2156000000000002"/>
    <n v="1"/>
    <n v="872560"/>
    <s v="POLAND PL"/>
  </r>
  <r>
    <s v="BKMILL"/>
    <n v="22143"/>
    <n v="57951"/>
    <s v="Forward"/>
    <x v="2"/>
    <s v="Buy Fwd"/>
    <s v="EUR"/>
    <n v="560000"/>
    <s v="PLN"/>
    <n v="2509360"/>
    <s v="2026-01-16"/>
    <n v="4.3360000000000003"/>
    <n v="0.2306"/>
    <n v="4.2068000000000003"/>
    <n v="1"/>
    <n v="4865168"/>
    <s v="POLAND PL"/>
  </r>
  <r>
    <s v="BKMILL"/>
    <n v="30447"/>
    <n v="66274"/>
    <s v="Forward"/>
    <x v="3"/>
    <s v="Buy Fwd"/>
    <s v="EUR"/>
    <n v="400000"/>
    <s v="PLN"/>
    <n v="1808000"/>
    <s v="2026-01-30"/>
    <n v="4.3579999999999997"/>
    <n v="0.22950000000000001"/>
    <n v="4.2072000000000003"/>
    <n v="1"/>
    <n v="3490880"/>
    <s v="POLAND PL"/>
  </r>
  <r>
    <s v="BKMILL"/>
    <n v="44935"/>
    <n v="127561"/>
    <s v="Forward"/>
    <x v="4"/>
    <s v="Buy Fwd"/>
    <s v="EUR"/>
    <n v="500000"/>
    <s v="PLN"/>
    <n v="2161500"/>
    <s v="2026-01-08"/>
    <n v="4.2519999999999998"/>
    <n v="0.23519999999999999"/>
    <n v="4.2104999999999997"/>
    <n v="1"/>
    <n v="4266750"/>
    <s v="POLAND PL"/>
  </r>
  <r>
    <s v="BKMILL"/>
    <n v="44936"/>
    <n v="127562"/>
    <s v="Forward"/>
    <x v="4"/>
    <s v="Buy Fwd"/>
    <s v="EUR"/>
    <n v="500000"/>
    <s v="PLN"/>
    <n v="2165000"/>
    <s v="2026-01-28"/>
    <n v="4.2519999999999998"/>
    <n v="0.23519999999999999"/>
    <n v="4.2031999999999998"/>
    <n v="1"/>
    <n v="4266600"/>
    <s v="POLAND PL"/>
  </r>
  <r>
    <s v="BKMILL"/>
    <n v="45838"/>
    <n v="128464"/>
    <s v="Forward"/>
    <x v="5"/>
    <s v="Sell Fwd"/>
    <s v="EUR"/>
    <n v="-1000000"/>
    <s v="PLN"/>
    <n v="4303700"/>
    <s v="2026-01-30"/>
    <n v="4.1737000000000002"/>
    <n v="0.23960000000000001"/>
    <n v="4.2072000000000003"/>
    <n v="1"/>
    <n v="96500"/>
    <s v="POLAND PL"/>
  </r>
  <r>
    <s v="BKMILL"/>
    <n v="45839"/>
    <n v="128465"/>
    <s v="Forward"/>
    <x v="5"/>
    <s v="Sell Fwd"/>
    <s v="EUR"/>
    <n v="-1000000"/>
    <s v="PLN"/>
    <n v="4303700"/>
    <s v="2026-01-30"/>
    <n v="4.1737000000000002"/>
    <n v="0.23960000000000001"/>
    <n v="4.2072000000000003"/>
    <n v="1"/>
    <n v="96500"/>
    <s v="POLAND PL"/>
  </r>
  <r>
    <s v="BKMILL"/>
    <n v="47536"/>
    <n v="130162"/>
    <s v="Forward"/>
    <x v="6"/>
    <s v="Sell Fwd"/>
    <s v="USD"/>
    <n v="-2500000"/>
    <s v="PLN"/>
    <n v="9080000"/>
    <s v="2026-01-15"/>
    <n v="3.6227999999999998"/>
    <n v="0.27600000000000002"/>
    <n v="3.6139999999999999"/>
    <n v="1"/>
    <n v="45000"/>
    <s v="POLAND PL"/>
  </r>
  <r>
    <s v="BKMILL"/>
    <n v="47537"/>
    <n v="130163"/>
    <s v="Forward"/>
    <x v="6"/>
    <s v="Sell Fwd"/>
    <s v="USD"/>
    <n v="-2000000"/>
    <s v="PLN"/>
    <n v="7264200"/>
    <s v="2026-01-16"/>
    <n v="3.6227999999999998"/>
    <n v="0.27600000000000002"/>
    <n v="3.6153"/>
    <n v="1"/>
    <n v="33600"/>
    <s v="POLAND PL"/>
  </r>
  <r>
    <s v="BKMILL"/>
    <n v="49832"/>
    <n v="132461"/>
    <s v="Forward"/>
    <x v="7"/>
    <s v="Buy Fwd"/>
    <s v="EUR"/>
    <n v="500000"/>
    <s v="PLN"/>
    <n v="2159750"/>
    <s v="2026-01-14"/>
    <n v="4.2694999999999999"/>
    <n v="0.23419999999999999"/>
    <n v="4.2115999999999998"/>
    <n v="1"/>
    <n v="4265550"/>
    <s v="POLAND PL"/>
  </r>
  <r>
    <s v="BKMILL"/>
    <n v="49887"/>
    <n v="132516"/>
    <s v="Forward"/>
    <x v="8"/>
    <s v="Buy Fwd"/>
    <s v="EUR"/>
    <n v="351000"/>
    <s v="PLN"/>
    <n v="1514951.1"/>
    <s v="2026-01-20"/>
    <n v="4.2655000000000003"/>
    <n v="0.2344"/>
    <n v="4.2230999999999996"/>
    <n v="1"/>
    <n v="2997259.2"/>
    <s v="POLAND PL"/>
  </r>
  <r>
    <s v="BKMILL"/>
    <n v="51345"/>
    <n v="133992"/>
    <s v="Forward"/>
    <x v="9"/>
    <s v="Buy Fwd"/>
    <s v="EUR"/>
    <n v="250000"/>
    <s v="PLN"/>
    <n v="1085750"/>
    <s v="2026-01-05"/>
    <n v="4.2569999999999997"/>
    <n v="0.2349"/>
    <n v="4.2156000000000002"/>
    <n v="1"/>
    <n v="2139650"/>
    <s v="POLAND PL"/>
  </r>
  <r>
    <s v="BKMILL"/>
    <n v="53696"/>
    <n v="144438"/>
    <s v="Forward"/>
    <x v="10"/>
    <s v="Buy Fwd"/>
    <s v="EUR"/>
    <n v="10000"/>
    <s v="PLN"/>
    <n v="43375"/>
    <s v="2026-01-08"/>
    <n v="4.2519999999999998"/>
    <n v="0.23519999999999999"/>
    <n v="4.2104999999999997"/>
    <n v="1"/>
    <n v="85480"/>
    <s v="POLAND PL"/>
  </r>
  <r>
    <s v="BKMILL"/>
    <n v="53737"/>
    <n v="144797"/>
    <s v="Forward"/>
    <x v="10"/>
    <s v="Buy Fwd"/>
    <s v="EUR"/>
    <n v="10000"/>
    <s v="PLN"/>
    <n v="43780"/>
    <s v="2026-01-09"/>
    <n v="4.2889999999999997"/>
    <n v="0.23319999999999999"/>
    <n v="4.2119"/>
    <n v="1"/>
    <n v="85899"/>
    <s v="POLAND PL"/>
  </r>
  <r>
    <s v="BKMILL"/>
    <n v="53807"/>
    <n v="145670"/>
    <s v="Forward"/>
    <x v="11"/>
    <s v="Buy Fwd"/>
    <s v="EUR"/>
    <n v="100000"/>
    <s v="PLN"/>
    <n v="437720"/>
    <s v="2026-01-16"/>
    <n v="4.2926000000000002"/>
    <n v="0.23300000000000001"/>
    <n v="4.2068000000000003"/>
    <n v="1"/>
    <n v="858400"/>
    <s v="POLAND PL"/>
  </r>
  <r>
    <s v="BKMILL"/>
    <n v="55724"/>
    <n v="170084"/>
    <s v="Forward"/>
    <x v="10"/>
    <s v="Buy Fwd"/>
    <s v="EUR"/>
    <n v="10000"/>
    <s v="PLN"/>
    <n v="43330"/>
    <s v="2026-01-08"/>
    <n v="4.2474999999999996"/>
    <n v="0.2354"/>
    <n v="4.2104999999999997"/>
    <n v="1"/>
    <n v="85435"/>
    <s v="POLAND PL"/>
  </r>
  <r>
    <s v="BKMILL"/>
    <n v="56522"/>
    <n v="177510"/>
    <s v="Forward"/>
    <x v="8"/>
    <s v="Buy Fwd"/>
    <s v="EUR"/>
    <n v="100000"/>
    <s v="PLN"/>
    <n v="429190"/>
    <s v="2026-01-15"/>
    <n v="4.2553999999999998"/>
    <n v="0.23499999999999999"/>
    <n v="4.2110000000000003"/>
    <n v="1"/>
    <n v="850290"/>
    <s v="POLAND PL"/>
  </r>
  <r>
    <s v="BKMILL"/>
    <n v="56527"/>
    <n v="177515"/>
    <s v="Forward"/>
    <x v="8"/>
    <s v="Buy Fwd"/>
    <s v="EUR"/>
    <n v="130000"/>
    <s v="PLN"/>
    <n v="557934"/>
    <s v="2026-01-15"/>
    <n v="4.2591000000000001"/>
    <n v="0.23480000000000001"/>
    <n v="4.2110000000000003"/>
    <n v="1"/>
    <n v="1105364"/>
    <s v="POLAND PL"/>
  </r>
  <r>
    <s v="BKMILL"/>
    <n v="56670"/>
    <n v="177658"/>
    <s v="Forward"/>
    <x v="0"/>
    <s v="Buy Fwd"/>
    <s v="EUR"/>
    <n v="30000"/>
    <s v="PLN"/>
    <n v="130200"/>
    <s v="2026-01-30"/>
    <n v="4.2750000000000004"/>
    <n v="0.2339"/>
    <n v="4.2072000000000003"/>
    <n v="1"/>
    <n v="256416"/>
    <s v="POLAND PL"/>
  </r>
  <r>
    <s v="BKMILL"/>
    <n v="57457"/>
    <n v="178448"/>
    <s v="Forward"/>
    <x v="12"/>
    <s v="Sell Fwd"/>
    <s v="USD"/>
    <n v="-75000"/>
    <s v="PLN"/>
    <n v="272407.5"/>
    <s v="2026-01-02"/>
    <n v="3.6110000000000002"/>
    <n v="0.27689999999999998"/>
    <n v="3.6015999999999999"/>
    <n v="1"/>
    <n v="2287.5"/>
    <s v="POLAND PL"/>
  </r>
  <r>
    <s v="BKMILL"/>
    <n v="57458"/>
    <n v="178449"/>
    <s v="Forward"/>
    <x v="12"/>
    <s v="Sell Fwd"/>
    <s v="USD"/>
    <n v="-75000"/>
    <s v="PLN"/>
    <n v="272430"/>
    <s v="2026-01-05"/>
    <n v="3.6110000000000002"/>
    <n v="0.27689999999999998"/>
    <n v="3.5962999999999998"/>
    <n v="1"/>
    <n v="2707.5"/>
    <s v="POLAND PL"/>
  </r>
  <r>
    <s v="BKMILL"/>
    <n v="57459"/>
    <n v="178450"/>
    <s v="Forward"/>
    <x v="12"/>
    <s v="Sell Fwd"/>
    <s v="USD"/>
    <n v="-75000"/>
    <s v="PLN"/>
    <n v="272475"/>
    <s v="2026-01-07"/>
    <n v="3.6110000000000002"/>
    <n v="0.27689999999999998"/>
    <n v="3.6044999999999998"/>
    <n v="1"/>
    <n v="2137.5"/>
    <s v="POLAND PL"/>
  </r>
  <r>
    <s v="BKMILL"/>
    <n v="57460"/>
    <n v="178451"/>
    <s v="Forward"/>
    <x v="12"/>
    <s v="Sell Fwd"/>
    <s v="USD"/>
    <n v="-75000"/>
    <s v="PLN"/>
    <n v="272482.5"/>
    <s v="2026-01-08"/>
    <n v="3.6110000000000002"/>
    <n v="0.27689999999999998"/>
    <n v="3.6034999999999999"/>
    <n v="1"/>
    <n v="2220"/>
    <s v="POLAND PL"/>
  </r>
  <r>
    <s v="BKMILL"/>
    <n v="57461"/>
    <n v="178452"/>
    <s v="Forward"/>
    <x v="12"/>
    <s v="Sell Fwd"/>
    <s v="USD"/>
    <n v="-75000"/>
    <s v="PLN"/>
    <n v="272490"/>
    <s v="2026-01-09"/>
    <n v="3.6110000000000002"/>
    <n v="0.27689999999999998"/>
    <n v="3.6070000000000002"/>
    <n v="1"/>
    <n v="1965"/>
    <s v="POLAND PL"/>
  </r>
  <r>
    <s v="BKMILL"/>
    <n v="57462"/>
    <n v="178453"/>
    <s v="Forward"/>
    <x v="12"/>
    <s v="Sell Fwd"/>
    <s v="USD"/>
    <n v="-75000"/>
    <s v="PLN"/>
    <n v="272505"/>
    <s v="2026-01-12"/>
    <n v="3.6110000000000002"/>
    <n v="0.27689999999999998"/>
    <n v="3.6183999999999998"/>
    <n v="1"/>
    <n v="1125"/>
    <s v="POLAND PL"/>
  </r>
  <r>
    <s v="BKMILL"/>
    <n v="57463"/>
    <n v="178454"/>
    <s v="Forward"/>
    <x v="12"/>
    <s v="Sell Fwd"/>
    <s v="USD"/>
    <n v="-75000"/>
    <s v="PLN"/>
    <n v="272512.5"/>
    <s v="2026-01-13"/>
    <n v="3.6110000000000002"/>
    <n v="0.27689999999999998"/>
    <n v="3.6036999999999999"/>
    <n v="1"/>
    <n v="2235"/>
    <s v="POLAND PL"/>
  </r>
  <r>
    <s v="BKMILL"/>
    <n v="57464"/>
    <n v="178455"/>
    <s v="Forward"/>
    <x v="12"/>
    <s v="Sell Fwd"/>
    <s v="USD"/>
    <n v="-75000"/>
    <s v="PLN"/>
    <n v="272520"/>
    <s v="2026-01-14"/>
    <n v="3.6110000000000002"/>
    <n v="0.27689999999999998"/>
    <n v="3.6082999999999998"/>
    <n v="1"/>
    <n v="1897.5"/>
    <s v="POLAND PL"/>
  </r>
  <r>
    <s v="BKMILL"/>
    <n v="57465"/>
    <n v="178456"/>
    <s v="Forward"/>
    <x v="12"/>
    <s v="Sell Fwd"/>
    <s v="USD"/>
    <n v="-75000"/>
    <s v="PLN"/>
    <n v="272527.5"/>
    <s v="2026-01-15"/>
    <n v="3.6110000000000002"/>
    <n v="0.27689999999999998"/>
    <n v="3.6139999999999999"/>
    <n v="1"/>
    <n v="1477.5"/>
    <s v="POLAND PL"/>
  </r>
  <r>
    <s v="BKMILL"/>
    <n v="57466"/>
    <n v="178457"/>
    <s v="Forward"/>
    <x v="12"/>
    <s v="Sell Fwd"/>
    <s v="USD"/>
    <n v="-75000"/>
    <s v="PLN"/>
    <n v="272535"/>
    <s v="2026-01-16"/>
    <n v="3.6110000000000002"/>
    <n v="0.27689999999999998"/>
    <n v="3.6153"/>
    <n v="1"/>
    <n v="1387.5"/>
    <s v="POLAND PL"/>
  </r>
  <r>
    <s v="BKMILL"/>
    <n v="57467"/>
    <n v="178458"/>
    <s v="Forward"/>
    <x v="12"/>
    <s v="Sell Fwd"/>
    <s v="USD"/>
    <n v="-75000"/>
    <s v="PLN"/>
    <n v="272580"/>
    <s v="2026-01-19"/>
    <n v="3.6110000000000002"/>
    <n v="0.27689999999999998"/>
    <n v="3.6345999999999998"/>
    <n v="1"/>
    <n v="-15"/>
    <s v="POLAND PL"/>
  </r>
  <r>
    <s v="BKMILL"/>
    <n v="57468"/>
    <n v="178459"/>
    <s v="Forward"/>
    <x v="12"/>
    <s v="Sell Fwd"/>
    <s v="USD"/>
    <n v="-75000"/>
    <s v="PLN"/>
    <n v="272587.5"/>
    <s v="2026-01-20"/>
    <n v="3.6110000000000002"/>
    <n v="0.27689999999999998"/>
    <n v="3.6345999999999998"/>
    <n v="1"/>
    <n v="-7.5"/>
    <s v="POLAND PL"/>
  </r>
  <r>
    <s v="BKMILL"/>
    <n v="57469"/>
    <n v="178460"/>
    <s v="Forward"/>
    <x v="12"/>
    <s v="Sell Fwd"/>
    <s v="USD"/>
    <n v="-75000"/>
    <s v="PLN"/>
    <n v="272587.5"/>
    <s v="2026-01-21"/>
    <n v="3.6110000000000002"/>
    <n v="0.27689999999999998"/>
    <n v="3.6053999999999999"/>
    <n v="1"/>
    <n v="2182.5"/>
    <s v="POLAND PL"/>
  </r>
  <r>
    <s v="BKMILL"/>
    <n v="57470"/>
    <n v="178461"/>
    <s v="Forward"/>
    <x v="12"/>
    <s v="Sell Fwd"/>
    <s v="USD"/>
    <n v="-75000"/>
    <s v="PLN"/>
    <n v="272595"/>
    <s v="2026-01-22"/>
    <n v="3.6110000000000002"/>
    <n v="0.27689999999999998"/>
    <n v="3.6118000000000001"/>
    <n v="1"/>
    <n v="1710"/>
    <s v="POLAND PL"/>
  </r>
  <r>
    <s v="BKMILL"/>
    <n v="57471"/>
    <n v="178462"/>
    <s v="Forward"/>
    <x v="12"/>
    <s v="Sell Fwd"/>
    <s v="USD"/>
    <n v="-75000"/>
    <s v="PLN"/>
    <n v="272602.5"/>
    <s v="2026-01-23"/>
    <n v="3.6110000000000002"/>
    <n v="0.27689999999999998"/>
    <n v="3.6027999999999998"/>
    <n v="1"/>
    <n v="2392.5"/>
    <s v="POLAND PL"/>
  </r>
  <r>
    <s v="BKMILL"/>
    <n v="57472"/>
    <n v="178463"/>
    <s v="Forward"/>
    <x v="12"/>
    <s v="Sell Fwd"/>
    <s v="USD"/>
    <n v="-75000"/>
    <s v="PLN"/>
    <n v="272625"/>
    <s v="2026-01-26"/>
    <n v="3.6110000000000002"/>
    <n v="0.27689999999999998"/>
    <n v="3.5831"/>
    <n v="1"/>
    <n v="3892.5"/>
    <s v="POLAND PL"/>
  </r>
  <r>
    <s v="BKMILL"/>
    <n v="57473"/>
    <n v="178464"/>
    <s v="Forward"/>
    <x v="12"/>
    <s v="Sell Fwd"/>
    <s v="USD"/>
    <n v="-75000"/>
    <s v="PLN"/>
    <n v="272632.5"/>
    <s v="2026-01-27"/>
    <n v="3.6110000000000002"/>
    <n v="0.27689999999999998"/>
    <n v="3.5499000000000001"/>
    <n v="1"/>
    <n v="6390"/>
    <s v="POLAND PL"/>
  </r>
  <r>
    <s v="BKMILL"/>
    <n v="57474"/>
    <n v="178465"/>
    <s v="Forward"/>
    <x v="12"/>
    <s v="Sell Fwd"/>
    <s v="USD"/>
    <n v="-75000"/>
    <s v="PLN"/>
    <n v="272640"/>
    <s v="2026-01-28"/>
    <n v="3.6110000000000002"/>
    <n v="0.27689999999999998"/>
    <n v="3.5354000000000001"/>
    <n v="1"/>
    <n v="7485"/>
    <s v="POLAND PL"/>
  </r>
  <r>
    <s v="BKMILL"/>
    <n v="57475"/>
    <n v="178466"/>
    <s v="Forward"/>
    <x v="12"/>
    <s v="Sell Fwd"/>
    <s v="USD"/>
    <n v="-75000"/>
    <s v="PLN"/>
    <n v="272640"/>
    <s v="2026-01-29"/>
    <n v="3.6110000000000002"/>
    <n v="0.27689999999999998"/>
    <n v="3.5045000000000002"/>
    <n v="1"/>
    <n v="9802.5"/>
    <s v="POLAND PL"/>
  </r>
  <r>
    <s v="BKMILL"/>
    <n v="57476"/>
    <n v="178467"/>
    <s v="Forward"/>
    <x v="12"/>
    <s v="Sell Fwd"/>
    <s v="USD"/>
    <n v="-75000"/>
    <s v="PLN"/>
    <n v="272647.5"/>
    <s v="2026-01-30"/>
    <n v="3.6110000000000002"/>
    <n v="0.27689999999999998"/>
    <n v="3.5188999999999999"/>
    <n v="1"/>
    <n v="8730"/>
    <s v="POLAND PL"/>
  </r>
  <r>
    <s v="BKMILL"/>
    <n v="57528"/>
    <n v="178519"/>
    <s v="Forward"/>
    <x v="12"/>
    <s v="Sell Fwd"/>
    <s v="USD"/>
    <n v="-84000"/>
    <s v="PLN"/>
    <n v="305029.2"/>
    <s v="2026-01-02"/>
    <n v="3.6230000000000002"/>
    <n v="0.27600000000000002"/>
    <n v="3.6015999999999999"/>
    <n v="1"/>
    <n v="2494.8000000000002"/>
    <s v="POLAND PL"/>
  </r>
  <r>
    <s v="BKMILL"/>
    <n v="57529"/>
    <n v="178520"/>
    <s v="Forward"/>
    <x v="12"/>
    <s v="Sell Fwd"/>
    <s v="USD"/>
    <n v="-84000"/>
    <s v="PLN"/>
    <n v="305054.40000000002"/>
    <s v="2026-01-05"/>
    <n v="3.6230000000000002"/>
    <n v="0.27600000000000002"/>
    <n v="3.5962999999999998"/>
    <n v="1"/>
    <n v="2965.2"/>
    <s v="POLAND PL"/>
  </r>
  <r>
    <s v="BKMILL"/>
    <n v="57530"/>
    <n v="178521"/>
    <s v="Forward"/>
    <x v="12"/>
    <s v="Sell Fwd"/>
    <s v="USD"/>
    <n v="-84000"/>
    <s v="PLN"/>
    <n v="305079.59999999998"/>
    <s v="2026-01-07"/>
    <n v="3.6230000000000002"/>
    <n v="0.27600000000000002"/>
    <n v="3.6044999999999998"/>
    <n v="1"/>
    <n v="2301.6"/>
    <s v="POLAND PL"/>
  </r>
  <r>
    <s v="BKMILL"/>
    <n v="57531"/>
    <n v="178522"/>
    <s v="Forward"/>
    <x v="12"/>
    <s v="Sell Fwd"/>
    <s v="USD"/>
    <n v="-84000"/>
    <s v="PLN"/>
    <n v="305088"/>
    <s v="2026-01-08"/>
    <n v="3.6230000000000002"/>
    <n v="0.27600000000000002"/>
    <n v="3.6034999999999999"/>
    <n v="1"/>
    <n v="2394"/>
    <s v="POLAND PL"/>
  </r>
  <r>
    <s v="BKMILL"/>
    <n v="57532"/>
    <n v="178523"/>
    <s v="Forward"/>
    <x v="12"/>
    <s v="Sell Fwd"/>
    <s v="USD"/>
    <n v="-84000"/>
    <s v="PLN"/>
    <n v="305104.8"/>
    <s v="2026-01-09"/>
    <n v="3.6230000000000002"/>
    <n v="0.27600000000000002"/>
    <n v="3.6070000000000002"/>
    <n v="1"/>
    <n v="2116.8000000000002"/>
    <s v="POLAND PL"/>
  </r>
  <r>
    <s v="BKMILL"/>
    <n v="57533"/>
    <n v="178524"/>
    <s v="Forward"/>
    <x v="12"/>
    <s v="Sell Fwd"/>
    <s v="USD"/>
    <n v="-84000"/>
    <s v="PLN"/>
    <n v="305130"/>
    <s v="2026-01-12"/>
    <n v="3.6230000000000002"/>
    <n v="0.27600000000000002"/>
    <n v="3.6183999999999998"/>
    <n v="1"/>
    <n v="1184.4000000000001"/>
    <s v="POLAND PL"/>
  </r>
  <r>
    <s v="BKMILL"/>
    <n v="57534"/>
    <n v="178525"/>
    <s v="Forward"/>
    <x v="12"/>
    <s v="Sell Fwd"/>
    <s v="USD"/>
    <n v="-84000"/>
    <s v="PLN"/>
    <n v="305146.8"/>
    <s v="2026-01-13"/>
    <n v="3.6230000000000002"/>
    <n v="0.27600000000000002"/>
    <n v="3.6036999999999999"/>
    <n v="1"/>
    <n v="2436"/>
    <s v="POLAND PL"/>
  </r>
  <r>
    <s v="BKMILL"/>
    <n v="57535"/>
    <n v="178526"/>
    <s v="Forward"/>
    <x v="12"/>
    <s v="Sell Fwd"/>
    <s v="USD"/>
    <n v="-84000"/>
    <s v="PLN"/>
    <n v="305155.20000000001"/>
    <s v="2026-01-14"/>
    <n v="3.6230000000000002"/>
    <n v="0.27600000000000002"/>
    <n v="3.6082999999999998"/>
    <n v="1"/>
    <n v="2058"/>
    <s v="POLAND PL"/>
  </r>
  <r>
    <s v="BKMILL"/>
    <n v="57536"/>
    <n v="178527"/>
    <s v="Forward"/>
    <x v="12"/>
    <s v="Sell Fwd"/>
    <s v="USD"/>
    <n v="-84000"/>
    <s v="PLN"/>
    <n v="305163.59999999998"/>
    <s v="2026-01-15"/>
    <n v="3.6230000000000002"/>
    <n v="0.27600000000000002"/>
    <n v="3.6139999999999999"/>
    <n v="1"/>
    <n v="1587.6"/>
    <s v="POLAND PL"/>
  </r>
  <r>
    <s v="BKMILL"/>
    <n v="57537"/>
    <n v="178528"/>
    <s v="Forward"/>
    <x v="12"/>
    <s v="Sell Fwd"/>
    <s v="USD"/>
    <n v="-84000"/>
    <s v="PLN"/>
    <n v="305172"/>
    <s v="2026-01-16"/>
    <n v="3.6230000000000002"/>
    <n v="0.27600000000000002"/>
    <n v="3.6153"/>
    <n v="1"/>
    <n v="1486.8"/>
    <s v="POLAND PL"/>
  </r>
  <r>
    <s v="BKMILL"/>
    <n v="57538"/>
    <n v="178529"/>
    <s v="Forward"/>
    <x v="12"/>
    <s v="Sell Fwd"/>
    <s v="USD"/>
    <n v="-84000"/>
    <s v="PLN"/>
    <n v="305197.2"/>
    <s v="2026-01-19"/>
    <n v="3.6230000000000002"/>
    <n v="0.27600000000000002"/>
    <n v="3.6345999999999998"/>
    <n v="1"/>
    <n v="-109.2"/>
    <s v="POLAND PL"/>
  </r>
  <r>
    <s v="BKMILL"/>
    <n v="57539"/>
    <n v="178530"/>
    <s v="Forward"/>
    <x v="12"/>
    <s v="Sell Fwd"/>
    <s v="USD"/>
    <n v="-84000"/>
    <s v="PLN"/>
    <n v="305197.2"/>
    <s v="2026-01-20"/>
    <n v="3.6230000000000002"/>
    <n v="0.27600000000000002"/>
    <n v="3.6345999999999998"/>
    <n v="1"/>
    <n v="-109.2"/>
    <s v="POLAND PL"/>
  </r>
  <r>
    <s v="BKMILL"/>
    <n v="57540"/>
    <n v="178531"/>
    <s v="Forward"/>
    <x v="12"/>
    <s v="Sell Fwd"/>
    <s v="USD"/>
    <n v="-84000"/>
    <s v="PLN"/>
    <n v="305205.59999999998"/>
    <s v="2026-01-21"/>
    <n v="3.6230000000000002"/>
    <n v="0.27600000000000002"/>
    <n v="3.6053999999999999"/>
    <n v="1"/>
    <n v="2352"/>
    <s v="POLAND PL"/>
  </r>
  <r>
    <s v="BKMILL"/>
    <n v="57541"/>
    <n v="178532"/>
    <s v="Forward"/>
    <x v="12"/>
    <s v="Sell Fwd"/>
    <s v="USD"/>
    <n v="-84000"/>
    <s v="PLN"/>
    <n v="305214"/>
    <s v="2026-01-22"/>
    <n v="3.6230000000000002"/>
    <n v="0.27600000000000002"/>
    <n v="3.6118000000000001"/>
    <n v="1"/>
    <n v="1822.8"/>
    <s v="POLAND PL"/>
  </r>
  <r>
    <s v="BKMILL"/>
    <n v="57542"/>
    <n v="178533"/>
    <s v="Forward"/>
    <x v="12"/>
    <s v="Sell Fwd"/>
    <s v="USD"/>
    <n v="-84000"/>
    <s v="PLN"/>
    <n v="305222.40000000002"/>
    <s v="2026-01-23"/>
    <n v="3.6230000000000002"/>
    <n v="0.27600000000000002"/>
    <n v="3.6027999999999998"/>
    <n v="1"/>
    <n v="2587.1999999999998"/>
    <s v="POLAND PL"/>
  </r>
  <r>
    <s v="BKMILL"/>
    <n v="57543"/>
    <n v="178534"/>
    <s v="Forward"/>
    <x v="12"/>
    <s v="Sell Fwd"/>
    <s v="USD"/>
    <n v="-84000"/>
    <s v="PLN"/>
    <n v="305239.2"/>
    <s v="2026-01-26"/>
    <n v="3.6230000000000002"/>
    <n v="0.27600000000000002"/>
    <n v="3.5831"/>
    <n v="1"/>
    <n v="4258.8"/>
    <s v="POLAND PL"/>
  </r>
  <r>
    <s v="BKMILL"/>
    <n v="57544"/>
    <n v="178535"/>
    <s v="Forward"/>
    <x v="12"/>
    <s v="Sell Fwd"/>
    <s v="USD"/>
    <n v="-84000"/>
    <s v="PLN"/>
    <n v="305247.59999999998"/>
    <s v="2026-01-27"/>
    <n v="3.6230000000000002"/>
    <n v="0.27600000000000002"/>
    <n v="3.5499000000000001"/>
    <n v="1"/>
    <n v="7056"/>
    <s v="POLAND PL"/>
  </r>
  <r>
    <s v="BKMILL"/>
    <n v="57545"/>
    <n v="178536"/>
    <s v="Forward"/>
    <x v="12"/>
    <s v="Sell Fwd"/>
    <s v="USD"/>
    <n v="-84000"/>
    <s v="PLN"/>
    <n v="305256"/>
    <s v="2026-01-28"/>
    <n v="3.6230000000000002"/>
    <n v="0.27600000000000002"/>
    <n v="3.5354000000000001"/>
    <n v="1"/>
    <n v="8282.4"/>
    <s v="POLAND PL"/>
  </r>
  <r>
    <s v="BKMILL"/>
    <n v="57546"/>
    <n v="178537"/>
    <s v="Forward"/>
    <x v="12"/>
    <s v="Sell Fwd"/>
    <s v="USD"/>
    <n v="-84000"/>
    <s v="PLN"/>
    <n v="305264.40000000002"/>
    <s v="2026-01-29"/>
    <n v="3.6230000000000002"/>
    <n v="0.27600000000000002"/>
    <n v="3.5045000000000002"/>
    <n v="1"/>
    <n v="10886.4"/>
    <s v="POLAND PL"/>
  </r>
  <r>
    <s v="BKMILL"/>
    <n v="57547"/>
    <n v="178538"/>
    <s v="Forward"/>
    <x v="12"/>
    <s v="Sell Fwd"/>
    <s v="USD"/>
    <n v="-84000"/>
    <s v="PLN"/>
    <n v="305272.8"/>
    <s v="2026-01-30"/>
    <n v="3.6230000000000002"/>
    <n v="0.27600000000000002"/>
    <n v="3.5188999999999999"/>
    <n v="1"/>
    <n v="9685.2000000000007"/>
    <s v="POLAND PL"/>
  </r>
  <r>
    <s v="BKMILL"/>
    <n v="136028"/>
    <n v="186607"/>
    <s v="Forward"/>
    <x v="13"/>
    <s v="Buy Fwd"/>
    <s v="EUR"/>
    <n v="500000"/>
    <s v="PLN"/>
    <n v="2146500"/>
    <s v="2026-01-30"/>
    <n v="4.2530000000000001"/>
    <n v="0.2351"/>
    <n v="4.2072000000000003"/>
    <n v="1"/>
    <n v="4250100"/>
    <s v="POLAND PL"/>
  </r>
  <r>
    <s v="BKMILL"/>
    <n v="136782"/>
    <n v="189094"/>
    <s v="Forward"/>
    <x v="14"/>
    <s v="Sell Fwd"/>
    <s v="USD"/>
    <n v="-90000"/>
    <s v="PLN"/>
    <n v="328050"/>
    <s v="2026-01-09"/>
    <n v="3.6385000000000001"/>
    <n v="0.27479999999999999"/>
    <n v="3.6070000000000002"/>
    <n v="1"/>
    <n v="3420"/>
    <s v="POLAND PL"/>
  </r>
  <r>
    <s v="BKMILL"/>
    <n v="136795"/>
    <n v="189123"/>
    <s v="Forward"/>
    <x v="14"/>
    <s v="Buy Fwd"/>
    <s v="EUR"/>
    <n v="191000"/>
    <s v="PLN"/>
    <n v="817002.5"/>
    <s v="2026-01-02"/>
    <n v="4.2489999999999997"/>
    <n v="0.23530000000000001"/>
    <n v="4.2267000000000001"/>
    <n v="1"/>
    <n v="1624302.2"/>
    <s v="POLAND PL"/>
  </r>
  <r>
    <s v="BKMILL"/>
    <n v="136811"/>
    <n v="189203"/>
    <s v="Forward"/>
    <x v="14"/>
    <s v="Buy Fwd"/>
    <s v="EUR"/>
    <n v="290000"/>
    <s v="PLN"/>
    <n v="1241258"/>
    <s v="2026-01-02"/>
    <n v="4.2522000000000002"/>
    <n v="0.23519999999999999"/>
    <n v="4.2267000000000001"/>
    <n v="1"/>
    <n v="2467001"/>
    <s v="POLAND PL"/>
  </r>
  <r>
    <s v="BKMILL"/>
    <n v="136943"/>
    <n v="189666"/>
    <s v="Forward"/>
    <x v="14"/>
    <s v="Buy Fwd"/>
    <s v="EUR"/>
    <n v="100000"/>
    <s v="PLN"/>
    <n v="427630"/>
    <s v="2026-01-02"/>
    <n v="4.2484999999999999"/>
    <n v="0.2354"/>
    <n v="4.2267000000000001"/>
    <n v="1"/>
    <n v="850300"/>
    <s v="POLAND PL"/>
  </r>
  <r>
    <s v="BKMILL"/>
    <n v="137144"/>
    <n v="190215"/>
    <s v="Forward"/>
    <x v="15"/>
    <s v="Sell Fwd"/>
    <s v="EUR"/>
    <n v="-95000"/>
    <s v="PLN"/>
    <n v="407645"/>
    <s v="2026-01-20"/>
    <n v="4.2553999999999998"/>
    <n v="0.23499999999999999"/>
    <n v="4.2230999999999996"/>
    <n v="1"/>
    <n v="6450.5"/>
    <s v="POLAND PL"/>
  </r>
  <r>
    <s v="BKMILL"/>
    <n v="137146"/>
    <n v="190219"/>
    <s v="Forward"/>
    <x v="15"/>
    <s v="Sell Fwd"/>
    <s v="EUR"/>
    <n v="-60000"/>
    <s v="PLN"/>
    <n v="257448"/>
    <s v="2026-01-20"/>
    <n v="4.2552000000000003"/>
    <n v="0.23499999999999999"/>
    <n v="4.2230999999999996"/>
    <n v="1"/>
    <n v="4062"/>
    <s v="POLAND PL"/>
  </r>
  <r>
    <s v="BKMILL"/>
    <n v="137155"/>
    <n v="190254"/>
    <s v="Forward"/>
    <x v="14"/>
    <s v="Buy Fwd"/>
    <s v="EUR"/>
    <n v="289000"/>
    <s v="PLN"/>
    <n v="1235475"/>
    <s v="2026-01-02"/>
    <n v="4.2474999999999996"/>
    <n v="0.2354"/>
    <n v="4.2267000000000001"/>
    <n v="1"/>
    <n v="2456991.2999999998"/>
    <s v="POLAND PL"/>
  </r>
  <r>
    <s v="BKMILL"/>
    <n v="137236"/>
    <n v="190572"/>
    <s v="Forward"/>
    <x v="14"/>
    <s v="Buy Fwd"/>
    <s v="EUR"/>
    <n v="243000"/>
    <s v="PLN"/>
    <n v="1039189.5"/>
    <s v="2026-01-09"/>
    <n v="4.2469999999999999"/>
    <n v="0.23549999999999999"/>
    <n v="4.2119"/>
    <n v="1"/>
    <n v="2062681.2"/>
    <s v="POLAND PL"/>
  </r>
  <r>
    <s v="BKMILL"/>
    <n v="137547"/>
    <n v="191177"/>
    <s v="Forward"/>
    <x v="14"/>
    <s v="Buy Fwd"/>
    <s v="EUR"/>
    <n v="196000"/>
    <s v="PLN"/>
    <n v="837939.19999999995"/>
    <s v="2026-01-09"/>
    <n v="4.2489999999999997"/>
    <n v="0.23530000000000001"/>
    <n v="4.2119"/>
    <n v="1"/>
    <n v="1663471.6"/>
    <s v="POLAND PL"/>
  </r>
  <r>
    <s v="BKMILL"/>
    <n v="137553"/>
    <n v="191192"/>
    <s v="Forward"/>
    <x v="14"/>
    <s v="Buy Fwd"/>
    <s v="EUR"/>
    <n v="196000"/>
    <s v="PLN"/>
    <n v="837449.2"/>
    <s v="2026-01-09"/>
    <n v="4.2465000000000002"/>
    <n v="0.23549999999999999"/>
    <n v="4.2119"/>
    <n v="1"/>
    <n v="1662981.6"/>
    <s v="POLAND PL"/>
  </r>
  <r>
    <s v="BKMILL"/>
    <n v="137577"/>
    <n v="191289"/>
    <s v="Forward"/>
    <x v="14"/>
    <s v="Buy Fwd"/>
    <s v="EUR"/>
    <n v="353000"/>
    <s v="PLN"/>
    <n v="1508545.5"/>
    <s v="2026-01-09"/>
    <n v="4.2473000000000001"/>
    <n v="0.2354"/>
    <n v="4.2119"/>
    <n v="1"/>
    <n v="2995346.2"/>
    <s v="POLAND PL"/>
  </r>
  <r>
    <s v="BKMILL"/>
    <n v="137599"/>
    <n v="191358"/>
    <s v="Forward"/>
    <x v="14"/>
    <s v="Buy Fwd"/>
    <s v="EUR"/>
    <n v="493000"/>
    <s v="PLN"/>
    <n v="2105701.6"/>
    <s v="2026-01-09"/>
    <n v="4.2450000000000001"/>
    <n v="0.2356"/>
    <n v="4.2119"/>
    <n v="1"/>
    <n v="4182168.3"/>
    <s v="POLAND PL"/>
  </r>
  <r>
    <s v="BKMILL"/>
    <n v="137602"/>
    <n v="191370"/>
    <s v="Forward"/>
    <x v="14"/>
    <s v="Buy Fwd"/>
    <s v="EUR"/>
    <n v="114000"/>
    <s v="PLN"/>
    <n v="487201.8"/>
    <s v="2026-01-09"/>
    <n v="4.2474999999999996"/>
    <n v="0.2354"/>
    <n v="4.2119"/>
    <n v="1"/>
    <n v="967358.4"/>
    <s v="POLAND PL"/>
  </r>
  <r>
    <s v="BKMILL"/>
    <n v="137629"/>
    <n v="191451"/>
    <s v="Forward"/>
    <x v="14"/>
    <s v="Buy Fwd"/>
    <s v="EUR"/>
    <n v="197000"/>
    <s v="PLN"/>
    <n v="842037.1"/>
    <s v="2026-01-09"/>
    <n v="4.2480000000000002"/>
    <n v="0.2354"/>
    <n v="4.2119"/>
    <n v="1"/>
    <n v="1671781.4"/>
    <s v="POLAND PL"/>
  </r>
  <r>
    <s v="BKMILL"/>
    <n v="137642"/>
    <n v="191514"/>
    <s v="Forward"/>
    <x v="14"/>
    <s v="Buy Fwd"/>
    <s v="EUR"/>
    <n v="312000"/>
    <s v="PLN"/>
    <n v="1334174.3999999999"/>
    <s v="2026-01-16"/>
    <n v="4.2477"/>
    <n v="0.2354"/>
    <n v="4.2068000000000003"/>
    <n v="1"/>
    <n v="2646696"/>
    <s v="POLAND PL"/>
  </r>
  <r>
    <s v="BKMILL"/>
    <n v="137704"/>
    <n v="191795"/>
    <s v="Forward"/>
    <x v="14"/>
    <s v="Buy Fwd"/>
    <s v="EUR"/>
    <n v="127000"/>
    <s v="PLN"/>
    <n v="543864.80000000005"/>
    <s v="2026-01-16"/>
    <n v="4.2539999999999996"/>
    <n v="0.2351"/>
    <n v="4.2068000000000003"/>
    <n v="1"/>
    <n v="1078128.3999999999"/>
    <s v="POLAND PL"/>
  </r>
  <r>
    <s v="BKMILL"/>
    <n v="139895"/>
    <n v="192504"/>
    <s v="Forward"/>
    <x v="16"/>
    <s v="Buy Fwd"/>
    <s v="EUR"/>
    <n v="73482.92"/>
    <s v="PLN"/>
    <n v="314859.62"/>
    <s v="2026-01-09"/>
    <n v="4.2591000000000001"/>
    <n v="0.23480000000000001"/>
    <n v="4.2119"/>
    <n v="1"/>
    <n v="624362.33074799995"/>
    <s v="POLAND PL"/>
  </r>
  <r>
    <s v="BKMILL"/>
    <n v="140034"/>
    <n v="192742"/>
    <s v="Forward"/>
    <x v="14"/>
    <s v="Buy Fwd"/>
    <s v="EUR"/>
    <n v="200000"/>
    <s v="PLN"/>
    <n v="856580"/>
    <s v="2026-01-16"/>
    <n v="4.2549999999999999"/>
    <n v="0.23499999999999999"/>
    <n v="4.2068000000000003"/>
    <n v="1"/>
    <n v="1697940"/>
    <s v="POLAND PL"/>
  </r>
  <r>
    <s v="BKMILL"/>
    <n v="140553"/>
    <n v="193505"/>
    <s v="Forward"/>
    <x v="17"/>
    <s v="Sell Fwd"/>
    <s v="EUR"/>
    <n v="-18923.36"/>
    <s v="PLN"/>
    <n v="81128.23"/>
    <s v="2026-01-28"/>
    <n v="4.2575000000000003"/>
    <n v="0.2349"/>
    <n v="4.2031999999999998"/>
    <n v="1"/>
    <n v="1589.5632479999999"/>
    <s v="POLAND PL"/>
  </r>
  <r>
    <s v="BKMILL"/>
    <n v="140571"/>
    <n v="193519"/>
    <s v="Forward"/>
    <x v="18"/>
    <s v="Sell Fwd"/>
    <s v="USD"/>
    <n v="-50000"/>
    <s v="PLN"/>
    <n v="183050"/>
    <s v="2026-01-22"/>
    <n v="3.6539999999999999"/>
    <n v="0.2737"/>
    <n v="3.6118000000000001"/>
    <n v="1"/>
    <n v="2460"/>
    <s v="POLAND PL"/>
  </r>
  <r>
    <s v="BKMILL"/>
    <n v="141007"/>
    <n v="194230"/>
    <s v="Forward"/>
    <x v="17"/>
    <s v="Sell Fwd"/>
    <s v="EUR"/>
    <n v="-21408.959999999999"/>
    <s v="PLN"/>
    <n v="91726.69"/>
    <s v="2026-01-28"/>
    <n v="4.2510000000000003"/>
    <n v="0.23519999999999999"/>
    <n v="4.2031999999999998"/>
    <n v="1"/>
    <n v="1740.5493280000001"/>
    <s v="POLAND PL"/>
  </r>
  <r>
    <s v="BKMILL"/>
    <n v="141351"/>
    <n v="194759"/>
    <s v="Forward"/>
    <x v="14"/>
    <s v="Buy Fwd"/>
    <s v="EUR"/>
    <n v="213000"/>
    <s v="PLN"/>
    <n v="907422.6"/>
    <s v="2026-01-30"/>
    <n v="4.2314999999999996"/>
    <n v="0.23630000000000001"/>
    <n v="4.2072000000000003"/>
    <n v="1"/>
    <n v="1803556.2"/>
    <s v="POLAND PL"/>
  </r>
  <r>
    <s v="BKMILL"/>
    <n v="141547"/>
    <n v="195065"/>
    <s v="Forward"/>
    <x v="17"/>
    <s v="Sell Fwd"/>
    <s v="EUR"/>
    <n v="-60702.8"/>
    <s v="PLN"/>
    <n v="259200.96"/>
    <s v="2026-01-28"/>
    <n v="4.2389999999999999"/>
    <n v="0.2359"/>
    <n v="4.2031999999999998"/>
    <n v="1"/>
    <n v="4054.9510399999999"/>
    <s v="POLAND PL"/>
  </r>
  <r>
    <s v="BKMILL"/>
    <n v="141580"/>
    <n v="195103"/>
    <s v="Forward"/>
    <x v="19"/>
    <s v="Sell Fwd"/>
    <s v="EUR"/>
    <n v="-500000"/>
    <s v="PLN"/>
    <n v="2131500"/>
    <s v="2026-01-29"/>
    <n v="4.2329999999999997"/>
    <n v="0.23619999999999999"/>
    <n v="4.2008999999999999"/>
    <n v="1"/>
    <n v="31050"/>
    <s v="POLAND PL"/>
  </r>
  <r>
    <s v="BKMILL"/>
    <n v="141691"/>
    <n v="195203"/>
    <s v="Forward"/>
    <x v="12"/>
    <s v="Sell Fwd"/>
    <s v="EUR"/>
    <n v="-231000"/>
    <s v="PLN"/>
    <n v="984106.2"/>
    <s v="2026-01-02"/>
    <n v="4.2380000000000004"/>
    <n v="0.23599999999999999"/>
    <n v="4.2267000000000001"/>
    <n v="1"/>
    <n v="7738.5"/>
    <s v="POLAND PL"/>
  </r>
  <r>
    <s v="BKMILL"/>
    <n v="141692"/>
    <n v="195204"/>
    <s v="Forward"/>
    <x v="12"/>
    <s v="Sell Fwd"/>
    <s v="EUR"/>
    <n v="-231000"/>
    <s v="PLN"/>
    <n v="984314.1"/>
    <s v="2026-01-05"/>
    <n v="4.2380000000000004"/>
    <n v="0.23599999999999999"/>
    <n v="4.2156000000000002"/>
    <n v="1"/>
    <n v="10510.5"/>
    <s v="POLAND PL"/>
  </r>
  <r>
    <s v="BKMILL"/>
    <n v="141693"/>
    <n v="195205"/>
    <s v="Forward"/>
    <x v="12"/>
    <s v="Sell Fwd"/>
    <s v="EUR"/>
    <n v="-231000"/>
    <s v="PLN"/>
    <n v="984452.7"/>
    <s v="2026-01-07"/>
    <n v="4.2380000000000004"/>
    <n v="0.23599999999999999"/>
    <n v="4.2110000000000003"/>
    <n v="1"/>
    <n v="11711.7"/>
    <s v="POLAND PL"/>
  </r>
  <r>
    <s v="BKMILL"/>
    <n v="141694"/>
    <n v="195206"/>
    <s v="Forward"/>
    <x v="12"/>
    <s v="Sell Fwd"/>
    <s v="EUR"/>
    <n v="-231000"/>
    <s v="PLN"/>
    <n v="984522"/>
    <s v="2026-01-08"/>
    <n v="4.2380000000000004"/>
    <n v="0.23599999999999999"/>
    <n v="4.2104999999999997"/>
    <n v="1"/>
    <n v="11896.5"/>
    <s v="POLAND PL"/>
  </r>
  <r>
    <s v="BKMILL"/>
    <n v="141695"/>
    <n v="195207"/>
    <s v="Forward"/>
    <x v="12"/>
    <s v="Sell Fwd"/>
    <s v="EUR"/>
    <n v="-176000"/>
    <s v="PLN"/>
    <n v="750164.8"/>
    <s v="2026-01-09"/>
    <n v="4.2380000000000004"/>
    <n v="0.23599999999999999"/>
    <n v="4.2119"/>
    <n v="1"/>
    <n v="8870.4"/>
    <s v="POLAND PL"/>
  </r>
  <r>
    <s v="BKMILL"/>
    <n v="141696"/>
    <n v="195208"/>
    <s v="Forward"/>
    <x v="12"/>
    <s v="Sell Fwd"/>
    <s v="EUR"/>
    <n v="-55000"/>
    <s v="PLN"/>
    <n v="234371.5"/>
    <s v="2026-01-12"/>
    <n v="4.2359999999999998"/>
    <n v="0.2361"/>
    <n v="4.2126999999999999"/>
    <n v="1"/>
    <n v="2673"/>
    <s v="POLAND PL"/>
  </r>
  <r>
    <s v="BKMILL"/>
    <n v="141697"/>
    <n v="195209"/>
    <s v="Forward"/>
    <x v="12"/>
    <s v="Sell Fwd"/>
    <s v="EUR"/>
    <n v="-231000"/>
    <s v="PLN"/>
    <n v="984360.3"/>
    <s v="2026-01-12"/>
    <n v="4.2359999999999998"/>
    <n v="0.2361"/>
    <n v="4.2126999999999999"/>
    <n v="1"/>
    <n v="11226.6"/>
    <s v="POLAND PL"/>
  </r>
  <r>
    <s v="BKMILL"/>
    <n v="141698"/>
    <n v="195210"/>
    <s v="Forward"/>
    <x v="12"/>
    <s v="Sell Fwd"/>
    <s v="EUR"/>
    <n v="-231000"/>
    <s v="PLN"/>
    <n v="984429.6"/>
    <s v="2026-01-13"/>
    <n v="4.2359999999999998"/>
    <n v="0.2361"/>
    <n v="4.2096999999999998"/>
    <n v="1"/>
    <n v="11988.9"/>
    <s v="POLAND PL"/>
  </r>
  <r>
    <s v="BKMILL"/>
    <n v="141699"/>
    <n v="195211"/>
    <s v="Forward"/>
    <x v="12"/>
    <s v="Sell Fwd"/>
    <s v="EUR"/>
    <n v="-231000"/>
    <s v="PLN"/>
    <n v="984498.9"/>
    <s v="2026-01-14"/>
    <n v="4.2359999999999998"/>
    <n v="0.2361"/>
    <n v="4.2115999999999998"/>
    <n v="1"/>
    <n v="11619.3"/>
    <s v="POLAND PL"/>
  </r>
  <r>
    <s v="BKMILL"/>
    <n v="141700"/>
    <n v="195212"/>
    <s v="Forward"/>
    <x v="12"/>
    <s v="Sell Fwd"/>
    <s v="EUR"/>
    <n v="-231000"/>
    <s v="PLN"/>
    <n v="984568.2"/>
    <s v="2026-01-15"/>
    <n v="4.2359999999999998"/>
    <n v="0.2361"/>
    <n v="4.2110000000000003"/>
    <n v="1"/>
    <n v="11827.2"/>
    <s v="POLAND PL"/>
  </r>
  <r>
    <s v="BKMILL"/>
    <n v="141701"/>
    <n v="195213"/>
    <s v="Forward"/>
    <x v="12"/>
    <s v="Sell Fwd"/>
    <s v="EUR"/>
    <n v="-231000"/>
    <s v="PLN"/>
    <n v="984637.5"/>
    <s v="2026-01-16"/>
    <n v="4.2359999999999998"/>
    <n v="0.2361"/>
    <n v="4.2068000000000003"/>
    <n v="1"/>
    <n v="12866.7"/>
    <s v="POLAND PL"/>
  </r>
  <r>
    <s v="BKMILL"/>
    <n v="141702"/>
    <n v="195214"/>
    <s v="Forward"/>
    <x v="12"/>
    <s v="Sell Fwd"/>
    <s v="EUR"/>
    <n v="-231000"/>
    <s v="PLN"/>
    <n v="984868.5"/>
    <s v="2026-01-19"/>
    <n v="4.2359999999999998"/>
    <n v="0.2361"/>
    <n v="4.2191999999999998"/>
    <n v="1"/>
    <n v="10233.299999999999"/>
    <s v="POLAND PL"/>
  </r>
  <r>
    <s v="BKMILL"/>
    <n v="141703"/>
    <n v="195215"/>
    <s v="Forward"/>
    <x v="12"/>
    <s v="Sell Fwd"/>
    <s v="EUR"/>
    <n v="-231000"/>
    <s v="PLN"/>
    <n v="984937.8"/>
    <s v="2026-01-20"/>
    <n v="4.2359999999999998"/>
    <n v="0.2361"/>
    <n v="4.2230999999999996"/>
    <n v="1"/>
    <n v="9401.7000000000007"/>
    <s v="POLAND PL"/>
  </r>
  <r>
    <s v="BKMILL"/>
    <n v="141704"/>
    <n v="195216"/>
    <s v="Forward"/>
    <x v="12"/>
    <s v="Sell Fwd"/>
    <s v="EUR"/>
    <n v="-231000"/>
    <s v="PLN"/>
    <n v="985007.1"/>
    <s v="2026-01-21"/>
    <n v="4.2359999999999998"/>
    <n v="0.2361"/>
    <n v="4.2279"/>
    <n v="1"/>
    <n v="8362.2000000000007"/>
    <s v="POLAND PL"/>
  </r>
  <r>
    <s v="BKMILL"/>
    <n v="141705"/>
    <n v="195217"/>
    <s v="Forward"/>
    <x v="12"/>
    <s v="Sell Fwd"/>
    <s v="EUR"/>
    <n v="-231000"/>
    <s v="PLN"/>
    <n v="985076.4"/>
    <s v="2026-01-22"/>
    <n v="4.2359999999999998"/>
    <n v="0.2361"/>
    <n v="4.2271000000000001"/>
    <n v="1"/>
    <n v="8616.2999999999993"/>
    <s v="POLAND PL"/>
  </r>
  <r>
    <s v="BKMILL"/>
    <n v="141706"/>
    <n v="195218"/>
    <s v="Forward"/>
    <x v="12"/>
    <s v="Sell Fwd"/>
    <s v="EUR"/>
    <n v="-231000"/>
    <s v="PLN"/>
    <n v="985145.7"/>
    <s v="2026-01-23"/>
    <n v="4.2359999999999998"/>
    <n v="0.2361"/>
    <n v="4.2127999999999997"/>
    <n v="1"/>
    <n v="11988.9"/>
    <s v="POLAND PL"/>
  </r>
  <r>
    <s v="BKMILL"/>
    <n v="141707"/>
    <n v="195219"/>
    <s v="Forward"/>
    <x v="12"/>
    <s v="Sell Fwd"/>
    <s v="EUR"/>
    <n v="-231000"/>
    <s v="PLN"/>
    <n v="985376.7"/>
    <s v="2026-01-26"/>
    <n v="4.2359999999999998"/>
    <n v="0.2361"/>
    <n v="4.2050000000000001"/>
    <n v="1"/>
    <n v="14021.7"/>
    <s v="POLAND PL"/>
  </r>
  <r>
    <s v="BKMILL"/>
    <n v="141708"/>
    <n v="195220"/>
    <s v="Forward"/>
    <x v="12"/>
    <s v="Sell Fwd"/>
    <s v="EUR"/>
    <n v="-173000"/>
    <s v="PLN"/>
    <n v="738000.7"/>
    <s v="2026-01-27"/>
    <n v="4.2359999999999998"/>
    <n v="0.2361"/>
    <n v="4.2118000000000002"/>
    <n v="1"/>
    <n v="9359.2999999999993"/>
    <s v="POLAND PL"/>
  </r>
  <r>
    <s v="BKMILL"/>
    <n v="141709"/>
    <n v="195221"/>
    <s v="Forward"/>
    <x v="12"/>
    <s v="Sell Fwd"/>
    <s v="EUR"/>
    <n v="-58000"/>
    <s v="PLN"/>
    <n v="247323.6"/>
    <s v="2026-01-28"/>
    <n v="4.234"/>
    <n v="0.23619999999999999"/>
    <n v="4.2031999999999998"/>
    <n v="1"/>
    <n v="3538"/>
    <s v="POLAND PL"/>
  </r>
  <r>
    <s v="BKMILL"/>
    <n v="141710"/>
    <n v="195222"/>
    <s v="Forward"/>
    <x v="12"/>
    <s v="Sell Fwd"/>
    <s v="EUR"/>
    <n v="-192000"/>
    <s v="PLN"/>
    <n v="818726.40000000002"/>
    <s v="2026-01-28"/>
    <n v="4.234"/>
    <n v="0.23619999999999999"/>
    <n v="4.2031999999999998"/>
    <n v="1"/>
    <n v="11712"/>
    <s v="POLAND PL"/>
  </r>
  <r>
    <s v="BKMILL"/>
    <n v="141711"/>
    <n v="195223"/>
    <s v="Forward"/>
    <x v="12"/>
    <s v="Sell Fwd"/>
    <s v="EUR"/>
    <n v="-250000"/>
    <s v="PLN"/>
    <n v="1066050"/>
    <s v="2026-01-28"/>
    <n v="4.234"/>
    <n v="0.23619999999999999"/>
    <n v="4.2031999999999998"/>
    <n v="1"/>
    <n v="15250"/>
    <s v="POLAND PL"/>
  </r>
  <r>
    <s v="BKMILL"/>
    <n v="141712"/>
    <n v="195224"/>
    <s v="Forward"/>
    <x v="12"/>
    <s v="Sell Fwd"/>
    <s v="EUR"/>
    <n v="-250000"/>
    <s v="PLN"/>
    <n v="1066125"/>
    <s v="2026-01-29"/>
    <n v="4.234"/>
    <n v="0.23619999999999999"/>
    <n v="4.2008999999999999"/>
    <n v="1"/>
    <n v="15900"/>
    <s v="POLAND PL"/>
  </r>
  <r>
    <s v="BKMILL"/>
    <n v="141713"/>
    <n v="195225"/>
    <s v="Forward"/>
    <x v="12"/>
    <s v="Sell Fwd"/>
    <s v="EUR"/>
    <n v="-250000"/>
    <s v="PLN"/>
    <n v="1066175"/>
    <s v="2026-01-30"/>
    <n v="4.234"/>
    <n v="0.23619999999999999"/>
    <n v="4.2072000000000003"/>
    <n v="1"/>
    <n v="14375"/>
    <s v="POLAND PL"/>
  </r>
  <r>
    <s v="BKMILL"/>
    <n v="141800"/>
    <n v="195328"/>
    <s v="Forward"/>
    <x v="14"/>
    <s v="Buy Fwd"/>
    <s v="EUR"/>
    <n v="232000"/>
    <s v="PLN"/>
    <n v="986626.4"/>
    <s v="2026-01-30"/>
    <n v="4.2255000000000003"/>
    <n v="0.23669999999999999"/>
    <n v="4.2072000000000003"/>
    <n v="1"/>
    <n v="1962696.8"/>
    <s v="POLAND PL"/>
  </r>
  <r>
    <s v="BKMILL"/>
    <n v="141813"/>
    <n v="195353"/>
    <s v="Forward"/>
    <x v="12"/>
    <s v="Sell Fwd"/>
    <s v="EUR"/>
    <n v="-231000"/>
    <s v="PLN"/>
    <n v="985376.7"/>
    <s v="2026-01-26"/>
    <n v="4.2359999999999998"/>
    <n v="0.2361"/>
    <n v="4.2050000000000001"/>
    <n v="1"/>
    <n v="14021.7"/>
    <s v="POLAND PL"/>
  </r>
  <r>
    <s v="BKMILL"/>
    <n v="144090"/>
    <n v="198729"/>
    <s v="Forward"/>
    <x v="20"/>
    <s v="Buy Fwd"/>
    <s v="USD"/>
    <n v="92700"/>
    <s v="PLN"/>
    <n v="343082.7"/>
    <s v="2026-01-07"/>
    <n v="3.7006000000000001"/>
    <n v="0.2702"/>
    <n v="3.6044999999999998"/>
    <n v="1"/>
    <n v="677219.85"/>
    <s v="POLAND PL"/>
  </r>
  <r>
    <s v="BKMILL"/>
    <n v="144236"/>
    <n v="198852"/>
    <s v="Forward"/>
    <x v="21"/>
    <s v="Sell Fwd"/>
    <s v="USD"/>
    <n v="-250000"/>
    <s v="PLN"/>
    <n v="928000"/>
    <s v="2026-01-30"/>
    <n v="3.7080000000000002"/>
    <n v="0.2697"/>
    <n v="3.5188999999999999"/>
    <n v="1"/>
    <n v="48275"/>
    <s v="POLAND PL"/>
  </r>
  <r>
    <s v="BKMILL"/>
    <n v="144379"/>
    <n v="199100"/>
    <s v="Forward"/>
    <x v="12"/>
    <s v="Sell Fwd"/>
    <s v="USD"/>
    <n v="-71500"/>
    <s v="PLN"/>
    <n v="265143.45"/>
    <s v="2026-01-02"/>
    <n v="3.7054999999999998"/>
    <n v="0.26989999999999997"/>
    <n v="3.6015999999999999"/>
    <n v="1"/>
    <n v="7629.05"/>
    <s v="POLAND PL"/>
  </r>
  <r>
    <s v="BKMILL"/>
    <n v="144381"/>
    <n v="199102"/>
    <s v="Forward"/>
    <x v="12"/>
    <s v="Sell Fwd"/>
    <s v="USD"/>
    <n v="-71500"/>
    <s v="PLN"/>
    <n v="265164.90000000002"/>
    <s v="2026-01-05"/>
    <n v="3.7054999999999998"/>
    <n v="0.26989999999999997"/>
    <n v="3.5962999999999998"/>
    <n v="1"/>
    <n v="8029.45"/>
    <s v="POLAND PL"/>
  </r>
  <r>
    <s v="BKMILL"/>
    <n v="144382"/>
    <n v="199103"/>
    <s v="Forward"/>
    <x v="12"/>
    <s v="Sell Fwd"/>
    <s v="USD"/>
    <n v="-71500"/>
    <s v="PLN"/>
    <n v="265172.05"/>
    <s v="2026-01-07"/>
    <n v="3.7054999999999998"/>
    <n v="0.26989999999999997"/>
    <n v="3.6044999999999998"/>
    <n v="1"/>
    <n v="7450.3"/>
    <s v="POLAND PL"/>
  </r>
  <r>
    <s v="BKMILL"/>
    <n v="144383"/>
    <n v="199105"/>
    <s v="Forward"/>
    <x v="12"/>
    <s v="Sell Fwd"/>
    <s v="USD"/>
    <n v="-71500"/>
    <s v="PLN"/>
    <n v="265172.05"/>
    <s v="2026-01-08"/>
    <n v="3.7054999999999998"/>
    <n v="0.26989999999999997"/>
    <n v="3.6034999999999999"/>
    <n v="1"/>
    <n v="7521.8"/>
    <s v="POLAND PL"/>
  </r>
  <r>
    <s v="BKMILL"/>
    <n v="144384"/>
    <n v="199106"/>
    <s v="Forward"/>
    <x v="12"/>
    <s v="Sell Fwd"/>
    <s v="USD"/>
    <n v="-71500"/>
    <s v="PLN"/>
    <n v="265179.2"/>
    <s v="2026-01-09"/>
    <n v="3.7054999999999998"/>
    <n v="0.26989999999999997"/>
    <n v="3.6070000000000002"/>
    <n v="1"/>
    <n v="7278.7"/>
    <s v="POLAND PL"/>
  </r>
  <r>
    <s v="BKMILL"/>
    <n v="144385"/>
    <n v="199107"/>
    <s v="Forward"/>
    <x v="12"/>
    <s v="Sell Fwd"/>
    <s v="USD"/>
    <n v="-71500"/>
    <s v="PLN"/>
    <n v="265186.34999999998"/>
    <s v="2026-01-12"/>
    <n v="3.7054999999999998"/>
    <n v="0.26989999999999997"/>
    <n v="3.6183999999999998"/>
    <n v="1"/>
    <n v="6470.75"/>
    <s v="POLAND PL"/>
  </r>
  <r>
    <s v="BKMILL"/>
    <n v="144387"/>
    <n v="199113"/>
    <s v="Forward"/>
    <x v="12"/>
    <s v="Sell Fwd"/>
    <s v="USD"/>
    <n v="-71500"/>
    <s v="PLN"/>
    <n v="265186.34999999998"/>
    <s v="2026-01-13"/>
    <n v="3.7054999999999998"/>
    <n v="0.26989999999999997"/>
    <n v="3.6036999999999999"/>
    <n v="1"/>
    <n v="7521.8"/>
    <s v="POLAND PL"/>
  </r>
  <r>
    <s v="BKMILL"/>
    <n v="144388"/>
    <n v="199114"/>
    <s v="Forward"/>
    <x v="12"/>
    <s v="Sell Fwd"/>
    <s v="USD"/>
    <n v="-71500"/>
    <s v="PLN"/>
    <n v="265186.34999999998"/>
    <s v="2026-01-14"/>
    <n v="3.7054999999999998"/>
    <n v="0.26989999999999997"/>
    <n v="3.6082999999999998"/>
    <n v="1"/>
    <n v="7192.9"/>
    <s v="POLAND PL"/>
  </r>
  <r>
    <s v="BKMILL"/>
    <n v="144389"/>
    <n v="199116"/>
    <s v="Forward"/>
    <x v="12"/>
    <s v="Sell Fwd"/>
    <s v="USD"/>
    <n v="-71500"/>
    <s v="PLN"/>
    <n v="265193.5"/>
    <s v="2026-01-15"/>
    <n v="3.7054999999999998"/>
    <n v="0.26989999999999997"/>
    <n v="3.6139999999999999"/>
    <n v="1"/>
    <n v="6792.5"/>
    <s v="POLAND PL"/>
  </r>
  <r>
    <s v="BKMILL"/>
    <n v="144390"/>
    <n v="199118"/>
    <s v="Forward"/>
    <x v="12"/>
    <s v="Sell Fwd"/>
    <s v="USD"/>
    <n v="-71500"/>
    <s v="PLN"/>
    <n v="265200.65000000002"/>
    <s v="2026-01-16"/>
    <n v="3.7054999999999998"/>
    <n v="0.26989999999999997"/>
    <n v="3.6153"/>
    <n v="1"/>
    <n v="6706.7"/>
    <s v="POLAND PL"/>
  </r>
  <r>
    <s v="BKMILL"/>
    <n v="144391"/>
    <n v="199119"/>
    <s v="Forward"/>
    <x v="12"/>
    <s v="Sell Fwd"/>
    <s v="USD"/>
    <n v="-71500"/>
    <s v="PLN"/>
    <n v="265207.8"/>
    <s v="2026-01-19"/>
    <n v="3.7054999999999998"/>
    <n v="0.26989999999999997"/>
    <n v="3.6345999999999998"/>
    <n v="1"/>
    <n v="5333.9"/>
    <s v="POLAND PL"/>
  </r>
  <r>
    <s v="BKMILL"/>
    <n v="144392"/>
    <n v="199120"/>
    <s v="Forward"/>
    <x v="12"/>
    <s v="Sell Fwd"/>
    <s v="USD"/>
    <n v="-71500"/>
    <s v="PLN"/>
    <n v="265207.8"/>
    <s v="2026-01-20"/>
    <n v="3.7054999999999998"/>
    <n v="0.26989999999999997"/>
    <n v="3.6345999999999998"/>
    <n v="1"/>
    <n v="5333.9"/>
    <s v="POLAND PL"/>
  </r>
  <r>
    <s v="BKMILL"/>
    <n v="144395"/>
    <n v="199122"/>
    <s v="Forward"/>
    <x v="12"/>
    <s v="Sell Fwd"/>
    <s v="USD"/>
    <n v="-71500"/>
    <s v="PLN"/>
    <n v="265214.95"/>
    <s v="2026-01-21"/>
    <n v="3.7054999999999998"/>
    <n v="0.26989999999999997"/>
    <n v="3.6053999999999999"/>
    <n v="1"/>
    <n v="7428.85"/>
    <s v="POLAND PL"/>
  </r>
  <r>
    <s v="BKMILL"/>
    <n v="144396"/>
    <n v="199125"/>
    <s v="Forward"/>
    <x v="12"/>
    <s v="Sell Fwd"/>
    <s v="USD"/>
    <n v="-71500"/>
    <s v="PLN"/>
    <n v="265214.95"/>
    <s v="2026-01-22"/>
    <n v="3.7054999999999998"/>
    <n v="0.26989999999999997"/>
    <n v="3.6118000000000001"/>
    <n v="1"/>
    <n v="6971.25"/>
    <s v="POLAND PL"/>
  </r>
  <r>
    <s v="BKMILL"/>
    <n v="144397"/>
    <n v="199127"/>
    <s v="Forward"/>
    <x v="12"/>
    <s v="Sell Fwd"/>
    <s v="USD"/>
    <n v="-71500"/>
    <s v="PLN"/>
    <n v="265222.09999999998"/>
    <s v="2026-01-23"/>
    <n v="3.7054999999999998"/>
    <n v="0.26989999999999997"/>
    <n v="3.6027999999999998"/>
    <n v="1"/>
    <n v="7621.9"/>
    <s v="POLAND PL"/>
  </r>
  <r>
    <s v="BKMILL"/>
    <n v="144398"/>
    <n v="199128"/>
    <s v="Forward"/>
    <x v="12"/>
    <s v="Sell Fwd"/>
    <s v="USD"/>
    <n v="-71500"/>
    <s v="PLN"/>
    <n v="265229.25"/>
    <s v="2026-01-26"/>
    <n v="3.7054999999999998"/>
    <n v="0.26989999999999997"/>
    <n v="3.5831"/>
    <n v="1"/>
    <n v="9037.6"/>
    <s v="POLAND PL"/>
  </r>
  <r>
    <s v="BKMILL"/>
    <n v="144399"/>
    <n v="199130"/>
    <s v="Forward"/>
    <x v="12"/>
    <s v="Sell Fwd"/>
    <s v="USD"/>
    <n v="-71500"/>
    <s v="PLN"/>
    <n v="265229.25"/>
    <s v="2026-01-27"/>
    <n v="3.7054999999999998"/>
    <n v="0.26989999999999997"/>
    <n v="3.5499000000000001"/>
    <n v="1"/>
    <n v="11411.4"/>
    <s v="POLAND PL"/>
  </r>
  <r>
    <s v="BKMILL"/>
    <n v="144400"/>
    <n v="199131"/>
    <s v="Forward"/>
    <x v="12"/>
    <s v="Sell Fwd"/>
    <s v="USD"/>
    <n v="-71500"/>
    <s v="PLN"/>
    <n v="265236.40000000002"/>
    <s v="2026-01-28"/>
    <n v="3.7054999999999998"/>
    <n v="0.26989999999999997"/>
    <n v="3.5354000000000001"/>
    <n v="1"/>
    <n v="12455.3"/>
    <s v="POLAND PL"/>
  </r>
  <r>
    <s v="BKMILL"/>
    <n v="144401"/>
    <n v="199132"/>
    <s v="Forward"/>
    <x v="12"/>
    <s v="Sell Fwd"/>
    <s v="USD"/>
    <n v="-71500"/>
    <s v="PLN"/>
    <n v="265243.55"/>
    <s v="2026-01-29"/>
    <n v="3.7054999999999998"/>
    <n v="0.26989999999999997"/>
    <n v="3.5045000000000002"/>
    <n v="1"/>
    <n v="14671.8"/>
    <s v="POLAND PL"/>
  </r>
  <r>
    <s v="BKMILL"/>
    <n v="144403"/>
    <n v="199135"/>
    <s v="Forward"/>
    <x v="12"/>
    <s v="Sell Fwd"/>
    <s v="USD"/>
    <n v="-71500"/>
    <s v="PLN"/>
    <n v="265243.55"/>
    <s v="2026-01-30"/>
    <n v="3.7054999999999998"/>
    <n v="0.26989999999999997"/>
    <n v="3.5188999999999999"/>
    <n v="1"/>
    <n v="13642.2"/>
    <s v="POLAND PL"/>
  </r>
  <r>
    <s v="BKMILL"/>
    <n v="146594"/>
    <n v="202027"/>
    <s v="Forward"/>
    <x v="22"/>
    <s v="Buy Fwd"/>
    <s v="EUR"/>
    <n v="600000"/>
    <s v="PLN"/>
    <n v="2538000"/>
    <s v="2026-01-15"/>
    <n v="4.2160000000000002"/>
    <n v="0.23719999999999999"/>
    <n v="4.2110000000000003"/>
    <n v="1"/>
    <n v="5064600"/>
    <s v="POLAND PL"/>
  </r>
  <r>
    <s v="BKMILL"/>
    <n v="147126"/>
    <n v="202846"/>
    <s v="Forward"/>
    <x v="22"/>
    <s v="Buy Fwd"/>
    <s v="EUR"/>
    <n v="30000"/>
    <s v="PLN"/>
    <n v="127260"/>
    <s v="2026-01-15"/>
    <n v="4.2290000000000001"/>
    <n v="0.23649999999999999"/>
    <n v="4.2110000000000003"/>
    <n v="1"/>
    <n v="253590"/>
    <s v="POLAND PL"/>
  </r>
  <r>
    <s v="BKMILL"/>
    <n v="147365"/>
    <n v="203223"/>
    <s v="Forward"/>
    <x v="22"/>
    <s v="Buy Fwd"/>
    <s v="EUR"/>
    <n v="300000"/>
    <s v="PLN"/>
    <n v="1267200"/>
    <s v="2026-01-15"/>
    <n v="4.2110000000000003"/>
    <n v="0.23749999999999999"/>
    <n v="4.2110000000000003"/>
    <n v="1"/>
    <n v="2530500"/>
    <s v="POLAND PL"/>
  </r>
  <r>
    <s v="BKMILL"/>
    <n v="147630"/>
    <n v="203565"/>
    <s v="Forward"/>
    <x v="22"/>
    <s v="Buy Fwd"/>
    <s v="EUR"/>
    <n v="3500000"/>
    <s v="PLN"/>
    <n v="14803250"/>
    <s v="2026-01-15"/>
    <n v="4.2169999999999996"/>
    <n v="0.23710000000000001"/>
    <n v="4.2110000000000003"/>
    <n v="1"/>
    <n v="29541750"/>
    <s v="POLAND PL"/>
  </r>
  <r>
    <s v="BKMILL"/>
    <n v="147952"/>
    <n v="204027"/>
    <s v="Forward"/>
    <x v="22"/>
    <s v="Buy Fwd"/>
    <s v="EUR"/>
    <n v="410000"/>
    <s v="PLN"/>
    <n v="1739630"/>
    <s v="2026-01-15"/>
    <n v="4.2309999999999999"/>
    <n v="0.2364"/>
    <n v="4.2110000000000003"/>
    <n v="1"/>
    <n v="3466140"/>
    <s v="POLAND PL"/>
  </r>
  <r>
    <s v="BKMILL"/>
    <n v="148091"/>
    <n v="204239"/>
    <s v="Forward"/>
    <x v="23"/>
    <s v="Buy Fwd"/>
    <s v="EUR"/>
    <n v="95000"/>
    <s v="PLN"/>
    <n v="402277.5"/>
    <s v="2026-01-08"/>
    <n v="4.2275"/>
    <n v="0.23649999999999999"/>
    <n v="4.2104999999999997"/>
    <n v="1"/>
    <n v="802275"/>
    <s v="POLAND PL"/>
  </r>
  <r>
    <s v="BKMILL"/>
    <n v="148114"/>
    <n v="204282"/>
    <s v="Forward"/>
    <x v="22"/>
    <s v="Buy Fwd"/>
    <s v="EUR"/>
    <n v="1530000"/>
    <s v="PLN"/>
    <n v="6468840"/>
    <s v="2026-01-15"/>
    <n v="4.2160000000000002"/>
    <n v="0.23719999999999999"/>
    <n v="4.2110000000000003"/>
    <n v="1"/>
    <n v="12911670"/>
    <s v="POLAND PL"/>
  </r>
  <r>
    <s v="BKMILL"/>
    <n v="148395"/>
    <n v="204680"/>
    <s v="Forward"/>
    <x v="17"/>
    <s v="Sell Fwd"/>
    <s v="EUR"/>
    <n v="-152064"/>
    <s v="PLN"/>
    <n v="645739.78"/>
    <s v="2026-01-15"/>
    <n v="4.2305000000000001"/>
    <n v="0.2364"/>
    <n v="4.2110000000000003"/>
    <n v="1"/>
    <n v="5398.2759999999998"/>
    <s v="POLAND PL"/>
  </r>
  <r>
    <s v="BKMILL"/>
    <n v="148630"/>
    <n v="205052"/>
    <s v="Forward"/>
    <x v="24"/>
    <s v="Buy Fwd"/>
    <s v="EUR"/>
    <n v="31400"/>
    <s v="PLN"/>
    <n v="132982.14000000001"/>
    <s v="2026-01-09"/>
    <n v="4.2279999999999998"/>
    <n v="0.23649999999999999"/>
    <n v="4.2119"/>
    <n v="1"/>
    <n v="265235.8"/>
    <s v="POLAND PL"/>
  </r>
  <r>
    <s v="BKMILL"/>
    <n v="149132"/>
    <n v="205846"/>
    <s v="Forward"/>
    <x v="22"/>
    <s v="Buy Fwd"/>
    <s v="EUR"/>
    <n v="890000"/>
    <s v="PLN"/>
    <n v="3768260"/>
    <s v="2026-01-15"/>
    <n v="4.2229999999999999"/>
    <n v="0.23680000000000001"/>
    <n v="4.2110000000000003"/>
    <n v="1"/>
    <n v="7516050"/>
    <s v="POLAND PL"/>
  </r>
  <r>
    <s v="BKMILL"/>
    <n v="149206"/>
    <n v="205942"/>
    <s v="Forward"/>
    <x v="17"/>
    <s v="Sell Fwd"/>
    <s v="EUR"/>
    <n v="-19886.400000000001"/>
    <s v="PLN"/>
    <n v="84716.06"/>
    <s v="2026-01-22"/>
    <n v="4.242"/>
    <n v="0.23569999999999999"/>
    <n v="4.2271000000000001"/>
    <n v="1"/>
    <n v="654.25855999999999"/>
    <s v="POLAND PL"/>
  </r>
  <r>
    <s v="BKMILL"/>
    <n v="149364"/>
    <n v="206117"/>
    <s v="Forward"/>
    <x v="25"/>
    <s v="Sell Fwd"/>
    <s v="USD"/>
    <n v="-120000"/>
    <s v="PLN"/>
    <n v="437100"/>
    <s v="2026-01-16"/>
    <n v="3.6394000000000002"/>
    <n v="0.27479999999999999"/>
    <n v="3.6153"/>
    <n v="1"/>
    <n v="3264"/>
    <s v="POLAND PL"/>
  </r>
  <r>
    <s v="BKMILL"/>
    <n v="149365"/>
    <n v="206120"/>
    <s v="Forward"/>
    <x v="25"/>
    <s v="Sell Fwd"/>
    <s v="USD"/>
    <n v="-50000"/>
    <s v="PLN"/>
    <n v="182090"/>
    <s v="2026-01-16"/>
    <n v="3.6387"/>
    <n v="0.27479999999999999"/>
    <n v="3.6153"/>
    <n v="1"/>
    <n v="1325"/>
    <s v="POLAND PL"/>
  </r>
  <r>
    <s v="BKMILL"/>
    <n v="149439"/>
    <n v="206242"/>
    <s v="Forward"/>
    <x v="25"/>
    <s v="Sell Fwd"/>
    <s v="USD"/>
    <n v="-100000"/>
    <s v="PLN"/>
    <n v="363920"/>
    <s v="2026-01-27"/>
    <n v="3.6356000000000002"/>
    <n v="0.27510000000000001"/>
    <n v="3.5499000000000001"/>
    <n v="1"/>
    <n v="8930"/>
    <s v="POLAND PL"/>
  </r>
  <r>
    <s v="BKMILL"/>
    <n v="149968"/>
    <n v="206953"/>
    <s v="Forward"/>
    <x v="25"/>
    <s v="Sell Fwd"/>
    <s v="USD"/>
    <n v="-200000"/>
    <s v="PLN"/>
    <n v="726580"/>
    <s v="2026-01-28"/>
    <n v="3.6295000000000002"/>
    <n v="0.27550000000000002"/>
    <n v="3.5354000000000001"/>
    <n v="1"/>
    <n v="19500"/>
    <s v="POLAND PL"/>
  </r>
  <r>
    <s v="BKMILL"/>
    <n v="150016"/>
    <n v="207025"/>
    <s v="Forward"/>
    <x v="25"/>
    <s v="Sell Fwd"/>
    <s v="USD"/>
    <n v="-100000"/>
    <s v="PLN"/>
    <n v="362750"/>
    <s v="2026-01-07"/>
    <n v="3.6251000000000002"/>
    <n v="0.27589999999999998"/>
    <n v="3.6044999999999998"/>
    <n v="1"/>
    <n v="2300"/>
    <s v="POLAND PL"/>
  </r>
  <r>
    <s v="BKMILL"/>
    <n v="150111"/>
    <n v="207133"/>
    <s v="Forward"/>
    <x v="22"/>
    <s v="Buy Fwd"/>
    <s v="EUR"/>
    <n v="1560000"/>
    <s v="PLN"/>
    <n v="6586320"/>
    <s v="2026-01-15"/>
    <n v="4.2130000000000001"/>
    <n v="0.2374"/>
    <n v="4.2110000000000003"/>
    <n v="1"/>
    <n v="13155480"/>
    <s v="POLAND PL"/>
  </r>
  <r>
    <s v="BKMILL"/>
    <n v="150179"/>
    <n v="207188"/>
    <s v="Forward"/>
    <x v="25"/>
    <s v="Sell Fwd"/>
    <s v="USD"/>
    <n v="-100000"/>
    <s v="PLN"/>
    <n v="362750"/>
    <s v="2026-01-13"/>
    <n v="3.625"/>
    <n v="0.27589999999999998"/>
    <n v="3.6036999999999999"/>
    <n v="1"/>
    <n v="2380"/>
    <s v="POLAND PL"/>
  </r>
  <r>
    <s v="BKMILL"/>
    <n v="150357"/>
    <n v="207455"/>
    <s v="Forward"/>
    <x v="22"/>
    <s v="Buy Fwd"/>
    <s v="EUR"/>
    <n v="350000"/>
    <s v="PLN"/>
    <n v="1478050"/>
    <s v="2026-01-15"/>
    <n v="4.2140000000000004"/>
    <n v="0.23730000000000001"/>
    <n v="4.2110000000000003"/>
    <n v="1"/>
    <n v="2951900"/>
    <s v="POLAND PL"/>
  </r>
  <r>
    <s v="BKMILL"/>
    <n v="150689"/>
    <n v="207862"/>
    <s v="Forward"/>
    <x v="26"/>
    <s v="Sell Fwd"/>
    <s v="USD"/>
    <n v="-100000"/>
    <s v="PLN"/>
    <n v="363700"/>
    <s v="2026-01-12"/>
    <n v="3.6335000000000002"/>
    <n v="0.2752"/>
    <n v="3.6183999999999998"/>
    <n v="1"/>
    <n v="1860"/>
    <s v="POLAND PL"/>
  </r>
  <r>
    <s v="BKMILL"/>
    <n v="150875"/>
    <n v="208225"/>
    <s v="Forward"/>
    <x v="27"/>
    <s v="Sell Fwd"/>
    <s v="USD"/>
    <n v="-50000"/>
    <s v="PLN"/>
    <n v="182410"/>
    <s v="2026-01-12"/>
    <n v="3.6452"/>
    <n v="0.27429999999999999"/>
    <n v="3.6183999999999998"/>
    <n v="1"/>
    <n v="1490"/>
    <s v="POLAND PL"/>
  </r>
  <r>
    <s v="BKMILL"/>
    <n v="150967"/>
    <n v="208299"/>
    <s v="Forward"/>
    <x v="28"/>
    <s v="Buy Fwd"/>
    <s v="USD"/>
    <n v="266151"/>
    <s v="PLN"/>
    <n v="967405.65"/>
    <s v="2026-01-30"/>
    <n v="3.6339999999999999"/>
    <n v="0.2752"/>
    <n v="3.5188999999999999"/>
    <n v="1"/>
    <n v="1903964.4039"/>
    <s v="POLAND PL"/>
  </r>
  <r>
    <s v="BKMILL"/>
    <n v="151047"/>
    <n v="208491"/>
    <s v="Forward"/>
    <x v="29"/>
    <s v="Sell Fwd"/>
    <s v="EUR"/>
    <n v="-163230.24"/>
    <s v="USD"/>
    <n v="190000"/>
    <s v="2026-01-23"/>
    <n v="1.1648000000000001"/>
    <n v="0.85850000000000004"/>
    <n v="4.2127999999999997"/>
    <n v="3.6027999999999998"/>
    <n v="-3124.3550719999998"/>
    <s v="POLAND PL"/>
  </r>
  <r>
    <s v="BKMILL"/>
    <n v="151547"/>
    <n v="209313"/>
    <s v="Forward"/>
    <x v="25"/>
    <s v="Sell Fwd"/>
    <s v="USD"/>
    <n v="-200000"/>
    <s v="PLN"/>
    <n v="723420"/>
    <s v="2026-01-08"/>
    <n v="3.6151"/>
    <n v="0.27660000000000001"/>
    <n v="3.6034999999999999"/>
    <n v="1"/>
    <n v="2720"/>
    <s v="POLAND PL"/>
  </r>
  <r>
    <s v="BKMILL"/>
    <n v="151549"/>
    <n v="209314"/>
    <s v="Forward"/>
    <x v="25"/>
    <s v="Sell Fwd"/>
    <s v="USD"/>
    <n v="-100000"/>
    <s v="PLN"/>
    <n v="361760"/>
    <s v="2026-01-12"/>
    <n v="3.6154000000000002"/>
    <n v="0.27660000000000001"/>
    <n v="3.6183999999999998"/>
    <n v="1"/>
    <n v="-80"/>
    <s v="POLAND PL"/>
  </r>
  <r>
    <s v="BKMILL"/>
    <n v="151568"/>
    <n v="209371"/>
    <s v="Forward"/>
    <x v="25"/>
    <s v="Sell Fwd"/>
    <s v="USD"/>
    <n v="-140000"/>
    <s v="PLN"/>
    <n v="505904"/>
    <s v="2026-01-15"/>
    <n v="3.6113"/>
    <n v="0.27689999999999998"/>
    <n v="3.6139999999999999"/>
    <n v="1"/>
    <n v="-56"/>
    <s v="POLAND PL"/>
  </r>
  <r>
    <s v="BKMILL"/>
    <n v="151579"/>
    <n v="209398"/>
    <s v="Forward"/>
    <x v="25"/>
    <s v="Sell Fwd"/>
    <s v="USD"/>
    <n v="-100000"/>
    <s v="PLN"/>
    <n v="361390"/>
    <s v="2026-01-23"/>
    <n v="3.6112000000000002"/>
    <n v="0.27689999999999998"/>
    <n v="3.6027999999999998"/>
    <n v="1"/>
    <n v="1110"/>
    <s v="POLAND PL"/>
  </r>
  <r>
    <s v="BKMILL"/>
    <n v="151659"/>
    <n v="209525"/>
    <s v="Forward"/>
    <x v="30"/>
    <s v="Sell Fwd"/>
    <s v="NOK"/>
    <n v="-2000000"/>
    <s v="PLN"/>
    <n v="714600"/>
    <s v="2026-01-16"/>
    <n v="0.35709999999999997"/>
    <n v="2.8003"/>
    <n v="0.35880000000000001"/>
    <n v="1"/>
    <n v="-3000"/>
    <s v="POLAND PL"/>
  </r>
  <r>
    <s v="BKMILL"/>
    <n v="151885"/>
    <n v="209846"/>
    <s v="Forward"/>
    <x v="25"/>
    <s v="Sell Fwd"/>
    <s v="USD"/>
    <n v="-100000"/>
    <s v="PLN"/>
    <n v="360500"/>
    <s v="2026-01-16"/>
    <n v="3.6027999999999998"/>
    <n v="0.27760000000000001"/>
    <n v="3.6153"/>
    <n v="1"/>
    <n v="-1030"/>
    <s v="POLAND PL"/>
  </r>
  <r>
    <s v="BKMILL"/>
    <n v="151922"/>
    <n v="209905"/>
    <s v="Forward"/>
    <x v="31"/>
    <s v="Sell Fwd"/>
    <s v="EUR"/>
    <n v="-200000"/>
    <s v="PLN"/>
    <n v="846100"/>
    <s v="2026-01-02"/>
    <n v="4.2249999999999996"/>
    <n v="0.23669999999999999"/>
    <n v="4.2267000000000001"/>
    <n v="1"/>
    <n v="760"/>
    <s v="POLAND PL"/>
  </r>
  <r>
    <s v="BKMILL"/>
    <n v="151954"/>
    <n v="209969"/>
    <s v="Forward"/>
    <x v="22"/>
    <s v="Buy Fwd"/>
    <s v="EUR"/>
    <n v="350000"/>
    <s v="PLN"/>
    <n v="1474900"/>
    <s v="2026-01-15"/>
    <n v="4.2069999999999999"/>
    <n v="0.23769999999999999"/>
    <n v="4.2110000000000003"/>
    <n v="1"/>
    <n v="2948750"/>
    <s v="POLAND PL"/>
  </r>
  <r>
    <s v="BKMILL"/>
    <n v="151992"/>
    <n v="210011"/>
    <s v="Forward"/>
    <x v="30"/>
    <s v="Sell Fwd"/>
    <s v="NOK"/>
    <n v="-2000000"/>
    <s v="PLN"/>
    <n v="711200"/>
    <s v="2026-01-30"/>
    <n v="0.35539999999999999"/>
    <n v="2.8136999999999999"/>
    <n v="0.3674"/>
    <n v="1"/>
    <n v="-23600"/>
    <s v="POLAND PL"/>
  </r>
  <r>
    <s v="BKMILL"/>
    <n v="151994"/>
    <n v="210012"/>
    <s v="Forward"/>
    <x v="30"/>
    <s v="Buy Fwd"/>
    <s v="EUR"/>
    <n v="250000"/>
    <s v="NOK"/>
    <n v="2977575"/>
    <s v="2026-01-30"/>
    <n v="11.884600000000001"/>
    <n v="8.4099999999999994E-2"/>
    <n v="4.2072000000000003"/>
    <n v="0.3674"/>
    <n v="2145761.0550000002"/>
    <s v="POLAND PL"/>
  </r>
  <r>
    <s v="BKMILL"/>
    <n v="152107"/>
    <n v="210183"/>
    <s v="Forward"/>
    <x v="25"/>
    <s v="Sell Fwd"/>
    <s v="USD"/>
    <n v="-100000"/>
    <s v="PLN"/>
    <n v="359770"/>
    <s v="2026-01-19"/>
    <n v="3.5954000000000002"/>
    <n v="0.27810000000000001"/>
    <n v="3.6345999999999998"/>
    <n v="1"/>
    <n v="-3690"/>
    <s v="POLAND PL"/>
  </r>
  <r>
    <s v="BKMILL"/>
    <n v="152110"/>
    <n v="210188"/>
    <s v="Forward"/>
    <x v="25"/>
    <s v="Sell Fwd"/>
    <s v="USD"/>
    <n v="-150000"/>
    <s v="PLN"/>
    <n v="539610"/>
    <s v="2026-01-21"/>
    <n v="3.5950000000000002"/>
    <n v="0.2782"/>
    <n v="3.6053999999999999"/>
    <n v="1"/>
    <n v="-1200"/>
    <s v="POLAND PL"/>
  </r>
  <r>
    <s v="BKMILL"/>
    <n v="152120"/>
    <n v="210209"/>
    <s v="Forward"/>
    <x v="32"/>
    <s v="Sell Fwd"/>
    <s v="EUR"/>
    <n v="-30000"/>
    <s v="PLN"/>
    <n v="126888"/>
    <s v="2026-01-07"/>
    <n v="4.2222"/>
    <n v="0.23680000000000001"/>
    <n v="4.2110000000000003"/>
    <n v="1"/>
    <n v="558"/>
    <s v="POLAND PL"/>
  </r>
  <r>
    <s v="BKMILL"/>
    <n v="152121"/>
    <n v="210210"/>
    <s v="Forward"/>
    <x v="32"/>
    <s v="Sell Fwd"/>
    <s v="EUR"/>
    <n v="-30000"/>
    <s v="PLN"/>
    <n v="126891"/>
    <s v="2026-01-07"/>
    <n v="4.2222999999999997"/>
    <n v="0.23680000000000001"/>
    <n v="4.2110000000000003"/>
    <n v="1"/>
    <n v="561"/>
    <s v="POLAND PL"/>
  </r>
  <r>
    <s v="BKMILL"/>
    <n v="152127"/>
    <n v="210216"/>
    <s v="Forward"/>
    <x v="30"/>
    <s v="Sell Fwd"/>
    <s v="NOK"/>
    <n v="-4250000"/>
    <s v="PLN"/>
    <n v="1509600"/>
    <s v="2026-01-30"/>
    <n v="0.35499999999999998"/>
    <n v="2.8169"/>
    <n v="0.3674"/>
    <n v="1"/>
    <n v="-51850"/>
    <s v="POLAND PL"/>
  </r>
  <r>
    <s v="BKMILL"/>
    <n v="152129"/>
    <n v="210218"/>
    <s v="Forward"/>
    <x v="32"/>
    <s v="Sell Fwd"/>
    <s v="EUR"/>
    <n v="-30000"/>
    <s v="PLN"/>
    <n v="126891"/>
    <s v="2026-01-07"/>
    <n v="4.2222999999999997"/>
    <n v="0.23680000000000001"/>
    <n v="4.2110000000000003"/>
    <n v="1"/>
    <n v="561"/>
    <s v="POLAND PL"/>
  </r>
  <r>
    <s v="BKMILL"/>
    <n v="152133"/>
    <n v="210222"/>
    <s v="Forward"/>
    <x v="32"/>
    <s v="Sell Fwd"/>
    <s v="EUR"/>
    <n v="-30000"/>
    <s v="PLN"/>
    <n v="126885"/>
    <s v="2026-01-07"/>
    <n v="4.2221000000000002"/>
    <n v="0.23680000000000001"/>
    <n v="4.2110000000000003"/>
    <n v="1"/>
    <n v="555"/>
    <s v="POLAND PL"/>
  </r>
  <r>
    <s v="BKMILL"/>
    <n v="152185"/>
    <n v="210331"/>
    <s v="Forward"/>
    <x v="32"/>
    <s v="Sell Fwd"/>
    <s v="EUR"/>
    <n v="-30000"/>
    <s v="PLN"/>
    <n v="126876"/>
    <s v="2026-01-08"/>
    <n v="4.2215999999999996"/>
    <n v="0.2369"/>
    <n v="4.2104999999999997"/>
    <n v="1"/>
    <n v="561"/>
    <s v="POLAND PL"/>
  </r>
  <r>
    <s v="BKMILL"/>
    <n v="152399"/>
    <n v="210617"/>
    <s v="Forward"/>
    <x v="30"/>
    <s v="Buy Fwd"/>
    <s v="EUR"/>
    <n v="200000"/>
    <s v="NOK"/>
    <n v="2393280"/>
    <s v="2026-01-23"/>
    <n v="11.946"/>
    <n v="8.3699999999999997E-2"/>
    <n v="4.2127999999999997"/>
    <n v="0.36380000000000001"/>
    <n v="1713235.264"/>
    <s v="POLAND PL"/>
  </r>
  <r>
    <s v="BKMILL"/>
    <n v="152456"/>
    <n v="210737"/>
    <s v="Forward"/>
    <x v="30"/>
    <s v="Buy Fwd"/>
    <s v="EUR"/>
    <n v="200000"/>
    <s v="NOK"/>
    <n v="2396380"/>
    <s v="2026-01-16"/>
    <n v="11.965999999999999"/>
    <n v="8.3599999999999994E-2"/>
    <n v="4.2068000000000003"/>
    <n v="0.35880000000000001"/>
    <n v="1701181.1440000001"/>
    <s v="POLAND PL"/>
  </r>
  <r>
    <s v="BKMILL"/>
    <n v="152458"/>
    <n v="210739"/>
    <s v="Forward"/>
    <x v="32"/>
    <s v="Sell Fwd"/>
    <s v="EUR"/>
    <n v="-30000"/>
    <s v="PLN"/>
    <n v="126828"/>
    <s v="2026-01-07"/>
    <n v="4.2205000000000004"/>
    <n v="0.2369"/>
    <n v="4.2110000000000003"/>
    <n v="1"/>
    <n v="498"/>
    <s v="POLAND PL"/>
  </r>
  <r>
    <s v="BKMILL"/>
    <n v="152510"/>
    <n v="210822"/>
    <s v="Forward"/>
    <x v="30"/>
    <s v="Buy Fwd"/>
    <s v="EUR"/>
    <n v="200000"/>
    <s v="NOK"/>
    <n v="2400800"/>
    <s v="2026-01-16"/>
    <n v="11.988099999999999"/>
    <n v="8.3400000000000002E-2"/>
    <n v="4.2068000000000003"/>
    <n v="0.35880000000000001"/>
    <n v="1702767.04"/>
    <s v="POLAND PL"/>
  </r>
  <r>
    <s v="BKMILL"/>
    <n v="152677"/>
    <n v="211054"/>
    <s v="Forward"/>
    <x v="32"/>
    <s v="Sell Fwd"/>
    <s v="EUR"/>
    <n v="-30000"/>
    <s v="PLN"/>
    <n v="126681"/>
    <s v="2026-01-12"/>
    <n v="4.2146999999999997"/>
    <n v="0.23730000000000001"/>
    <n v="4.2126999999999999"/>
    <n v="1"/>
    <n v="300"/>
    <s v="POLAND PL"/>
  </r>
  <r>
    <s v="BKMILL"/>
    <n v="152679"/>
    <n v="211056"/>
    <s v="Forward"/>
    <x v="32"/>
    <s v="Sell Fwd"/>
    <s v="EUR"/>
    <n v="-30000"/>
    <s v="PLN"/>
    <n v="126756"/>
    <s v="2026-01-21"/>
    <n v="4.2146999999999997"/>
    <n v="0.23730000000000001"/>
    <n v="4.2279"/>
    <n v="1"/>
    <n v="-81"/>
    <s v="POLAND PL"/>
  </r>
  <r>
    <s v="BKMILL"/>
    <n v="152680"/>
    <n v="211057"/>
    <s v="Forward"/>
    <x v="32"/>
    <s v="Sell Fwd"/>
    <s v="EUR"/>
    <n v="-30000"/>
    <s v="PLN"/>
    <n v="126759"/>
    <s v="2026-01-21"/>
    <n v="4.2148000000000003"/>
    <n v="0.23730000000000001"/>
    <n v="4.2279"/>
    <n v="1"/>
    <n v="-78"/>
    <s v="POLAND PL"/>
  </r>
  <r>
    <s v="BKMILL"/>
    <n v="152681"/>
    <n v="211058"/>
    <s v="Forward"/>
    <x v="32"/>
    <s v="Sell Fwd"/>
    <s v="EUR"/>
    <n v="-30000"/>
    <s v="PLN"/>
    <n v="126762"/>
    <s v="2026-01-21"/>
    <n v="4.2149000000000001"/>
    <n v="0.23730000000000001"/>
    <n v="4.2279"/>
    <n v="1"/>
    <n v="-75"/>
    <s v="POLAND PL"/>
  </r>
  <r>
    <s v="BKMILL"/>
    <n v="152684"/>
    <n v="211064"/>
    <s v="Forward"/>
    <x v="32"/>
    <s v="Sell Fwd"/>
    <s v="EUR"/>
    <n v="-30000"/>
    <s v="PLN"/>
    <n v="126774"/>
    <s v="2026-01-21"/>
    <n v="4.2153"/>
    <n v="0.23719999999999999"/>
    <n v="4.2279"/>
    <n v="1"/>
    <n v="-63"/>
    <s v="POLAND PL"/>
  </r>
  <r>
    <s v="BKMILL"/>
    <n v="152685"/>
    <n v="211067"/>
    <s v="Forward"/>
    <x v="32"/>
    <s v="Sell Fwd"/>
    <s v="EUR"/>
    <n v="-30000"/>
    <s v="PLN"/>
    <n v="126780"/>
    <s v="2026-01-21"/>
    <n v="4.2154999999999996"/>
    <n v="0.23719999999999999"/>
    <n v="4.2279"/>
    <n v="1"/>
    <n v="-57"/>
    <s v="POLAND PL"/>
  </r>
  <r>
    <s v="BKMILL"/>
    <n v="152687"/>
    <n v="211070"/>
    <s v="Forward"/>
    <x v="32"/>
    <s v="Sell Fwd"/>
    <s v="EUR"/>
    <n v="-30000"/>
    <s v="PLN"/>
    <n v="126807"/>
    <s v="2026-01-21"/>
    <n v="4.2164000000000001"/>
    <n v="0.23719999999999999"/>
    <n v="4.2279"/>
    <n v="1"/>
    <n v="-30"/>
    <s v="POLAND PL"/>
  </r>
  <r>
    <s v="BKMILL"/>
    <n v="152696"/>
    <n v="211080"/>
    <s v="Forward"/>
    <x v="32"/>
    <s v="Sell Fwd"/>
    <s v="EUR"/>
    <n v="-10000"/>
    <s v="PLN"/>
    <n v="42271"/>
    <s v="2026-01-12"/>
    <n v="4.2191000000000001"/>
    <n v="0.23699999999999999"/>
    <n v="4.2126999999999999"/>
    <n v="1"/>
    <n v="144"/>
    <s v="POLAND PL"/>
  </r>
  <r>
    <s v="BKMILL"/>
    <n v="152833"/>
    <n v="211330"/>
    <s v="Forward"/>
    <x v="13"/>
    <s v="Buy Fwd"/>
    <s v="EUR"/>
    <n v="500000"/>
    <s v="PLN"/>
    <n v="2107000"/>
    <s v="2026-01-30"/>
    <n v="4.2039999999999997"/>
    <n v="0.2379"/>
    <n v="4.2072000000000003"/>
    <n v="1"/>
    <n v="4210600"/>
    <s v="POLAND PL"/>
  </r>
  <r>
    <s v="BKMILL"/>
    <n v="152845"/>
    <n v="211346"/>
    <s v="Forward"/>
    <x v="22"/>
    <s v="Buy Fwd"/>
    <s v="EUR"/>
    <n v="80000"/>
    <s v="PLN"/>
    <n v="335920"/>
    <s v="2026-01-15"/>
    <n v="4.194"/>
    <n v="0.2384"/>
    <n v="4.2110000000000003"/>
    <n v="1"/>
    <n v="672800"/>
    <s v="POLAND PL"/>
  </r>
  <r>
    <s v="BKMILL"/>
    <n v="153011"/>
    <n v="211595"/>
    <s v="Forward"/>
    <x v="33"/>
    <s v="Buy Fwd"/>
    <s v="EUR"/>
    <n v="50000"/>
    <s v="PLN"/>
    <n v="209840"/>
    <s v="2026-01-09"/>
    <n v="4.1951999999999998"/>
    <n v="0.2384"/>
    <n v="4.2119"/>
    <n v="1"/>
    <n v="420435"/>
    <s v="POLAND PL"/>
  </r>
  <r>
    <s v="BKMILL"/>
    <n v="153071"/>
    <n v="211698"/>
    <s v="Forward"/>
    <x v="34"/>
    <s v="Sell Fwd"/>
    <s v="USD"/>
    <n v="-150000"/>
    <s v="PLN"/>
    <n v="539265"/>
    <s v="2026-01-30"/>
    <n v="3.5924"/>
    <n v="0.27839999999999998"/>
    <n v="3.5188999999999999"/>
    <n v="1"/>
    <n v="11430"/>
    <s v="POLAND PL"/>
  </r>
  <r>
    <s v="BKMILL"/>
    <n v="153100"/>
    <n v="211739"/>
    <s v="Forward"/>
    <x v="35"/>
    <s v="Sell Fwd"/>
    <s v="CNY"/>
    <n v="-2000000"/>
    <s v="PLN"/>
    <n v="1023800"/>
    <s v="2026-01-12"/>
    <n v="0.50960000000000005"/>
    <n v="1.9622999999999999"/>
    <n v="0.51819999999999999"/>
    <n v="1"/>
    <n v="-12600"/>
    <s v="POLAND PL"/>
  </r>
  <r>
    <s v="BKMILL"/>
    <n v="153240"/>
    <n v="211899"/>
    <s v="Forward"/>
    <x v="32"/>
    <s v="Sell Fwd"/>
    <s v="EUR"/>
    <n v="-10000"/>
    <s v="PLN"/>
    <n v="42188"/>
    <s v="2026-01-21"/>
    <n v="4.2100999999999997"/>
    <n v="0.23749999999999999"/>
    <n v="4.2279"/>
    <n v="1"/>
    <n v="-91"/>
    <s v="POLAND PL"/>
  </r>
  <r>
    <s v="BKMILL"/>
    <n v="153874"/>
    <n v="212936"/>
    <s v="Forward"/>
    <x v="24"/>
    <s v="Buy Fwd"/>
    <s v="EUR"/>
    <n v="210000"/>
    <s v="PLN"/>
    <n v="887460"/>
    <s v="2026-01-09"/>
    <n v="4.2252000000000001"/>
    <n v="0.23669999999999999"/>
    <n v="4.2119"/>
    <n v="1"/>
    <n v="1771959"/>
    <s v="POLAND PL"/>
  </r>
  <r>
    <s v="BKMILL"/>
    <n v="153952"/>
    <n v="213058"/>
    <s v="Forward"/>
    <x v="30"/>
    <s v="Sell Fwd"/>
    <s v="USD"/>
    <n v="-200000"/>
    <s v="NOK"/>
    <n v="2013660"/>
    <s v="2026-01-23"/>
    <n v="10.0664"/>
    <n v="9.9299999999999999E-2"/>
    <n v="3.6027999999999998"/>
    <n v="0.36380000000000001"/>
    <n v="12009.508"/>
    <s v="POLAND PL"/>
  </r>
  <r>
    <s v="BKMILL"/>
    <n v="154257"/>
    <n v="883629"/>
    <s v="Spot"/>
    <x v="36"/>
    <s v="Sell"/>
    <s v="EUR"/>
    <n v="-150000"/>
    <s v="SEK"/>
    <n v="1619901"/>
    <s v="2026-01-02"/>
    <n v="10.799300000000001"/>
    <n v="9.2600000000000002E-2"/>
    <n v="4.2267000000000001"/>
    <n v="0.39140000000000003"/>
    <n v="24.2514"/>
    <s v="UNITED KINGDOM GB"/>
  </r>
  <r>
    <s v="BKMILL"/>
    <n v="154323"/>
    <n v="213638"/>
    <s v="Forward"/>
    <x v="37"/>
    <s v="Buy Fwd"/>
    <s v="EUR"/>
    <n v="1080000"/>
    <s v="PLN"/>
    <n v="4573800"/>
    <s v="2026-01-29"/>
    <n v="4.2300000000000004"/>
    <n v="0.2364"/>
    <n v="4.2008999999999999"/>
    <n v="1"/>
    <n v="9110772"/>
    <s v="POLAND PL"/>
  </r>
  <r>
    <s v="BKMILL"/>
    <n v="154373"/>
    <n v="884330"/>
    <s v="Spot"/>
    <x v="38"/>
    <s v="Buy"/>
    <s v="EUR"/>
    <n v="100000"/>
    <s v="SEK"/>
    <n v="-1082390"/>
    <s v="2026-01-02"/>
    <n v="10.8239"/>
    <n v="9.2399999999999996E-2"/>
    <n v="4.2267000000000001"/>
    <n v="0.39140000000000003"/>
    <n v="-977.44600000000003"/>
    <s v="NETHERLANDS NL"/>
  </r>
  <r>
    <s v="BKMILL"/>
    <n v="154406"/>
    <n v="884470"/>
    <s v="Spot"/>
    <x v="39"/>
    <s v="Buy"/>
    <s v="EUR"/>
    <n v="100000"/>
    <s v="DKK"/>
    <n v="-746894"/>
    <s v="2026-01-02"/>
    <n v="7.4688999999999997"/>
    <n v="0.13389999999999999"/>
    <n v="4.2267000000000001"/>
    <n v="0.56620000000000004"/>
    <n v="-221.3828"/>
    <s v="UNITED KINGDOM GB"/>
  </r>
  <r>
    <s v="BKMILL"/>
    <n v="154443"/>
    <n v="884621"/>
    <s v="Spot"/>
    <x v="40"/>
    <s v="Sell"/>
    <s v="GBP"/>
    <n v="-34821.14"/>
    <s v="PLN"/>
    <n v="168753.69"/>
    <s v="2026-01-02"/>
    <n v="4.8463000000000003"/>
    <n v="0.20630000000000001"/>
    <n v="4.8399000000000001"/>
    <n v="1"/>
    <n v="222.85451399999999"/>
    <s v="UNITED STATES OF AMERICA US"/>
  </r>
  <r>
    <s v="BKMILL"/>
    <n v="154444"/>
    <n v="884622"/>
    <s v="Spot"/>
    <x v="41"/>
    <s v="Sell"/>
    <s v="USD"/>
    <n v="-43957.06"/>
    <s v="PLN"/>
    <n v="157770.68"/>
    <s v="2026-01-02"/>
    <n v="3.5891999999999999"/>
    <n v="0.27860000000000001"/>
    <n v="3.6015999999999999"/>
    <n v="1"/>
    <n v="-545.06729600000006"/>
    <s v="GERMANY DE"/>
  </r>
  <r>
    <s v="BKMILL"/>
    <n v="154445"/>
    <n v="884623"/>
    <s v="Spot"/>
    <x v="40"/>
    <s v="Buy"/>
    <s v="CHF"/>
    <n v="18732.64"/>
    <s v="PLN"/>
    <n v="-85370.45"/>
    <s v="2026-01-05"/>
    <n v="4.5572999999999997"/>
    <n v="0.21940000000000001"/>
    <n v="4.5313999999999997"/>
    <n v="1"/>
    <n v="-485.36510399999997"/>
    <s v="UNITED STATES OF AMERICA US"/>
  </r>
  <r>
    <s v="BKMILL"/>
    <n v="154446"/>
    <n v="884624"/>
    <s v="Spot"/>
    <x v="41"/>
    <s v="Sell"/>
    <s v="EUR"/>
    <n v="-53270.47"/>
    <s v="PLN"/>
    <n v="225105.03"/>
    <s v="2026-01-02"/>
    <n v="4.2256999999999998"/>
    <n v="0.2366"/>
    <n v="4.2267000000000001"/>
    <n v="1"/>
    <n v="-53.265549"/>
    <s v="GERMANY DE"/>
  </r>
  <r>
    <s v="BKMILL"/>
    <n v="154447"/>
    <n v="884630"/>
    <s v="Spot"/>
    <x v="42"/>
    <s v="Buy"/>
    <s v="EUR"/>
    <n v="114264.82"/>
    <s v="PLN"/>
    <n v="-483126.51"/>
    <s v="2026-01-02"/>
    <n v="4.2281000000000004"/>
    <n v="0.23649999999999999"/>
    <n v="4.2267000000000001"/>
    <n v="1"/>
    <n v="-163.39530600000001"/>
    <s v="SWITZERLAND CH"/>
  </r>
  <r>
    <s v="BKMILL"/>
    <n v="154448"/>
    <n v="884666"/>
    <s v="Spot"/>
    <x v="41"/>
    <s v="Sell"/>
    <s v="GBP"/>
    <n v="-2117.52"/>
    <s v="PLN"/>
    <n v="10267.85"/>
    <s v="2026-01-02"/>
    <n v="4.8490000000000002"/>
    <n v="0.20619999999999999"/>
    <n v="4.8399000000000001"/>
    <n v="1"/>
    <n v="19.264952000000001"/>
    <s v="GERMANY DE"/>
  </r>
  <r>
    <s v="BKMILL"/>
    <n v="154449"/>
    <n v="884667"/>
    <s v="Spot"/>
    <x v="40"/>
    <s v="Sell"/>
    <s v="USD"/>
    <n v="-13553.2"/>
    <s v="PLN"/>
    <n v="48639.86"/>
    <s v="2026-01-02"/>
    <n v="3.5888"/>
    <n v="0.27860000000000001"/>
    <n v="3.6015999999999999"/>
    <n v="1"/>
    <n v="-173.34512000000001"/>
    <s v="UNITED STATES OF AMERICA US"/>
  </r>
  <r>
    <s v="BKMILL"/>
    <n v="154450"/>
    <n v="884668"/>
    <s v="Spot"/>
    <x v="40"/>
    <s v="Sell"/>
    <s v="CHF"/>
    <n v="-1593.97"/>
    <s v="PLN"/>
    <n v="7256.6"/>
    <s v="2026-01-05"/>
    <n v="4.5525000000000002"/>
    <n v="0.21970000000000001"/>
    <n v="4.5313999999999997"/>
    <n v="1"/>
    <n v="33.684342000000001"/>
    <s v="UNITED STATES OF AMERICA US"/>
  </r>
  <r>
    <s v="BKMILL"/>
    <n v="154451"/>
    <n v="884669"/>
    <s v="Spot"/>
    <x v="43"/>
    <s v="Sell"/>
    <s v="EUR"/>
    <n v="-28860.49"/>
    <s v="PLN"/>
    <n v="121990.41"/>
    <s v="2026-01-02"/>
    <n v="4.2268999999999997"/>
    <n v="0.2366"/>
    <n v="4.2267000000000001"/>
    <n v="1"/>
    <n v="5.7769170000000001"/>
    <s v="FRANCE FR"/>
  </r>
  <r>
    <s v="BKMILL"/>
    <n v="154458"/>
    <n v="884698"/>
    <s v="Spot"/>
    <x v="40"/>
    <s v="Sell"/>
    <s v="EUR"/>
    <n v="-100220.95"/>
    <s v="PLN"/>
    <n v="423691.08"/>
    <s v="2026-01-02"/>
    <n v="4.2275999999999998"/>
    <n v="0.23649999999999999"/>
    <n v="4.2267000000000001"/>
    <n v="1"/>
    <n v="87.190635"/>
    <s v="UNITED STATES OF AMERICA US"/>
  </r>
  <r>
    <s v="BKMILL"/>
    <n v="154460"/>
    <n v="884704"/>
    <s v="Spot"/>
    <x v="42"/>
    <s v="Sell"/>
    <s v="USD"/>
    <n v="-12267.84"/>
    <s v="PLN"/>
    <n v="44046.21"/>
    <s v="2026-01-02"/>
    <n v="3.5903999999999998"/>
    <n v="0.27850000000000003"/>
    <n v="3.6015999999999999"/>
    <n v="1"/>
    <n v="-137.64254399999999"/>
    <s v="SWITZERLAND CH"/>
  </r>
  <r>
    <s v="BKMILL"/>
    <n v="154461"/>
    <n v="884705"/>
    <s v="Spot"/>
    <x v="40"/>
    <s v="Sell"/>
    <s v="CHF"/>
    <n v="-4543.1000000000004"/>
    <s v="PLN"/>
    <n v="20686.64"/>
    <s v="2026-01-05"/>
    <n v="4.5533999999999999"/>
    <n v="0.21959999999999999"/>
    <n v="4.5313999999999997"/>
    <n v="1"/>
    <n v="100.03666"/>
    <s v="UNITED STATES OF AMERICA US"/>
  </r>
  <r>
    <s v="BKMILL"/>
    <n v="154462"/>
    <n v="884706"/>
    <s v="Spot"/>
    <x v="42"/>
    <s v="Sell"/>
    <s v="GBP"/>
    <n v="-785.05"/>
    <s v="PLN"/>
    <n v="3807.9"/>
    <s v="2026-01-02"/>
    <n v="4.8505000000000003"/>
    <n v="0.20619999999999999"/>
    <n v="4.8399000000000001"/>
    <n v="1"/>
    <n v="8.3365050000000007"/>
    <s v="SWITZERLAND CH"/>
  </r>
  <r>
    <s v="BKMILL"/>
    <n v="154463"/>
    <n v="884707"/>
    <s v="Spot"/>
    <x v="42"/>
    <s v="Sell"/>
    <s v="EUR"/>
    <n v="-24106.93"/>
    <s v="PLN"/>
    <n v="101913.25"/>
    <s v="2026-01-02"/>
    <n v="4.2275"/>
    <n v="0.23649999999999999"/>
    <n v="4.2267000000000001"/>
    <n v="1"/>
    <n v="20.488969000000001"/>
    <s v="SWITZERLAND CH"/>
  </r>
  <r>
    <s v="BKMILL"/>
    <n v="154473"/>
    <n v="884785"/>
    <s v="Spot"/>
    <x v="38"/>
    <s v="Buy"/>
    <s v="EUR"/>
    <n v="100000"/>
    <s v="GBP"/>
    <n v="-87152"/>
    <s v="2026-01-02"/>
    <n v="0.87150000000000005"/>
    <n v="1.1474"/>
    <n v="4.2267000000000001"/>
    <n v="4.8399000000000001"/>
    <n v="863.03520000000003"/>
    <s v="NETHERLANDS NL"/>
  </r>
  <r>
    <s v="BKMILL"/>
    <n v="154474"/>
    <n v="884786"/>
    <s v="Spot"/>
    <x v="38"/>
    <s v="Buy"/>
    <s v="EUR"/>
    <n v="100000"/>
    <s v="GBP"/>
    <n v="-87150"/>
    <s v="2026-01-02"/>
    <n v="0.87150000000000005"/>
    <n v="1.1474"/>
    <n v="4.2267000000000001"/>
    <n v="4.8399000000000001"/>
    <n v="872.71500000000003"/>
    <s v="NETHERLANDS NL"/>
  </r>
  <r>
    <s v="BKMILL"/>
    <n v="154476"/>
    <n v="884805"/>
    <s v="Spot"/>
    <x v="38"/>
    <s v="Buy"/>
    <s v="EUR"/>
    <n v="500000"/>
    <s v="PLN"/>
    <n v="-2113340"/>
    <s v="2026-01-02"/>
    <n v="4.2267000000000001"/>
    <n v="0.2366"/>
    <n v="4.2267000000000001"/>
    <n v="1"/>
    <n v="10"/>
    <s v="NETHERLANDS NL"/>
  </r>
  <r>
    <s v="BKMILL"/>
    <n v="154478"/>
    <n v="884813"/>
    <s v="Spot"/>
    <x v="44"/>
    <s v="Buy"/>
    <s v="EUR"/>
    <n v="500000"/>
    <s v="PLN"/>
    <n v="-2113025"/>
    <s v="2026-01-02"/>
    <n v="4.226"/>
    <n v="0.2366"/>
    <n v="4.2267000000000001"/>
    <n v="1"/>
    <n v="325"/>
    <s v="GERMANY DE"/>
  </r>
  <r>
    <s v="BKMILL"/>
    <n v="154480"/>
    <n v="884823"/>
    <s v="Spot"/>
    <x v="44"/>
    <s v="Buy"/>
    <s v="EUR"/>
    <n v="500000"/>
    <s v="PLN"/>
    <n v="-2113050"/>
    <s v="2026-01-02"/>
    <n v="4.2260999999999997"/>
    <n v="0.2366"/>
    <n v="4.2267000000000001"/>
    <n v="1"/>
    <n v="300"/>
    <s v="GERMANY DE"/>
  </r>
  <r>
    <s v="BKMILL"/>
    <n v="154494"/>
    <n v="884971"/>
    <s v="Spot"/>
    <x v="44"/>
    <s v="Buy"/>
    <s v="USD"/>
    <n v="500000"/>
    <s v="PLN"/>
    <n v="-1795690"/>
    <s v="2026-01-02"/>
    <n v="3.5914000000000001"/>
    <n v="0.27839999999999998"/>
    <n v="3.6015999999999999"/>
    <n v="1"/>
    <n v="5110"/>
    <s v="GERMANY DE"/>
  </r>
  <r>
    <s v="BKMILL"/>
    <n v="154505"/>
    <n v="885029"/>
    <s v="Spot"/>
    <x v="45"/>
    <s v="Buy"/>
    <s v="EUR"/>
    <n v="50000"/>
    <s v="NOK"/>
    <n v="-589726.5"/>
    <s v="2026-01-02"/>
    <n v="11.794499999999999"/>
    <n v="8.48E-2"/>
    <n v="4.2267000000000001"/>
    <n v="0.35770000000000002"/>
    <n v="389.83094999999997"/>
    <s v="SWITZERLAND CH"/>
  </r>
  <r>
    <s v="BKMILL"/>
    <n v="154508"/>
    <n v="885071"/>
    <s v="Spot"/>
    <x v="44"/>
    <s v="Sell"/>
    <s v="EUR"/>
    <n v="-500000"/>
    <s v="PLN"/>
    <n v="2114750"/>
    <s v="2026-01-02"/>
    <n v="4.2294999999999998"/>
    <n v="0.2364"/>
    <n v="4.2267000000000001"/>
    <n v="1"/>
    <n v="1400"/>
    <s v="GERMANY DE"/>
  </r>
  <r>
    <s v="BKMILL"/>
    <n v="154511"/>
    <n v="885084"/>
    <s v="Spot"/>
    <x v="44"/>
    <s v="Sell"/>
    <s v="EUR"/>
    <n v="-500000"/>
    <s v="PLN"/>
    <n v="2115105"/>
    <s v="2026-01-02"/>
    <n v="4.2302"/>
    <n v="0.2364"/>
    <n v="4.2267000000000001"/>
    <n v="1"/>
    <n v="1755"/>
    <s v="GERMANY DE"/>
  </r>
  <r>
    <s v="BKMILL"/>
    <n v="154513"/>
    <n v="885091"/>
    <s v="Spot"/>
    <x v="38"/>
    <s v="Sell"/>
    <s v="EUR"/>
    <n v="-500000"/>
    <s v="PLN"/>
    <n v="2115010"/>
    <s v="2026-01-02"/>
    <n v="4.2300000000000004"/>
    <n v="0.2364"/>
    <n v="4.2267000000000001"/>
    <n v="1"/>
    <n v="1660"/>
    <s v="NETHERLANDS NL"/>
  </r>
  <r>
    <s v="BKMILL"/>
    <n v="154514"/>
    <n v="885098"/>
    <s v="Spot"/>
    <x v="46"/>
    <s v="Buy"/>
    <s v="EUR"/>
    <n v="13200"/>
    <s v="PLN"/>
    <n v="-55762.080000000002"/>
    <s v="2026-01-02"/>
    <n v="4.2244000000000002"/>
    <n v="0.23669999999999999"/>
    <n v="4.2267000000000001"/>
    <n v="1"/>
    <n v="30.36"/>
    <s v="POLAND PL"/>
  </r>
  <r>
    <s v="BKMILL"/>
    <n v="154516"/>
    <n v="885105"/>
    <s v="Spot"/>
    <x v="44"/>
    <s v="Sell"/>
    <s v="EUR"/>
    <n v="-500000"/>
    <s v="PLN"/>
    <n v="2114975"/>
    <s v="2026-01-02"/>
    <n v="4.2298999999999998"/>
    <n v="0.2364"/>
    <n v="4.2267000000000001"/>
    <n v="1"/>
    <n v="1625"/>
    <s v="GERMANY DE"/>
  </r>
  <r>
    <s v="BKMILL"/>
    <n v="154517"/>
    <n v="885106"/>
    <s v="Spot"/>
    <x v="47"/>
    <s v="Sell"/>
    <s v="EUR"/>
    <n v="-500000"/>
    <s v="PLN"/>
    <n v="2114960"/>
    <s v="2026-01-02"/>
    <n v="4.2298999999999998"/>
    <n v="0.2364"/>
    <n v="4.2267000000000001"/>
    <n v="1"/>
    <n v="1610"/>
    <s v="FRANCE FR"/>
  </r>
  <r>
    <s v="BKMILL"/>
    <n v="154526"/>
    <n v="885128"/>
    <s v="Spot"/>
    <x v="38"/>
    <s v="Sell"/>
    <s v="EUR"/>
    <n v="-500000"/>
    <s v="PLN"/>
    <n v="2114975"/>
    <s v="2026-01-02"/>
    <n v="4.2298999999999998"/>
    <n v="0.2364"/>
    <n v="4.2267000000000001"/>
    <n v="1"/>
    <n v="1625"/>
    <s v="NETHERLANDS NL"/>
  </r>
  <r>
    <s v="BKMILL"/>
    <n v="154528"/>
    <n v="885136"/>
    <s v="Spot"/>
    <x v="48"/>
    <s v="Buy"/>
    <s v="EUR"/>
    <n v="400000"/>
    <s v="PLN"/>
    <n v="-1690960"/>
    <s v="2026-01-02"/>
    <n v="4.2274000000000003"/>
    <n v="0.2366"/>
    <n v="4.2267000000000001"/>
    <n v="1"/>
    <n v="-280"/>
    <s v="POLAND PL"/>
  </r>
  <r>
    <s v="BKMILL"/>
    <n v="154531"/>
    <n v="885161"/>
    <s v="Spot"/>
    <x v="40"/>
    <s v="Buy"/>
    <s v="EUR"/>
    <n v="500000"/>
    <s v="PLN"/>
    <n v="-2114400"/>
    <s v="2026-01-02"/>
    <n v="4.2287999999999997"/>
    <n v="0.23649999999999999"/>
    <n v="4.2267000000000001"/>
    <n v="1"/>
    <n v="-1050"/>
    <s v="UNITED STATES OF AMERICA US"/>
  </r>
  <r>
    <s v="BKMILL"/>
    <n v="154540"/>
    <n v="885237"/>
    <s v="Spot"/>
    <x v="38"/>
    <s v="Sell"/>
    <s v="EUR"/>
    <n v="-500000"/>
    <s v="PLN"/>
    <n v="2115040"/>
    <s v="2026-01-02"/>
    <n v="4.2301000000000002"/>
    <n v="0.2364"/>
    <n v="4.2267000000000001"/>
    <n v="1"/>
    <n v="1690"/>
    <s v="NETHERLANDS NL"/>
  </r>
  <r>
    <s v="BKMILL"/>
    <n v="154544"/>
    <n v="885272"/>
    <s v="Spot"/>
    <x v="36"/>
    <s v="Buy"/>
    <s v="EUR"/>
    <n v="100000"/>
    <s v="GBP"/>
    <n v="-87072"/>
    <s v="2026-01-02"/>
    <n v="0.87070000000000003"/>
    <n v="1.1485000000000001"/>
    <n v="4.2267000000000001"/>
    <n v="4.8399000000000001"/>
    <n v="1250.2272"/>
    <s v="UNITED KINGDOM GB"/>
  </r>
  <r>
    <s v="BKMILL"/>
    <n v="154550"/>
    <n v="885315"/>
    <s v="Spot"/>
    <x v="44"/>
    <s v="Buy"/>
    <s v="USD"/>
    <n v="500000"/>
    <s v="PLN"/>
    <n v="-1795900"/>
    <s v="2026-01-02"/>
    <n v="3.5918000000000001"/>
    <n v="0.27839999999999998"/>
    <n v="3.6015999999999999"/>
    <n v="1"/>
    <n v="4900"/>
    <s v="GERMANY DE"/>
  </r>
  <r>
    <s v="BKMILL"/>
    <n v="154551"/>
    <n v="885316"/>
    <s v="Spot"/>
    <x v="44"/>
    <s v="Buy"/>
    <s v="USD"/>
    <n v="500000"/>
    <s v="PLN"/>
    <n v="-1795850"/>
    <s v="2026-01-02"/>
    <n v="3.5916999999999999"/>
    <n v="0.27839999999999998"/>
    <n v="3.6015999999999999"/>
    <n v="1"/>
    <n v="4950"/>
    <s v="GERMANY DE"/>
  </r>
  <r>
    <s v="BKMILL"/>
    <n v="154562"/>
    <n v="885428"/>
    <s v="Spot"/>
    <x v="41"/>
    <s v="Sell"/>
    <s v="USD"/>
    <n v="-500000"/>
    <s v="PLN"/>
    <n v="1796050"/>
    <s v="2026-01-02"/>
    <n v="3.5920999999999998"/>
    <n v="0.27839999999999998"/>
    <n v="3.6015999999999999"/>
    <n v="1"/>
    <n v="-4750"/>
    <s v="GERMANY DE"/>
  </r>
  <r>
    <s v="BKMILL"/>
    <n v="154569"/>
    <n v="885470"/>
    <s v="Spot"/>
    <x v="44"/>
    <s v="Buy"/>
    <s v="EUR"/>
    <n v="500000"/>
    <s v="PLN"/>
    <n v="-2114450"/>
    <s v="2026-01-02"/>
    <n v="4.2289000000000003"/>
    <n v="0.23649999999999999"/>
    <n v="4.2267000000000001"/>
    <n v="1"/>
    <n v="-1100"/>
    <s v="GERMANY DE"/>
  </r>
  <r>
    <s v="BKMILL"/>
    <n v="154574"/>
    <n v="885522"/>
    <s v="Spot"/>
    <x v="38"/>
    <s v="Buy"/>
    <s v="EUR"/>
    <n v="500000"/>
    <s v="PLN"/>
    <n v="-2114110"/>
    <s v="2026-01-02"/>
    <n v="4.2282000000000002"/>
    <n v="0.23649999999999999"/>
    <n v="4.2267000000000001"/>
    <n v="1"/>
    <n v="-760"/>
    <s v="NETHERLANDS NL"/>
  </r>
  <r>
    <s v="BKMILL"/>
    <n v="154581"/>
    <n v="885617"/>
    <s v="Spot"/>
    <x v="38"/>
    <s v="Sell"/>
    <s v="EUR"/>
    <n v="-500000"/>
    <s v="PLN"/>
    <n v="2114095"/>
    <s v="2026-01-02"/>
    <n v="4.2282000000000002"/>
    <n v="0.23649999999999999"/>
    <n v="4.2267000000000001"/>
    <n v="1"/>
    <n v="745"/>
    <s v="NETHERLANDS NL"/>
  </r>
  <r>
    <s v="BKMILL"/>
    <n v="154584"/>
    <n v="885636"/>
    <s v="Spot"/>
    <x v="40"/>
    <s v="Buy"/>
    <s v="EUR"/>
    <n v="300000"/>
    <s v="CZK"/>
    <n v="-7277220"/>
    <s v="2026-01-02"/>
    <n v="24.257400000000001"/>
    <n v="4.1200000000000001E-2"/>
    <n v="4.2267000000000001"/>
    <n v="0.17460000000000001"/>
    <n v="-2592.6120000000001"/>
    <s v="UNITED STATES OF AMERICA US"/>
  </r>
  <r>
    <s v="BKMILL"/>
    <n v="154585"/>
    <n v="885637"/>
    <s v="Spot"/>
    <x v="40"/>
    <s v="Sell"/>
    <s v="EUR"/>
    <n v="-500000"/>
    <s v="PLN"/>
    <n v="2114350"/>
    <s v="2026-01-02"/>
    <n v="4.2286999999999999"/>
    <n v="0.23649999999999999"/>
    <n v="4.2267000000000001"/>
    <n v="1"/>
    <n v="1000"/>
    <s v="UNITED STATES OF AMERICA US"/>
  </r>
  <r>
    <s v="BKMILL"/>
    <n v="154602"/>
    <n v="885739"/>
    <s v="Spot"/>
    <x v="40"/>
    <s v="Buy"/>
    <s v="USD"/>
    <n v="500000"/>
    <s v="PLN"/>
    <n v="-1796650"/>
    <s v="2026-01-02"/>
    <n v="3.5933000000000002"/>
    <n v="0.27829999999999999"/>
    <n v="3.6015999999999999"/>
    <n v="1"/>
    <n v="4150"/>
    <s v="UNITED STATES OF AMERICA US"/>
  </r>
  <r>
    <s v="BKMILL"/>
    <n v="154603"/>
    <n v="885740"/>
    <s v="Spot"/>
    <x v="40"/>
    <s v="Sell"/>
    <s v="EUR"/>
    <n v="-500000"/>
    <s v="USD"/>
    <n v="588315"/>
    <s v="2026-01-02"/>
    <n v="1.1766000000000001"/>
    <n v="0.84989999999999999"/>
    <n v="4.2267000000000001"/>
    <n v="3.6015999999999999"/>
    <n v="5525.3040000000001"/>
    <s v="UNITED STATES OF AMERICA US"/>
  </r>
  <r>
    <s v="BKMILL"/>
    <n v="154606"/>
    <n v="885753"/>
    <s v="Spot"/>
    <x v="39"/>
    <s v="Buy"/>
    <s v="USD"/>
    <n v="500000"/>
    <s v="PLN"/>
    <n v="-1796220"/>
    <s v="2026-01-02"/>
    <n v="3.5924"/>
    <n v="0.27839999999999998"/>
    <n v="3.6015999999999999"/>
    <n v="1"/>
    <n v="4580"/>
    <s v="UNITED KINGDOM GB"/>
  </r>
  <r>
    <s v="BKMILL"/>
    <n v="154611"/>
    <n v="885785"/>
    <s v="Spot"/>
    <x v="49"/>
    <s v="Buy"/>
    <s v="EUR"/>
    <n v="350000"/>
    <s v="PLN"/>
    <n v="-1478365"/>
    <s v="2026-01-02"/>
    <n v="4.2239000000000004"/>
    <n v="0.23669999999999999"/>
    <n v="4.2267000000000001"/>
    <n v="1"/>
    <n v="980"/>
    <s v="POLAND PL"/>
  </r>
  <r>
    <s v="BKMILL"/>
    <n v="154612"/>
    <n v="885806"/>
    <s v="Spot"/>
    <x v="44"/>
    <s v="Sell"/>
    <s v="EUR"/>
    <n v="-500000"/>
    <s v="PLN"/>
    <n v="2114015"/>
    <s v="2026-01-02"/>
    <n v="4.2279999999999998"/>
    <n v="0.23649999999999999"/>
    <n v="4.2267000000000001"/>
    <n v="1"/>
    <n v="665"/>
    <s v="GERMANY DE"/>
  </r>
  <r>
    <s v="BKMILL"/>
    <n v="154613"/>
    <n v="885810"/>
    <s v="Spot"/>
    <x v="47"/>
    <s v="Sell"/>
    <s v="EUR"/>
    <n v="-500000"/>
    <s v="PLN"/>
    <n v="2113950"/>
    <s v="2026-01-02"/>
    <n v="4.2279"/>
    <n v="0.23649999999999999"/>
    <n v="4.2267000000000001"/>
    <n v="1"/>
    <n v="600"/>
    <s v="FRANCE FR"/>
  </r>
  <r>
    <s v="BKMILL"/>
    <n v="154628"/>
    <n v="885883"/>
    <s v="Spot"/>
    <x v="40"/>
    <s v="Sell"/>
    <s v="EUR"/>
    <n v="-500000"/>
    <s v="USD"/>
    <n v="588155"/>
    <s v="2026-01-02"/>
    <n v="1.1762999999999999"/>
    <n v="0.85009999999999997"/>
    <n v="4.2267000000000001"/>
    <n v="3.6015999999999999"/>
    <n v="4949.0479999999998"/>
    <s v="UNITED STATES OF AMERICA US"/>
  </r>
  <r>
    <s v="BKMILL"/>
    <n v="154629"/>
    <n v="885884"/>
    <s v="Spot"/>
    <x v="40"/>
    <s v="Sell"/>
    <s v="EUR"/>
    <n v="-500000"/>
    <s v="USD"/>
    <n v="588155"/>
    <s v="2026-01-02"/>
    <n v="1.1762999999999999"/>
    <n v="0.85009999999999997"/>
    <n v="4.2267000000000001"/>
    <n v="3.6015999999999999"/>
    <n v="4949.0479999999998"/>
    <s v="UNITED STATES OF AMERICA US"/>
  </r>
  <r>
    <s v="BKMILL"/>
    <n v="154634"/>
    <n v="885943"/>
    <s v="Spot"/>
    <x v="40"/>
    <s v="Sell"/>
    <s v="EUR"/>
    <n v="-100000"/>
    <s v="USD"/>
    <n v="117645"/>
    <s v="2026-01-02"/>
    <n v="1.1763999999999999"/>
    <n v="0.85"/>
    <n v="4.2267000000000001"/>
    <n v="3.6015999999999999"/>
    <n v="1040.232"/>
    <s v="UNITED STATES OF AMERICA US"/>
  </r>
  <r>
    <s v="BKMILL"/>
    <n v="154643"/>
    <n v="886058"/>
    <s v="Spot"/>
    <x v="40"/>
    <s v="Sell"/>
    <s v="EUR"/>
    <n v="-100000"/>
    <s v="USD"/>
    <n v="117620"/>
    <s v="2026-01-02"/>
    <n v="1.1761999999999999"/>
    <n v="0.85019999999999996"/>
    <n v="4.2267000000000001"/>
    <n v="3.6015999999999999"/>
    <n v="950.19200000000001"/>
    <s v="UNITED STATES OF AMERICA US"/>
  </r>
  <r>
    <s v="BKMILL"/>
    <n v="154644"/>
    <n v="886059"/>
    <s v="Spot"/>
    <x v="40"/>
    <s v="Sell"/>
    <s v="EUR"/>
    <n v="-100000"/>
    <s v="USD"/>
    <n v="117622"/>
    <s v="2026-01-02"/>
    <n v="1.1761999999999999"/>
    <n v="0.85019999999999996"/>
    <n v="4.2267000000000001"/>
    <n v="3.6015999999999999"/>
    <n v="957.39520000000005"/>
    <s v="UNITED STATES OF AMERICA US"/>
  </r>
  <r>
    <s v="BKMILL"/>
    <n v="154647"/>
    <n v="886082"/>
    <s v="Spot"/>
    <x v="38"/>
    <s v="Sell"/>
    <s v="EUR"/>
    <n v="-5100000"/>
    <s v="CHF"/>
    <n v="4741266"/>
    <s v="2026-01-05"/>
    <n v="0.92969999999999997"/>
    <n v="1.0757000000000001"/>
    <n v="4.2156000000000002"/>
    <n v="4.5313999999999997"/>
    <n v="-14987.247600000001"/>
    <s v="NETHERLANDS NL"/>
  </r>
  <r>
    <s v="BKMILL"/>
    <n v="154648"/>
    <n v="886083"/>
    <s v="Spot"/>
    <x v="44"/>
    <s v="Buy"/>
    <s v="EUR"/>
    <n v="500000"/>
    <s v="PLN"/>
    <n v="-2112250"/>
    <s v="2026-01-02"/>
    <n v="4.2244999999999999"/>
    <n v="0.23669999999999999"/>
    <n v="4.2267000000000001"/>
    <n v="1"/>
    <n v="1100"/>
    <s v="GERMANY DE"/>
  </r>
  <r>
    <s v="BKMILL"/>
    <n v="154649"/>
    <n v="886086"/>
    <s v="Spot"/>
    <x v="50"/>
    <s v="Buy"/>
    <s v="SEK"/>
    <n v="320000"/>
    <s v="PLN"/>
    <n v="-124896"/>
    <s v="2026-01-05"/>
    <n v="0.39029999999999998"/>
    <n v="2.5621"/>
    <n v="0.3896"/>
    <n v="1"/>
    <n v="-224"/>
    <s v="POLAND PL"/>
  </r>
  <r>
    <s v="BKMILL"/>
    <n v="154650"/>
    <n v="886087"/>
    <s v="Spot"/>
    <x v="39"/>
    <s v="Buy"/>
    <s v="EUR"/>
    <n v="500000"/>
    <s v="PLN"/>
    <n v="-2112215"/>
    <s v="2026-01-02"/>
    <n v="4.2244000000000002"/>
    <n v="0.23669999999999999"/>
    <n v="4.2267000000000001"/>
    <n v="1"/>
    <n v="1135"/>
    <s v="UNITED KINGDOM GB"/>
  </r>
  <r>
    <s v="BKMILL"/>
    <n v="154651"/>
    <n v="886088"/>
    <s v="Spot"/>
    <x v="44"/>
    <s v="Buy"/>
    <s v="USD"/>
    <n v="100000"/>
    <s v="PLN"/>
    <n v="-359290"/>
    <s v="2026-01-02"/>
    <n v="3.5929000000000002"/>
    <n v="0.27829999999999999"/>
    <n v="3.6015999999999999"/>
    <n v="1"/>
    <n v="870"/>
    <s v="GERMANY DE"/>
  </r>
  <r>
    <s v="BKMILL"/>
    <n v="154652"/>
    <n v="886091"/>
    <s v="Spot"/>
    <x v="44"/>
    <s v="Buy"/>
    <s v="EUR"/>
    <n v="500000"/>
    <s v="PLN"/>
    <n v="-2112085"/>
    <s v="2026-01-02"/>
    <n v="4.2241999999999997"/>
    <n v="0.23669999999999999"/>
    <n v="4.2267000000000001"/>
    <n v="1"/>
    <n v="1265"/>
    <s v="GERMANY DE"/>
  </r>
  <r>
    <s v="BKMILL"/>
    <n v="154653"/>
    <n v="886098"/>
    <s v="Spot"/>
    <x v="50"/>
    <s v="Buy"/>
    <s v="NOK"/>
    <n v="600000"/>
    <s v="PLN"/>
    <n v="-214260"/>
    <s v="2026-01-02"/>
    <n v="0.35709999999999997"/>
    <n v="2.8003"/>
    <n v="0.35770000000000002"/>
    <n v="1"/>
    <n v="360"/>
    <s v="POLAND PL"/>
  </r>
  <r>
    <s v="BKMILL"/>
    <n v="154654"/>
    <n v="886099"/>
    <s v="Spot"/>
    <x v="44"/>
    <s v="Buy"/>
    <s v="EUR"/>
    <n v="500000"/>
    <s v="PLN"/>
    <n v="-2112025"/>
    <s v="2026-01-02"/>
    <n v="4.2241"/>
    <n v="0.23669999999999999"/>
    <n v="4.2267000000000001"/>
    <n v="1"/>
    <n v="1325"/>
    <s v="GERMANY DE"/>
  </r>
  <r>
    <s v="BKMILL"/>
    <n v="154655"/>
    <n v="886108"/>
    <s v="Spot"/>
    <x v="36"/>
    <s v="Sell"/>
    <s v="EUR"/>
    <n v="-100000"/>
    <s v="GBP"/>
    <n v="87203"/>
    <s v="2026-01-02"/>
    <n v="0.872"/>
    <n v="1.1467000000000001"/>
    <n v="4.2267000000000001"/>
    <n v="4.8399000000000001"/>
    <n v="-616.20029999999997"/>
    <s v="UNITED KINGDOM GB"/>
  </r>
  <r>
    <s v="BKMILL"/>
    <n v="154656"/>
    <n v="886111"/>
    <s v="Spot"/>
    <x v="50"/>
    <s v="Buy"/>
    <s v="DKK"/>
    <n v="880000"/>
    <s v="PLN"/>
    <n v="-497640"/>
    <s v="2026-01-05"/>
    <n v="0.5655"/>
    <n v="1.7683"/>
    <n v="0.56440000000000001"/>
    <n v="1"/>
    <n v="-968"/>
    <s v="POLAND PL"/>
  </r>
  <r>
    <s v="BKMILL"/>
    <n v="154657"/>
    <n v="886123"/>
    <s v="Spot"/>
    <x v="44"/>
    <s v="Buy"/>
    <s v="EUR"/>
    <n v="500000"/>
    <s v="PLN"/>
    <n v="-2112200"/>
    <s v="2026-01-02"/>
    <n v="4.2244000000000002"/>
    <n v="0.23669999999999999"/>
    <n v="4.2267000000000001"/>
    <n v="1"/>
    <n v="1150"/>
    <s v="GERMANY DE"/>
  </r>
  <r>
    <s v="BKMILL"/>
    <n v="154658"/>
    <n v="886132"/>
    <s v="Spot"/>
    <x v="44"/>
    <s v="Buy"/>
    <s v="EUR"/>
    <n v="500000"/>
    <s v="PLN"/>
    <n v="-2112200"/>
    <s v="2026-01-02"/>
    <n v="4.2244000000000002"/>
    <n v="0.23669999999999999"/>
    <n v="4.2267000000000001"/>
    <n v="1"/>
    <n v="1150"/>
    <s v="GERMANY DE"/>
  </r>
  <r>
    <s v="BKMILL"/>
    <n v="154661"/>
    <n v="886152"/>
    <s v="Spot"/>
    <x v="41"/>
    <s v="Buy"/>
    <s v="EUR"/>
    <n v="200000"/>
    <s v="CNY"/>
    <n v="-1643910"/>
    <s v="2026-01-05"/>
    <n v="8.2195"/>
    <n v="0.1217"/>
    <n v="4.2156000000000002"/>
    <n v="0.51529999999999998"/>
    <n v="-3986.8229999999999"/>
    <s v="GERMANY DE"/>
  </r>
  <r>
    <s v="BKMILL"/>
    <n v="154662"/>
    <n v="886156"/>
    <s v="Spot"/>
    <x v="40"/>
    <s v="Sell"/>
    <s v="USD"/>
    <n v="-100000"/>
    <s v="JPY"/>
    <n v="15622500"/>
    <s v="2026-01-06"/>
    <n v="156.22499999999999"/>
    <n v="6.4000000000000003E-3"/>
    <n v="3.6044999999999998"/>
    <n v="2.2968999999999999"/>
    <n v="35522870.25"/>
    <s v="UNITED STATES OF AMERICA US"/>
  </r>
  <r>
    <s v="BKMILL"/>
    <n v="154664"/>
    <n v="886160"/>
    <s v="Spot"/>
    <x v="44"/>
    <s v="Buy"/>
    <s v="EUR"/>
    <n v="300000"/>
    <s v="PLN"/>
    <n v="-1267290"/>
    <s v="2026-01-02"/>
    <n v="4.2243000000000004"/>
    <n v="0.23669999999999999"/>
    <n v="4.2267000000000001"/>
    <n v="1"/>
    <n v="720"/>
    <s v="GERMANY DE"/>
  </r>
  <r>
    <s v="BKMILL"/>
    <n v="154667"/>
    <n v="886176"/>
    <s v="Spot"/>
    <x v="43"/>
    <s v="Buy"/>
    <s v="EUR"/>
    <n v="100000"/>
    <s v="NOK"/>
    <n v="-1182673"/>
    <s v="2026-01-02"/>
    <n v="11.826700000000001"/>
    <n v="8.4599999999999995E-2"/>
    <n v="4.2267000000000001"/>
    <n v="0.35770000000000002"/>
    <n v="-372.13209999999998"/>
    <s v="FRANCE FR"/>
  </r>
  <r>
    <s v="BKMILL"/>
    <n v="154668"/>
    <n v="886187"/>
    <s v="Spot"/>
    <x v="39"/>
    <s v="Buy"/>
    <s v="EUR"/>
    <n v="200000"/>
    <s v="DKK"/>
    <n v="-1493746"/>
    <s v="2026-01-05"/>
    <n v="7.4687000000000001"/>
    <n v="0.13389999999999999"/>
    <n v="4.2156000000000002"/>
    <n v="0.56440000000000001"/>
    <n v="49.757599999999996"/>
    <s v="UNITED KINGDOM GB"/>
  </r>
  <r>
    <s v="BKMILL"/>
    <n v="154671"/>
    <n v="886224"/>
    <s v="Spot"/>
    <x v="39"/>
    <s v="Sell"/>
    <s v="EUR"/>
    <n v="-500000"/>
    <s v="PLN"/>
    <n v="2112430"/>
    <s v="2026-01-02"/>
    <n v="4.2248999999999999"/>
    <n v="0.23669999999999999"/>
    <n v="4.2267000000000001"/>
    <n v="1"/>
    <n v="-920"/>
    <s v="UNITED KINGDOM GB"/>
  </r>
  <r>
    <s v="BKMILL"/>
    <n v="154672"/>
    <n v="886228"/>
    <s v="Spot"/>
    <x v="40"/>
    <s v="Sell"/>
    <s v="EUR"/>
    <n v="-100000"/>
    <s v="USD"/>
    <n v="117606"/>
    <s v="2026-01-02"/>
    <n v="1.1760999999999999"/>
    <n v="0.85029999999999994"/>
    <n v="4.2267000000000001"/>
    <n v="3.6015999999999999"/>
    <n v="899.76959999999997"/>
    <s v="UNITED STATES OF AMERICA US"/>
  </r>
  <r>
    <s v="BKMILL"/>
    <n v="154673"/>
    <n v="886229"/>
    <s v="Spot"/>
    <x v="40"/>
    <s v="Sell"/>
    <s v="EUR"/>
    <n v="-100000"/>
    <s v="USD"/>
    <n v="117605"/>
    <s v="2026-01-02"/>
    <n v="1.1760999999999999"/>
    <n v="0.85029999999999994"/>
    <n v="4.2267000000000001"/>
    <n v="3.6015999999999999"/>
    <n v="896.16800000000001"/>
    <s v="UNITED STATES OF AMERICA US"/>
  </r>
  <r>
    <s v="BKMILL"/>
    <n v="154674"/>
    <n v="886230"/>
    <s v="Spot"/>
    <x v="40"/>
    <s v="Sell"/>
    <s v="EUR"/>
    <n v="-100000"/>
    <s v="USD"/>
    <n v="117609"/>
    <s v="2026-01-02"/>
    <n v="1.1760999999999999"/>
    <n v="0.85029999999999994"/>
    <n v="4.2267000000000001"/>
    <n v="3.6015999999999999"/>
    <n v="910.57439999999997"/>
    <s v="UNITED STATES OF AMERICA US"/>
  </r>
  <r>
    <s v="BKMILL"/>
    <n v="154676"/>
    <n v="886246"/>
    <s v="Spot"/>
    <x v="39"/>
    <s v="Buy"/>
    <s v="EUR"/>
    <n v="500000"/>
    <s v="PLN"/>
    <n v="-2110815"/>
    <s v="2026-01-02"/>
    <n v="4.2215999999999996"/>
    <n v="0.2369"/>
    <n v="4.2267000000000001"/>
    <n v="1"/>
    <n v="2535"/>
    <s v="UNITED KINGDOM GB"/>
  </r>
  <r>
    <s v="BKMILL"/>
    <n v="154678"/>
    <n v="886251"/>
    <s v="Spot"/>
    <x v="41"/>
    <s v="Buy"/>
    <s v="EUR"/>
    <n v="500000"/>
    <s v="PLN"/>
    <n v="-2111100"/>
    <s v="2026-01-02"/>
    <n v="4.2222"/>
    <n v="0.23680000000000001"/>
    <n v="4.2267000000000001"/>
    <n v="1"/>
    <n v="2250"/>
    <s v="GERMANY DE"/>
  </r>
  <r>
    <s v="BKMILL"/>
    <n v="154679"/>
    <n v="886252"/>
    <s v="Spot"/>
    <x v="44"/>
    <s v="Buy"/>
    <s v="EUR"/>
    <n v="500000"/>
    <s v="PLN"/>
    <n v="-2111050"/>
    <s v="2026-01-02"/>
    <n v="4.2221000000000002"/>
    <n v="0.23680000000000001"/>
    <n v="4.2267000000000001"/>
    <n v="1"/>
    <n v="2300"/>
    <s v="GERMANY DE"/>
  </r>
  <r>
    <s v="BKMILL"/>
    <n v="154685"/>
    <n v="886301"/>
    <s v="Spot"/>
    <x v="40"/>
    <s v="Buy"/>
    <s v="EUR"/>
    <n v="5000000"/>
    <s v="PLN"/>
    <n v="-21104000"/>
    <s v="2026-01-02"/>
    <n v="4.2207999999999997"/>
    <n v="0.2369"/>
    <n v="4.2267000000000001"/>
    <n v="1"/>
    <n v="29500"/>
    <s v="UNITED STATES OF AMERICA US"/>
  </r>
  <r>
    <s v="BKMILL"/>
    <n v="154686"/>
    <n v="886302"/>
    <s v="Spot"/>
    <x v="40"/>
    <s v="Buy"/>
    <s v="EUR"/>
    <n v="400000"/>
    <s v="PLN"/>
    <n v="-1687600"/>
    <s v="2026-01-02"/>
    <n v="4.2190000000000003"/>
    <n v="0.23699999999999999"/>
    <n v="4.2267000000000001"/>
    <n v="1"/>
    <n v="3080"/>
    <s v="UNITED STATES OF AMERICA US"/>
  </r>
  <r>
    <s v="BKMILL"/>
    <n v="154689"/>
    <n v="886319"/>
    <s v="Spot"/>
    <x v="41"/>
    <s v="Sell"/>
    <s v="EUR"/>
    <n v="-105328"/>
    <s v="PLN"/>
    <n v="444536.82"/>
    <s v="2026-01-02"/>
    <n v="4.2205000000000004"/>
    <n v="0.2369"/>
    <n v="4.2267000000000001"/>
    <n v="1"/>
    <n v="-653.0376"/>
    <s v="GERMANY DE"/>
  </r>
  <r>
    <s v="BKMILL"/>
    <n v="154690"/>
    <n v="886321"/>
    <s v="Spot"/>
    <x v="42"/>
    <s v="Sell"/>
    <s v="EUR"/>
    <n v="-114944.65"/>
    <s v="PLN"/>
    <n v="485213.55"/>
    <s v="2026-01-02"/>
    <n v="4.2213000000000003"/>
    <n v="0.2369"/>
    <n v="4.2267000000000001"/>
    <n v="1"/>
    <n v="-623.00215500000002"/>
    <s v="SWITZERLAND CH"/>
  </r>
  <r>
    <s v="BKMILL"/>
    <n v="154691"/>
    <n v="886322"/>
    <s v="Spot"/>
    <x v="36"/>
    <s v="Buy"/>
    <s v="USD"/>
    <n v="2877.42"/>
    <s v="PLN"/>
    <n v="-10325.42"/>
    <s v="2026-01-02"/>
    <n v="3.5884"/>
    <n v="0.2787"/>
    <n v="3.6015999999999999"/>
    <n v="1"/>
    <n v="37.895871999999997"/>
    <s v="UNITED KINGDOM GB"/>
  </r>
  <r>
    <s v="BKMILL"/>
    <n v="154692"/>
    <n v="886323"/>
    <s v="Spot"/>
    <x v="41"/>
    <s v="Sell"/>
    <s v="CHF"/>
    <n v="-2960.16"/>
    <s v="PLN"/>
    <n v="13429.95"/>
    <s v="2026-01-05"/>
    <n v="4.5369000000000002"/>
    <n v="0.22040000000000001"/>
    <n v="4.5313999999999997"/>
    <n v="1"/>
    <n v="16.280975999999999"/>
    <s v="GERMANY DE"/>
  </r>
  <r>
    <s v="BKMILL"/>
    <n v="154693"/>
    <n v="886324"/>
    <s v="Spot"/>
    <x v="42"/>
    <s v="Buy"/>
    <s v="GBP"/>
    <n v="37584.959999999999"/>
    <s v="PLN"/>
    <n v="-181773.65"/>
    <s v="2026-01-02"/>
    <n v="4.8362999999999996"/>
    <n v="0.20680000000000001"/>
    <n v="4.8399000000000001"/>
    <n v="1"/>
    <n v="133.79790399999999"/>
    <s v="SWITZERLAND CH"/>
  </r>
  <r>
    <s v="BKMILL"/>
    <n v="154694"/>
    <n v="886325"/>
    <s v="Spot"/>
    <x v="41"/>
    <s v="Sell"/>
    <s v="EUR"/>
    <n v="-25274.48"/>
    <s v="PLN"/>
    <n v="106688.63"/>
    <s v="2026-01-02"/>
    <n v="4.2211999999999996"/>
    <n v="0.2369"/>
    <n v="4.2267000000000001"/>
    <n v="1"/>
    <n v="-139.01461599999999"/>
    <s v="GERMANY DE"/>
  </r>
  <r>
    <s v="BKMILL"/>
    <n v="154695"/>
    <n v="886331"/>
    <s v="Spot"/>
    <x v="41"/>
    <s v="Sell"/>
    <s v="EUR"/>
    <n v="-100051.04"/>
    <s v="PLN"/>
    <n v="422575.57"/>
    <s v="2026-01-02"/>
    <n v="4.2236000000000002"/>
    <n v="0.23680000000000001"/>
    <n v="4.2267000000000001"/>
    <n v="1"/>
    <n v="-310.16076800000002"/>
    <s v="GERMANY DE"/>
  </r>
  <r>
    <s v="BKMILL"/>
    <n v="154696"/>
    <n v="886333"/>
    <s v="Spot"/>
    <x v="41"/>
    <s v="Sell"/>
    <s v="EUR"/>
    <n v="-100722.44"/>
    <s v="PLN"/>
    <n v="425230"/>
    <s v="2026-01-02"/>
    <n v="4.2218"/>
    <n v="0.2369"/>
    <n v="4.2267000000000001"/>
    <n v="1"/>
    <n v="-493.537148"/>
    <s v="GERMANY DE"/>
  </r>
  <r>
    <s v="BKMILL"/>
    <n v="154697"/>
    <n v="886335"/>
    <s v="Spot"/>
    <x v="40"/>
    <s v="Sell"/>
    <s v="EUR"/>
    <n v="-101957.08"/>
    <s v="PLN"/>
    <n v="430468.91"/>
    <s v="2026-01-02"/>
    <n v="4.2221000000000002"/>
    <n v="0.2369"/>
    <n v="4.2267000000000001"/>
    <n v="1"/>
    <n v="-473.08003600000001"/>
    <s v="UNITED STATES OF AMERICA US"/>
  </r>
  <r>
    <s v="BKMILL"/>
    <n v="154698"/>
    <n v="886336"/>
    <s v="Spot"/>
    <x v="41"/>
    <s v="Buy"/>
    <s v="USD"/>
    <n v="22584.45"/>
    <s v="PLN"/>
    <n v="-81186.58"/>
    <s v="2026-01-02"/>
    <n v="3.5948000000000002"/>
    <n v="0.2782"/>
    <n v="3.6015999999999999"/>
    <n v="1"/>
    <n v="153.57512"/>
    <s v="GERMANY DE"/>
  </r>
  <r>
    <s v="BKMILL"/>
    <n v="154699"/>
    <n v="886337"/>
    <s v="Spot"/>
    <x v="40"/>
    <s v="Sell"/>
    <s v="CHF"/>
    <n v="-350.84"/>
    <s v="PLN"/>
    <n v="1592.52"/>
    <s v="2026-01-05"/>
    <n v="4.5392000000000001"/>
    <n v="0.2203"/>
    <n v="4.5313999999999997"/>
    <n v="1"/>
    <n v="2.723624"/>
    <s v="UNITED STATES OF AMERICA US"/>
  </r>
  <r>
    <s v="BKMILL"/>
    <n v="154700"/>
    <n v="886338"/>
    <s v="Spot"/>
    <x v="36"/>
    <s v="Sell"/>
    <s v="GBP"/>
    <n v="-13543.91"/>
    <s v="PLN"/>
    <n v="65548.87"/>
    <s v="2026-01-02"/>
    <n v="4.8396999999999997"/>
    <n v="0.20660000000000001"/>
    <n v="4.8399000000000001"/>
    <n v="1"/>
    <n v="-2.3000090000000002"/>
    <s v="UNITED KINGDOM GB"/>
  </r>
  <r>
    <s v="BKMILL"/>
    <n v="154701"/>
    <n v="886339"/>
    <s v="Spot"/>
    <x v="42"/>
    <s v="Sell"/>
    <s v="EUR"/>
    <n v="-8677.5"/>
    <s v="PLN"/>
    <n v="36634.410000000003"/>
    <s v="2026-01-02"/>
    <n v="4.2218"/>
    <n v="0.2369"/>
    <n v="4.2267000000000001"/>
    <n v="1"/>
    <n v="-42.779249999999998"/>
    <s v="SWITZERLAND CH"/>
  </r>
  <r>
    <s v="BKMILL"/>
    <n v="154702"/>
    <n v="886345"/>
    <s v="Spot"/>
    <x v="41"/>
    <s v="Sell"/>
    <s v="EUR"/>
    <n v="-100232.78"/>
    <s v="PLN"/>
    <n v="423192.82"/>
    <s v="2026-01-02"/>
    <n v="4.2221000000000002"/>
    <n v="0.23680000000000001"/>
    <n v="4.2267000000000001"/>
    <n v="1"/>
    <n v="-461.07122600000002"/>
    <s v="GERMANY DE"/>
  </r>
  <r>
    <s v="BKMILL"/>
    <n v="154703"/>
    <n v="886347"/>
    <s v="Spot"/>
    <x v="40"/>
    <s v="Sell"/>
    <s v="EUR"/>
    <n v="-100816.42"/>
    <s v="PLN"/>
    <n v="425619.7"/>
    <s v="2026-01-05"/>
    <n v="4.2217000000000002"/>
    <n v="0.2369"/>
    <n v="4.2156000000000002"/>
    <n v="1"/>
    <n v="617.99984800000004"/>
    <s v="UNITED STATES OF AMERICA US"/>
  </r>
  <r>
    <s v="BKMILL"/>
    <n v="154704"/>
    <n v="886349"/>
    <s v="Spot"/>
    <x v="40"/>
    <s v="Buy"/>
    <s v="USD"/>
    <n v="14172.58"/>
    <s v="PLN"/>
    <n v="-50985.86"/>
    <s v="2026-01-05"/>
    <n v="3.5975000000000001"/>
    <n v="0.27800000000000002"/>
    <n v="3.5962999999999998"/>
    <n v="1"/>
    <n v="-17.010546000000001"/>
    <s v="UNITED STATES OF AMERICA US"/>
  </r>
  <r>
    <s v="BKMILL"/>
    <n v="154705"/>
    <n v="886350"/>
    <s v="Spot"/>
    <x v="40"/>
    <s v="Buy"/>
    <s v="GBP"/>
    <n v="854.51"/>
    <s v="PLN"/>
    <n v="-4140.1000000000004"/>
    <s v="2026-01-05"/>
    <n v="4.8449999999999998"/>
    <n v="0.2064"/>
    <n v="4.8391000000000002"/>
    <n v="1"/>
    <n v="-5.0406589999999998"/>
    <s v="UNITED STATES OF AMERICA US"/>
  </r>
  <r>
    <s v="BKMILL"/>
    <n v="154706"/>
    <n v="886351"/>
    <s v="Spot"/>
    <x v="43"/>
    <s v="Sell"/>
    <s v="EUR"/>
    <n v="-7011.97"/>
    <s v="PLN"/>
    <n v="29604.89"/>
    <s v="2026-01-05"/>
    <n v="4.2221000000000002"/>
    <n v="0.2369"/>
    <n v="4.2156000000000002"/>
    <n v="1"/>
    <n v="45.229267999999998"/>
    <s v="FRANCE FR"/>
  </r>
  <r>
    <s v="BKMILL"/>
    <n v="154707"/>
    <n v="886352"/>
    <s v="Spot"/>
    <x v="43"/>
    <s v="Sell"/>
    <s v="CHF"/>
    <n v="-167.06"/>
    <s v="PLN"/>
    <n v="758.14"/>
    <s v="2026-01-07"/>
    <n v="4.5381"/>
    <n v="0.22040000000000001"/>
    <n v="4.5263"/>
    <n v="1"/>
    <n v="1.9763219999999999"/>
    <s v="FRANCE FR"/>
  </r>
  <r>
    <s v="BKMILL"/>
    <n v="154708"/>
    <n v="886390"/>
    <s v="Spot"/>
    <x v="43"/>
    <s v="Buy"/>
    <s v="EUR"/>
    <n v="580.16999999999996"/>
    <s v="PLN"/>
    <n v="-2452.15"/>
    <s v="2026-01-05"/>
    <n v="4.2266000000000004"/>
    <n v="0.2366"/>
    <n v="4.2156000000000002"/>
    <n v="1"/>
    <n v="-6.3853479999999996"/>
    <s v="FRANCE FR"/>
  </r>
  <r>
    <s v="BKMILL"/>
    <n v="154709"/>
    <n v="886391"/>
    <s v="Spot"/>
    <x v="41"/>
    <s v="Sell"/>
    <s v="GBP"/>
    <n v="-2173.5"/>
    <s v="PLN"/>
    <n v="10532.78"/>
    <s v="2026-01-05"/>
    <n v="4.8460000000000001"/>
    <n v="0.2064"/>
    <n v="4.8391000000000002"/>
    <n v="1"/>
    <n v="14.99615"/>
    <s v="GERMANY DE"/>
  </r>
  <r>
    <s v="BKMILL"/>
    <n v="154710"/>
    <n v="886392"/>
    <s v="Spot"/>
    <x v="42"/>
    <s v="Sell"/>
    <s v="USD"/>
    <n v="-14014.5"/>
    <s v="PLN"/>
    <n v="50460.33"/>
    <s v="2026-01-05"/>
    <n v="3.6006"/>
    <n v="0.2777"/>
    <n v="3.5962999999999998"/>
    <n v="1"/>
    <n v="59.983649999999997"/>
    <s v="SWITZERLAND CH"/>
  </r>
  <r>
    <s v="BKMILL"/>
    <n v="154711"/>
    <n v="886393"/>
    <s v="Spot"/>
    <x v="40"/>
    <s v="Sell"/>
    <s v="CHF"/>
    <n v="-350"/>
    <s v="PLN"/>
    <n v="1590.1"/>
    <s v="2026-01-07"/>
    <n v="4.5430999999999999"/>
    <n v="0.22009999999999999"/>
    <n v="4.5263"/>
    <n v="1"/>
    <n v="5.8949999999999996"/>
    <s v="UNITED STATES OF AMERICA US"/>
  </r>
  <r>
    <s v="BKMILL"/>
    <n v="154716"/>
    <n v="886414"/>
    <s v="Spot"/>
    <x v="40"/>
    <s v="Sell"/>
    <s v="CHF"/>
    <n v="-5461.13"/>
    <s v="PLN"/>
    <n v="24790.31"/>
    <s v="2026-01-07"/>
    <n v="4.5393999999999997"/>
    <n v="0.2203"/>
    <n v="4.5263"/>
    <n v="1"/>
    <n v="71.597280999999995"/>
    <s v="UNITED STATES OF AMERICA US"/>
  </r>
  <r>
    <s v="BKMILL"/>
    <n v="154717"/>
    <n v="886415"/>
    <s v="Spot"/>
    <x v="42"/>
    <s v="Sell"/>
    <s v="EUR"/>
    <n v="-49039.18"/>
    <s v="PLN"/>
    <n v="207202.3"/>
    <s v="2026-01-05"/>
    <n v="4.2252000000000001"/>
    <n v="0.23669999999999999"/>
    <n v="4.2156000000000002"/>
    <n v="1"/>
    <n v="472.73279200000002"/>
    <s v="SWITZERLAND CH"/>
  </r>
  <r>
    <s v="BKMILL"/>
    <n v="154718"/>
    <n v="886416"/>
    <s v="Spot"/>
    <x v="42"/>
    <s v="Sell"/>
    <s v="GBP"/>
    <n v="-18076.63"/>
    <s v="PLN"/>
    <n v="87557.41"/>
    <s v="2026-01-05"/>
    <n v="4.8437000000000001"/>
    <n v="0.20649999999999999"/>
    <n v="4.8391000000000002"/>
    <n v="1"/>
    <n v="82.789766999999998"/>
    <s v="SWITZERLAND CH"/>
  </r>
  <r>
    <s v="BKMILL"/>
    <n v="154725"/>
    <n v="886448"/>
    <s v="Spot"/>
    <x v="40"/>
    <s v="Sell"/>
    <s v="EUR"/>
    <n v="-500000"/>
    <s v="PLN"/>
    <n v="2112900"/>
    <s v="2026-01-05"/>
    <n v="4.2257999999999996"/>
    <n v="0.2366"/>
    <n v="4.2156000000000002"/>
    <n v="1"/>
    <n v="5100"/>
    <s v="UNITED STATES OF AMERICA US"/>
  </r>
  <r>
    <s v="BKMILL"/>
    <n v="154729"/>
    <n v="886486"/>
    <s v="Spot"/>
    <x v="40"/>
    <s v="Sell"/>
    <s v="EUR"/>
    <n v="-500000"/>
    <s v="PLN"/>
    <n v="2111900"/>
    <s v="2026-01-05"/>
    <n v="4.2237999999999998"/>
    <n v="0.23680000000000001"/>
    <n v="4.2156000000000002"/>
    <n v="1"/>
    <n v="4100"/>
    <s v="UNITED STATES OF AMERICA US"/>
  </r>
  <r>
    <s v="BKMILL"/>
    <n v="154730"/>
    <n v="886487"/>
    <s v="Spot"/>
    <x v="38"/>
    <s v="Sell"/>
    <s v="EUR"/>
    <n v="-1000000"/>
    <s v="PLN"/>
    <n v="4223780"/>
    <s v="2026-01-05"/>
    <n v="4.2237999999999998"/>
    <n v="0.23680000000000001"/>
    <n v="4.2156000000000002"/>
    <n v="1"/>
    <n v="8180"/>
    <s v="NETHERLANDS NL"/>
  </r>
  <r>
    <s v="BKMILL"/>
    <n v="154736"/>
    <n v="886505"/>
    <s v="Spot"/>
    <x v="36"/>
    <s v="Buy"/>
    <s v="EUR"/>
    <n v="100000"/>
    <s v="GBP"/>
    <n v="-87175"/>
    <s v="2026-01-05"/>
    <n v="0.87180000000000002"/>
    <n v="1.1471"/>
    <n v="4.2156000000000002"/>
    <n v="4.8391000000000002"/>
    <n v="-288.54250000000002"/>
    <s v="UNITED KINGDOM GB"/>
  </r>
  <r>
    <s v="BKMILL"/>
    <n v="154738"/>
    <n v="886520"/>
    <s v="Spot"/>
    <x v="51"/>
    <s v="Sell"/>
    <s v="EUR"/>
    <n v="-400000"/>
    <s v="PLN"/>
    <n v="1688000"/>
    <s v="2026-01-05"/>
    <n v="4.22"/>
    <n v="0.23699999999999999"/>
    <n v="4.2156000000000002"/>
    <n v="1"/>
    <n v="1760"/>
    <s v="POLAND PL"/>
  </r>
  <r>
    <s v="BKMILL"/>
    <n v="154747"/>
    <n v="886593"/>
    <s v="Spot"/>
    <x v="47"/>
    <s v="Sell"/>
    <s v="EUR"/>
    <n v="-500000"/>
    <s v="PLN"/>
    <n v="2111250"/>
    <s v="2026-01-05"/>
    <n v="4.2225000000000001"/>
    <n v="0.23680000000000001"/>
    <n v="4.2156000000000002"/>
    <n v="1"/>
    <n v="3450"/>
    <s v="FRANCE FR"/>
  </r>
  <r>
    <s v="BKMILL"/>
    <n v="154748"/>
    <n v="886594"/>
    <s v="Spot"/>
    <x v="47"/>
    <s v="Sell"/>
    <s v="EUR"/>
    <n v="-500000"/>
    <s v="PLN"/>
    <n v="2111255"/>
    <s v="2026-01-05"/>
    <n v="4.2225000000000001"/>
    <n v="0.23680000000000001"/>
    <n v="4.2156000000000002"/>
    <n v="1"/>
    <n v="3455"/>
    <s v="FRANCE FR"/>
  </r>
  <r>
    <s v="BKMILL"/>
    <n v="154761"/>
    <n v="886628"/>
    <s v="Spot"/>
    <x v="44"/>
    <s v="Sell"/>
    <s v="EUR"/>
    <n v="-500000"/>
    <s v="PLN"/>
    <n v="2111350"/>
    <s v="2026-01-05"/>
    <n v="4.2226999999999997"/>
    <n v="0.23680000000000001"/>
    <n v="4.2156000000000002"/>
    <n v="1"/>
    <n v="3550"/>
    <s v="GERMANY DE"/>
  </r>
  <r>
    <s v="BKMILL"/>
    <n v="154762"/>
    <n v="886637"/>
    <s v="Spot"/>
    <x v="47"/>
    <s v="Sell"/>
    <s v="EUR"/>
    <n v="-500000"/>
    <s v="PLN"/>
    <n v="2111370"/>
    <s v="2026-01-05"/>
    <n v="4.2226999999999997"/>
    <n v="0.23680000000000001"/>
    <n v="4.2156000000000002"/>
    <n v="1"/>
    <n v="3570"/>
    <s v="FRANCE FR"/>
  </r>
  <r>
    <s v="BKMILL"/>
    <n v="154763"/>
    <n v="886648"/>
    <s v="Spot"/>
    <x v="47"/>
    <s v="Sell"/>
    <s v="EUR"/>
    <n v="-500000"/>
    <s v="PLN"/>
    <n v="2111500"/>
    <s v="2026-01-05"/>
    <n v="4.2229999999999999"/>
    <n v="0.23680000000000001"/>
    <n v="4.2156000000000002"/>
    <n v="1"/>
    <n v="3700"/>
    <s v="FRANCE FR"/>
  </r>
  <r>
    <s v="BKMILL"/>
    <n v="154772"/>
    <n v="886711"/>
    <s v="Spot"/>
    <x v="39"/>
    <s v="Sell"/>
    <s v="EUR"/>
    <n v="-500000"/>
    <s v="PLN"/>
    <n v="2111610"/>
    <s v="2026-01-05"/>
    <n v="4.2232000000000003"/>
    <n v="0.23680000000000001"/>
    <n v="4.2156000000000002"/>
    <n v="1"/>
    <n v="3810"/>
    <s v="UNITED KINGDOM GB"/>
  </r>
  <r>
    <s v="BKMILL"/>
    <n v="154775"/>
    <n v="886734"/>
    <s v="Spot"/>
    <x v="47"/>
    <s v="Sell"/>
    <s v="EUR"/>
    <n v="-500000"/>
    <s v="PLN"/>
    <n v="2112065"/>
    <s v="2026-01-05"/>
    <n v="4.2241"/>
    <n v="0.23669999999999999"/>
    <n v="4.2156000000000002"/>
    <n v="1"/>
    <n v="4265"/>
    <s v="FRANCE FR"/>
  </r>
  <r>
    <s v="BKMILL"/>
    <n v="154776"/>
    <n v="886738"/>
    <s v="Spot"/>
    <x v="47"/>
    <s v="Sell"/>
    <s v="EUR"/>
    <n v="-500000"/>
    <s v="PLN"/>
    <n v="2112250"/>
    <s v="2026-01-05"/>
    <n v="4.2244999999999999"/>
    <n v="0.23669999999999999"/>
    <n v="4.2156000000000002"/>
    <n v="1"/>
    <n v="4450"/>
    <s v="FRANCE FR"/>
  </r>
  <r>
    <s v="BKMILL"/>
    <n v="154777"/>
    <n v="886742"/>
    <s v="Spot"/>
    <x v="39"/>
    <s v="Sell"/>
    <s v="EUR"/>
    <n v="-500000"/>
    <s v="PLN"/>
    <n v="2112475"/>
    <s v="2026-01-05"/>
    <n v="4.2248999999999999"/>
    <n v="0.23669999999999999"/>
    <n v="4.2156000000000002"/>
    <n v="1"/>
    <n v="4675"/>
    <s v="UNITED KINGDOM GB"/>
  </r>
  <r>
    <s v="BKMILL"/>
    <n v="154778"/>
    <n v="886750"/>
    <s v="Spot"/>
    <x v="39"/>
    <s v="Sell"/>
    <s v="EUR"/>
    <n v="-500000"/>
    <s v="PLN"/>
    <n v="2112550"/>
    <s v="2026-01-05"/>
    <n v="4.2251000000000003"/>
    <n v="0.23669999999999999"/>
    <n v="4.2156000000000002"/>
    <n v="1"/>
    <n v="4750"/>
    <s v="UNITED KINGDOM GB"/>
  </r>
  <r>
    <s v="BKMILL"/>
    <n v="154781"/>
    <n v="886763"/>
    <s v="Spot"/>
    <x v="47"/>
    <s v="Sell"/>
    <s v="EUR"/>
    <n v="-500000"/>
    <s v="PLN"/>
    <n v="2113200"/>
    <s v="2026-01-05"/>
    <n v="4.2263999999999999"/>
    <n v="0.2366"/>
    <n v="4.2156000000000002"/>
    <n v="1"/>
    <n v="5400"/>
    <s v="FRANCE FR"/>
  </r>
  <r>
    <s v="BKMILL"/>
    <n v="154782"/>
    <n v="886767"/>
    <s v="Spot"/>
    <x v="40"/>
    <s v="Buy"/>
    <s v="EUR"/>
    <n v="100000"/>
    <s v="USD"/>
    <n v="-117360"/>
    <s v="2026-01-05"/>
    <n v="1.1736"/>
    <n v="0.85209999999999997"/>
    <n v="4.2156000000000002"/>
    <n v="3.5962999999999998"/>
    <n v="-501.76799999999997"/>
    <s v="UNITED STATES OF AMERICA US"/>
  </r>
  <r>
    <s v="BKMILL"/>
    <n v="154783"/>
    <n v="886771"/>
    <s v="Spot"/>
    <x v="47"/>
    <s v="Sell"/>
    <s v="EUR"/>
    <n v="-500000"/>
    <s v="PLN"/>
    <n v="2113100"/>
    <s v="2026-01-05"/>
    <n v="4.2262000000000004"/>
    <n v="0.2366"/>
    <n v="4.2156000000000002"/>
    <n v="1"/>
    <n v="5300"/>
    <s v="FRANCE FR"/>
  </r>
  <r>
    <s v="BKMILL"/>
    <n v="154784"/>
    <n v="886778"/>
    <s v="Spot"/>
    <x v="40"/>
    <s v="Buy"/>
    <s v="EUR"/>
    <n v="100000"/>
    <s v="USD"/>
    <n v="-117361"/>
    <s v="2026-01-05"/>
    <n v="1.1736"/>
    <n v="0.85209999999999997"/>
    <n v="4.2156000000000002"/>
    <n v="3.5962999999999998"/>
    <n v="-505.36430000000001"/>
    <s v="UNITED STATES OF AMERICA US"/>
  </r>
  <r>
    <s v="BKMILL"/>
    <n v="154803"/>
    <n v="886958"/>
    <s v="Spot"/>
    <x v="52"/>
    <s v="Sell"/>
    <s v="USD"/>
    <n v="-40000"/>
    <s v="PLN"/>
    <n v="144040"/>
    <s v="2026-01-05"/>
    <n v="3.601"/>
    <n v="0.2777"/>
    <n v="3.5962999999999998"/>
    <n v="1"/>
    <n v="188"/>
    <s v="POLAND PL"/>
  </r>
  <r>
    <s v="BKMILL"/>
    <n v="154807"/>
    <n v="887008"/>
    <s v="Spot"/>
    <x v="36"/>
    <s v="Buy"/>
    <s v="EUR"/>
    <n v="100000"/>
    <s v="GBP"/>
    <n v="-87296"/>
    <s v="2026-01-05"/>
    <n v="0.873"/>
    <n v="1.1455"/>
    <n v="4.2156000000000002"/>
    <n v="4.8391000000000002"/>
    <n v="-874.07360000000006"/>
    <s v="UNITED KINGDOM GB"/>
  </r>
  <r>
    <s v="BKMILL"/>
    <n v="154808"/>
    <n v="887016"/>
    <s v="Spot"/>
    <x v="53"/>
    <s v="Sell"/>
    <s v="EUR"/>
    <n v="-25000"/>
    <s v="PLN"/>
    <n v="106177.5"/>
    <s v="2026-01-05"/>
    <n v="4.2470999999999997"/>
    <n v="0.23549999999999999"/>
    <n v="4.2156000000000002"/>
    <n v="1"/>
    <n v="787.5"/>
    <s v="POLAND PL"/>
  </r>
  <r>
    <s v="BKMILL"/>
    <n v="154809"/>
    <n v="887017"/>
    <s v="Spot"/>
    <x v="44"/>
    <s v="Buy"/>
    <s v="EUR"/>
    <n v="500000"/>
    <s v="PLN"/>
    <n v="-2110000"/>
    <s v="2026-01-05"/>
    <n v="4.22"/>
    <n v="0.23699999999999999"/>
    <n v="4.2156000000000002"/>
    <n v="1"/>
    <n v="-2200"/>
    <s v="GERMANY DE"/>
  </r>
  <r>
    <s v="BKMILL"/>
    <n v="154810"/>
    <n v="887021"/>
    <s v="Spot"/>
    <x v="40"/>
    <s v="Sell"/>
    <s v="EUR"/>
    <n v="-100000"/>
    <s v="USD"/>
    <n v="117408"/>
    <s v="2026-01-05"/>
    <n v="1.1740999999999999"/>
    <n v="0.85170000000000001"/>
    <n v="4.2156000000000002"/>
    <n v="3.5962999999999998"/>
    <n v="674.3904"/>
    <s v="UNITED STATES OF AMERICA US"/>
  </r>
  <r>
    <s v="BKMILL"/>
    <n v="154813"/>
    <n v="887041"/>
    <s v="Spot"/>
    <x v="44"/>
    <s v="Buy"/>
    <s v="EUR"/>
    <n v="500000"/>
    <s v="PLN"/>
    <n v="-2109185"/>
    <s v="2026-01-05"/>
    <n v="4.2183999999999999"/>
    <n v="0.23710000000000001"/>
    <n v="4.2156000000000002"/>
    <n v="1"/>
    <n v="-1385"/>
    <s v="GERMANY DE"/>
  </r>
  <r>
    <s v="BKMILL"/>
    <n v="154814"/>
    <n v="887042"/>
    <s v="Spot"/>
    <x v="44"/>
    <s v="Buy"/>
    <s v="EUR"/>
    <n v="500000"/>
    <s v="PLN"/>
    <n v="-2109285"/>
    <s v="2026-01-05"/>
    <n v="4.2186000000000003"/>
    <n v="0.23699999999999999"/>
    <n v="4.2156000000000002"/>
    <n v="1"/>
    <n v="-1485"/>
    <s v="GERMANY DE"/>
  </r>
  <r>
    <s v="BKMILL"/>
    <n v="154817"/>
    <n v="887075"/>
    <s v="Spot"/>
    <x v="50"/>
    <s v="Buy"/>
    <s v="NOK"/>
    <n v="1150000"/>
    <s v="PLN"/>
    <n v="-410435"/>
    <s v="2026-01-05"/>
    <n v="0.3569"/>
    <n v="2.8018999999999998"/>
    <n v="0.35699999999999998"/>
    <n v="1"/>
    <n v="115"/>
    <s v="POLAND PL"/>
  </r>
  <r>
    <s v="BKMILL"/>
    <n v="154818"/>
    <n v="887082"/>
    <s v="Spot"/>
    <x v="45"/>
    <s v="Buy"/>
    <s v="EUR"/>
    <n v="100000"/>
    <s v="NOK"/>
    <n v="-1181870"/>
    <s v="2026-01-05"/>
    <n v="11.8187"/>
    <n v="8.4599999999999995E-2"/>
    <n v="4.2156000000000002"/>
    <n v="0.35699999999999998"/>
    <n v="-367.59"/>
    <s v="SWITZERLAND CH"/>
  </r>
  <r>
    <s v="BKMILL"/>
    <n v="154823"/>
    <n v="887113"/>
    <s v="Spot"/>
    <x v="51"/>
    <s v="Sell"/>
    <s v="EUR"/>
    <n v="-100000"/>
    <s v="PLN"/>
    <n v="422000"/>
    <s v="2026-01-05"/>
    <n v="4.22"/>
    <n v="0.23699999999999999"/>
    <n v="4.2156000000000002"/>
    <n v="1"/>
    <n v="440"/>
    <s v="POLAND PL"/>
  </r>
  <r>
    <s v="BKMILL"/>
    <n v="154825"/>
    <n v="887126"/>
    <s v="Spot"/>
    <x v="54"/>
    <s v="Buy"/>
    <s v="EUR"/>
    <n v="12000"/>
    <s v="PLN"/>
    <n v="-50468.4"/>
    <s v="2026-01-05"/>
    <n v="4.2057000000000002"/>
    <n v="0.23780000000000001"/>
    <n v="4.2156000000000002"/>
    <n v="1"/>
    <n v="118.8"/>
    <s v="POLAND PL"/>
  </r>
  <r>
    <s v="BKMILL"/>
    <n v="154827"/>
    <n v="887135"/>
    <s v="Spot"/>
    <x v="54"/>
    <s v="Buy"/>
    <s v="EUR"/>
    <n v="36000"/>
    <s v="PLN"/>
    <n v="-151398"/>
    <s v="2026-01-05"/>
    <n v="4.2054999999999998"/>
    <n v="0.23780000000000001"/>
    <n v="4.2156000000000002"/>
    <n v="1"/>
    <n v="363.6"/>
    <s v="POLAND PL"/>
  </r>
  <r>
    <s v="BKMILL"/>
    <n v="154829"/>
    <n v="887160"/>
    <s v="Spot"/>
    <x v="39"/>
    <s v="Sell"/>
    <s v="EUR"/>
    <n v="-500000"/>
    <s v="PLN"/>
    <n v="2110330"/>
    <s v="2026-01-05"/>
    <n v="4.2206999999999999"/>
    <n v="0.2369"/>
    <n v="4.2156000000000002"/>
    <n v="1"/>
    <n v="2530"/>
    <s v="UNITED KINGDOM GB"/>
  </r>
  <r>
    <s v="BKMILL"/>
    <n v="154831"/>
    <n v="887167"/>
    <s v="Spot"/>
    <x v="41"/>
    <s v="Buy"/>
    <s v="EUR"/>
    <n v="100000"/>
    <s v="GBP"/>
    <n v="-87240"/>
    <s v="2026-01-05"/>
    <n v="0.87239999999999995"/>
    <n v="1.1463000000000001"/>
    <n v="4.2156000000000002"/>
    <n v="4.8391000000000002"/>
    <n v="-603.08399999999995"/>
    <s v="GERMANY DE"/>
  </r>
  <r>
    <s v="BKMILL"/>
    <n v="154842"/>
    <n v="887191"/>
    <s v="Spot"/>
    <x v="40"/>
    <s v="Sell"/>
    <s v="EUR"/>
    <n v="-500000"/>
    <s v="PLN"/>
    <n v="2110650"/>
    <s v="2026-01-05"/>
    <n v="4.2213000000000003"/>
    <n v="0.2369"/>
    <n v="4.2156000000000002"/>
    <n v="1"/>
    <n v="2850"/>
    <s v="UNITED STATES OF AMERICA US"/>
  </r>
  <r>
    <s v="BKMILL"/>
    <n v="154843"/>
    <n v="887192"/>
    <s v="Spot"/>
    <x v="39"/>
    <s v="Sell"/>
    <s v="EUR"/>
    <n v="-500000"/>
    <s v="PLN"/>
    <n v="2111060"/>
    <s v="2026-01-05"/>
    <n v="4.2221000000000002"/>
    <n v="0.23680000000000001"/>
    <n v="4.2156000000000002"/>
    <n v="1"/>
    <n v="3260"/>
    <s v="UNITED KINGDOM GB"/>
  </r>
  <r>
    <s v="BKMILL"/>
    <n v="154866"/>
    <n v="887266"/>
    <s v="Spot"/>
    <x v="38"/>
    <s v="Sell"/>
    <s v="EUR"/>
    <n v="-4000000"/>
    <s v="CHF"/>
    <n v="3720440"/>
    <s v="2026-01-06"/>
    <n v="0.93010000000000004"/>
    <n v="1.0750999999999999"/>
    <n v="4.2110000000000003"/>
    <n v="4.5263"/>
    <n v="-4172.4279999999999"/>
    <s v="NETHERLANDS NL"/>
  </r>
  <r>
    <s v="BKMILL"/>
    <n v="154867"/>
    <n v="887267"/>
    <s v="Spot"/>
    <x v="44"/>
    <s v="Buy"/>
    <s v="EUR"/>
    <n v="500000"/>
    <s v="PLN"/>
    <n v="-2110095"/>
    <s v="2026-01-05"/>
    <n v="4.2202000000000002"/>
    <n v="0.23699999999999999"/>
    <n v="4.2156000000000002"/>
    <n v="1"/>
    <n v="-2295"/>
    <s v="GERMANY DE"/>
  </r>
  <r>
    <s v="BKMILL"/>
    <n v="154868"/>
    <n v="887269"/>
    <s v="Spot"/>
    <x v="43"/>
    <s v="Buy"/>
    <s v="EUR"/>
    <n v="500000"/>
    <s v="PLN"/>
    <n v="-2110130"/>
    <s v="2026-01-05"/>
    <n v="4.2202999999999999"/>
    <n v="0.23699999999999999"/>
    <n v="4.2156000000000002"/>
    <n v="1"/>
    <n v="-2330"/>
    <s v="FRANCE FR"/>
  </r>
  <r>
    <s v="BKMILL"/>
    <n v="154869"/>
    <n v="887272"/>
    <s v="Spot"/>
    <x v="44"/>
    <s v="Buy"/>
    <s v="EUR"/>
    <n v="500000"/>
    <s v="PLN"/>
    <n v="-2110175"/>
    <s v="2026-01-05"/>
    <n v="4.2202999999999999"/>
    <n v="0.2369"/>
    <n v="4.2156000000000002"/>
    <n v="1"/>
    <n v="-2375"/>
    <s v="GERMANY DE"/>
  </r>
  <r>
    <s v="BKMILL"/>
    <n v="154870"/>
    <n v="887275"/>
    <s v="Spot"/>
    <x v="40"/>
    <s v="Buy"/>
    <s v="EUR"/>
    <n v="100000"/>
    <s v="USD"/>
    <n v="-117402"/>
    <s v="2026-01-05"/>
    <n v="1.1739999999999999"/>
    <n v="0.8518"/>
    <n v="4.2156000000000002"/>
    <n v="3.5962999999999998"/>
    <n v="-652.81259999999997"/>
    <s v="UNITED STATES OF AMERICA US"/>
  </r>
  <r>
    <s v="BKMILL"/>
    <n v="154871"/>
    <n v="887278"/>
    <s v="Spot"/>
    <x v="40"/>
    <s v="Buy"/>
    <s v="EUR"/>
    <n v="500000"/>
    <s v="PLN"/>
    <n v="-2110050"/>
    <s v="2026-01-05"/>
    <n v="4.2201000000000004"/>
    <n v="0.23699999999999999"/>
    <n v="4.2156000000000002"/>
    <n v="1"/>
    <n v="-2250"/>
    <s v="UNITED STATES OF AMERICA US"/>
  </r>
  <r>
    <s v="BKMILL"/>
    <n v="154872"/>
    <n v="887281"/>
    <s v="Spot"/>
    <x v="44"/>
    <s v="Buy"/>
    <s v="EUR"/>
    <n v="500000"/>
    <s v="PLN"/>
    <n v="-2110055"/>
    <s v="2026-01-05"/>
    <n v="4.2201000000000004"/>
    <n v="0.23699999999999999"/>
    <n v="4.2156000000000002"/>
    <n v="1"/>
    <n v="-2255"/>
    <s v="GERMANY DE"/>
  </r>
  <r>
    <s v="BKMILL"/>
    <n v="154873"/>
    <n v="887292"/>
    <s v="Spot"/>
    <x v="38"/>
    <s v="Sell"/>
    <s v="EUR"/>
    <n v="-200000"/>
    <s v="GBP"/>
    <n v="174576"/>
    <s v="2026-01-05"/>
    <n v="0.87290000000000001"/>
    <n v="1.1456"/>
    <n v="4.2156000000000002"/>
    <n v="4.8391000000000002"/>
    <n v="1670.7216000000001"/>
    <s v="NETHERLANDS NL"/>
  </r>
  <r>
    <s v="BKMILL"/>
    <n v="154874"/>
    <n v="887293"/>
    <s v="Spot"/>
    <x v="39"/>
    <s v="Sell"/>
    <s v="EUR"/>
    <n v="-500000"/>
    <s v="PLN"/>
    <n v="2110335"/>
    <s v="2026-01-05"/>
    <n v="4.2206999999999999"/>
    <n v="0.2369"/>
    <n v="4.2156000000000002"/>
    <n v="1"/>
    <n v="2535"/>
    <s v="UNITED KINGDOM GB"/>
  </r>
  <r>
    <s v="BKMILL"/>
    <n v="154875"/>
    <n v="887294"/>
    <s v="Spot"/>
    <x v="39"/>
    <s v="Sell"/>
    <s v="EUR"/>
    <n v="-500000"/>
    <s v="PLN"/>
    <n v="2110285"/>
    <s v="2026-01-05"/>
    <n v="4.2206000000000001"/>
    <n v="0.2369"/>
    <n v="4.2156000000000002"/>
    <n v="1"/>
    <n v="2485"/>
    <s v="UNITED KINGDOM GB"/>
  </r>
  <r>
    <s v="BKMILL"/>
    <n v="154876"/>
    <n v="887322"/>
    <s v="Spot"/>
    <x v="41"/>
    <s v="Buy"/>
    <s v="EUR"/>
    <n v="2400000"/>
    <s v="PLN"/>
    <n v="-10130400"/>
    <s v="2026-01-05"/>
    <n v="4.2210000000000001"/>
    <n v="0.2369"/>
    <n v="4.2156000000000002"/>
    <n v="1"/>
    <n v="-12960"/>
    <s v="GERMANY DE"/>
  </r>
  <r>
    <s v="BKMILL"/>
    <n v="154878"/>
    <n v="887327"/>
    <s v="Spot"/>
    <x v="43"/>
    <s v="Sell"/>
    <s v="EUR"/>
    <n v="-100000"/>
    <s v="AUD"/>
    <n v="175834"/>
    <s v="2026-01-05"/>
    <n v="1.7583"/>
    <n v="0.56869999999999998"/>
    <n v="4.2156000000000002"/>
    <n v="2.4091999999999998"/>
    <n v="2059.2728000000002"/>
    <s v="FRANCE FR"/>
  </r>
  <r>
    <s v="BKMILL"/>
    <n v="154879"/>
    <n v="887328"/>
    <s v="Spot"/>
    <x v="39"/>
    <s v="Sell"/>
    <s v="EUR"/>
    <n v="-500000"/>
    <s v="PLN"/>
    <n v="2110750"/>
    <s v="2026-01-05"/>
    <n v="4.2214999999999998"/>
    <n v="0.2369"/>
    <n v="4.2156000000000002"/>
    <n v="1"/>
    <n v="2950"/>
    <s v="UNITED KINGDOM GB"/>
  </r>
  <r>
    <s v="BKMILL"/>
    <n v="154880"/>
    <n v="887329"/>
    <s v="Spot"/>
    <x v="39"/>
    <s v="Sell"/>
    <s v="EUR"/>
    <n v="-500000"/>
    <s v="PLN"/>
    <n v="2110795"/>
    <s v="2026-01-05"/>
    <n v="4.2215999999999996"/>
    <n v="0.2369"/>
    <n v="4.2156000000000002"/>
    <n v="1"/>
    <n v="2995"/>
    <s v="UNITED KINGDOM GB"/>
  </r>
  <r>
    <s v="BKMILL"/>
    <n v="154881"/>
    <n v="887342"/>
    <s v="Spot"/>
    <x v="39"/>
    <s v="Sell"/>
    <s v="EUR"/>
    <n v="-500000"/>
    <s v="PLN"/>
    <n v="2111265"/>
    <s v="2026-01-05"/>
    <n v="4.2225000000000001"/>
    <n v="0.23680000000000001"/>
    <n v="4.2156000000000002"/>
    <n v="1"/>
    <n v="3465"/>
    <s v="UNITED KINGDOM GB"/>
  </r>
  <r>
    <s v="BKMILL"/>
    <n v="154883"/>
    <n v="887349"/>
    <s v="Spot"/>
    <x v="38"/>
    <s v="Sell"/>
    <s v="EUR"/>
    <n v="-500000"/>
    <s v="PLN"/>
    <n v="2111745"/>
    <s v="2026-01-05"/>
    <n v="4.2234999999999996"/>
    <n v="0.23680000000000001"/>
    <n v="4.2156000000000002"/>
    <n v="1"/>
    <n v="3945"/>
    <s v="NETHERLANDS NL"/>
  </r>
  <r>
    <s v="BKMILL"/>
    <n v="154891"/>
    <n v="887359"/>
    <s v="Spot"/>
    <x v="39"/>
    <s v="Sell"/>
    <s v="EUR"/>
    <n v="-500000"/>
    <s v="PLN"/>
    <n v="2112225"/>
    <s v="2026-01-05"/>
    <n v="4.2244999999999999"/>
    <n v="0.23669999999999999"/>
    <n v="4.2156000000000002"/>
    <n v="1"/>
    <n v="4425"/>
    <s v="UNITED KINGDOM GB"/>
  </r>
  <r>
    <s v="BKMILL"/>
    <n v="154892"/>
    <n v="887366"/>
    <s v="Spot"/>
    <x v="38"/>
    <s v="Sell"/>
    <s v="EUR"/>
    <n v="-500000"/>
    <s v="PLN"/>
    <n v="2113100"/>
    <s v="2026-01-05"/>
    <n v="4.2262000000000004"/>
    <n v="0.2366"/>
    <n v="4.2156000000000002"/>
    <n v="1"/>
    <n v="5300"/>
    <s v="NETHERLANDS NL"/>
  </r>
  <r>
    <s v="BKMILL"/>
    <n v="154893"/>
    <n v="887367"/>
    <s v="Spot"/>
    <x v="38"/>
    <s v="Buy"/>
    <s v="EUR"/>
    <n v="100000"/>
    <s v="CHF"/>
    <n v="-93063"/>
    <s v="2026-01-06"/>
    <n v="0.93059999999999998"/>
    <n v="1.0745"/>
    <n v="4.2110000000000003"/>
    <n v="4.5263"/>
    <n v="-131.05690000000001"/>
    <s v="NETHERLANDS NL"/>
  </r>
  <r>
    <s v="BKMILL"/>
    <n v="154895"/>
    <n v="887376"/>
    <s v="Spot"/>
    <x v="38"/>
    <s v="Buy"/>
    <s v="EUR"/>
    <n v="500000"/>
    <s v="PLN"/>
    <n v="-2111130"/>
    <s v="2026-01-05"/>
    <n v="4.2222999999999997"/>
    <n v="0.23680000000000001"/>
    <n v="4.2156000000000002"/>
    <n v="1"/>
    <n v="-3330"/>
    <s v="NETHERLANDS NL"/>
  </r>
  <r>
    <s v="BKMILL"/>
    <n v="154896"/>
    <n v="887377"/>
    <s v="Spot"/>
    <x v="38"/>
    <s v="Buy"/>
    <s v="EUR"/>
    <n v="100000"/>
    <s v="DKK"/>
    <n v="-746906"/>
    <s v="2026-01-05"/>
    <n v="7.4691000000000001"/>
    <n v="0.13389999999999999"/>
    <n v="4.2156000000000002"/>
    <n v="0.56440000000000001"/>
    <n v="6.2535999999999996"/>
    <s v="NETHERLANDS NL"/>
  </r>
  <r>
    <s v="BKMILL"/>
    <n v="154898"/>
    <n v="887385"/>
    <s v="Spot"/>
    <x v="43"/>
    <s v="Sell"/>
    <s v="EUR"/>
    <n v="-61498.23"/>
    <s v="PLN"/>
    <n v="259454.27"/>
    <s v="2026-01-05"/>
    <n v="4.2188999999999997"/>
    <n v="0.23699999999999999"/>
    <n v="4.2156000000000002"/>
    <n v="1"/>
    <n v="202.33161200000001"/>
    <s v="FRANCE FR"/>
  </r>
  <r>
    <s v="BKMILL"/>
    <n v="154899"/>
    <n v="887386"/>
    <s v="Spot"/>
    <x v="40"/>
    <s v="Sell"/>
    <s v="CHF"/>
    <n v="-409.28"/>
    <s v="PLN"/>
    <n v="1853.87"/>
    <s v="2026-01-07"/>
    <n v="4.5296000000000003"/>
    <n v="0.2208"/>
    <n v="4.5263"/>
    <n v="1"/>
    <n v="1.345936"/>
    <s v="UNITED STATES OF AMERICA US"/>
  </r>
  <r>
    <s v="BKMILL"/>
    <n v="154900"/>
    <n v="887387"/>
    <s v="Spot"/>
    <x v="36"/>
    <s v="Sell"/>
    <s v="USD"/>
    <n v="-13073.06"/>
    <s v="PLN"/>
    <n v="47003.27"/>
    <s v="2026-01-05"/>
    <n v="3.5954000000000002"/>
    <n v="0.27810000000000001"/>
    <n v="3.5962999999999998"/>
    <n v="1"/>
    <n v="-11.375678000000001"/>
    <s v="UNITED KINGDOM GB"/>
  </r>
  <r>
    <s v="BKMILL"/>
    <n v="154901"/>
    <n v="887388"/>
    <s v="Spot"/>
    <x v="43"/>
    <s v="Sell"/>
    <s v="GBP"/>
    <n v="-7123.61"/>
    <s v="PLN"/>
    <n v="34435.67"/>
    <s v="2026-01-05"/>
    <n v="4.8339999999999996"/>
    <n v="0.2069"/>
    <n v="4.8391000000000002"/>
    <n v="1"/>
    <n v="-36.191150999999998"/>
    <s v="FRANCE FR"/>
  </r>
  <r>
    <s v="BKMILL"/>
    <n v="154902"/>
    <n v="887393"/>
    <s v="Spot"/>
    <x v="41"/>
    <s v="Sell"/>
    <s v="EUR"/>
    <n v="-77317.47"/>
    <s v="PLN"/>
    <n v="326156.02"/>
    <s v="2026-01-05"/>
    <n v="4.2183999999999999"/>
    <n v="0.23710000000000001"/>
    <n v="4.2156000000000002"/>
    <n v="1"/>
    <n v="216.49346800000001"/>
    <s v="GERMANY DE"/>
  </r>
  <r>
    <s v="BKMILL"/>
    <n v="154903"/>
    <n v="887394"/>
    <s v="Spot"/>
    <x v="41"/>
    <s v="Sell"/>
    <s v="CHF"/>
    <n v="-1533.22"/>
    <s v="PLN"/>
    <n v="6948.09"/>
    <s v="2026-01-07"/>
    <n v="4.5316999999999998"/>
    <n v="0.22070000000000001"/>
    <n v="4.5263"/>
    <n v="1"/>
    <n v="8.2763139999999993"/>
    <s v="GERMANY DE"/>
  </r>
  <r>
    <s v="BKMILL"/>
    <n v="154904"/>
    <n v="887395"/>
    <s v="Spot"/>
    <x v="41"/>
    <s v="Sell"/>
    <s v="USD"/>
    <n v="-1164.95"/>
    <s v="PLN"/>
    <n v="4185.67"/>
    <s v="2026-01-05"/>
    <n v="3.593"/>
    <n v="0.27829999999999999"/>
    <n v="3.5962999999999998"/>
    <n v="1"/>
    <n v="-3.8396849999999998"/>
    <s v="GERMANY DE"/>
  </r>
  <r>
    <s v="BKMILL"/>
    <n v="154905"/>
    <n v="887396"/>
    <s v="Spot"/>
    <x v="41"/>
    <s v="Sell"/>
    <s v="GBP"/>
    <n v="-50573.74"/>
    <s v="PLN"/>
    <n v="244604.95"/>
    <s v="2026-01-05"/>
    <n v="4.8365999999999998"/>
    <n v="0.20680000000000001"/>
    <n v="4.8391000000000002"/>
    <n v="1"/>
    <n v="-126.43523399999999"/>
    <s v="GERMANY DE"/>
  </r>
  <r>
    <s v="BKMILL"/>
    <n v="154906"/>
    <n v="887401"/>
    <s v="Spot"/>
    <x v="41"/>
    <s v="Sell"/>
    <s v="EUR"/>
    <n v="-30791.24"/>
    <s v="PLN"/>
    <n v="129874.37"/>
    <s v="2026-01-05"/>
    <n v="4.2179000000000002"/>
    <n v="0.23710000000000001"/>
    <n v="4.2156000000000002"/>
    <n v="1"/>
    <n v="70.818656000000004"/>
    <s v="GERMANY DE"/>
  </r>
  <r>
    <s v="BKMILL"/>
    <n v="154907"/>
    <n v="887402"/>
    <s v="Spot"/>
    <x v="36"/>
    <s v="Sell"/>
    <s v="GBP"/>
    <n v="-1757.75"/>
    <s v="PLN"/>
    <n v="8504.19"/>
    <s v="2026-01-05"/>
    <n v="4.8380999999999998"/>
    <n v="0.20669999999999999"/>
    <n v="4.8391000000000002"/>
    <n v="1"/>
    <n v="-1.7380249999999999"/>
    <s v="UNITED KINGDOM GB"/>
  </r>
  <r>
    <s v="BKMILL"/>
    <n v="154908"/>
    <n v="887403"/>
    <s v="Spot"/>
    <x v="41"/>
    <s v="Sell"/>
    <s v="USD"/>
    <n v="-9259.9"/>
    <s v="PLN"/>
    <n v="33233.78"/>
    <s v="2026-01-05"/>
    <n v="3.589"/>
    <n v="0.27860000000000001"/>
    <n v="3.5962999999999998"/>
    <n v="1"/>
    <n v="-67.598370000000003"/>
    <s v="GERMANY DE"/>
  </r>
  <r>
    <s v="BKMILL"/>
    <n v="154909"/>
    <n v="887441"/>
    <s v="Spot"/>
    <x v="40"/>
    <s v="Sell"/>
    <s v="USD"/>
    <n v="-13137.23"/>
    <s v="PLN"/>
    <n v="47102.22"/>
    <s v="2026-01-07"/>
    <n v="3.5853999999999999"/>
    <n v="0.27889999999999998"/>
    <n v="3.6044999999999998"/>
    <n v="1"/>
    <n v="-250.925535"/>
    <s v="UNITED STATES OF AMERICA US"/>
  </r>
  <r>
    <s v="BKMILL"/>
    <n v="154910"/>
    <n v="887442"/>
    <s v="Spot"/>
    <x v="40"/>
    <s v="Sell"/>
    <s v="GBP"/>
    <n v="-3066.72"/>
    <s v="PLN"/>
    <n v="14807.96"/>
    <s v="2026-01-07"/>
    <n v="4.8285999999999998"/>
    <n v="0.20710000000000001"/>
    <n v="4.8457999999999997"/>
    <n v="1"/>
    <n v="-52.751776"/>
    <s v="UNITED STATES OF AMERICA US"/>
  </r>
  <r>
    <s v="BKMILL"/>
    <n v="154911"/>
    <n v="887443"/>
    <s v="Spot"/>
    <x v="40"/>
    <s v="Sell"/>
    <s v="EUR"/>
    <n v="-66282.92"/>
    <s v="PLN"/>
    <n v="279290.37"/>
    <s v="2026-01-07"/>
    <n v="4.2135999999999996"/>
    <n v="0.23730000000000001"/>
    <n v="4.2110000000000003"/>
    <n v="1"/>
    <n v="172.99387999999999"/>
    <s v="UNITED STATES OF AMERICA US"/>
  </r>
  <r>
    <s v="BKMILL"/>
    <n v="154912"/>
    <n v="887444"/>
    <s v="Spot"/>
    <x v="40"/>
    <s v="Sell"/>
    <s v="EUR"/>
    <n v="-100406.01"/>
    <s v="PLN"/>
    <n v="423071.77"/>
    <s v="2026-01-07"/>
    <n v="4.2135999999999996"/>
    <n v="0.23730000000000001"/>
    <n v="4.2110000000000003"/>
    <n v="1"/>
    <n v="262.06189000000001"/>
    <s v="UNITED STATES OF AMERICA US"/>
  </r>
  <r>
    <s v="BKMILL"/>
    <n v="154913"/>
    <n v="887445"/>
    <s v="Spot"/>
    <x v="40"/>
    <s v="Sell"/>
    <s v="USD"/>
    <n v="-133804.29"/>
    <s v="PLN"/>
    <n v="479741.9"/>
    <s v="2026-01-07"/>
    <n v="3.5853999999999999"/>
    <n v="0.27889999999999998"/>
    <n v="3.6044999999999998"/>
    <n v="1"/>
    <n v="-2555.663305"/>
    <s v="UNITED STATES OF AMERICA US"/>
  </r>
  <r>
    <s v="BKMILL"/>
    <n v="154914"/>
    <n v="887446"/>
    <s v="Spot"/>
    <x v="40"/>
    <s v="Sell"/>
    <s v="EUR"/>
    <n v="-100194.32"/>
    <s v="PLN"/>
    <n v="422179.79"/>
    <s v="2026-01-07"/>
    <n v="4.2135999999999996"/>
    <n v="0.23730000000000001"/>
    <n v="4.2110000000000003"/>
    <n v="1"/>
    <n v="261.50848000000002"/>
    <s v="UNITED STATES OF AMERICA US"/>
  </r>
  <r>
    <s v="BKMILL"/>
    <n v="154915"/>
    <n v="887447"/>
    <s v="Spot"/>
    <x v="40"/>
    <s v="Sell"/>
    <s v="EUR"/>
    <n v="-103780.61"/>
    <s v="PLN"/>
    <n v="437291.02"/>
    <s v="2026-01-07"/>
    <n v="4.2135999999999996"/>
    <n v="0.23730000000000001"/>
    <n v="4.2110000000000003"/>
    <n v="1"/>
    <n v="270.87128999999999"/>
    <s v="UNITED STATES OF AMERICA US"/>
  </r>
  <r>
    <s v="BKMILL"/>
    <n v="154916"/>
    <n v="887448"/>
    <s v="Spot"/>
    <x v="42"/>
    <s v="Buy"/>
    <s v="CHF"/>
    <n v="15133.89"/>
    <s v="PLN"/>
    <n v="-68664.88"/>
    <s v="2026-01-07"/>
    <n v="4.5372000000000003"/>
    <n v="0.22040000000000001"/>
    <n v="4.5263"/>
    <n v="1"/>
    <n v="-164.35369299999999"/>
    <s v="SWITZERLAND CH"/>
  </r>
  <r>
    <s v="BKMILL"/>
    <n v="154917"/>
    <n v="214406"/>
    <s v="Forward"/>
    <x v="55"/>
    <s v="Sell Fwd"/>
    <s v="EUR"/>
    <n v="-1000"/>
    <s v="PLN"/>
    <n v="4214.26"/>
    <s v="2026-01-02"/>
    <n v="4.2160000000000002"/>
    <n v="0.23719999999999999"/>
    <n v="4.2267000000000001"/>
    <n v="1"/>
    <n v="-12.44"/>
    <s v="SPAIN ES"/>
  </r>
  <r>
    <s v="BKMILL"/>
    <n v="154918"/>
    <n v="887468"/>
    <s v="Spot"/>
    <x v="40"/>
    <s v="Sell"/>
    <s v="EUR"/>
    <n v="-38570.639999999999"/>
    <s v="PLN"/>
    <n v="162630.39999999999"/>
    <s v="2026-01-07"/>
    <n v="4.2164000000000001"/>
    <n v="0.23719999999999999"/>
    <n v="4.2110000000000003"/>
    <n v="1"/>
    <n v="209.43495999999999"/>
    <s v="UNITED STATES OF AMERICA US"/>
  </r>
  <r>
    <s v="BKMILL"/>
    <n v="154919"/>
    <n v="887469"/>
    <s v="Spot"/>
    <x v="40"/>
    <s v="Sell"/>
    <s v="USD"/>
    <n v="-1628.83"/>
    <s v="PLN"/>
    <n v="5842.08"/>
    <s v="2026-01-07"/>
    <n v="3.5867"/>
    <n v="0.27879999999999999"/>
    <n v="3.6044999999999998"/>
    <n v="1"/>
    <n v="-29.037735000000001"/>
    <s v="UNITED STATES OF AMERICA US"/>
  </r>
  <r>
    <s v="BKMILL"/>
    <n v="154920"/>
    <n v="214408"/>
    <s v="Forward"/>
    <x v="40"/>
    <s v="Buy Fwd"/>
    <s v="EUR"/>
    <n v="20000"/>
    <s v="PLN"/>
    <n v="84381.51"/>
    <s v="2026-01-02"/>
    <n v="4.22"/>
    <n v="0.23699999999999999"/>
    <n v="4.2267000000000001"/>
    <n v="1"/>
    <n v="168915.51"/>
    <s v="UNITED STATES OF AMERICA US"/>
  </r>
  <r>
    <s v="BKMILL"/>
    <n v="154921"/>
    <n v="214410"/>
    <s v="Forward"/>
    <x v="40"/>
    <s v="Sell Fwd"/>
    <s v="EUR"/>
    <n v="-5000"/>
    <s v="PLN"/>
    <n v="21087.17"/>
    <s v="2026-01-02"/>
    <n v="4.2186000000000003"/>
    <n v="0.23699999999999999"/>
    <n v="4.2267000000000001"/>
    <n v="1"/>
    <n v="-46.33"/>
    <s v="UNITED STATES OF AMERICA US"/>
  </r>
  <r>
    <s v="BKMILL"/>
    <n v="154922"/>
    <n v="214412"/>
    <s v="Forward"/>
    <x v="40"/>
    <s v="Buy Fwd"/>
    <s v="EUR"/>
    <n v="3048"/>
    <s v="PLN"/>
    <n v="12858.96"/>
    <s v="2026-01-02"/>
    <n v="4.2198000000000002"/>
    <n v="0.23699999999999999"/>
    <n v="4.2267000000000001"/>
    <n v="1"/>
    <n v="25741.941599999998"/>
    <s v="UNITED STATES OF AMERICA US"/>
  </r>
  <r>
    <s v="BKMILL"/>
    <n v="154923"/>
    <n v="887484"/>
    <s v="Spot"/>
    <x v="40"/>
    <s v="Sell"/>
    <s v="EUR"/>
    <n v="-47589.08"/>
    <s v="PLN"/>
    <n v="200755.96"/>
    <s v="2026-01-07"/>
    <n v="4.2184999999999997"/>
    <n v="0.23699999999999999"/>
    <n v="4.2110000000000003"/>
    <n v="1"/>
    <n v="358.34411999999998"/>
    <s v="UNITED STATES OF AMERICA US"/>
  </r>
  <r>
    <s v="BKMILL"/>
    <n v="154924"/>
    <n v="887485"/>
    <s v="Spot"/>
    <x v="43"/>
    <s v="Sell"/>
    <s v="USD"/>
    <n v="-1088"/>
    <s v="PLN"/>
    <n v="3907.7"/>
    <s v="2026-01-07"/>
    <n v="3.5916000000000001"/>
    <n v="0.27839999999999998"/>
    <n v="3.6044999999999998"/>
    <n v="1"/>
    <n v="-13.996"/>
    <s v="FRANCE FR"/>
  </r>
  <r>
    <s v="BKMILL"/>
    <n v="154925"/>
    <n v="214415"/>
    <s v="Forward"/>
    <x v="40"/>
    <s v="Buy Fwd"/>
    <s v="EUR"/>
    <n v="20000"/>
    <s v="PLN"/>
    <n v="84371.82"/>
    <s v="2026-01-02"/>
    <n v="4.2195"/>
    <n v="0.23699999999999999"/>
    <n v="4.2267000000000001"/>
    <n v="1"/>
    <n v="168905.82"/>
    <s v="UNITED STATES OF AMERICA US"/>
  </r>
  <r>
    <s v="BKMILL"/>
    <n v="154926"/>
    <n v="887490"/>
    <s v="Spot"/>
    <x v="36"/>
    <s v="Sell"/>
    <s v="EUR"/>
    <n v="-20000"/>
    <s v="PLN"/>
    <n v="84370.4"/>
    <s v="2026-01-07"/>
    <n v="4.2184999999999997"/>
    <n v="0.23699999999999999"/>
    <n v="4.2110000000000003"/>
    <n v="1"/>
    <n v="150.4"/>
    <s v="UNITED KINGDOM GB"/>
  </r>
  <r>
    <s v="BKMILL"/>
    <n v="154927"/>
    <n v="887491"/>
    <s v="Spot"/>
    <x v="56"/>
    <s v="Buy"/>
    <s v="EUR"/>
    <n v="20000"/>
    <s v="PLN"/>
    <n v="-84124"/>
    <s v="2026-01-07"/>
    <n v="4.2061999999999999"/>
    <n v="0.23769999999999999"/>
    <n v="4.2110000000000003"/>
    <n v="1"/>
    <n v="96"/>
    <s v="POLAND PL"/>
  </r>
  <r>
    <s v="BKMILL"/>
    <n v="154928"/>
    <n v="214416"/>
    <s v="Forward"/>
    <x v="40"/>
    <s v="Sell Fwd"/>
    <s v="EUR"/>
    <n v="-4000"/>
    <s v="PLN"/>
    <n v="16869.16"/>
    <s v="2026-01-02"/>
    <n v="4.2183999999999999"/>
    <n v="0.23710000000000001"/>
    <n v="4.2267000000000001"/>
    <n v="1"/>
    <n v="-37.64"/>
    <s v="UNITED STATES OF AMERICA US"/>
  </r>
  <r>
    <s v="BKMILL"/>
    <n v="154929"/>
    <n v="214424"/>
    <s v="Forward"/>
    <x v="57"/>
    <s v="Sell Fwd"/>
    <s v="EUR"/>
    <n v="-100000"/>
    <s v="PLN"/>
    <n v="421500"/>
    <s v="2026-01-02"/>
    <n v="4.2149999999999999"/>
    <n v="0.23719999999999999"/>
    <n v="4.2267000000000001"/>
    <n v="1"/>
    <n v="-1170"/>
    <s v="POLAND PL"/>
  </r>
  <r>
    <s v="BKMILL"/>
    <n v="154930"/>
    <n v="887520"/>
    <s v="Spot"/>
    <x v="58"/>
    <s v="Buy"/>
    <s v="EUR"/>
    <n v="380000"/>
    <s v="PLN"/>
    <n v="-1601130"/>
    <s v="2026-01-07"/>
    <n v="4.2134999999999998"/>
    <n v="0.23730000000000001"/>
    <n v="4.2110000000000003"/>
    <n v="1"/>
    <n v="-950"/>
    <s v="POLAND PL"/>
  </r>
  <r>
    <s v="BKMILL"/>
    <n v="154931"/>
    <n v="214429"/>
    <s v="Forward"/>
    <x v="59"/>
    <s v="Buy Fwd"/>
    <s v="EUR"/>
    <n v="2000"/>
    <s v="PLN"/>
    <n v="8412"/>
    <s v="2026-01-02"/>
    <n v="4.2060000000000004"/>
    <n v="0.23780000000000001"/>
    <n v="4.2267000000000001"/>
    <n v="1"/>
    <n v="16865.400000000001"/>
    <s v="POLAND PL"/>
  </r>
  <r>
    <s v="BKMILL"/>
    <n v="154932"/>
    <n v="887536"/>
    <s v="Spot"/>
    <x v="47"/>
    <s v="Sell"/>
    <s v="EUR"/>
    <n v="-1000000"/>
    <s v="PLN"/>
    <n v="4219800"/>
    <s v="2026-01-07"/>
    <n v="4.2198000000000002"/>
    <n v="0.23699999999999999"/>
    <n v="4.2110000000000003"/>
    <n v="1"/>
    <n v="8800"/>
    <s v="FRANCE FR"/>
  </r>
  <r>
    <s v="BKMILL"/>
    <n v="154933"/>
    <n v="887565"/>
    <s v="Spot"/>
    <x v="60"/>
    <s v="Sell"/>
    <s v="EUR"/>
    <n v="-2000000"/>
    <s v="PLN"/>
    <n v="8428000"/>
    <s v="2026-01-07"/>
    <n v="4.2140000000000004"/>
    <n v="0.23730000000000001"/>
    <n v="4.2110000000000003"/>
    <n v="1"/>
    <n v="6000"/>
    <s v="POLAND PL"/>
  </r>
  <r>
    <s v="BKMILL"/>
    <n v="154934"/>
    <n v="887576"/>
    <s v="Spot"/>
    <x v="38"/>
    <s v="Sell"/>
    <s v="EUR"/>
    <n v="-100000"/>
    <s v="DKK"/>
    <n v="746928"/>
    <s v="2026-01-06"/>
    <n v="7.4692999999999996"/>
    <n v="0.13389999999999999"/>
    <n v="4.2110000000000003"/>
    <n v="0.56369999999999998"/>
    <n v="-56.686399999999999"/>
    <s v="NETHERLANDS NL"/>
  </r>
  <r>
    <s v="BKMILL"/>
    <n v="154935"/>
    <n v="887577"/>
    <s v="Spot"/>
    <x v="40"/>
    <s v="Buy"/>
    <s v="EUR"/>
    <n v="100000"/>
    <s v="USD"/>
    <n v="-117319"/>
    <s v="2026-01-06"/>
    <n v="1.1732"/>
    <n v="0.85240000000000005"/>
    <n v="4.2110000000000003"/>
    <n v="3.6044999999999998"/>
    <n v="-1776.3354999999999"/>
    <s v="UNITED STATES OF AMERICA US"/>
  </r>
  <r>
    <s v="BKMILL"/>
    <n v="154936"/>
    <n v="887578"/>
    <s v="Spot"/>
    <x v="40"/>
    <s v="Buy"/>
    <s v="EUR"/>
    <n v="100000"/>
    <s v="USD"/>
    <n v="-117324"/>
    <s v="2026-01-06"/>
    <n v="1.1732"/>
    <n v="0.85229999999999995"/>
    <n v="4.2110000000000003"/>
    <n v="3.6044999999999998"/>
    <n v="-1794.3579999999999"/>
    <s v="UNITED STATES OF AMERICA US"/>
  </r>
  <r>
    <s v="BKMILL"/>
    <n v="154937"/>
    <n v="214441"/>
    <s v="Forward"/>
    <x v="61"/>
    <s v="Sell Fwd"/>
    <s v="EUR"/>
    <n v="-50000"/>
    <s v="USD"/>
    <n v="58640"/>
    <s v="2026-01-02"/>
    <n v="1.1731"/>
    <n v="0.85240000000000005"/>
    <n v="4.2267000000000001"/>
    <n v="3.6015999999999999"/>
    <n v="-137.17599999999999"/>
    <s v="POLAND PL"/>
  </r>
  <r>
    <s v="BKMILL"/>
    <n v="154938"/>
    <n v="887589"/>
    <s v="Spot"/>
    <x v="40"/>
    <s v="Buy"/>
    <s v="EUR"/>
    <n v="100000"/>
    <s v="USD"/>
    <n v="-117245"/>
    <s v="2026-01-06"/>
    <n v="1.1724000000000001"/>
    <n v="0.85289999999999999"/>
    <n v="4.2110000000000003"/>
    <n v="3.6044999999999998"/>
    <n v="-1509.6025"/>
    <s v="UNITED STATES OF AMERICA US"/>
  </r>
  <r>
    <s v="BKMILL"/>
    <n v="154939"/>
    <n v="214449"/>
    <s v="Forward"/>
    <x v="62"/>
    <s v="Sell Fwd"/>
    <s v="EUR"/>
    <n v="-456700"/>
    <s v="PLN"/>
    <n v="1930927.6"/>
    <s v="2026-01-02"/>
    <n v="4.2279999999999998"/>
    <n v="0.23649999999999999"/>
    <n v="4.2267000000000001"/>
    <n v="1"/>
    <n v="593.71"/>
    <s v="POLAND PL"/>
  </r>
  <r>
    <s v="BKMILL"/>
    <n v="154941"/>
    <n v="887633"/>
    <s v="Spot"/>
    <x v="63"/>
    <s v="Sell"/>
    <s v="USD"/>
    <n v="-5000"/>
    <s v="PLN"/>
    <n v="17991.5"/>
    <s v="2026-01-07"/>
    <n v="3.5983000000000001"/>
    <n v="0.27789999999999998"/>
    <n v="3.6044999999999998"/>
    <n v="1"/>
    <n v="-31"/>
    <s v="POLAND PL"/>
  </r>
  <r>
    <s v="BKMILL"/>
    <n v="154942"/>
    <n v="887634"/>
    <s v="Spot"/>
    <x v="44"/>
    <s v="Buy"/>
    <s v="EUR"/>
    <n v="500000"/>
    <s v="PLN"/>
    <n v="-2106750"/>
    <s v="2026-01-07"/>
    <n v="4.2134999999999998"/>
    <n v="0.23730000000000001"/>
    <n v="4.2110000000000003"/>
    <n v="1"/>
    <n v="-1250"/>
    <s v="GERMANY DE"/>
  </r>
  <r>
    <s v="BKMILL"/>
    <n v="154943"/>
    <n v="887635"/>
    <s v="Spot"/>
    <x v="40"/>
    <s v="Buy"/>
    <s v="EUR"/>
    <n v="500000"/>
    <s v="PLN"/>
    <n v="-2106900"/>
    <s v="2026-01-07"/>
    <n v="4.2138"/>
    <n v="0.23730000000000001"/>
    <n v="4.2110000000000003"/>
    <n v="1"/>
    <n v="-1400"/>
    <s v="UNITED STATES OF AMERICA US"/>
  </r>
  <r>
    <s v="BKMILL"/>
    <n v="154944"/>
    <n v="887636"/>
    <s v="Spot"/>
    <x v="44"/>
    <s v="Buy"/>
    <s v="EUR"/>
    <n v="500000"/>
    <s v="PLN"/>
    <n v="-2106795"/>
    <s v="2026-01-07"/>
    <n v="4.2135999999999996"/>
    <n v="0.23730000000000001"/>
    <n v="4.2110000000000003"/>
    <n v="1"/>
    <n v="-1295"/>
    <s v="GERMANY DE"/>
  </r>
  <r>
    <s v="BKMILL"/>
    <n v="154945"/>
    <n v="214454"/>
    <s v="Forward"/>
    <x v="64"/>
    <s v="Sell Fwd"/>
    <s v="EUR"/>
    <n v="-50000"/>
    <s v="PLN"/>
    <n v="210850"/>
    <s v="2026-01-02"/>
    <n v="4.2169999999999996"/>
    <n v="0.23710000000000001"/>
    <n v="4.2267000000000001"/>
    <n v="1"/>
    <n v="-485"/>
    <s v="POLAND PL"/>
  </r>
  <r>
    <s v="BKMILL"/>
    <n v="154946"/>
    <n v="887643"/>
    <s v="Spot"/>
    <x v="47"/>
    <s v="Buy"/>
    <s v="EUR"/>
    <n v="500000"/>
    <s v="PLN"/>
    <n v="-2106455"/>
    <s v="2026-01-07"/>
    <n v="4.2129000000000003"/>
    <n v="0.2374"/>
    <n v="4.2110000000000003"/>
    <n v="1"/>
    <n v="-955"/>
    <s v="FRANCE FR"/>
  </r>
  <r>
    <s v="BKMILL"/>
    <n v="154947"/>
    <n v="887644"/>
    <s v="Spot"/>
    <x v="47"/>
    <s v="Buy"/>
    <s v="EUR"/>
    <n v="500000"/>
    <s v="PLN"/>
    <n v="-2106485"/>
    <s v="2026-01-07"/>
    <n v="4.2130000000000001"/>
    <n v="0.2374"/>
    <n v="4.2110000000000003"/>
    <n v="1"/>
    <n v="-985"/>
    <s v="FRANCE FR"/>
  </r>
  <r>
    <s v="BKMILL"/>
    <n v="154948"/>
    <n v="887645"/>
    <s v="Spot"/>
    <x v="41"/>
    <s v="Buy"/>
    <s v="EUR"/>
    <n v="500000"/>
    <s v="PLN"/>
    <n v="-2106550"/>
    <s v="2026-01-07"/>
    <n v="4.2130999999999998"/>
    <n v="0.2374"/>
    <n v="4.2110000000000003"/>
    <n v="1"/>
    <n v="-1050"/>
    <s v="GERMANY DE"/>
  </r>
  <r>
    <s v="BKMILL"/>
    <n v="154949"/>
    <n v="887646"/>
    <s v="Spot"/>
    <x v="41"/>
    <s v="Buy"/>
    <s v="EUR"/>
    <n v="500000"/>
    <s v="PLN"/>
    <n v="-2106500"/>
    <s v="2026-01-07"/>
    <n v="4.2130000000000001"/>
    <n v="0.2374"/>
    <n v="4.2110000000000003"/>
    <n v="1"/>
    <n v="-1000"/>
    <s v="GERMANY DE"/>
  </r>
  <r>
    <s v="BKMILL"/>
    <n v="154950"/>
    <n v="887647"/>
    <s v="Spot"/>
    <x v="60"/>
    <s v="Sell"/>
    <s v="EUR"/>
    <n v="-2000000"/>
    <s v="PLN"/>
    <n v="8429000"/>
    <s v="2026-01-07"/>
    <n v="4.2145000000000001"/>
    <n v="0.23730000000000001"/>
    <n v="4.2110000000000003"/>
    <n v="1"/>
    <n v="7000"/>
    <s v="POLAND PL"/>
  </r>
  <r>
    <s v="BKMILL"/>
    <n v="154952"/>
    <n v="887651"/>
    <s v="Spot"/>
    <x v="47"/>
    <s v="Buy"/>
    <s v="EUR"/>
    <n v="500000"/>
    <s v="PLN"/>
    <n v="-2106540"/>
    <s v="2026-01-07"/>
    <n v="4.2130999999999998"/>
    <n v="0.2374"/>
    <n v="4.2110000000000003"/>
    <n v="1"/>
    <n v="-1040"/>
    <s v="FRANCE FR"/>
  </r>
  <r>
    <s v="BKMILL"/>
    <n v="154953"/>
    <n v="214457"/>
    <s v="Forward"/>
    <x v="30"/>
    <s v="Sell Fwd"/>
    <s v="EUR"/>
    <n v="-50000"/>
    <s v="NOK"/>
    <n v="590260"/>
    <s v="2026-01-02"/>
    <n v="11.807700000000001"/>
    <n v="8.4699999999999998E-2"/>
    <n v="4.2267000000000001"/>
    <n v="0.35770000000000002"/>
    <n v="-198.99799999999999"/>
    <s v="POLAND PL"/>
  </r>
  <r>
    <s v="BKMILL"/>
    <n v="154954"/>
    <n v="887656"/>
    <s v="Spot"/>
    <x v="47"/>
    <s v="Buy"/>
    <s v="EUR"/>
    <n v="500000"/>
    <s v="PLN"/>
    <n v="-2106475"/>
    <s v="2026-01-07"/>
    <n v="4.2130000000000001"/>
    <n v="0.2374"/>
    <n v="4.2110000000000003"/>
    <n v="1"/>
    <n v="-975"/>
    <s v="FRANCE FR"/>
  </r>
  <r>
    <s v="BKMILL"/>
    <n v="154955"/>
    <n v="887657"/>
    <s v="Spot"/>
    <x v="44"/>
    <s v="Buy"/>
    <s v="EUR"/>
    <n v="500000"/>
    <s v="PLN"/>
    <n v="-2106390"/>
    <s v="2026-01-07"/>
    <n v="4.2127999999999997"/>
    <n v="0.2374"/>
    <n v="4.2110000000000003"/>
    <n v="1"/>
    <n v="-890"/>
    <s v="GERMANY DE"/>
  </r>
  <r>
    <s v="BKMILL"/>
    <n v="154956"/>
    <n v="887658"/>
    <s v="Spot"/>
    <x v="40"/>
    <s v="Sell"/>
    <s v="EUR"/>
    <n v="-100000"/>
    <s v="USD"/>
    <n v="117302"/>
    <s v="2026-01-06"/>
    <n v="1.173"/>
    <n v="0.85250000000000004"/>
    <n v="4.2110000000000003"/>
    <n v="3.6044999999999998"/>
    <n v="1715.059"/>
    <s v="UNITED STATES OF AMERICA US"/>
  </r>
  <r>
    <s v="BKMILL"/>
    <n v="154957"/>
    <n v="887662"/>
    <s v="Spot"/>
    <x v="41"/>
    <s v="Buy"/>
    <s v="EUR"/>
    <n v="500000"/>
    <s v="PLN"/>
    <n v="-2106450"/>
    <s v="2026-01-07"/>
    <n v="4.2129000000000003"/>
    <n v="0.2374"/>
    <n v="4.2110000000000003"/>
    <n v="1"/>
    <n v="-950"/>
    <s v="GERMANY DE"/>
  </r>
  <r>
    <s v="BKMILL"/>
    <n v="154958"/>
    <n v="887671"/>
    <s v="Spot"/>
    <x v="40"/>
    <s v="Sell"/>
    <s v="EUR"/>
    <n v="-100000"/>
    <s v="USD"/>
    <n v="117320"/>
    <s v="2026-01-06"/>
    <n v="1.1732"/>
    <n v="0.85240000000000005"/>
    <n v="4.2110000000000003"/>
    <n v="3.6044999999999998"/>
    <n v="1779.94"/>
    <s v="UNITED STATES OF AMERICA US"/>
  </r>
  <r>
    <s v="BKMILL"/>
    <n v="154960"/>
    <n v="887681"/>
    <s v="Spot"/>
    <x v="40"/>
    <s v="Sell"/>
    <s v="EUR"/>
    <n v="-100000"/>
    <s v="USD"/>
    <n v="117367"/>
    <s v="2026-01-06"/>
    <n v="1.1737"/>
    <n v="0.85199999999999998"/>
    <n v="4.2110000000000003"/>
    <n v="3.6044999999999998"/>
    <n v="1949.3515"/>
    <s v="UNITED STATES OF AMERICA US"/>
  </r>
  <r>
    <s v="BKMILL"/>
    <n v="154961"/>
    <n v="887682"/>
    <s v="Spot"/>
    <x v="41"/>
    <s v="Buy"/>
    <s v="EUR"/>
    <n v="500000"/>
    <s v="PLN"/>
    <n v="-2106650"/>
    <s v="2026-01-07"/>
    <n v="4.2133000000000003"/>
    <n v="0.23730000000000001"/>
    <n v="4.2110000000000003"/>
    <n v="1"/>
    <n v="-1150"/>
    <s v="GERMANY DE"/>
  </r>
  <r>
    <s v="BKMILL"/>
    <n v="154962"/>
    <n v="887686"/>
    <s v="Spot"/>
    <x v="65"/>
    <s v="Sell"/>
    <s v="EUR"/>
    <n v="-887777"/>
    <s v="PLN"/>
    <n v="3741891.28"/>
    <s v="2026-01-07"/>
    <n v="4.2149000000000001"/>
    <n v="0.23730000000000001"/>
    <n v="4.2110000000000003"/>
    <n v="1"/>
    <n v="3462.3330000000001"/>
    <s v="POLAND PL"/>
  </r>
  <r>
    <s v="BKMILL"/>
    <n v="154994"/>
    <n v="214467"/>
    <s v="Forward"/>
    <x v="66"/>
    <s v="Buy Fwd"/>
    <s v="EUR"/>
    <n v="8740"/>
    <s v="PLN"/>
    <n v="36712.370000000003"/>
    <s v="2026-01-02"/>
    <n v="4.2013999999999996"/>
    <n v="0.23799999999999999"/>
    <n v="4.2267000000000001"/>
    <n v="1"/>
    <n v="73653.728000000003"/>
    <s v="POLAND PL"/>
  </r>
  <r>
    <s v="BKMILL"/>
    <n v="154997"/>
    <n v="214469"/>
    <s v="Forward"/>
    <x v="67"/>
    <s v="Sell Fwd"/>
    <s v="EUR"/>
    <n v="-275000"/>
    <s v="PLN"/>
    <n v="1161600"/>
    <s v="2026-01-02"/>
    <n v="4.2249999999999996"/>
    <n v="0.23669999999999999"/>
    <n v="4.2267000000000001"/>
    <n v="1"/>
    <n v="-742.5"/>
    <s v="POLAND PL"/>
  </r>
  <r>
    <s v="BKMILL"/>
    <n v="155004"/>
    <n v="214480"/>
    <s v="Forward"/>
    <x v="61"/>
    <s v="Sell Fwd"/>
    <s v="EUR"/>
    <n v="-50000"/>
    <s v="USD"/>
    <n v="58585"/>
    <s v="2026-01-02"/>
    <n v="1.1719999999999999"/>
    <n v="0.85319999999999996"/>
    <n v="4.2267000000000001"/>
    <n v="3.6015999999999999"/>
    <n v="-335.26400000000001"/>
    <s v="POLAND PL"/>
  </r>
  <r>
    <s v="BKMILL"/>
    <n v="155007"/>
    <n v="887750"/>
    <s v="Spot"/>
    <x v="47"/>
    <s v="Buy"/>
    <s v="EUR"/>
    <n v="500000"/>
    <s v="PLN"/>
    <n v="-2107295"/>
    <s v="2026-01-07"/>
    <n v="4.2145999999999999"/>
    <n v="0.23730000000000001"/>
    <n v="4.2110000000000003"/>
    <n v="1"/>
    <n v="-1795"/>
    <s v="FRANCE FR"/>
  </r>
  <r>
    <s v="BKMILL"/>
    <n v="155009"/>
    <n v="214487"/>
    <s v="Forward"/>
    <x v="68"/>
    <s v="Sell Fwd"/>
    <s v="EUR"/>
    <n v="-300000"/>
    <s v="PLN"/>
    <n v="1264650"/>
    <s v="2026-01-02"/>
    <n v="4.2164999999999999"/>
    <n v="0.23719999999999999"/>
    <n v="4.2267000000000001"/>
    <n v="1"/>
    <n v="-3360"/>
    <s v="POLAND PL"/>
  </r>
  <r>
    <s v="BKMILL"/>
    <n v="155010"/>
    <n v="214489"/>
    <s v="Forward"/>
    <x v="68"/>
    <s v="Sell Fwd"/>
    <s v="EUR"/>
    <n v="-338800"/>
    <s v="PLN"/>
    <n v="1428177.52"/>
    <s v="2026-01-02"/>
    <n v="4.2164000000000001"/>
    <n v="0.23719999999999999"/>
    <n v="4.2267000000000001"/>
    <n v="1"/>
    <n v="-3828.44"/>
    <s v="POLAND PL"/>
  </r>
  <r>
    <s v="BKMILL"/>
    <n v="155011"/>
    <n v="887774"/>
    <s v="Spot"/>
    <x v="39"/>
    <s v="Buy"/>
    <s v="EUR"/>
    <n v="500000"/>
    <s v="PLN"/>
    <n v="-2107435"/>
    <s v="2026-01-07"/>
    <n v="4.2149000000000001"/>
    <n v="0.23730000000000001"/>
    <n v="4.2110000000000003"/>
    <n v="1"/>
    <n v="-1935"/>
    <s v="UNITED KINGDOM GB"/>
  </r>
  <r>
    <s v="BKMILL"/>
    <n v="155012"/>
    <n v="214493"/>
    <s v="Forward"/>
    <x v="69"/>
    <s v="Buy Fwd"/>
    <s v="EUR"/>
    <n v="200000"/>
    <s v="PLN"/>
    <n v="842100"/>
    <s v="2026-01-02"/>
    <n v="4.2115"/>
    <n v="0.2374"/>
    <n v="4.2267000000000001"/>
    <n v="1"/>
    <n v="1687440"/>
    <s v="POLAND PL"/>
  </r>
  <r>
    <s v="BKMILL"/>
    <n v="155013"/>
    <n v="887793"/>
    <s v="Spot"/>
    <x v="39"/>
    <s v="Buy"/>
    <s v="EUR"/>
    <n v="500000"/>
    <s v="PLN"/>
    <n v="-2106495"/>
    <s v="2026-01-07"/>
    <n v="4.2130000000000001"/>
    <n v="0.2374"/>
    <n v="4.2110000000000003"/>
    <n v="1"/>
    <n v="-995"/>
    <s v="UNITED KINGDOM GB"/>
  </r>
  <r>
    <s v="BKMILL"/>
    <n v="155015"/>
    <n v="214499"/>
    <s v="Forward"/>
    <x v="70"/>
    <s v="Buy Fwd"/>
    <s v="EUR"/>
    <n v="6800"/>
    <s v="PLN"/>
    <n v="28594"/>
    <s v="2026-01-02"/>
    <n v="4.2050000000000001"/>
    <n v="0.23780000000000001"/>
    <n v="4.2267000000000001"/>
    <n v="1"/>
    <n v="57335.56"/>
    <s v="POLAND PL"/>
  </r>
  <r>
    <s v="BKMILL"/>
    <n v="155016"/>
    <n v="887806"/>
    <s v="Spot"/>
    <x v="39"/>
    <s v="Buy"/>
    <s v="EUR"/>
    <n v="500000"/>
    <s v="PLN"/>
    <n v="-2106165"/>
    <s v="2026-01-07"/>
    <n v="4.2122999999999999"/>
    <n v="0.2374"/>
    <n v="4.2110000000000003"/>
    <n v="1"/>
    <n v="-665"/>
    <s v="UNITED KINGDOM GB"/>
  </r>
  <r>
    <s v="BKMILL"/>
    <n v="155017"/>
    <n v="214503"/>
    <s v="Forward"/>
    <x v="70"/>
    <s v="Buy Fwd"/>
    <s v="EUR"/>
    <n v="1041.81"/>
    <s v="USD"/>
    <n v="1221"/>
    <s v="2026-01-02"/>
    <n v="1.17"/>
    <n v="0.85470000000000002"/>
    <n v="4.2267000000000001"/>
    <n v="3.6015999999999999"/>
    <n v="8800.9719270000005"/>
    <s v="POLAND PL"/>
  </r>
  <r>
    <s v="BKMILL"/>
    <n v="155018"/>
    <n v="887823"/>
    <s v="Spot"/>
    <x v="71"/>
    <s v="Sell"/>
    <s v="EUR"/>
    <n v="-100000"/>
    <s v="PLN"/>
    <n v="421590"/>
    <s v="2026-01-07"/>
    <n v="4.2159000000000004"/>
    <n v="0.23719999999999999"/>
    <n v="4.2110000000000003"/>
    <n v="1"/>
    <n v="490"/>
    <s v="POLAND PL"/>
  </r>
  <r>
    <s v="BKMILL"/>
    <n v="155019"/>
    <n v="214512"/>
    <s v="Forward"/>
    <x v="26"/>
    <s v="Sell Fwd"/>
    <s v="USD"/>
    <n v="-25000"/>
    <s v="PLN"/>
    <n v="89967.5"/>
    <s v="2026-01-02"/>
    <n v="3.5987"/>
    <n v="0.27789999999999998"/>
    <n v="3.6015999999999999"/>
    <n v="1"/>
    <n v="-72.5"/>
    <s v="POLAND PL"/>
  </r>
  <r>
    <s v="BKMILL"/>
    <n v="155021"/>
    <n v="214517"/>
    <s v="Forward"/>
    <x v="72"/>
    <s v="Buy Fwd"/>
    <s v="EUR"/>
    <n v="50000"/>
    <s v="PLN"/>
    <n v="210500"/>
    <s v="2026-01-02"/>
    <n v="4.21"/>
    <n v="0.23749999999999999"/>
    <n v="4.2267000000000001"/>
    <n v="1"/>
    <n v="421835"/>
    <s v="POLAND PL"/>
  </r>
  <r>
    <s v="BKMILL"/>
    <n v="155022"/>
    <n v="214518"/>
    <s v="Forward"/>
    <x v="73"/>
    <s v="Sell Fwd"/>
    <s v="EUR"/>
    <n v="-545000"/>
    <s v="PLN"/>
    <n v="2297720"/>
    <s v="2026-01-02"/>
    <n v="4.2160000000000002"/>
    <n v="0.23719999999999999"/>
    <n v="4.2267000000000001"/>
    <n v="1"/>
    <n v="-5831.5"/>
    <s v="POLAND PL"/>
  </r>
  <r>
    <s v="BKMILL"/>
    <n v="155023"/>
    <n v="887878"/>
    <s v="Spot"/>
    <x v="44"/>
    <s v="Buy"/>
    <s v="EUR"/>
    <n v="500000"/>
    <s v="PLN"/>
    <n v="-2106000"/>
    <s v="2026-01-07"/>
    <n v="4.2119999999999997"/>
    <n v="0.2374"/>
    <n v="4.2110000000000003"/>
    <n v="1"/>
    <n v="-500"/>
    <s v="GERMANY DE"/>
  </r>
  <r>
    <s v="BKMILL"/>
    <n v="155024"/>
    <n v="887888"/>
    <s v="Spot"/>
    <x v="39"/>
    <s v="Buy"/>
    <s v="EUR"/>
    <n v="500000"/>
    <s v="PLN"/>
    <n v="-2106260"/>
    <s v="2026-01-07"/>
    <n v="4.2125000000000004"/>
    <n v="0.2374"/>
    <n v="4.2110000000000003"/>
    <n v="1"/>
    <n v="-760"/>
    <s v="UNITED KINGDOM GB"/>
  </r>
  <r>
    <s v="BKMILL"/>
    <n v="155025"/>
    <n v="214524"/>
    <s v="Forward"/>
    <x v="28"/>
    <s v="Buy Fwd"/>
    <s v="EUR"/>
    <n v="427680"/>
    <s v="PLN"/>
    <n v="1798822.08"/>
    <s v="2026-01-02"/>
    <n v="4.2070999999999996"/>
    <n v="0.23769999999999999"/>
    <n v="4.2267000000000001"/>
    <n v="1"/>
    <n v="3606497.1359999999"/>
    <s v="POLAND PL"/>
  </r>
  <r>
    <s v="BKMILL"/>
    <n v="155026"/>
    <n v="887898"/>
    <s v="Spot"/>
    <x v="51"/>
    <s v="Sell"/>
    <s v="EUR"/>
    <n v="-100000"/>
    <s v="PLN"/>
    <n v="421450"/>
    <s v="2026-01-07"/>
    <n v="4.2145000000000001"/>
    <n v="0.23730000000000001"/>
    <n v="4.2110000000000003"/>
    <n v="1"/>
    <n v="350"/>
    <s v="POLAND PL"/>
  </r>
  <r>
    <s v="BKMILL"/>
    <n v="155028"/>
    <n v="887921"/>
    <s v="Spot"/>
    <x v="40"/>
    <s v="Sell"/>
    <s v="EUR"/>
    <n v="-100000"/>
    <s v="USD"/>
    <n v="117202"/>
    <s v="2026-01-06"/>
    <n v="1.1719999999999999"/>
    <n v="0.85319999999999996"/>
    <n v="4.2110000000000003"/>
    <n v="3.6044999999999998"/>
    <n v="1354.6089999999999"/>
    <s v="UNITED STATES OF AMERICA US"/>
  </r>
  <r>
    <s v="BKMILL"/>
    <n v="155029"/>
    <n v="887924"/>
    <s v="Spot"/>
    <x v="40"/>
    <s v="Sell"/>
    <s v="EUR"/>
    <n v="-100000"/>
    <s v="USD"/>
    <n v="117224"/>
    <s v="2026-01-06"/>
    <n v="1.1721999999999999"/>
    <n v="0.85309999999999997"/>
    <n v="4.2110000000000003"/>
    <n v="3.6044999999999998"/>
    <n v="1433.9079999999999"/>
    <s v="UNITED STATES OF AMERICA US"/>
  </r>
  <r>
    <s v="BKMILL"/>
    <n v="155030"/>
    <n v="887935"/>
    <s v="Spot"/>
    <x v="40"/>
    <s v="Sell"/>
    <s v="EUR"/>
    <n v="-100000"/>
    <s v="USD"/>
    <n v="117242"/>
    <s v="2026-01-06"/>
    <n v="1.1724000000000001"/>
    <n v="0.85289999999999999"/>
    <n v="4.2110000000000003"/>
    <n v="3.6044999999999998"/>
    <n v="1498.789"/>
    <s v="UNITED STATES OF AMERICA US"/>
  </r>
  <r>
    <s v="BKMILL"/>
    <n v="155031"/>
    <n v="214537"/>
    <s v="Forward"/>
    <x v="74"/>
    <s v="Buy Fwd"/>
    <s v="EUR"/>
    <n v="100000"/>
    <s v="PLN"/>
    <n v="419500"/>
    <s v="2026-01-02"/>
    <n v="4.1950000000000003"/>
    <n v="0.2384"/>
    <n v="4.2267000000000001"/>
    <n v="1"/>
    <n v="842170"/>
    <s v="POLAND PL"/>
  </r>
  <r>
    <s v="BKMILL"/>
    <n v="155032"/>
    <n v="214538"/>
    <s v="Forward"/>
    <x v="75"/>
    <s v="Buy Fwd"/>
    <s v="EUR"/>
    <n v="30000"/>
    <s v="PLN"/>
    <n v="126030"/>
    <s v="2026-01-02"/>
    <n v="4.2009999999999996"/>
    <n v="0.23799999999999999"/>
    <n v="4.2267000000000001"/>
    <n v="1"/>
    <n v="252831"/>
    <s v="POLAND PL"/>
  </r>
  <r>
    <s v="BKMILL"/>
    <n v="155034"/>
    <n v="214542"/>
    <s v="Forward"/>
    <x v="76"/>
    <s v="Buy Fwd"/>
    <s v="EUR"/>
    <n v="5000"/>
    <s v="PLN"/>
    <n v="21000"/>
    <s v="2026-01-02"/>
    <n v="4.2"/>
    <n v="0.23810000000000001"/>
    <n v="4.2267000000000001"/>
    <n v="1"/>
    <n v="42133.5"/>
    <s v="POLAND PL"/>
  </r>
  <r>
    <s v="BKMILL"/>
    <n v="155039"/>
    <n v="214557"/>
    <s v="Forward"/>
    <x v="77"/>
    <s v="Buy Fwd"/>
    <s v="EUR"/>
    <n v="50000"/>
    <s v="PLN"/>
    <n v="209750"/>
    <s v="2026-01-02"/>
    <n v="4.1950000000000003"/>
    <n v="0.2384"/>
    <n v="4.2267000000000001"/>
    <n v="1"/>
    <n v="421085"/>
    <s v="POLAND PL"/>
  </r>
  <r>
    <s v="BKMILL"/>
    <n v="155040"/>
    <n v="888004"/>
    <s v="Spot"/>
    <x v="47"/>
    <s v="Sell"/>
    <s v="EUR"/>
    <n v="-500000"/>
    <s v="PLN"/>
    <n v="2105910"/>
    <s v="2026-01-07"/>
    <n v="4.2118000000000002"/>
    <n v="0.2374"/>
    <n v="4.2110000000000003"/>
    <n v="1"/>
    <n v="410"/>
    <s v="FRANCE FR"/>
  </r>
  <r>
    <s v="BKMILL"/>
    <n v="155041"/>
    <n v="888005"/>
    <s v="Spot"/>
    <x v="38"/>
    <s v="Buy"/>
    <s v="EUR"/>
    <n v="100000"/>
    <s v="GBP"/>
    <n v="-87153"/>
    <s v="2026-01-06"/>
    <n v="0.87150000000000005"/>
    <n v="1.1474"/>
    <n v="4.2110000000000003"/>
    <n v="4.8457999999999997"/>
    <n v="-1226.0074"/>
    <s v="NETHERLANDS NL"/>
  </r>
  <r>
    <s v="BKMILL"/>
    <n v="155043"/>
    <n v="888018"/>
    <s v="Spot"/>
    <x v="47"/>
    <s v="Sell"/>
    <s v="EUR"/>
    <n v="-500000"/>
    <s v="PLN"/>
    <n v="2106100"/>
    <s v="2026-01-07"/>
    <n v="4.2122000000000002"/>
    <n v="0.2374"/>
    <n v="4.2110000000000003"/>
    <n v="1"/>
    <n v="600"/>
    <s v="FRANCE FR"/>
  </r>
  <r>
    <s v="BKMILL"/>
    <n v="155044"/>
    <n v="214570"/>
    <s v="Forward"/>
    <x v="30"/>
    <s v="Sell Fwd"/>
    <s v="EUR"/>
    <n v="-250000"/>
    <s v="NOK"/>
    <n v="2951200"/>
    <s v="2026-01-09"/>
    <n v="11.803599999999999"/>
    <n v="8.4699999999999998E-2"/>
    <n v="4.2119"/>
    <n v="0.35630000000000001"/>
    <n v="-1462.44"/>
    <s v="POLAND PL"/>
  </r>
  <r>
    <s v="BKMILL"/>
    <n v="155047"/>
    <n v="888066"/>
    <s v="Spot"/>
    <x v="47"/>
    <s v="Buy"/>
    <s v="EUR"/>
    <n v="500000"/>
    <s v="PLN"/>
    <n v="-2106500"/>
    <s v="2026-01-07"/>
    <n v="4.2130000000000001"/>
    <n v="0.2374"/>
    <n v="4.2110000000000003"/>
    <n v="1"/>
    <n v="-1000"/>
    <s v="FRANCE FR"/>
  </r>
  <r>
    <s v="BKMILL"/>
    <n v="155048"/>
    <n v="888067"/>
    <s v="Spot"/>
    <x v="41"/>
    <s v="Buy"/>
    <s v="EUR"/>
    <n v="500000"/>
    <s v="PLN"/>
    <n v="-2106500"/>
    <s v="2026-01-07"/>
    <n v="4.2130000000000001"/>
    <n v="0.2374"/>
    <n v="4.2110000000000003"/>
    <n v="1"/>
    <n v="-1000"/>
    <s v="GERMANY DE"/>
  </r>
  <r>
    <s v="BKMILL"/>
    <n v="155049"/>
    <n v="888068"/>
    <s v="Spot"/>
    <x v="47"/>
    <s v="Buy"/>
    <s v="EUR"/>
    <n v="500000"/>
    <s v="PLN"/>
    <n v="-2106525"/>
    <s v="2026-01-07"/>
    <n v="4.2130000000000001"/>
    <n v="0.2374"/>
    <n v="4.2110000000000003"/>
    <n v="1"/>
    <n v="-1025"/>
    <s v="FRANCE FR"/>
  </r>
  <r>
    <s v="BKMILL"/>
    <n v="155050"/>
    <n v="888069"/>
    <s v="Spot"/>
    <x v="38"/>
    <s v="Buy"/>
    <s v="EUR"/>
    <n v="500000"/>
    <s v="PLN"/>
    <n v="-2106445"/>
    <s v="2026-01-07"/>
    <n v="4.2129000000000003"/>
    <n v="0.2374"/>
    <n v="4.2110000000000003"/>
    <n v="1"/>
    <n v="-945"/>
    <s v="NETHERLANDS NL"/>
  </r>
  <r>
    <s v="BKMILL"/>
    <n v="155052"/>
    <n v="214577"/>
    <s v="Forward"/>
    <x v="78"/>
    <s v="Buy Fwd"/>
    <s v="EUR"/>
    <n v="20000"/>
    <s v="PLN"/>
    <n v="84200"/>
    <s v="2026-01-02"/>
    <n v="4.21"/>
    <n v="0.23749999999999999"/>
    <n v="4.2267000000000001"/>
    <n v="1"/>
    <n v="168734"/>
    <s v="POLAND PL"/>
  </r>
  <r>
    <s v="BKMILL"/>
    <n v="155054"/>
    <n v="888079"/>
    <s v="Spot"/>
    <x v="39"/>
    <s v="Buy"/>
    <s v="EUR"/>
    <n v="500000"/>
    <s v="PLN"/>
    <n v="-2106375"/>
    <s v="2026-01-07"/>
    <n v="4.2126999999999999"/>
    <n v="0.2374"/>
    <n v="4.2110000000000003"/>
    <n v="1"/>
    <n v="-875"/>
    <s v="UNITED KINGDOM GB"/>
  </r>
  <r>
    <s v="BKMILL"/>
    <n v="155055"/>
    <n v="888080"/>
    <s v="Spot"/>
    <x v="40"/>
    <s v="Buy"/>
    <s v="EUR"/>
    <n v="100000"/>
    <s v="USD"/>
    <n v="-117218"/>
    <s v="2026-01-06"/>
    <n v="1.1721999999999999"/>
    <n v="0.85309999999999997"/>
    <n v="4.2110000000000003"/>
    <n v="3.6044999999999998"/>
    <n v="-1412.2809999999999"/>
    <s v="UNITED STATES OF AMERICA US"/>
  </r>
  <r>
    <s v="BKMILL"/>
    <n v="155065"/>
    <n v="888097"/>
    <s v="Spot"/>
    <x v="44"/>
    <s v="Buy"/>
    <s v="EUR"/>
    <n v="500000"/>
    <s v="PLN"/>
    <n v="-2106000"/>
    <s v="2026-01-07"/>
    <n v="4.2119999999999997"/>
    <n v="0.2374"/>
    <n v="4.2110000000000003"/>
    <n v="1"/>
    <n v="-500"/>
    <s v="GERMANY DE"/>
  </r>
  <r>
    <s v="BKMILL"/>
    <n v="155066"/>
    <n v="888098"/>
    <s v="Spot"/>
    <x v="44"/>
    <s v="Buy"/>
    <s v="EUR"/>
    <n v="500000"/>
    <s v="PLN"/>
    <n v="-2105850"/>
    <s v="2026-01-07"/>
    <n v="4.2117000000000004"/>
    <n v="0.2374"/>
    <n v="4.2110000000000003"/>
    <n v="1"/>
    <n v="-350"/>
    <s v="GERMANY DE"/>
  </r>
  <r>
    <s v="BKMILL"/>
    <n v="155067"/>
    <n v="888099"/>
    <s v="Spot"/>
    <x v="40"/>
    <s v="Buy"/>
    <s v="EUR"/>
    <n v="500000"/>
    <s v="PLN"/>
    <n v="-2105900"/>
    <s v="2026-01-07"/>
    <n v="4.2118000000000002"/>
    <n v="0.2374"/>
    <n v="4.2110000000000003"/>
    <n v="1"/>
    <n v="-400"/>
    <s v="UNITED STATES OF AMERICA US"/>
  </r>
  <r>
    <s v="BKMILL"/>
    <n v="155068"/>
    <n v="214581"/>
    <s v="Forward"/>
    <x v="22"/>
    <s v="Sell Fwd"/>
    <s v="EUR"/>
    <n v="-650000"/>
    <s v="PLN"/>
    <n v="2749500"/>
    <s v="2026-01-15"/>
    <n v="4.2279999999999998"/>
    <n v="0.23649999999999999"/>
    <n v="4.2110000000000003"/>
    <n v="1"/>
    <n v="12350"/>
    <s v="POLAND PL"/>
  </r>
  <r>
    <s v="BKMILL"/>
    <n v="155069"/>
    <n v="888112"/>
    <s v="Spot"/>
    <x v="44"/>
    <s v="Buy"/>
    <s v="EUR"/>
    <n v="500000"/>
    <s v="PLN"/>
    <n v="-2105900"/>
    <s v="2026-01-07"/>
    <n v="4.2118000000000002"/>
    <n v="0.2374"/>
    <n v="4.2110000000000003"/>
    <n v="1"/>
    <n v="-400"/>
    <s v="GERMANY DE"/>
  </r>
  <r>
    <s v="BKMILL"/>
    <n v="155070"/>
    <n v="888113"/>
    <s v="Spot"/>
    <x v="79"/>
    <s v="Buy"/>
    <s v="USD"/>
    <n v="72000"/>
    <s v="PLN"/>
    <n v="-258120"/>
    <s v="2026-01-07"/>
    <n v="3.585"/>
    <n v="0.27889999999999998"/>
    <n v="3.6044999999999998"/>
    <n v="1"/>
    <n v="1404"/>
    <s v="POLAND PL"/>
  </r>
  <r>
    <s v="BKMILL"/>
    <n v="155071"/>
    <n v="214584"/>
    <s v="Forward"/>
    <x v="80"/>
    <s v="Sell Fwd"/>
    <s v="EUR"/>
    <n v="-330000"/>
    <s v="PLN"/>
    <n v="1392270"/>
    <s v="2026-01-02"/>
    <n v="4.2199"/>
    <n v="0.23699999999999999"/>
    <n v="4.2267000000000001"/>
    <n v="1"/>
    <n v="-2541"/>
    <s v="POLAND PL"/>
  </r>
  <r>
    <s v="BKMILL"/>
    <n v="155072"/>
    <n v="214586"/>
    <s v="Forward"/>
    <x v="81"/>
    <s v="Buy Fwd"/>
    <s v="EUR"/>
    <n v="30000"/>
    <s v="PLN"/>
    <n v="126060"/>
    <s v="2026-01-02"/>
    <n v="4.202"/>
    <n v="0.23799999999999999"/>
    <n v="4.2267000000000001"/>
    <n v="1"/>
    <n v="252861"/>
    <s v="POLAND PL"/>
  </r>
  <r>
    <s v="BKMILL"/>
    <n v="155073"/>
    <n v="214587"/>
    <s v="Forward"/>
    <x v="82"/>
    <s v="Sell Fwd"/>
    <s v="EUR"/>
    <n v="-1000"/>
    <s v="PLN"/>
    <n v="4218.1000000000004"/>
    <s v="2026-01-02"/>
    <n v="4.2188999999999997"/>
    <n v="0.23699999999999999"/>
    <n v="4.2267000000000001"/>
    <n v="1"/>
    <n v="-8.6"/>
    <s v="POLAND PL"/>
  </r>
  <r>
    <s v="BKMILL"/>
    <n v="156942"/>
    <n v="898657"/>
    <s v="Spot"/>
    <x v="44"/>
    <s v="Buy"/>
    <s v="EUR"/>
    <n v="1000000"/>
    <s v="PLN"/>
    <n v="-4209600"/>
    <s v="2026-01-20"/>
    <n v="4.2096"/>
    <n v="0.23760000000000001"/>
    <n v="4.2230999999999996"/>
    <n v="1"/>
    <n v="13500"/>
    <s v="GERMANY DE"/>
  </r>
  <r>
    <s v="BKMILL"/>
    <n v="156943"/>
    <n v="217224"/>
    <s v="Forward"/>
    <x v="83"/>
    <s v="Sell Fwd"/>
    <s v="EUR"/>
    <n v="-1353819.36"/>
    <s v="PLN"/>
    <n v="5723948.25"/>
    <s v="2026-01-15"/>
    <n v="4.2279999999999998"/>
    <n v="0.23649999999999999"/>
    <n v="4.2110000000000003"/>
    <n v="1"/>
    <n v="23014.925039999998"/>
    <s v="POLAND PL"/>
  </r>
  <r>
    <s v="BKMILL"/>
    <n v="156944"/>
    <n v="217245"/>
    <s v="Forward"/>
    <x v="84"/>
    <s v="Sell Fwd"/>
    <s v="EUR"/>
    <n v="-26050.25"/>
    <s v="PLN"/>
    <n v="109853.9"/>
    <s v="2026-01-15"/>
    <n v="4.2169999999999996"/>
    <n v="0.23710000000000001"/>
    <n v="4.2110000000000003"/>
    <n v="1"/>
    <n v="156.29724999999999"/>
    <s v="POLAND PL"/>
  </r>
  <r>
    <s v="BMILLBH"/>
    <n v="156945"/>
    <n v="217247"/>
    <s v="Forward"/>
    <x v="85"/>
    <s v="Buy Fwd"/>
    <s v="EUR"/>
    <n v="26050.25"/>
    <s v="PLN"/>
    <n v="109853.9"/>
    <s v="2026-01-15"/>
    <n v="4.218"/>
    <n v="0.23710000000000001"/>
    <n v="4.2110000000000003"/>
    <n v="1"/>
    <n v="219551.50275000001"/>
    <s v="POLAND PL"/>
  </r>
  <r>
    <s v="BMILLBH"/>
    <n v="156946"/>
    <n v="217248"/>
    <s v="Forward"/>
    <x v="85"/>
    <s v="Sell Fwd"/>
    <s v="EUR"/>
    <n v="-26050.25"/>
    <s v="PLN"/>
    <n v="109853.9"/>
    <s v="2026-01-15"/>
    <n v="4.218"/>
    <n v="0.23710000000000001"/>
    <n v="4.2110000000000003"/>
    <n v="1"/>
    <n v="156.29724999999999"/>
    <s v="POLAND PL"/>
  </r>
  <r>
    <s v="BKMILL"/>
    <n v="156947"/>
    <n v="898735"/>
    <s v="Spot"/>
    <x v="51"/>
    <s v="Sell"/>
    <s v="EUR"/>
    <n v="-100000"/>
    <s v="PLN"/>
    <n v="421180"/>
    <s v="2026-01-20"/>
    <n v="4.2118000000000002"/>
    <n v="0.2374"/>
    <n v="4.2230999999999996"/>
    <n v="1"/>
    <n v="-1130"/>
    <s v="POLAND PL"/>
  </r>
  <r>
    <s v="BKMILL"/>
    <n v="156948"/>
    <n v="217249"/>
    <s v="Forward"/>
    <x v="86"/>
    <s v="Buy Fwd"/>
    <s v="EUR"/>
    <n v="105000"/>
    <s v="PLN"/>
    <n v="441735"/>
    <s v="2026-01-15"/>
    <n v="4.2069999999999999"/>
    <n v="0.23769999999999999"/>
    <n v="4.2110000000000003"/>
    <n v="1"/>
    <n v="883890"/>
    <s v="POLAND PL"/>
  </r>
  <r>
    <s v="BKMILL"/>
    <n v="156950"/>
    <n v="898768"/>
    <s v="Spot"/>
    <x v="87"/>
    <s v="Sell"/>
    <s v="EUR"/>
    <n v="-50000"/>
    <s v="PLN"/>
    <n v="210650"/>
    <s v="2026-01-20"/>
    <n v="4.2130000000000001"/>
    <n v="0.2374"/>
    <n v="4.2230999999999996"/>
    <n v="1"/>
    <n v="-505"/>
    <s v="POLAND PL"/>
  </r>
  <r>
    <s v="BKMILL"/>
    <n v="156951"/>
    <n v="217262"/>
    <s v="Forward"/>
    <x v="88"/>
    <s v="Buy Fwd"/>
    <s v="EUR"/>
    <n v="10000"/>
    <s v="PLN"/>
    <n v="41825"/>
    <s v="2026-01-15"/>
    <n v="4.1836000000000002"/>
    <n v="0.23899999999999999"/>
    <n v="4.2110000000000003"/>
    <n v="1"/>
    <n v="83935"/>
    <s v="POLAND PL"/>
  </r>
  <r>
    <s v="BKMILL"/>
    <n v="156954"/>
    <n v="217267"/>
    <s v="Forward"/>
    <x v="63"/>
    <s v="Sell Fwd"/>
    <s v="EUR"/>
    <n v="-8000"/>
    <s v="PLN"/>
    <n v="33707.199999999997"/>
    <s v="2026-01-15"/>
    <n v="4.2144000000000004"/>
    <n v="0.23730000000000001"/>
    <n v="4.2110000000000003"/>
    <n v="1"/>
    <n v="19.2"/>
    <s v="POLAND PL"/>
  </r>
  <r>
    <s v="BKMILL"/>
    <n v="156957"/>
    <n v="217275"/>
    <s v="Forward"/>
    <x v="57"/>
    <s v="Sell Fwd"/>
    <s v="EUR"/>
    <n v="-70000"/>
    <s v="PLN"/>
    <n v="294700"/>
    <s v="2026-01-15"/>
    <n v="4.21"/>
    <n v="0.23749999999999999"/>
    <n v="4.2110000000000003"/>
    <n v="1"/>
    <n v="-70"/>
    <s v="POLAND PL"/>
  </r>
  <r>
    <s v="BKMILL"/>
    <n v="156958"/>
    <n v="217280"/>
    <s v="Forward"/>
    <x v="89"/>
    <s v="Buy Fwd"/>
    <s v="EUR"/>
    <n v="5800"/>
    <s v="PLN"/>
    <n v="24366.38"/>
    <s v="2026-01-15"/>
    <n v="4.2022000000000004"/>
    <n v="0.23799999999999999"/>
    <n v="4.2110000000000003"/>
    <n v="1"/>
    <n v="48790.18"/>
    <s v="POLAND PL"/>
  </r>
  <r>
    <s v="BKMILL"/>
    <n v="156959"/>
    <n v="217281"/>
    <s v="Forward"/>
    <x v="90"/>
    <s v="Sell Fwd"/>
    <s v="EUR"/>
    <n v="-10000"/>
    <s v="PLN"/>
    <n v="42210"/>
    <s v="2026-01-15"/>
    <n v="4.2210000000000001"/>
    <n v="0.2369"/>
    <n v="4.2110000000000003"/>
    <n v="1"/>
    <n v="100"/>
    <s v="POLAND PL"/>
  </r>
  <r>
    <s v="BKMILL"/>
    <n v="156960"/>
    <n v="898854"/>
    <s v="Spot"/>
    <x v="40"/>
    <s v="Buy"/>
    <s v="EUR"/>
    <n v="1000000"/>
    <s v="PLN"/>
    <n v="-4207500"/>
    <s v="2026-01-20"/>
    <n v="4.2074999999999996"/>
    <n v="0.23769999999999999"/>
    <n v="4.2230999999999996"/>
    <n v="1"/>
    <n v="15600"/>
    <s v="UNITED STATES OF AMERICA US"/>
  </r>
  <r>
    <s v="BKMILL"/>
    <n v="156961"/>
    <n v="217286"/>
    <s v="Forward"/>
    <x v="91"/>
    <s v="Buy Fwd"/>
    <s v="USD"/>
    <n v="300000"/>
    <s v="PLN"/>
    <n v="1084800"/>
    <s v="2026-01-30"/>
    <n v="3.6160000000000001"/>
    <n v="0.27650000000000002"/>
    <n v="3.5188999999999999"/>
    <n v="1"/>
    <n v="2140470"/>
    <s v="POLAND PL"/>
  </r>
  <r>
    <s v="BKMILL"/>
    <n v="156962"/>
    <n v="217289"/>
    <s v="Forward"/>
    <x v="92"/>
    <s v="Buy Fwd"/>
    <s v="EUR"/>
    <n v="10000"/>
    <s v="PLN"/>
    <n v="41818"/>
    <s v="2026-01-15"/>
    <n v="4.1829000000000001"/>
    <n v="0.23910000000000001"/>
    <n v="4.2110000000000003"/>
    <n v="1"/>
    <n v="83928"/>
    <s v="POLAND PL"/>
  </r>
  <r>
    <s v="BKMILL"/>
    <n v="156963"/>
    <n v="898883"/>
    <s v="Spot"/>
    <x v="42"/>
    <s v="Buy"/>
    <s v="EUR"/>
    <n v="1000000"/>
    <s v="PLN"/>
    <n v="-4207860"/>
    <s v="2026-01-20"/>
    <n v="4.2079000000000004"/>
    <n v="0.23769999999999999"/>
    <n v="4.2230999999999996"/>
    <n v="1"/>
    <n v="15240"/>
    <s v="SWITZERLAND CH"/>
  </r>
  <r>
    <s v="BKMILL"/>
    <n v="156964"/>
    <n v="898884"/>
    <s v="Spot"/>
    <x v="41"/>
    <s v="Buy"/>
    <s v="EUR"/>
    <n v="1000000"/>
    <s v="PLN"/>
    <n v="-4207900"/>
    <s v="2026-01-20"/>
    <n v="4.2079000000000004"/>
    <n v="0.23760000000000001"/>
    <n v="4.2230999999999996"/>
    <n v="1"/>
    <n v="15200"/>
    <s v="GERMANY DE"/>
  </r>
  <r>
    <s v="BKMILL"/>
    <n v="156965"/>
    <n v="898885"/>
    <s v="Spot"/>
    <x v="42"/>
    <s v="Buy"/>
    <s v="EUR"/>
    <n v="1000000"/>
    <s v="PLN"/>
    <n v="-4207780"/>
    <s v="2026-01-20"/>
    <n v="4.2077999999999998"/>
    <n v="0.23769999999999999"/>
    <n v="4.2230999999999996"/>
    <n v="1"/>
    <n v="15320"/>
    <s v="SWITZERLAND CH"/>
  </r>
  <r>
    <s v="BKMILL"/>
    <n v="156966"/>
    <n v="217295"/>
    <s v="Forward"/>
    <x v="12"/>
    <s v="Sell Fwd"/>
    <s v="EUR"/>
    <n v="-1000000"/>
    <s v="PLN"/>
    <n v="4209000"/>
    <s v="2026-01-15"/>
    <n v="4.2089999999999996"/>
    <n v="0.23760000000000001"/>
    <n v="4.2110000000000003"/>
    <n v="1"/>
    <n v="-2000"/>
    <s v="POLAND PL"/>
  </r>
  <r>
    <s v="BKMILL"/>
    <n v="156967"/>
    <n v="217296"/>
    <s v="Forward"/>
    <x v="12"/>
    <s v="Sell Fwd"/>
    <s v="EUR"/>
    <n v="-1000000"/>
    <s v="PLN"/>
    <n v="4209000"/>
    <s v="2026-01-15"/>
    <n v="4.2089999999999996"/>
    <n v="0.23760000000000001"/>
    <n v="4.2110000000000003"/>
    <n v="1"/>
    <n v="-2000"/>
    <s v="POLAND PL"/>
  </r>
  <r>
    <s v="BKMILL"/>
    <n v="156968"/>
    <n v="217297"/>
    <s v="Forward"/>
    <x v="93"/>
    <s v="Sell Fwd"/>
    <s v="EUR"/>
    <n v="-50000"/>
    <s v="PLN"/>
    <n v="210450"/>
    <s v="2026-01-15"/>
    <n v="4.2089999999999996"/>
    <n v="0.23760000000000001"/>
    <n v="4.2110000000000003"/>
    <n v="1"/>
    <n v="-100"/>
    <s v="POLAND PL"/>
  </r>
  <r>
    <s v="BKMILL"/>
    <n v="156969"/>
    <n v="217298"/>
    <s v="Forward"/>
    <x v="12"/>
    <s v="Sell Fwd"/>
    <s v="EUR"/>
    <n v="-1000000"/>
    <s v="PLN"/>
    <n v="4209500"/>
    <s v="2026-01-15"/>
    <n v="4.2104999999999997"/>
    <n v="0.23749999999999999"/>
    <n v="4.2110000000000003"/>
    <n v="1"/>
    <n v="-1500"/>
    <s v="POLAND PL"/>
  </r>
  <r>
    <s v="BKMILL"/>
    <n v="156970"/>
    <n v="898901"/>
    <s v="Spot"/>
    <x v="40"/>
    <s v="Buy"/>
    <s v="EUR"/>
    <n v="400000"/>
    <s v="PLN"/>
    <n v="-1682600"/>
    <s v="2026-01-20"/>
    <n v="4.2065000000000001"/>
    <n v="0.23769999999999999"/>
    <n v="4.2230999999999996"/>
    <n v="1"/>
    <n v="6640"/>
    <s v="UNITED STATES OF AMERICA US"/>
  </r>
  <r>
    <s v="BKMILL"/>
    <n v="156972"/>
    <n v="898906"/>
    <s v="Spot"/>
    <x v="44"/>
    <s v="Sell"/>
    <s v="EUR"/>
    <n v="-500000"/>
    <s v="PLN"/>
    <n v="2102950"/>
    <s v="2026-01-20"/>
    <n v="4.2058999999999997"/>
    <n v="0.23780000000000001"/>
    <n v="4.2230999999999996"/>
    <n v="1"/>
    <n v="-8600"/>
    <s v="GERMANY DE"/>
  </r>
  <r>
    <s v="BKMILL"/>
    <n v="156973"/>
    <n v="898907"/>
    <s v="Spot"/>
    <x v="44"/>
    <s v="Sell"/>
    <s v="EUR"/>
    <n v="-1000000"/>
    <s v="PLN"/>
    <n v="4205900"/>
    <s v="2026-01-20"/>
    <n v="4.2058999999999997"/>
    <n v="0.23780000000000001"/>
    <n v="4.2230999999999996"/>
    <n v="1"/>
    <n v="-17200"/>
    <s v="GERMANY DE"/>
  </r>
  <r>
    <s v="BKMILL"/>
    <n v="156974"/>
    <n v="898909"/>
    <s v="Spot"/>
    <x v="38"/>
    <s v="Sell"/>
    <s v="EUR"/>
    <n v="-1000000"/>
    <s v="PLN"/>
    <n v="4205520"/>
    <s v="2026-01-20"/>
    <n v="4.2054999999999998"/>
    <n v="0.23780000000000001"/>
    <n v="4.2230999999999996"/>
    <n v="1"/>
    <n v="-17580"/>
    <s v="NETHERLANDS NL"/>
  </r>
  <r>
    <s v="BKMILL"/>
    <n v="156975"/>
    <n v="898911"/>
    <s v="Spot"/>
    <x v="41"/>
    <s v="Sell"/>
    <s v="EUR"/>
    <n v="-1000000"/>
    <s v="PLN"/>
    <n v="4205600"/>
    <s v="2026-01-20"/>
    <n v="4.2055999999999996"/>
    <n v="0.23780000000000001"/>
    <n v="4.2230999999999996"/>
    <n v="1"/>
    <n v="-17500"/>
    <s v="GERMANY DE"/>
  </r>
  <r>
    <s v="BKMILL"/>
    <n v="156976"/>
    <n v="898912"/>
    <s v="Spot"/>
    <x v="40"/>
    <s v="Sell"/>
    <s v="EUR"/>
    <n v="-1000000"/>
    <s v="PLN"/>
    <n v="4205600"/>
    <s v="2026-01-20"/>
    <n v="4.2055999999999996"/>
    <n v="0.23780000000000001"/>
    <n v="4.2230999999999996"/>
    <n v="1"/>
    <n v="-17500"/>
    <s v="UNITED STATES OF AMERICA US"/>
  </r>
  <r>
    <s v="BKMILL"/>
    <n v="156977"/>
    <n v="898913"/>
    <s v="Spot"/>
    <x v="94"/>
    <s v="Sell"/>
    <s v="EUR"/>
    <n v="-1000000"/>
    <s v="PLN"/>
    <n v="4205500"/>
    <s v="2026-01-20"/>
    <n v="4.2054999999999998"/>
    <n v="0.23780000000000001"/>
    <n v="4.2230999999999996"/>
    <n v="1"/>
    <n v="-17600"/>
    <s v="AUSTRIA AT"/>
  </r>
  <r>
    <s v="BKMILL"/>
    <n v="156978"/>
    <n v="217300"/>
    <s v="Forward"/>
    <x v="7"/>
    <s v="Buy Fwd"/>
    <s v="EUR"/>
    <n v="200000"/>
    <s v="PLN"/>
    <n v="839600"/>
    <s v="2026-01-15"/>
    <n v="4.1980000000000004"/>
    <n v="0.2382"/>
    <n v="4.2110000000000003"/>
    <n v="1"/>
    <n v="1681800"/>
    <s v="POLAND PL"/>
  </r>
  <r>
    <s v="BKMILL"/>
    <n v="156979"/>
    <n v="217301"/>
    <s v="Forward"/>
    <x v="95"/>
    <s v="Buy Fwd"/>
    <s v="EUR"/>
    <n v="5000678.95"/>
    <s v="PLN"/>
    <n v="21002851.59"/>
    <s v="2026-01-15"/>
    <n v="4.2005999999999997"/>
    <n v="0.23810000000000001"/>
    <n v="4.2110000000000003"/>
    <n v="1"/>
    <n v="42060710.648450002"/>
    <s v="POLAND PL"/>
  </r>
  <r>
    <s v="BKMILL"/>
    <n v="156980"/>
    <n v="217302"/>
    <s v="Forward"/>
    <x v="96"/>
    <s v="Buy Fwd"/>
    <s v="USD"/>
    <n v="50000"/>
    <s v="PLN"/>
    <n v="180400"/>
    <s v="2026-01-15"/>
    <n v="3.6082999999999998"/>
    <n v="0.27710000000000001"/>
    <n v="3.6139999999999999"/>
    <n v="1"/>
    <n v="361100"/>
    <s v="POLAND PL"/>
  </r>
  <r>
    <s v="BKMILL"/>
    <n v="156981"/>
    <n v="898923"/>
    <s v="Spot"/>
    <x v="40"/>
    <s v="Sell"/>
    <s v="EUR"/>
    <n v="-500000"/>
    <s v="PLN"/>
    <n v="2102650"/>
    <s v="2026-01-20"/>
    <n v="4.2053000000000003"/>
    <n v="0.23780000000000001"/>
    <n v="4.2230999999999996"/>
    <n v="1"/>
    <n v="-8900"/>
    <s v="UNITED STATES OF AMERICA US"/>
  </r>
  <r>
    <s v="BKMILL"/>
    <n v="156982"/>
    <n v="217303"/>
    <s v="Forward"/>
    <x v="96"/>
    <s v="Buy Fwd"/>
    <s v="EUR"/>
    <n v="20000"/>
    <s v="PLN"/>
    <n v="83840"/>
    <s v="2026-01-15"/>
    <n v="4.1931000000000003"/>
    <n v="0.23849999999999999"/>
    <n v="4.2110000000000003"/>
    <n v="1"/>
    <n v="168060"/>
    <s v="POLAND PL"/>
  </r>
  <r>
    <s v="BKMILL"/>
    <n v="156983"/>
    <n v="217304"/>
    <s v="Forward"/>
    <x v="12"/>
    <s v="Sell Fwd"/>
    <s v="EUR"/>
    <n v="-1000000"/>
    <s v="PLN"/>
    <n v="4209000"/>
    <s v="2026-01-15"/>
    <n v="4.21"/>
    <n v="0.23749999999999999"/>
    <n v="4.2110000000000003"/>
    <n v="1"/>
    <n v="-2000"/>
    <s v="POLAND PL"/>
  </r>
  <r>
    <s v="BKMILL"/>
    <n v="156984"/>
    <n v="898933"/>
    <s v="Spot"/>
    <x v="97"/>
    <s v="Sell"/>
    <s v="EUR"/>
    <n v="-400000"/>
    <s v="PLN"/>
    <n v="1683200"/>
    <s v="2026-01-20"/>
    <n v="4.2080000000000002"/>
    <n v="0.23760000000000001"/>
    <n v="4.2230999999999996"/>
    <n v="1"/>
    <n v="-6040"/>
    <s v="POLAND PL"/>
  </r>
  <r>
    <s v="BKMILL"/>
    <n v="156985"/>
    <n v="217307"/>
    <s v="Forward"/>
    <x v="98"/>
    <s v="Sell Fwd"/>
    <s v="EUR"/>
    <n v="-18000"/>
    <s v="USD"/>
    <n v="21402"/>
    <s v="2026-01-15"/>
    <n v="1.1893"/>
    <n v="0.84079999999999999"/>
    <n v="4.2110000000000003"/>
    <n v="3.6139999999999999"/>
    <n v="1548.828"/>
    <s v="POLAND PL"/>
  </r>
  <r>
    <s v="BKMILL"/>
    <n v="156988"/>
    <n v="217313"/>
    <s v="Forward"/>
    <x v="99"/>
    <s v="Buy Fwd"/>
    <s v="EUR"/>
    <n v="5000"/>
    <s v="PLN"/>
    <n v="20950"/>
    <s v="2026-01-15"/>
    <n v="4.1910999999999996"/>
    <n v="0.23860000000000001"/>
    <n v="4.2110000000000003"/>
    <n v="1"/>
    <n v="42005"/>
    <s v="POLAND PL"/>
  </r>
  <r>
    <s v="BKMILL"/>
    <n v="156991"/>
    <n v="217317"/>
    <s v="Forward"/>
    <x v="100"/>
    <s v="Sell Fwd"/>
    <s v="USD"/>
    <n v="-2000"/>
    <s v="PLN"/>
    <n v="7237.6"/>
    <s v="2026-01-15"/>
    <n v="3.6189"/>
    <n v="0.27629999999999999"/>
    <n v="3.6139999999999999"/>
    <n v="1"/>
    <n v="9.6"/>
    <s v="POLAND PL"/>
  </r>
  <r>
    <s v="BKMILL"/>
    <n v="156993"/>
    <n v="217328"/>
    <s v="Forward"/>
    <x v="101"/>
    <s v="Buy Fwd"/>
    <s v="EUR"/>
    <n v="15000"/>
    <s v="PLN"/>
    <n v="63043.5"/>
    <s v="2026-01-16"/>
    <n v="4.2038000000000002"/>
    <n v="0.2379"/>
    <n v="4.2068000000000003"/>
    <n v="1"/>
    <n v="126145.5"/>
    <s v="POLAND PL"/>
  </r>
  <r>
    <s v="BKMILL"/>
    <n v="156994"/>
    <n v="899006"/>
    <s v="Spot"/>
    <x v="38"/>
    <s v="Buy"/>
    <s v="EUR"/>
    <n v="1000000"/>
    <s v="PLN"/>
    <n v="-4206450"/>
    <s v="2026-01-20"/>
    <n v="4.2065000000000001"/>
    <n v="0.23769999999999999"/>
    <n v="4.2230999999999996"/>
    <n v="1"/>
    <n v="16650"/>
    <s v="NETHERLANDS NL"/>
  </r>
  <r>
    <s v="BKMILL"/>
    <n v="156995"/>
    <n v="217329"/>
    <s v="Forward"/>
    <x v="68"/>
    <s v="Sell Fwd"/>
    <s v="EUR"/>
    <n v="-162000"/>
    <s v="PLN"/>
    <n v="681485.4"/>
    <s v="2026-01-15"/>
    <n v="4.2077"/>
    <n v="0.23769999999999999"/>
    <n v="4.2110000000000003"/>
    <n v="1"/>
    <n v="-696.6"/>
    <s v="POLAND PL"/>
  </r>
  <r>
    <s v="BKMILL"/>
    <n v="156996"/>
    <n v="217330"/>
    <s v="Forward"/>
    <x v="12"/>
    <s v="Sell Fwd"/>
    <s v="EUR"/>
    <n v="-1000000"/>
    <s v="PLN"/>
    <n v="4208000"/>
    <s v="2026-01-15"/>
    <n v="4.2089999999999996"/>
    <n v="0.23760000000000001"/>
    <n v="4.2110000000000003"/>
    <n v="1"/>
    <n v="-3000"/>
    <s v="POLAND PL"/>
  </r>
  <r>
    <s v="BKMILL"/>
    <n v="156997"/>
    <n v="217333"/>
    <s v="Forward"/>
    <x v="102"/>
    <s v="Sell Fwd"/>
    <s v="EUR"/>
    <n v="-25000"/>
    <s v="PLN"/>
    <n v="105187.5"/>
    <s v="2026-01-15"/>
    <n v="4.2084999999999999"/>
    <n v="0.23760000000000001"/>
    <n v="4.2110000000000003"/>
    <n v="1"/>
    <n v="-87.5"/>
    <s v="POLAND PL"/>
  </r>
  <r>
    <s v="BKMILL"/>
    <n v="156998"/>
    <n v="217335"/>
    <s v="Forward"/>
    <x v="103"/>
    <s v="Sell Fwd"/>
    <s v="EUR"/>
    <n v="-47000"/>
    <s v="PLN"/>
    <n v="198058"/>
    <s v="2026-01-15"/>
    <n v="4.2140000000000004"/>
    <n v="0.23730000000000001"/>
    <n v="4.2110000000000003"/>
    <n v="1"/>
    <n v="141"/>
    <s v="POLAND PL"/>
  </r>
  <r>
    <s v="BKMILL"/>
    <n v="156999"/>
    <n v="217336"/>
    <s v="Forward"/>
    <x v="104"/>
    <s v="Sell Fwd"/>
    <s v="EUR"/>
    <n v="-9960"/>
    <s v="PLN"/>
    <n v="42115.86"/>
    <s v="2026-01-15"/>
    <n v="4.2295999999999996"/>
    <n v="0.2364"/>
    <n v="4.2110000000000003"/>
    <n v="1"/>
    <n v="174.3"/>
    <s v="POLAND PL"/>
  </r>
  <r>
    <s v="BKMILL"/>
    <n v="157000"/>
    <n v="217341"/>
    <s v="Forward"/>
    <x v="105"/>
    <s v="Sell Fwd"/>
    <s v="EUR"/>
    <n v="-50000"/>
    <s v="PLN"/>
    <n v="210750"/>
    <s v="2026-01-15"/>
    <n v="4.2149999999999999"/>
    <n v="0.23719999999999999"/>
    <n v="4.2110000000000003"/>
    <n v="1"/>
    <n v="200"/>
    <s v="POLAND PL"/>
  </r>
  <r>
    <s v="BKMILL"/>
    <n v="157001"/>
    <n v="217342"/>
    <s v="Forward"/>
    <x v="105"/>
    <s v="Sell Fwd"/>
    <s v="GBP"/>
    <n v="-50000"/>
    <s v="PLN"/>
    <n v="243350"/>
    <s v="2026-01-15"/>
    <n v="4.867"/>
    <n v="0.20549999999999999"/>
    <n v="4.8631000000000002"/>
    <n v="1"/>
    <n v="195"/>
    <s v="POLAND PL"/>
  </r>
  <r>
    <s v="BKMILL"/>
    <n v="157003"/>
    <n v="217346"/>
    <s v="Forward"/>
    <x v="106"/>
    <s v="Sell Fwd"/>
    <s v="EUR"/>
    <n v="-21350"/>
    <s v="PLN"/>
    <n v="89847.21"/>
    <s v="2026-01-15"/>
    <n v="4.2092999999999998"/>
    <n v="0.23760000000000001"/>
    <n v="4.2110000000000003"/>
    <n v="1"/>
    <n v="-57.64"/>
    <s v="POLAND PL"/>
  </r>
  <r>
    <s v="BKMILL"/>
    <n v="157004"/>
    <n v="217347"/>
    <s v="Forward"/>
    <x v="107"/>
    <s v="Sell Fwd"/>
    <s v="EUR"/>
    <n v="-25000"/>
    <s v="PLN"/>
    <n v="105455"/>
    <s v="2026-01-15"/>
    <n v="4.2192999999999996"/>
    <n v="0.23699999999999999"/>
    <n v="4.2110000000000003"/>
    <n v="1"/>
    <n v="180"/>
    <s v="POLAND PL"/>
  </r>
  <r>
    <s v="BKMILL"/>
    <n v="157005"/>
    <n v="217348"/>
    <s v="Forward"/>
    <x v="108"/>
    <s v="Buy Fwd"/>
    <s v="SEK"/>
    <n v="500000"/>
    <s v="PLN"/>
    <n v="196500"/>
    <s v="2026-01-15"/>
    <n v="0.3931"/>
    <n v="2.5438999999999998"/>
    <n v="0.39250000000000002"/>
    <n v="1"/>
    <n v="392750"/>
    <s v="POLAND PL"/>
  </r>
  <r>
    <s v="BKMILL"/>
    <n v="157007"/>
    <n v="899074"/>
    <s v="Spot"/>
    <x v="41"/>
    <s v="Buy"/>
    <s v="EUR"/>
    <n v="1000000"/>
    <s v="PLN"/>
    <n v="-4206500"/>
    <s v="2026-01-20"/>
    <n v="4.2065000000000001"/>
    <n v="0.23769999999999999"/>
    <n v="4.2230999999999996"/>
    <n v="1"/>
    <n v="16600"/>
    <s v="GERMANY DE"/>
  </r>
  <r>
    <s v="BKMILL"/>
    <n v="157008"/>
    <n v="217350"/>
    <s v="Forward"/>
    <x v="109"/>
    <s v="Sell Fwd"/>
    <s v="EUR"/>
    <n v="-1000000"/>
    <s v="PLN"/>
    <n v="4208400"/>
    <s v="2026-01-15"/>
    <n v="4.2084000000000001"/>
    <n v="0.23760000000000001"/>
    <n v="4.2110000000000003"/>
    <n v="1"/>
    <n v="-2600"/>
    <s v="POLAND PL"/>
  </r>
  <r>
    <s v="BKMILL"/>
    <n v="157009"/>
    <n v="899081"/>
    <s v="Spot"/>
    <x v="43"/>
    <s v="Buy"/>
    <s v="EUR"/>
    <n v="100000"/>
    <s v="SEK"/>
    <n v="-1068226"/>
    <s v="2026-01-20"/>
    <n v="10.6823"/>
    <n v="9.3600000000000003E-2"/>
    <n v="4.2230999999999996"/>
    <n v="0.39360000000000001"/>
    <n v="1856.2464"/>
    <s v="FRANCE FR"/>
  </r>
  <r>
    <s v="BKMILL"/>
    <n v="157010"/>
    <n v="217355"/>
    <s v="Forward"/>
    <x v="110"/>
    <s v="Buy Fwd"/>
    <s v="EUR"/>
    <n v="55000"/>
    <s v="PLN"/>
    <n v="230725"/>
    <s v="2026-01-15"/>
    <n v="4.1961000000000004"/>
    <n v="0.23830000000000001"/>
    <n v="4.2110000000000003"/>
    <n v="1"/>
    <n v="462330"/>
    <s v="POLAND PL"/>
  </r>
  <r>
    <s v="BKMILL"/>
    <n v="157011"/>
    <n v="899103"/>
    <s v="Spot"/>
    <x v="40"/>
    <s v="Sell"/>
    <s v="EUR"/>
    <n v="-100000"/>
    <s v="GBP"/>
    <n v="86596"/>
    <s v="2026-01-20"/>
    <n v="0.86599999999999999"/>
    <n v="1.1548"/>
    <n v="4.2230999999999996"/>
    <n v="4.8704000000000001"/>
    <n v="-552.84159999999997"/>
    <s v="UNITED STATES OF AMERICA US"/>
  </r>
  <r>
    <s v="BKMILL"/>
    <n v="157014"/>
    <n v="899124"/>
    <s v="Spot"/>
    <x v="41"/>
    <s v="Buy"/>
    <s v="EUR"/>
    <n v="500000"/>
    <s v="PLN"/>
    <n v="-2103850"/>
    <s v="2026-01-20"/>
    <n v="4.2077"/>
    <n v="0.23769999999999999"/>
    <n v="4.2230999999999996"/>
    <n v="1"/>
    <n v="7700"/>
    <s v="GERMANY DE"/>
  </r>
  <r>
    <s v="BKMILL"/>
    <n v="157015"/>
    <n v="217367"/>
    <s v="Forward"/>
    <x v="111"/>
    <s v="Sell Fwd"/>
    <s v="EUR"/>
    <n v="-518700"/>
    <s v="PLN"/>
    <n v="2183052.69"/>
    <s v="2026-01-15"/>
    <n v="4.2087000000000003"/>
    <n v="0.23760000000000001"/>
    <n v="4.2110000000000003"/>
    <n v="1"/>
    <n v="-1193.01"/>
    <s v="POLAND PL"/>
  </r>
  <r>
    <s v="BKMILL"/>
    <n v="157016"/>
    <n v="217368"/>
    <s v="Forward"/>
    <x v="112"/>
    <s v="Buy Fwd"/>
    <s v="EUR"/>
    <n v="350000"/>
    <s v="PLN"/>
    <n v="1470420"/>
    <s v="2026-01-15"/>
    <n v="4.2012"/>
    <n v="0.23799999999999999"/>
    <n v="4.2110000000000003"/>
    <n v="1"/>
    <n v="2944270"/>
    <s v="POLAND PL"/>
  </r>
  <r>
    <s v="BKMILL"/>
    <n v="157018"/>
    <n v="899165"/>
    <s v="Spot"/>
    <x v="44"/>
    <s v="Sell"/>
    <s v="EUR"/>
    <n v="-1000000"/>
    <s v="PLN"/>
    <n v="4208100"/>
    <s v="2026-01-20"/>
    <n v="4.2081"/>
    <n v="0.23760000000000001"/>
    <n v="4.2230999999999996"/>
    <n v="1"/>
    <n v="-15000"/>
    <s v="GERMANY DE"/>
  </r>
  <r>
    <s v="BKMILL"/>
    <n v="157020"/>
    <n v="899166"/>
    <s v="Spot"/>
    <x v="43"/>
    <s v="Sell"/>
    <s v="EUR"/>
    <n v="-1000000"/>
    <s v="PLN"/>
    <n v="4208000"/>
    <s v="2026-01-20"/>
    <n v="4.2080000000000002"/>
    <n v="0.23760000000000001"/>
    <n v="4.2230999999999996"/>
    <n v="1"/>
    <n v="-15100"/>
    <s v="FRANCE FR"/>
  </r>
  <r>
    <s v="BKMILL"/>
    <n v="157022"/>
    <n v="217381"/>
    <s v="Forward"/>
    <x v="113"/>
    <s v="Sell Fwd"/>
    <s v="EUR"/>
    <n v="-17000"/>
    <s v="PLN"/>
    <n v="71740"/>
    <s v="2026-01-15"/>
    <n v="4.2210000000000001"/>
    <n v="0.2369"/>
    <n v="4.2110000000000003"/>
    <n v="1"/>
    <n v="153"/>
    <s v="POLAND PL"/>
  </r>
  <r>
    <s v="BKMILL"/>
    <n v="157023"/>
    <n v="899210"/>
    <s v="Spot"/>
    <x v="40"/>
    <s v="Buy"/>
    <s v="EUR"/>
    <n v="500000"/>
    <s v="PLN"/>
    <n v="-2104450"/>
    <s v="2026-01-20"/>
    <n v="4.2088999999999999"/>
    <n v="0.23760000000000001"/>
    <n v="4.2230999999999996"/>
    <n v="1"/>
    <n v="7100"/>
    <s v="UNITED STATES OF AMERICA US"/>
  </r>
  <r>
    <s v="BKMILL"/>
    <n v="157024"/>
    <n v="217388"/>
    <s v="Forward"/>
    <x v="114"/>
    <s v="Sell Fwd"/>
    <s v="EUR"/>
    <n v="-75000"/>
    <s v="PLN"/>
    <n v="316312.5"/>
    <s v="2026-01-15"/>
    <n v="4.2175000000000002"/>
    <n v="0.23710000000000001"/>
    <n v="4.2110000000000003"/>
    <n v="1"/>
    <n v="487.5"/>
    <s v="POLAND PL"/>
  </r>
  <r>
    <s v="BKMILL"/>
    <n v="157026"/>
    <n v="217395"/>
    <s v="Forward"/>
    <x v="115"/>
    <s v="Sell Fwd"/>
    <s v="USD"/>
    <n v="-20800"/>
    <s v="PLN"/>
    <n v="75327.199999999997"/>
    <s v="2026-01-15"/>
    <n v="3.6215999999999999"/>
    <n v="0.27610000000000001"/>
    <n v="3.6139999999999999"/>
    <n v="1"/>
    <n v="156"/>
    <s v="POLAND PL"/>
  </r>
  <r>
    <s v="BKMILL"/>
    <n v="157028"/>
    <n v="899254"/>
    <s v="Spot"/>
    <x v="44"/>
    <s v="Buy"/>
    <s v="EUR"/>
    <n v="500000"/>
    <s v="PLN"/>
    <n v="-2104255"/>
    <s v="2026-01-20"/>
    <n v="4.2084999999999999"/>
    <n v="0.23760000000000001"/>
    <n v="4.2230999999999996"/>
    <n v="1"/>
    <n v="7295"/>
    <s v="GERMANY DE"/>
  </r>
  <r>
    <s v="BKMILL"/>
    <n v="157029"/>
    <n v="217401"/>
    <s v="Forward"/>
    <x v="116"/>
    <s v="Sell Fwd"/>
    <s v="PLN"/>
    <n v="-285000"/>
    <s v="USD"/>
    <n v="78995.509999999995"/>
    <s v="2026-01-15"/>
    <n v="3.6082999999999998"/>
    <n v="0.27710000000000001"/>
    <n v="1"/>
    <n v="3.6139999999999999"/>
    <n v="489.77314000000001"/>
    <s v="POLAND PL"/>
  </r>
  <r>
    <s v="BKMILL"/>
    <n v="157030"/>
    <n v="899262"/>
    <s v="Spot"/>
    <x v="41"/>
    <s v="Buy"/>
    <s v="EUR"/>
    <n v="1000000"/>
    <s v="PLN"/>
    <n v="-4208600"/>
    <s v="2026-01-20"/>
    <n v="4.2085999999999997"/>
    <n v="0.23760000000000001"/>
    <n v="4.2230999999999996"/>
    <n v="1"/>
    <n v="14500"/>
    <s v="GERMANY DE"/>
  </r>
  <r>
    <s v="BKMILL"/>
    <n v="157032"/>
    <n v="899266"/>
    <s v="Spot"/>
    <x v="117"/>
    <s v="Sell"/>
    <s v="EUR"/>
    <n v="-700000"/>
    <s v="PLN"/>
    <n v="2950290"/>
    <s v="2026-01-19"/>
    <n v="4.2146999999999997"/>
    <n v="0.23730000000000001"/>
    <n v="4.2191999999999998"/>
    <n v="1"/>
    <n v="-3150"/>
    <s v="POLAND PL"/>
  </r>
  <r>
    <s v="BKMILL"/>
    <n v="157033"/>
    <n v="899267"/>
    <s v="Spot"/>
    <x v="44"/>
    <s v="Buy"/>
    <s v="EUR"/>
    <n v="1000000"/>
    <s v="PLN"/>
    <n v="-4209100"/>
    <s v="2026-01-20"/>
    <n v="4.2091000000000003"/>
    <n v="0.23760000000000001"/>
    <n v="4.2230999999999996"/>
    <n v="1"/>
    <n v="14000"/>
    <s v="GERMANY DE"/>
  </r>
  <r>
    <s v="BKMILL"/>
    <n v="157034"/>
    <n v="217406"/>
    <s v="Forward"/>
    <x v="118"/>
    <s v="Sell Fwd"/>
    <s v="EUR"/>
    <n v="-2560"/>
    <s v="PLN"/>
    <n v="10786.56"/>
    <s v="2026-01-16"/>
    <n v="4.2142999999999997"/>
    <n v="0.23730000000000001"/>
    <n v="4.2068000000000003"/>
    <n v="1"/>
    <n v="17.152000000000001"/>
    <s v="POLAND PL"/>
  </r>
  <r>
    <s v="BKMILL"/>
    <n v="157036"/>
    <n v="217412"/>
    <s v="Forward"/>
    <x v="119"/>
    <s v="Buy Fwd"/>
    <s v="EUR"/>
    <n v="80000"/>
    <s v="PLN"/>
    <n v="335192"/>
    <s v="2026-01-15"/>
    <n v="4.1909999999999998"/>
    <n v="0.23860000000000001"/>
    <n v="4.2110000000000003"/>
    <n v="1"/>
    <n v="672072"/>
    <s v="POLAND PL"/>
  </r>
  <r>
    <s v="BKMILL"/>
    <n v="157037"/>
    <n v="899302"/>
    <s v="Spot"/>
    <x v="38"/>
    <s v="Sell"/>
    <s v="EUR"/>
    <n v="-1000000"/>
    <s v="PLN"/>
    <n v="4207520"/>
    <s v="2026-01-20"/>
    <n v="4.2074999999999996"/>
    <n v="0.23769999999999999"/>
    <n v="4.2230999999999996"/>
    <n v="1"/>
    <n v="-15580"/>
    <s v="NETHERLANDS NL"/>
  </r>
  <r>
    <s v="BKMILL"/>
    <n v="157038"/>
    <n v="899324"/>
    <s v="Spot"/>
    <x v="39"/>
    <s v="Buy"/>
    <s v="EUR"/>
    <n v="1000000"/>
    <s v="PLN"/>
    <n v="-4208260"/>
    <s v="2026-01-20"/>
    <n v="4.2083000000000004"/>
    <n v="0.23760000000000001"/>
    <n v="4.2230999999999996"/>
    <n v="1"/>
    <n v="14840"/>
    <s v="UNITED KINGDOM GB"/>
  </r>
  <r>
    <s v="BKMILL"/>
    <n v="157040"/>
    <n v="217426"/>
    <s v="Forward"/>
    <x v="120"/>
    <s v="Sell Fwd"/>
    <s v="EUR"/>
    <n v="-50000"/>
    <s v="PLN"/>
    <n v="212000"/>
    <s v="2026-01-15"/>
    <n v="4.24"/>
    <n v="0.23580000000000001"/>
    <n v="4.2110000000000003"/>
    <n v="1"/>
    <n v="1450"/>
    <s v="POLAND PL"/>
  </r>
  <r>
    <s v="BKMILL"/>
    <n v="157041"/>
    <n v="217427"/>
    <s v="Forward"/>
    <x v="24"/>
    <s v="Buy Fwd"/>
    <s v="EUR"/>
    <n v="8000"/>
    <s v="PLN"/>
    <n v="33636"/>
    <s v="2026-01-15"/>
    <n v="4.2055999999999996"/>
    <n v="0.23780000000000001"/>
    <n v="4.2110000000000003"/>
    <n v="1"/>
    <n v="67324"/>
    <s v="POLAND PL"/>
  </r>
  <r>
    <s v="BKMILL"/>
    <n v="157043"/>
    <n v="217428"/>
    <s v="Forward"/>
    <x v="51"/>
    <s v="Sell Fwd"/>
    <s v="EUR"/>
    <n v="-200000"/>
    <s v="PLN"/>
    <n v="842140"/>
    <s v="2026-01-21"/>
    <n v="4.2103000000000002"/>
    <n v="0.23749999999999999"/>
    <n v="4.2279"/>
    <n v="1"/>
    <n v="-3440"/>
    <s v="POLAND PL"/>
  </r>
  <r>
    <s v="BKMILL"/>
    <n v="157044"/>
    <n v="217429"/>
    <s v="Forward"/>
    <x v="121"/>
    <s v="Buy Fwd"/>
    <s v="EUR"/>
    <n v="100000"/>
    <s v="PLN"/>
    <n v="419300"/>
    <s v="2026-01-15"/>
    <n v="4.194"/>
    <n v="0.2384"/>
    <n v="4.2110000000000003"/>
    <n v="1"/>
    <n v="840400"/>
    <s v="POLAND PL"/>
  </r>
  <r>
    <s v="BKMILL"/>
    <n v="157045"/>
    <n v="217430"/>
    <s v="Forward"/>
    <x v="122"/>
    <s v="Buy Fwd"/>
    <s v="EUR"/>
    <n v="100000"/>
    <s v="PLN"/>
    <n v="420200"/>
    <s v="2026-01-15"/>
    <n v="4.202"/>
    <n v="0.23799999999999999"/>
    <n v="4.2110000000000003"/>
    <n v="1"/>
    <n v="841300"/>
    <s v="POLAND PL"/>
  </r>
  <r>
    <s v="BKMILL"/>
    <n v="157046"/>
    <n v="217436"/>
    <s v="Forward"/>
    <x v="123"/>
    <s v="Sell Fwd"/>
    <s v="USD"/>
    <n v="-100000"/>
    <s v="PLN"/>
    <n v="362200"/>
    <s v="2026-01-15"/>
    <n v="3.6219999999999999"/>
    <n v="0.27610000000000001"/>
    <n v="3.6139999999999999"/>
    <n v="1"/>
    <n v="800"/>
    <s v="POLAND PL"/>
  </r>
  <r>
    <s v="BKMILL"/>
    <n v="157047"/>
    <n v="217442"/>
    <s v="Forward"/>
    <x v="124"/>
    <s v="Buy Fwd"/>
    <s v="SEK"/>
    <n v="82424.89"/>
    <s v="PLN"/>
    <n v="32269.34"/>
    <s v="2026-01-15"/>
    <n v="0.39150000000000001"/>
    <n v="2.5543"/>
    <n v="0.39250000000000002"/>
    <n v="1"/>
    <n v="64621.109324999998"/>
    <s v="POLAND PL"/>
  </r>
  <r>
    <s v="BKMILL"/>
    <n v="157050"/>
    <n v="217443"/>
    <s v="Forward"/>
    <x v="116"/>
    <s v="Buy Fwd"/>
    <s v="PLN"/>
    <n v="200000"/>
    <s v="EUR"/>
    <n v="47390"/>
    <s v="2026-01-15"/>
    <n v="4.2214"/>
    <n v="0.2369"/>
    <n v="1"/>
    <n v="4.2110000000000003"/>
    <n v="399559.29"/>
    <s v="POLAND PL"/>
  </r>
  <r>
    <s v="BKMILL"/>
    <n v="157051"/>
    <n v="217444"/>
    <s v="Forward"/>
    <x v="125"/>
    <s v="Buy Fwd"/>
    <s v="EUR"/>
    <n v="50000"/>
    <s v="PLN"/>
    <n v="207650"/>
    <s v="2026-01-15"/>
    <n v="4.1539999999999999"/>
    <n v="0.2407"/>
    <n v="4.2110000000000003"/>
    <n v="1"/>
    <n v="418200"/>
    <s v="POLAND PL"/>
  </r>
  <r>
    <s v="BKMILL"/>
    <n v="157053"/>
    <n v="217452"/>
    <s v="Forward"/>
    <x v="126"/>
    <s v="Sell Fwd"/>
    <s v="EUR"/>
    <n v="-5000"/>
    <s v="PLN"/>
    <n v="21115"/>
    <s v="2026-01-15"/>
    <n v="4.2241"/>
    <n v="0.23669999999999999"/>
    <n v="4.2110000000000003"/>
    <n v="1"/>
    <n v="60"/>
    <s v="POLAND PL"/>
  </r>
  <r>
    <s v="BKMILL"/>
    <n v="157054"/>
    <n v="217454"/>
    <s v="Forward"/>
    <x v="127"/>
    <s v="Buy Fwd"/>
    <s v="EUR"/>
    <n v="30000"/>
    <s v="PLN"/>
    <n v="126093"/>
    <s v="2026-01-15"/>
    <n v="4.2042000000000002"/>
    <n v="0.2379"/>
    <n v="4.2110000000000003"/>
    <n v="1"/>
    <n v="252423"/>
    <s v="POLAND PL"/>
  </r>
  <r>
    <s v="BKMILL"/>
    <n v="157055"/>
    <n v="217464"/>
    <s v="Forward"/>
    <x v="76"/>
    <s v="Buy Fwd"/>
    <s v="EUR"/>
    <n v="17000"/>
    <s v="PLN"/>
    <n v="71230"/>
    <s v="2026-01-15"/>
    <n v="4.1900000000000004"/>
    <n v="0.2387"/>
    <n v="4.2110000000000003"/>
    <n v="1"/>
    <n v="142817"/>
    <s v="POLAND PL"/>
  </r>
  <r>
    <s v="BKMILL"/>
    <n v="157056"/>
    <n v="899485"/>
    <s v="Spot"/>
    <x v="41"/>
    <s v="Sell"/>
    <s v="EUR"/>
    <n v="-500000"/>
    <s v="PLN"/>
    <n v="2104750"/>
    <s v="2026-01-20"/>
    <n v="4.2095000000000002"/>
    <n v="0.23760000000000001"/>
    <n v="4.2230999999999996"/>
    <n v="1"/>
    <n v="-6800"/>
    <s v="GERMANY DE"/>
  </r>
  <r>
    <s v="BKMILL"/>
    <n v="157057"/>
    <n v="217466"/>
    <s v="Forward"/>
    <x v="128"/>
    <s v="Buy Fwd"/>
    <s v="EUR"/>
    <n v="180000"/>
    <s v="PLN"/>
    <n v="757260"/>
    <s v="2026-01-15"/>
    <n v="4.2080000000000002"/>
    <n v="0.23760000000000001"/>
    <n v="4.2110000000000003"/>
    <n v="1"/>
    <n v="1515240"/>
    <s v="POLAND PL"/>
  </r>
  <r>
    <s v="BKMILL"/>
    <n v="157058"/>
    <n v="217467"/>
    <s v="Forward"/>
    <x v="129"/>
    <s v="Buy Fwd"/>
    <s v="EUR"/>
    <n v="22673"/>
    <s v="USD"/>
    <n v="26339.22"/>
    <s v="2026-01-15"/>
    <n v="1.1619999999999999"/>
    <n v="0.86060000000000003"/>
    <n v="4.2110000000000003"/>
    <n v="3.6139999999999999"/>
    <n v="190665.94407999999"/>
    <s v="POLAND PL"/>
  </r>
  <r>
    <s v="BKMILL"/>
    <n v="157060"/>
    <n v="217468"/>
    <s v="Forward"/>
    <x v="130"/>
    <s v="Buy Fwd"/>
    <s v="EUR"/>
    <n v="70000"/>
    <s v="PLN"/>
    <n v="292950"/>
    <s v="2026-01-15"/>
    <n v="4.1849999999999996"/>
    <n v="0.2389"/>
    <n v="4.2110000000000003"/>
    <n v="1"/>
    <n v="587720"/>
    <s v="POLAND PL"/>
  </r>
  <r>
    <s v="BKMILL"/>
    <n v="157061"/>
    <n v="217469"/>
    <s v="Forward"/>
    <x v="131"/>
    <s v="Sell Fwd"/>
    <s v="EUR"/>
    <n v="-36530.639999999999"/>
    <s v="PLN"/>
    <n v="153867.06"/>
    <s v="2026-01-15"/>
    <n v="4.2130000000000001"/>
    <n v="0.2374"/>
    <n v="4.2110000000000003"/>
    <n v="1"/>
    <n v="36.534959999999998"/>
    <s v="POLAND PL"/>
  </r>
  <r>
    <s v="BKMILL"/>
    <n v="157062"/>
    <n v="217470"/>
    <s v="Forward"/>
    <x v="132"/>
    <s v="Buy Fwd"/>
    <s v="USD"/>
    <n v="150000"/>
    <s v="PLN"/>
    <n v="541185"/>
    <s v="2026-01-15"/>
    <n v="3.6084000000000001"/>
    <n v="0.27710000000000001"/>
    <n v="3.6139999999999999"/>
    <n v="1"/>
    <n v="1083285"/>
    <s v="POLAND PL"/>
  </r>
  <r>
    <s v="BKMILL"/>
    <n v="157068"/>
    <n v="217472"/>
    <s v="Forward"/>
    <x v="81"/>
    <s v="Buy Fwd"/>
    <s v="EUR"/>
    <n v="10000"/>
    <s v="PLN"/>
    <n v="42010"/>
    <s v="2026-01-15"/>
    <n v="4.2009999999999996"/>
    <n v="0.23799999999999999"/>
    <n v="4.2110000000000003"/>
    <n v="1"/>
    <n v="84120"/>
    <s v="POLAND PL"/>
  </r>
  <r>
    <s v="BKMILL"/>
    <n v="157069"/>
    <n v="217475"/>
    <s v="Forward"/>
    <x v="81"/>
    <s v="Buy Fwd"/>
    <s v="NOK"/>
    <n v="4453.45"/>
    <s v="PLN"/>
    <n v="1580.97"/>
    <s v="2026-01-15"/>
    <n v="0.35499999999999998"/>
    <n v="2.8169"/>
    <n v="0.35849999999999999"/>
    <n v="1"/>
    <n v="3177.531825"/>
    <s v="POLAND PL"/>
  </r>
  <r>
    <s v="BKMILL"/>
    <n v="157070"/>
    <n v="217480"/>
    <s v="Forward"/>
    <x v="133"/>
    <s v="Buy Fwd"/>
    <s v="EUR"/>
    <n v="35000"/>
    <s v="PLN"/>
    <n v="147140"/>
    <s v="2026-01-15"/>
    <n v="4.2050000000000001"/>
    <n v="0.23780000000000001"/>
    <n v="4.2110000000000003"/>
    <n v="1"/>
    <n v="294525"/>
    <s v="POLAND PL"/>
  </r>
  <r>
    <s v="BKMILL"/>
    <n v="157071"/>
    <n v="899536"/>
    <s v="Spot"/>
    <x v="38"/>
    <s v="Sell"/>
    <s v="EUR"/>
    <n v="-1000000"/>
    <s v="PLN"/>
    <n v="4209190"/>
    <s v="2026-01-20"/>
    <n v="4.2092000000000001"/>
    <n v="0.23760000000000001"/>
    <n v="4.2230999999999996"/>
    <n v="1"/>
    <n v="-13910"/>
    <s v="NETHERLANDS NL"/>
  </r>
  <r>
    <s v="BKMILL"/>
    <n v="157072"/>
    <n v="217482"/>
    <s v="Forward"/>
    <x v="70"/>
    <s v="Buy Fwd"/>
    <s v="GBP"/>
    <n v="75052.89"/>
    <s v="PLN"/>
    <n v="363706.3"/>
    <s v="2026-01-15"/>
    <n v="4.8460000000000001"/>
    <n v="0.2064"/>
    <n v="4.8631000000000002"/>
    <n v="1"/>
    <n v="728696.00935900002"/>
    <s v="POLAND PL"/>
  </r>
  <r>
    <s v="BKMILL"/>
    <n v="157073"/>
    <n v="217484"/>
    <s v="Forward"/>
    <x v="46"/>
    <s v="Buy Fwd"/>
    <s v="EUR"/>
    <n v="3900"/>
    <s v="PLN"/>
    <n v="16391.7"/>
    <s v="2026-01-16"/>
    <n v="4.2039"/>
    <n v="0.2379"/>
    <n v="4.2068000000000003"/>
    <n v="1"/>
    <n v="32798.22"/>
    <s v="POLAND PL"/>
  </r>
  <r>
    <s v="BKMILL"/>
    <n v="157074"/>
    <n v="899555"/>
    <s v="Spot"/>
    <x v="41"/>
    <s v="Sell"/>
    <s v="EUR"/>
    <n v="-500000"/>
    <s v="PLN"/>
    <n v="2104550"/>
    <s v="2026-01-20"/>
    <n v="4.2091000000000003"/>
    <n v="0.23760000000000001"/>
    <n v="4.2230999999999996"/>
    <n v="1"/>
    <n v="-7000"/>
    <s v="GERMANY DE"/>
  </r>
  <r>
    <s v="BKMILL"/>
    <n v="157075"/>
    <n v="217487"/>
    <s v="Forward"/>
    <x v="134"/>
    <s v="Buy Fwd"/>
    <s v="EUR"/>
    <n v="350000"/>
    <s v="PLN"/>
    <n v="1472450"/>
    <s v="2026-01-15"/>
    <n v="4.2069999999999999"/>
    <n v="0.23769999999999999"/>
    <n v="4.2110000000000003"/>
    <n v="1"/>
    <n v="2946300"/>
    <s v="POLAND PL"/>
  </r>
  <r>
    <s v="BKMILL"/>
    <n v="157076"/>
    <n v="217488"/>
    <s v="Forward"/>
    <x v="135"/>
    <s v="Buy Fwd"/>
    <s v="EUR"/>
    <n v="170000"/>
    <s v="PLN"/>
    <n v="715190"/>
    <s v="2026-01-15"/>
    <n v="4.2069999999999999"/>
    <n v="0.23769999999999999"/>
    <n v="4.2110000000000003"/>
    <n v="1"/>
    <n v="1431060"/>
    <s v="POLAND PL"/>
  </r>
  <r>
    <s v="BKMILL"/>
    <n v="157077"/>
    <n v="217489"/>
    <s v="Forward"/>
    <x v="136"/>
    <s v="Buy Fwd"/>
    <s v="EUR"/>
    <n v="150000"/>
    <s v="PLN"/>
    <n v="631050"/>
    <s v="2026-01-15"/>
    <n v="4.2069999999999999"/>
    <n v="0.23769999999999999"/>
    <n v="4.2110000000000003"/>
    <n v="1"/>
    <n v="1262700"/>
    <s v="POLAND PL"/>
  </r>
  <r>
    <s v="BKMILL"/>
    <n v="157078"/>
    <n v="899568"/>
    <s v="Spot"/>
    <x v="40"/>
    <s v="Sell"/>
    <s v="GBP"/>
    <n v="-250000"/>
    <s v="PLN"/>
    <n v="1213300"/>
    <s v="2026-01-20"/>
    <n v="4.8532000000000002"/>
    <n v="0.20599999999999999"/>
    <n v="4.8704000000000001"/>
    <n v="1"/>
    <n v="-4300"/>
    <s v="UNITED STATES OF AMERICA US"/>
  </r>
  <r>
    <s v="BKMILL"/>
    <n v="157079"/>
    <n v="217492"/>
    <s v="Forward"/>
    <x v="137"/>
    <s v="Buy Fwd"/>
    <s v="GBP"/>
    <n v="250000"/>
    <s v="PLN"/>
    <n v="1212750"/>
    <s v="2026-01-15"/>
    <n v="4.851"/>
    <n v="0.20610000000000001"/>
    <n v="4.8631000000000002"/>
    <n v="1"/>
    <n v="2428525"/>
    <s v="POLAND PL"/>
  </r>
  <r>
    <s v="BKMILL"/>
    <n v="157080"/>
    <n v="217494"/>
    <s v="Forward"/>
    <x v="138"/>
    <s v="Buy Fwd"/>
    <s v="EUR"/>
    <n v="25000"/>
    <s v="PLN"/>
    <n v="105075"/>
    <s v="2026-01-15"/>
    <n v="4.2030000000000003"/>
    <n v="0.2379"/>
    <n v="4.2110000000000003"/>
    <n v="1"/>
    <n v="210350"/>
    <s v="POLAND PL"/>
  </r>
  <r>
    <s v="BKMILL"/>
    <n v="157082"/>
    <n v="899599"/>
    <s v="Spot"/>
    <x v="44"/>
    <s v="Buy"/>
    <s v="USD"/>
    <n v="1000000"/>
    <s v="PLN"/>
    <n v="-3618470"/>
    <s v="2026-01-20"/>
    <n v="3.6185"/>
    <n v="0.27639999999999998"/>
    <n v="3.6345999999999998"/>
    <n v="1"/>
    <n v="16130"/>
    <s v="GERMANY DE"/>
  </r>
  <r>
    <s v="BKMILL"/>
    <n v="157091"/>
    <n v="217510"/>
    <s v="Forward"/>
    <x v="139"/>
    <s v="Buy Fwd"/>
    <s v="EUR"/>
    <n v="103779.42"/>
    <s v="PLN"/>
    <n v="436029.23"/>
    <s v="2026-01-15"/>
    <n v="4.2026000000000003"/>
    <n v="0.2379"/>
    <n v="4.2110000000000003"/>
    <n v="1"/>
    <n v="873044.36762000003"/>
    <s v="POLAND PL"/>
  </r>
  <r>
    <s v="BKMILL"/>
    <n v="157092"/>
    <n v="217517"/>
    <s v="Forward"/>
    <x v="140"/>
    <s v="Buy Fwd"/>
    <s v="USD"/>
    <n v="15000"/>
    <s v="PLN"/>
    <n v="54000"/>
    <s v="2026-01-15"/>
    <n v="3.6004"/>
    <n v="0.2777"/>
    <n v="3.6139999999999999"/>
    <n v="1"/>
    <n v="108210"/>
    <s v="POLAND PL"/>
  </r>
  <r>
    <s v="BKMILL"/>
    <n v="157093"/>
    <n v="217522"/>
    <s v="Forward"/>
    <x v="141"/>
    <s v="Buy Fwd"/>
    <s v="EUR"/>
    <n v="46270"/>
    <s v="PLN"/>
    <n v="194334"/>
    <s v="2026-01-15"/>
    <n v="4.2011000000000003"/>
    <n v="0.23799999999999999"/>
    <n v="4.2110000000000003"/>
    <n v="1"/>
    <n v="389176.97"/>
    <s v="POLAND PL"/>
  </r>
  <r>
    <s v="BKMILL"/>
    <n v="157094"/>
    <n v="899668"/>
    <s v="Spot"/>
    <x v="42"/>
    <s v="Sell"/>
    <s v="EUR"/>
    <n v="-500000"/>
    <s v="PLN"/>
    <n v="2104415"/>
    <s v="2026-01-20"/>
    <n v="4.2088000000000001"/>
    <n v="0.23760000000000001"/>
    <n v="4.2230999999999996"/>
    <n v="1"/>
    <n v="-7135"/>
    <s v="SWITZERLAND CH"/>
  </r>
  <r>
    <s v="BKMILL"/>
    <n v="157095"/>
    <n v="899672"/>
    <s v="Spot"/>
    <x v="41"/>
    <s v="Sell"/>
    <s v="EUR"/>
    <n v="-500000"/>
    <s v="PLN"/>
    <n v="2104350"/>
    <s v="2026-01-20"/>
    <n v="4.2087000000000003"/>
    <n v="0.23760000000000001"/>
    <n v="4.2230999999999996"/>
    <n v="1"/>
    <n v="-7200"/>
    <s v="GERMANY DE"/>
  </r>
  <r>
    <s v="BKMILL"/>
    <n v="157096"/>
    <n v="217524"/>
    <s v="Forward"/>
    <x v="142"/>
    <s v="Buy Fwd"/>
    <s v="EUR"/>
    <n v="300000"/>
    <s v="PLN"/>
    <n v="1260900"/>
    <s v="2026-01-15"/>
    <n v="4.2030000000000003"/>
    <n v="0.2379"/>
    <n v="4.2110000000000003"/>
    <n v="1"/>
    <n v="2524200"/>
    <s v="POLAND PL"/>
  </r>
  <r>
    <s v="BKMILL"/>
    <n v="157097"/>
    <n v="217525"/>
    <s v="Forward"/>
    <x v="89"/>
    <s v="Buy Fwd"/>
    <s v="USD"/>
    <n v="1200"/>
    <s v="PLN"/>
    <n v="4339.5600000000004"/>
    <s v="2026-01-15"/>
    <n v="3.6164000000000001"/>
    <n v="0.27650000000000002"/>
    <n v="3.6139999999999999"/>
    <n v="1"/>
    <n v="8676.36"/>
    <s v="POLAND PL"/>
  </r>
  <r>
    <s v="BKMILL"/>
    <n v="157098"/>
    <n v="217527"/>
    <s v="Forward"/>
    <x v="72"/>
    <s v="Buy Fwd"/>
    <s v="EUR"/>
    <n v="120000"/>
    <s v="PLN"/>
    <n v="504540"/>
    <s v="2026-01-15"/>
    <n v="4.2045000000000003"/>
    <n v="0.23780000000000001"/>
    <n v="4.2110000000000003"/>
    <n v="1"/>
    <n v="1009860"/>
    <s v="POLAND PL"/>
  </r>
  <r>
    <s v="BKMILL"/>
    <n v="157099"/>
    <n v="217531"/>
    <s v="Forward"/>
    <x v="30"/>
    <s v="Buy Fwd"/>
    <s v="USD"/>
    <n v="20000"/>
    <s v="PLN"/>
    <n v="72450"/>
    <s v="2026-01-16"/>
    <n v="3.6225999999999998"/>
    <n v="0.27600000000000002"/>
    <n v="3.6153"/>
    <n v="1"/>
    <n v="144756"/>
    <s v="POLAND PL"/>
  </r>
  <r>
    <s v="BKMILL"/>
    <n v="157101"/>
    <n v="217534"/>
    <s v="Forward"/>
    <x v="67"/>
    <s v="Sell Fwd"/>
    <s v="EUR"/>
    <n v="-125000"/>
    <s v="PLN"/>
    <n v="527500"/>
    <s v="2026-01-15"/>
    <n v="4.22"/>
    <n v="0.23699999999999999"/>
    <n v="4.2110000000000003"/>
    <n v="1"/>
    <n v="1125"/>
    <s v="POLAND PL"/>
  </r>
  <r>
    <s v="BKMILL"/>
    <n v="157103"/>
    <n v="899710"/>
    <s v="Spot"/>
    <x v="38"/>
    <s v="Sell"/>
    <s v="USD"/>
    <n v="-1000000"/>
    <s v="PLN"/>
    <n v="3628090"/>
    <s v="2026-01-20"/>
    <n v="3.6280999999999999"/>
    <n v="0.27560000000000001"/>
    <n v="3.6345999999999998"/>
    <n v="1"/>
    <n v="-6510"/>
    <s v="NETHERLANDS NL"/>
  </r>
  <r>
    <s v="BKMILL"/>
    <n v="157104"/>
    <n v="899711"/>
    <s v="Spot"/>
    <x v="47"/>
    <s v="Sell"/>
    <s v="USD"/>
    <n v="-1000000"/>
    <s v="PLN"/>
    <n v="3628700"/>
    <s v="2026-01-20"/>
    <n v="3.6286999999999998"/>
    <n v="0.27560000000000001"/>
    <n v="3.6345999999999998"/>
    <n v="1"/>
    <n v="-5900"/>
    <s v="FRANCE FR"/>
  </r>
  <r>
    <s v="BKMILL"/>
    <n v="157105"/>
    <n v="899712"/>
    <s v="Spot"/>
    <x v="40"/>
    <s v="Sell"/>
    <s v="USD"/>
    <n v="-500000"/>
    <s v="PLN"/>
    <n v="1814900"/>
    <s v="2026-01-20"/>
    <n v="3.6297999999999999"/>
    <n v="0.27550000000000002"/>
    <n v="3.6345999999999998"/>
    <n v="1"/>
    <n v="-2400"/>
    <s v="UNITED STATES OF AMERICA US"/>
  </r>
  <r>
    <s v="BKMILL"/>
    <n v="157106"/>
    <n v="217536"/>
    <s v="Forward"/>
    <x v="143"/>
    <s v="Buy Fwd"/>
    <s v="EUR"/>
    <n v="30000"/>
    <s v="PLN"/>
    <n v="126300"/>
    <s v="2026-01-15"/>
    <n v="4.2111000000000001"/>
    <n v="0.23749999999999999"/>
    <n v="4.2110000000000003"/>
    <n v="1"/>
    <n v="252630"/>
    <s v="POLAND PL"/>
  </r>
  <r>
    <s v="BKMILL"/>
    <n v="157109"/>
    <n v="217547"/>
    <s v="Forward"/>
    <x v="123"/>
    <s v="Sell Fwd"/>
    <s v="USD"/>
    <n v="-50000"/>
    <s v="PLN"/>
    <n v="181625"/>
    <s v="2026-01-15"/>
    <n v="3.6326000000000001"/>
    <n v="0.27529999999999999"/>
    <n v="3.6139999999999999"/>
    <n v="1"/>
    <n v="925"/>
    <s v="POLAND PL"/>
  </r>
  <r>
    <s v="BKMILL"/>
    <n v="157111"/>
    <n v="899759"/>
    <s v="Spot"/>
    <x v="79"/>
    <s v="Buy"/>
    <s v="USD"/>
    <n v="9000"/>
    <s v="PLN"/>
    <n v="-32607"/>
    <s v="2026-01-19"/>
    <n v="3.6230000000000002"/>
    <n v="0.27600000000000002"/>
    <n v="3.6345999999999998"/>
    <n v="1"/>
    <n v="104.4"/>
    <s v="POLAND PL"/>
  </r>
  <r>
    <s v="BKMILL"/>
    <n v="157112"/>
    <n v="217554"/>
    <s v="Forward"/>
    <x v="144"/>
    <s v="Buy Fwd"/>
    <s v="USD"/>
    <n v="10000"/>
    <s v="PLN"/>
    <n v="36190"/>
    <s v="2026-01-15"/>
    <n v="3.6194000000000002"/>
    <n v="0.27629999999999999"/>
    <n v="3.6139999999999999"/>
    <n v="1"/>
    <n v="72330"/>
    <s v="POLAND PL"/>
  </r>
  <r>
    <s v="BKMILL"/>
    <n v="157113"/>
    <n v="899778"/>
    <s v="Spot"/>
    <x v="40"/>
    <s v="Sell"/>
    <s v="EUR"/>
    <n v="-500000"/>
    <s v="PLN"/>
    <n v="2106050"/>
    <s v="2026-01-20"/>
    <n v="4.2121000000000004"/>
    <n v="0.2374"/>
    <n v="4.2230999999999996"/>
    <n v="1"/>
    <n v="-5500"/>
    <s v="UNITED STATES OF AMERICA US"/>
  </r>
  <r>
    <s v="BKMILL"/>
    <n v="157114"/>
    <n v="217557"/>
    <s v="Forward"/>
    <x v="145"/>
    <s v="Buy Fwd"/>
    <s v="EUR"/>
    <n v="20000"/>
    <s v="PLN"/>
    <n v="84020"/>
    <s v="2026-01-15"/>
    <n v="4.202"/>
    <n v="0.23799999999999999"/>
    <n v="4.2110000000000003"/>
    <n v="1"/>
    <n v="168240"/>
    <s v="POLAND PL"/>
  </r>
  <r>
    <s v="BKMILL"/>
    <n v="157115"/>
    <n v="899785"/>
    <s v="Spot"/>
    <x v="38"/>
    <s v="Sell"/>
    <s v="EUR"/>
    <n v="-1000000"/>
    <s v="PLN"/>
    <n v="4212740"/>
    <s v="2026-01-20"/>
    <n v="4.2126999999999999"/>
    <n v="0.2374"/>
    <n v="4.2230999999999996"/>
    <n v="1"/>
    <n v="-10360"/>
    <s v="NETHERLANDS NL"/>
  </r>
  <r>
    <s v="BKMILL"/>
    <n v="157116"/>
    <n v="899789"/>
    <s v="Spot"/>
    <x v="47"/>
    <s v="Sell"/>
    <s v="USD"/>
    <n v="-500000"/>
    <s v="PLN"/>
    <n v="1816100"/>
    <s v="2026-01-20"/>
    <n v="3.6322000000000001"/>
    <n v="0.27529999999999999"/>
    <n v="3.6345999999999998"/>
    <n v="1"/>
    <n v="-1200"/>
    <s v="FRANCE FR"/>
  </r>
  <r>
    <s v="BKMILL"/>
    <n v="157117"/>
    <n v="217559"/>
    <s v="Forward"/>
    <x v="61"/>
    <s v="Sell Fwd"/>
    <s v="EUR"/>
    <n v="-35000"/>
    <s v="USD"/>
    <n v="40600"/>
    <s v="2026-01-15"/>
    <n v="1.1603000000000001"/>
    <n v="0.86180000000000001"/>
    <n v="4.2110000000000003"/>
    <n v="3.6139999999999999"/>
    <n v="-656.6"/>
    <s v="POLAND PL"/>
  </r>
  <r>
    <s v="BKMILL"/>
    <n v="157118"/>
    <n v="217560"/>
    <s v="Forward"/>
    <x v="146"/>
    <s v="Buy Fwd"/>
    <s v="EUR"/>
    <n v="15000"/>
    <s v="PLN"/>
    <n v="63000"/>
    <s v="2026-01-15"/>
    <n v="4.2011000000000003"/>
    <n v="0.23799999999999999"/>
    <n v="4.2110000000000003"/>
    <n v="1"/>
    <n v="126165"/>
    <s v="POLAND PL"/>
  </r>
  <r>
    <s v="BKMILL"/>
    <n v="157120"/>
    <n v="217563"/>
    <s v="Forward"/>
    <x v="30"/>
    <s v="Buy Fwd"/>
    <s v="USD"/>
    <n v="40000"/>
    <s v="PLN"/>
    <n v="145200"/>
    <s v="2026-01-16"/>
    <n v="3.6301000000000001"/>
    <n v="0.27550000000000002"/>
    <n v="3.6153"/>
    <n v="1"/>
    <n v="289812"/>
    <s v="POLAND PL"/>
  </r>
  <r>
    <s v="BKMILL"/>
    <n v="157121"/>
    <n v="899806"/>
    <s v="Spot"/>
    <x v="41"/>
    <s v="Sell"/>
    <s v="EUR"/>
    <n v="-500000"/>
    <s v="PLN"/>
    <n v="2106000"/>
    <s v="2026-01-20"/>
    <n v="4.2119999999999997"/>
    <n v="0.2374"/>
    <n v="4.2230999999999996"/>
    <n v="1"/>
    <n v="-5550"/>
    <s v="GERMANY DE"/>
  </r>
  <r>
    <s v="BKMILL"/>
    <n v="157122"/>
    <n v="217566"/>
    <s v="Forward"/>
    <x v="147"/>
    <s v="Buy Fwd"/>
    <s v="EUR"/>
    <n v="7000"/>
    <s v="PLN"/>
    <n v="29400"/>
    <s v="2026-01-15"/>
    <n v="4.2011000000000003"/>
    <n v="0.23799999999999999"/>
    <n v="4.2110000000000003"/>
    <n v="1"/>
    <n v="58877"/>
    <s v="POLAND PL"/>
  </r>
  <r>
    <s v="BKMILL"/>
    <n v="157123"/>
    <n v="217568"/>
    <s v="Forward"/>
    <x v="148"/>
    <s v="Sell Fwd"/>
    <s v="USD"/>
    <n v="-3000"/>
    <s v="PLN"/>
    <n v="10911"/>
    <s v="2026-01-15"/>
    <n v="3.637"/>
    <n v="0.27500000000000002"/>
    <n v="3.6139999999999999"/>
    <n v="1"/>
    <n v="69"/>
    <s v="POLAND PL"/>
  </r>
  <r>
    <s v="BKMILL"/>
    <n v="157124"/>
    <n v="899869"/>
    <s v="Spot"/>
    <x v="39"/>
    <s v="Sell"/>
    <s v="EUR"/>
    <n v="-1000000"/>
    <s v="PLN"/>
    <n v="4212950"/>
    <s v="2026-01-20"/>
    <n v="4.2130000000000001"/>
    <n v="0.2374"/>
    <n v="4.2230999999999996"/>
    <n v="1"/>
    <n v="-10150"/>
    <s v="UNITED KINGDOM GB"/>
  </r>
  <r>
    <s v="BKMILL"/>
    <n v="157125"/>
    <n v="899870"/>
    <s v="Spot"/>
    <x v="39"/>
    <s v="Sell"/>
    <s v="EUR"/>
    <n v="-1000000"/>
    <s v="PLN"/>
    <n v="4212950"/>
    <s v="2026-01-20"/>
    <n v="4.2130000000000001"/>
    <n v="0.2374"/>
    <n v="4.2230999999999996"/>
    <n v="1"/>
    <n v="-10150"/>
    <s v="UNITED KINGDOM GB"/>
  </r>
  <r>
    <s v="BKMILL"/>
    <n v="157126"/>
    <n v="899888"/>
    <s v="Spot"/>
    <x v="40"/>
    <s v="Sell"/>
    <s v="USD"/>
    <n v="-100000"/>
    <s v="JPY"/>
    <n v="15874200"/>
    <s v="2026-01-20"/>
    <n v="158.74199999999999"/>
    <n v="6.3E-3"/>
    <n v="3.6345999999999998"/>
    <n v="2.3003999999999998"/>
    <n v="36153549.68"/>
    <s v="UNITED STATES OF AMERICA US"/>
  </r>
  <r>
    <s v="BKMILL"/>
    <n v="157127"/>
    <n v="899906"/>
    <s v="Spot"/>
    <x v="43"/>
    <s v="Buy"/>
    <s v="EUR"/>
    <n v="200000"/>
    <s v="NOK"/>
    <n v="-2343628"/>
    <s v="2026-01-20"/>
    <n v="11.7181"/>
    <n v="8.5300000000000001E-2"/>
    <n v="4.2230999999999996"/>
    <n v="0.36009999999999998"/>
    <n v="679.55719999999997"/>
    <s v="FRANCE FR"/>
  </r>
  <r>
    <s v="BKMILL"/>
    <n v="157128"/>
    <n v="899914"/>
    <s v="Spot"/>
    <x v="40"/>
    <s v="Sell"/>
    <s v="EUR"/>
    <n v="-500000"/>
    <s v="USD"/>
    <n v="580485"/>
    <s v="2026-01-20"/>
    <n v="1.161"/>
    <n v="0.86129999999999995"/>
    <n v="4.2230999999999996"/>
    <n v="3.6345999999999998"/>
    <n v="-1719.2190000000001"/>
    <s v="UNITED STATES OF AMERICA US"/>
  </r>
  <r>
    <s v="BKMILL"/>
    <n v="157129"/>
    <n v="899922"/>
    <s v="Spot"/>
    <x v="50"/>
    <s v="Buy"/>
    <s v="SEK"/>
    <n v="310000"/>
    <s v="PLN"/>
    <n v="-122016"/>
    <s v="2026-01-20"/>
    <n v="0.39360000000000001"/>
    <n v="2.5407000000000002"/>
    <n v="0.39360000000000001"/>
    <n v="1"/>
    <n v="0"/>
    <s v="POLAND PL"/>
  </r>
  <r>
    <s v="BKMILL"/>
    <n v="157130"/>
    <n v="899926"/>
    <s v="Spot"/>
    <x v="50"/>
    <s v="Buy"/>
    <s v="NOK"/>
    <n v="420000"/>
    <s v="PLN"/>
    <n v="-150948"/>
    <s v="2026-01-20"/>
    <n v="0.3594"/>
    <n v="2.7824"/>
    <n v="0.36009999999999998"/>
    <n v="1"/>
    <n v="294"/>
    <s v="POLAND PL"/>
  </r>
  <r>
    <s v="BKMILL"/>
    <n v="157132"/>
    <n v="899933"/>
    <s v="Spot"/>
    <x v="50"/>
    <s v="Buy"/>
    <s v="DKK"/>
    <n v="260000"/>
    <s v="PLN"/>
    <n v="-146588"/>
    <s v="2026-01-20"/>
    <n v="0.56379999999999997"/>
    <n v="1.7737000000000001"/>
    <n v="0.56520000000000004"/>
    <n v="1"/>
    <n v="364"/>
    <s v="POLAND PL"/>
  </r>
  <r>
    <s v="BKMILL"/>
    <n v="157133"/>
    <n v="217573"/>
    <s v="Forward"/>
    <x v="149"/>
    <s v="Sell Fwd"/>
    <s v="EUR"/>
    <n v="-50000"/>
    <s v="PLN"/>
    <n v="210750"/>
    <s v="2026-01-15"/>
    <n v="4.2160000000000002"/>
    <n v="0.23719999999999999"/>
    <n v="4.2110000000000003"/>
    <n v="1"/>
    <n v="200"/>
    <s v="POLAND PL"/>
  </r>
  <r>
    <s v="BKMILL"/>
    <n v="157134"/>
    <n v="217574"/>
    <s v="Forward"/>
    <x v="150"/>
    <s v="Sell Fwd"/>
    <s v="EUR"/>
    <n v="-40000"/>
    <s v="PLN"/>
    <n v="168920"/>
    <s v="2026-01-15"/>
    <n v="4.2241"/>
    <n v="0.23669999999999999"/>
    <n v="4.2110000000000003"/>
    <n v="1"/>
    <n v="480"/>
    <s v="POLAND PL"/>
  </r>
  <r>
    <s v="BKMILL"/>
    <n v="157136"/>
    <n v="217579"/>
    <s v="Forward"/>
    <x v="151"/>
    <s v="Sell Fwd"/>
    <s v="EUR"/>
    <n v="-285848.59999999998"/>
    <s v="PLN"/>
    <n v="1208139.1100000001"/>
    <s v="2026-01-15"/>
    <n v="4.2264999999999997"/>
    <n v="0.2366"/>
    <n v="4.2110000000000003"/>
    <n v="1"/>
    <n v="4430.6553999999996"/>
    <s v="POLAND PL"/>
  </r>
  <r>
    <s v="BKMILL"/>
    <n v="157137"/>
    <n v="217585"/>
    <s v="Forward"/>
    <x v="152"/>
    <s v="Buy Fwd"/>
    <s v="EUR"/>
    <n v="200000"/>
    <s v="PLN"/>
    <n v="842000"/>
    <s v="2026-01-15"/>
    <n v="4.21"/>
    <n v="0.23749999999999999"/>
    <n v="4.2110000000000003"/>
    <n v="1"/>
    <n v="1684200"/>
    <s v="POLAND PL"/>
  </r>
  <r>
    <s v="BKMILL"/>
    <n v="157138"/>
    <n v="217586"/>
    <s v="Forward"/>
    <x v="153"/>
    <s v="Sell Fwd"/>
    <s v="EUR"/>
    <n v="-50000"/>
    <s v="PLN"/>
    <n v="211215"/>
    <s v="2026-01-15"/>
    <n v="4.2253999999999996"/>
    <n v="0.23669999999999999"/>
    <n v="4.2110000000000003"/>
    <n v="1"/>
    <n v="665"/>
    <s v="POLAND PL"/>
  </r>
  <r>
    <s v="BKMILL"/>
    <n v="157139"/>
    <n v="217588"/>
    <s v="Forward"/>
    <x v="154"/>
    <s v="Buy Fwd"/>
    <s v="USD"/>
    <n v="100000"/>
    <s v="PLN"/>
    <n v="363200"/>
    <s v="2026-01-15"/>
    <n v="3.6320000000000001"/>
    <n v="0.27529999999999999"/>
    <n v="3.6139999999999999"/>
    <n v="1"/>
    <n v="724600"/>
    <s v="POLAND PL"/>
  </r>
  <r>
    <s v="BKMILL"/>
    <n v="157140"/>
    <n v="217590"/>
    <s v="Forward"/>
    <x v="153"/>
    <s v="Sell Fwd"/>
    <s v="USD"/>
    <n v="-50000"/>
    <s v="PLN"/>
    <n v="182165"/>
    <s v="2026-01-15"/>
    <n v="3.6438000000000001"/>
    <n v="0.27439999999999998"/>
    <n v="3.6139999999999999"/>
    <n v="1"/>
    <n v="1465"/>
    <s v="POLAND PL"/>
  </r>
  <r>
    <s v="BKMILL"/>
    <n v="157141"/>
    <n v="217591"/>
    <s v="Forward"/>
    <x v="155"/>
    <s v="Sell Fwd"/>
    <s v="EUR"/>
    <n v="-10000"/>
    <s v="PLN"/>
    <n v="42190"/>
    <s v="2026-01-15"/>
    <n v="4.22"/>
    <n v="0.23699999999999999"/>
    <n v="4.2110000000000003"/>
    <n v="1"/>
    <n v="80"/>
    <s v="POLAND PL"/>
  </r>
  <r>
    <s v="BKMILL"/>
    <n v="157142"/>
    <n v="900007"/>
    <s v="Spot"/>
    <x v="40"/>
    <s v="Sell"/>
    <s v="EUR"/>
    <n v="-500000"/>
    <s v="PLN"/>
    <n v="2107150"/>
    <s v="2026-01-20"/>
    <n v="4.2142999999999997"/>
    <n v="0.23730000000000001"/>
    <n v="4.2230999999999996"/>
    <n v="1"/>
    <n v="-4400"/>
    <s v="UNITED STATES OF AMERICA US"/>
  </r>
  <r>
    <s v="BKMILL"/>
    <n v="157143"/>
    <n v="217592"/>
    <s v="Forward"/>
    <x v="156"/>
    <s v="Buy Fwd"/>
    <s v="EUR"/>
    <n v="1500"/>
    <s v="PLN"/>
    <n v="6303"/>
    <s v="2026-01-15"/>
    <n v="4.2030000000000003"/>
    <n v="0.2379"/>
    <n v="4.2110000000000003"/>
    <n v="1"/>
    <n v="12619.5"/>
    <s v="POLAND PL"/>
  </r>
  <r>
    <s v="BKMILL"/>
    <n v="157144"/>
    <n v="900012"/>
    <s v="Spot"/>
    <x v="43"/>
    <s v="Buy"/>
    <s v="EUR"/>
    <n v="100000"/>
    <s v="DKK"/>
    <n v="-747220"/>
    <s v="2026-01-20"/>
    <n v="7.4722"/>
    <n v="0.1338"/>
    <n v="4.2230999999999996"/>
    <n v="0.56520000000000004"/>
    <n v="-18.744"/>
    <s v="FRANCE FR"/>
  </r>
  <r>
    <s v="BKMILL"/>
    <n v="157146"/>
    <n v="217598"/>
    <s v="Forward"/>
    <x v="157"/>
    <s v="Buy Fwd"/>
    <s v="EUR"/>
    <n v="12000"/>
    <s v="PLN"/>
    <n v="50424"/>
    <s v="2026-01-15"/>
    <n v="4.2031000000000001"/>
    <n v="0.2379"/>
    <n v="4.2110000000000003"/>
    <n v="1"/>
    <n v="100956"/>
    <s v="POLAND PL"/>
  </r>
  <r>
    <s v="BKMILL"/>
    <n v="157148"/>
    <n v="217602"/>
    <s v="Forward"/>
    <x v="158"/>
    <s v="Buy Fwd"/>
    <s v="EUR"/>
    <n v="50000"/>
    <s v="PLN"/>
    <n v="210000"/>
    <s v="2026-01-15"/>
    <n v="4.2"/>
    <n v="0.23810000000000001"/>
    <n v="4.2110000000000003"/>
    <n v="1"/>
    <n v="420550"/>
    <s v="POLAND PL"/>
  </r>
  <r>
    <s v="BKMILL"/>
    <n v="157149"/>
    <n v="900073"/>
    <s v="Spot"/>
    <x v="41"/>
    <s v="Sell"/>
    <s v="EUR"/>
    <n v="-500000"/>
    <s v="PLN"/>
    <n v="2105850"/>
    <s v="2026-01-20"/>
    <n v="4.2117000000000004"/>
    <n v="0.2374"/>
    <n v="4.2230999999999996"/>
    <n v="1"/>
    <n v="-5700"/>
    <s v="GERMANY DE"/>
  </r>
  <r>
    <s v="BKMILL"/>
    <n v="157150"/>
    <n v="900074"/>
    <s v="Spot"/>
    <x v="40"/>
    <s v="Sell"/>
    <s v="EUR"/>
    <n v="-107882.52"/>
    <s v="PLN"/>
    <n v="454478.85"/>
    <s v="2026-01-20"/>
    <n v="4.2126999999999999"/>
    <n v="0.2374"/>
    <n v="4.2230999999999996"/>
    <n v="1"/>
    <n v="-1119.8202120000001"/>
    <s v="UNITED STATES OF AMERICA US"/>
  </r>
  <r>
    <s v="BKMILL"/>
    <n v="157151"/>
    <n v="900076"/>
    <s v="Spot"/>
    <x v="40"/>
    <s v="Buy"/>
    <s v="USD"/>
    <n v="3872.16"/>
    <s v="PLN"/>
    <n v="-14059.85"/>
    <s v="2026-01-20"/>
    <n v="3.6309999999999998"/>
    <n v="0.27539999999999998"/>
    <n v="3.6345999999999998"/>
    <n v="1"/>
    <n v="13.902736000000001"/>
    <s v="UNITED STATES OF AMERICA US"/>
  </r>
  <r>
    <s v="BKMILL"/>
    <n v="157152"/>
    <n v="900077"/>
    <s v="Spot"/>
    <x v="41"/>
    <s v="Sell"/>
    <s v="GBP"/>
    <n v="-22217.82"/>
    <s v="PLN"/>
    <n v="107963.05"/>
    <s v="2026-01-20"/>
    <n v="4.8593000000000002"/>
    <n v="0.20580000000000001"/>
    <n v="4.8704000000000001"/>
    <n v="1"/>
    <n v="-246.62052800000001"/>
    <s v="GERMANY DE"/>
  </r>
  <r>
    <s v="BKMILL"/>
    <n v="157153"/>
    <n v="900078"/>
    <s v="Spot"/>
    <x v="40"/>
    <s v="Buy"/>
    <s v="CHF"/>
    <n v="342.36"/>
    <s v="PLN"/>
    <n v="-1548.03"/>
    <s v="2026-01-20"/>
    <n v="4.5216000000000003"/>
    <n v="0.22120000000000001"/>
    <n v="4.5476000000000001"/>
    <n v="1"/>
    <n v="8.886336"/>
    <s v="UNITED STATES OF AMERICA US"/>
  </r>
  <r>
    <s v="BKMILL"/>
    <n v="157154"/>
    <n v="900079"/>
    <s v="Spot"/>
    <x v="40"/>
    <s v="Buy"/>
    <s v="EUR"/>
    <n v="6026.51"/>
    <s v="PLN"/>
    <n v="-25394.33"/>
    <s v="2026-01-20"/>
    <n v="4.2138"/>
    <n v="0.23730000000000001"/>
    <n v="4.2230999999999996"/>
    <n v="1"/>
    <n v="56.224381000000001"/>
    <s v="UNITED STATES OF AMERICA US"/>
  </r>
  <r>
    <s v="BKMILL"/>
    <n v="157155"/>
    <n v="900084"/>
    <s v="Spot"/>
    <x v="43"/>
    <s v="Sell"/>
    <s v="EUR"/>
    <n v="-141943.57"/>
    <s v="PLN"/>
    <n v="598097.68000000005"/>
    <s v="2026-01-20"/>
    <n v="4.2135999999999996"/>
    <n v="0.23730000000000001"/>
    <n v="4.2230999999999996"/>
    <n v="1"/>
    <n v="-1344.2104670000001"/>
    <s v="FRANCE FR"/>
  </r>
  <r>
    <s v="BKMILL"/>
    <n v="157156"/>
    <n v="900086"/>
    <s v="Spot"/>
    <x v="40"/>
    <s v="Sell"/>
    <s v="EUR"/>
    <n v="-100550.3"/>
    <s v="PLN"/>
    <n v="423643.55"/>
    <s v="2026-01-20"/>
    <n v="4.2133000000000003"/>
    <n v="0.23730000000000001"/>
    <n v="4.2230999999999996"/>
    <n v="1"/>
    <n v="-990.42192999999997"/>
    <s v="UNITED STATES OF AMERICA US"/>
  </r>
  <r>
    <s v="BKMILL"/>
    <n v="157157"/>
    <n v="900088"/>
    <s v="Spot"/>
    <x v="41"/>
    <s v="Buy"/>
    <s v="USD"/>
    <n v="9434.94"/>
    <s v="PLN"/>
    <n v="-34237.51"/>
    <s v="2026-01-20"/>
    <n v="3.6288"/>
    <n v="0.27560000000000001"/>
    <n v="3.6345999999999998"/>
    <n v="1"/>
    <n v="54.722923999999999"/>
    <s v="GERMANY DE"/>
  </r>
  <r>
    <s v="BKMILL"/>
    <n v="157158"/>
    <n v="900089"/>
    <s v="Spot"/>
    <x v="40"/>
    <s v="Sell"/>
    <s v="GBP"/>
    <n v="-53204.27"/>
    <s v="PLN"/>
    <n v="258375.9"/>
    <s v="2026-01-20"/>
    <n v="4.8563000000000001"/>
    <n v="0.2059"/>
    <n v="4.8704000000000001"/>
    <n v="1"/>
    <n v="-750.17660799999999"/>
    <s v="UNITED STATES OF AMERICA US"/>
  </r>
  <r>
    <s v="BKMILL"/>
    <n v="157159"/>
    <n v="900090"/>
    <s v="Spot"/>
    <x v="40"/>
    <s v="Sell"/>
    <s v="CHF"/>
    <n v="-4372.32"/>
    <s v="PLN"/>
    <n v="19755.150000000001"/>
    <s v="2026-01-20"/>
    <n v="4.5182000000000002"/>
    <n v="0.2213"/>
    <n v="4.5476000000000001"/>
    <n v="1"/>
    <n v="-128.412432"/>
    <s v="UNITED STATES OF AMERICA US"/>
  </r>
  <r>
    <s v="BKMILL"/>
    <n v="157160"/>
    <n v="900091"/>
    <s v="Spot"/>
    <x v="40"/>
    <s v="Sell"/>
    <s v="EUR"/>
    <n v="-49339.51"/>
    <s v="PLN"/>
    <n v="207914.23"/>
    <s v="2026-01-20"/>
    <n v="4.2138999999999998"/>
    <n v="0.23730000000000001"/>
    <n v="4.2230999999999996"/>
    <n v="1"/>
    <n v="-451.45468099999999"/>
    <s v="UNITED STATES OF AMERICA US"/>
  </r>
  <r>
    <s v="BKMILL"/>
    <n v="157161"/>
    <n v="217611"/>
    <s v="Forward"/>
    <x v="40"/>
    <s v="Sell Fwd"/>
    <s v="EUR"/>
    <n v="-20000"/>
    <s v="PLN"/>
    <n v="84254.16"/>
    <s v="2026-01-16"/>
    <n v="4.2135999999999996"/>
    <n v="0.23730000000000001"/>
    <n v="4.2068000000000003"/>
    <n v="1"/>
    <n v="118.16"/>
    <s v="UNITED STATES OF AMERICA US"/>
  </r>
  <r>
    <s v="BKMILL"/>
    <n v="157162"/>
    <n v="217612"/>
    <s v="Forward"/>
    <x v="159"/>
    <s v="Buy Fwd"/>
    <s v="EUR"/>
    <n v="20000"/>
    <s v="PLN"/>
    <n v="83754"/>
    <s v="2026-01-16"/>
    <n v="4.1886000000000001"/>
    <n v="0.2387"/>
    <n v="4.2068000000000003"/>
    <n v="1"/>
    <n v="167890"/>
    <s v="POLAND PL"/>
  </r>
  <r>
    <s v="BKMILL"/>
    <n v="157163"/>
    <n v="900100"/>
    <s v="Spot"/>
    <x v="40"/>
    <s v="Buy"/>
    <s v="CHF"/>
    <n v="2156.6"/>
    <s v="PLN"/>
    <n v="-9750.92"/>
    <s v="2026-01-20"/>
    <n v="4.5213999999999999"/>
    <n v="0.22120000000000001"/>
    <n v="4.5476000000000001"/>
    <n v="1"/>
    <n v="56.434159999999999"/>
    <s v="UNITED STATES OF AMERICA US"/>
  </r>
  <r>
    <s v="BKMILL"/>
    <n v="157164"/>
    <n v="900101"/>
    <s v="Spot"/>
    <x v="41"/>
    <s v="Buy"/>
    <s v="USD"/>
    <n v="4979.28"/>
    <s v="PLN"/>
    <n v="-18069.810000000001"/>
    <s v="2026-01-20"/>
    <n v="3.629"/>
    <n v="0.27560000000000001"/>
    <n v="3.6345999999999998"/>
    <n v="1"/>
    <n v="27.881087999999998"/>
    <s v="GERMANY DE"/>
  </r>
  <r>
    <s v="BKMILL"/>
    <n v="157165"/>
    <n v="900102"/>
    <s v="Spot"/>
    <x v="41"/>
    <s v="Sell"/>
    <s v="EUR"/>
    <n v="-10292.59"/>
    <s v="PLN"/>
    <n v="43333.86"/>
    <s v="2026-01-20"/>
    <n v="4.2102000000000004"/>
    <n v="0.23749999999999999"/>
    <n v="4.2230999999999996"/>
    <n v="1"/>
    <n v="-132.77682899999999"/>
    <s v="GERMANY DE"/>
  </r>
  <r>
    <s v="BKMILL"/>
    <n v="157166"/>
    <n v="900103"/>
    <s v="Spot"/>
    <x v="40"/>
    <s v="Sell"/>
    <s v="GBP"/>
    <n v="-1130.6500000000001"/>
    <s v="PLN"/>
    <n v="5484.78"/>
    <s v="2026-01-20"/>
    <n v="4.851"/>
    <n v="0.20610000000000001"/>
    <n v="4.8704000000000001"/>
    <n v="1"/>
    <n v="-21.937760000000001"/>
    <s v="UNITED STATES OF AMERICA US"/>
  </r>
  <r>
    <s v="BKMILL"/>
    <n v="157167"/>
    <n v="217613"/>
    <s v="Forward"/>
    <x v="55"/>
    <s v="Sell Fwd"/>
    <s v="EUR"/>
    <n v="-21710"/>
    <s v="PLN"/>
    <n v="91436.79"/>
    <s v="2026-01-16"/>
    <n v="4.2126000000000001"/>
    <n v="0.2374"/>
    <n v="4.2068000000000003"/>
    <n v="1"/>
    <n v="107.16200000000001"/>
    <s v="SPAIN ES"/>
  </r>
  <r>
    <s v="BKMILL"/>
    <n v="157168"/>
    <n v="900147"/>
    <s v="Spot"/>
    <x v="40"/>
    <s v="Sell"/>
    <s v="USD"/>
    <n v="-27101.32"/>
    <s v="PLN"/>
    <n v="98342.56"/>
    <s v="2026-01-20"/>
    <n v="3.6286999999999998"/>
    <n v="0.27560000000000001"/>
    <n v="3.6345999999999998"/>
    <n v="1"/>
    <n v="-159.897672"/>
    <s v="UNITED STATES OF AMERICA US"/>
  </r>
  <r>
    <s v="BKMILL"/>
    <n v="157169"/>
    <n v="900148"/>
    <s v="Spot"/>
    <x v="40"/>
    <s v="Sell"/>
    <s v="EUR"/>
    <n v="-48504.43"/>
    <s v="PLN"/>
    <n v="204364.69"/>
    <s v="2026-01-20"/>
    <n v="4.2133000000000003"/>
    <n v="0.23730000000000001"/>
    <n v="4.2230999999999996"/>
    <n v="1"/>
    <n v="-474.36833300000001"/>
    <s v="UNITED STATES OF AMERICA US"/>
  </r>
  <r>
    <s v="BKMILL"/>
    <n v="157170"/>
    <n v="900149"/>
    <s v="Spot"/>
    <x v="40"/>
    <s v="Sell"/>
    <s v="CHF"/>
    <n v="-3840.92"/>
    <s v="PLN"/>
    <n v="17370.02"/>
    <s v="2026-01-20"/>
    <n v="4.5224000000000002"/>
    <n v="0.22109999999999999"/>
    <n v="4.5476000000000001"/>
    <n v="1"/>
    <n v="-96.947792000000007"/>
    <s v="UNITED STATES OF AMERICA US"/>
  </r>
  <r>
    <s v="BKMILL"/>
    <n v="157171"/>
    <n v="900150"/>
    <s v="Spot"/>
    <x v="40"/>
    <s v="Sell"/>
    <s v="GBP"/>
    <n v="-424.23"/>
    <s v="PLN"/>
    <n v="2061.04"/>
    <s v="2026-01-20"/>
    <n v="4.8582999999999998"/>
    <n v="0.20580000000000001"/>
    <n v="4.8704000000000001"/>
    <n v="1"/>
    <n v="-5.1297920000000001"/>
    <s v="UNITED STATES OF AMERICA US"/>
  </r>
  <r>
    <s v="BKMILL"/>
    <n v="157172"/>
    <n v="217616"/>
    <s v="Forward"/>
    <x v="40"/>
    <s v="Sell Fwd"/>
    <s v="EUR"/>
    <n v="-10000"/>
    <s v="PLN"/>
    <n v="42119.19"/>
    <s v="2026-01-16"/>
    <n v="4.2131999999999996"/>
    <n v="0.2374"/>
    <n v="4.2068000000000003"/>
    <n v="1"/>
    <n v="51.19"/>
    <s v="UNITED STATES OF AMERICA US"/>
  </r>
  <r>
    <s v="BKMILL"/>
    <n v="157173"/>
    <n v="217617"/>
    <s v="Forward"/>
    <x v="41"/>
    <s v="Buy Fwd"/>
    <s v="EUR"/>
    <n v="100000"/>
    <s v="PLN"/>
    <n v="421405.6"/>
    <s v="2026-01-16"/>
    <n v="4.2146999999999997"/>
    <n v="0.23730000000000001"/>
    <n v="4.2068000000000003"/>
    <n v="1"/>
    <n v="842085.6"/>
    <s v="GERMANY DE"/>
  </r>
  <r>
    <s v="BKMILL"/>
    <n v="157174"/>
    <n v="217620"/>
    <s v="Forward"/>
    <x v="55"/>
    <s v="Buy Fwd"/>
    <s v="EUR"/>
    <n v="1500"/>
    <s v="PLN"/>
    <n v="6320.81"/>
    <s v="2026-01-16"/>
    <n v="4.2145999999999999"/>
    <n v="0.23730000000000001"/>
    <n v="4.2068000000000003"/>
    <n v="1"/>
    <n v="12631.01"/>
    <s v="SPAIN ES"/>
  </r>
  <r>
    <s v="BKMILL"/>
    <n v="157175"/>
    <n v="217621"/>
    <s v="Forward"/>
    <x v="55"/>
    <s v="Buy Fwd"/>
    <s v="EUR"/>
    <n v="340000"/>
    <s v="PLN"/>
    <n v="1432512.82"/>
    <s v="2026-01-16"/>
    <n v="4.2140000000000004"/>
    <n v="0.23730000000000001"/>
    <n v="4.2068000000000003"/>
    <n v="1"/>
    <n v="2862824.82"/>
    <s v="SPAIN ES"/>
  </r>
  <r>
    <s v="BKMILL"/>
    <n v="157176"/>
    <n v="217623"/>
    <s v="Forward"/>
    <x v="55"/>
    <s v="Buy Fwd"/>
    <s v="EUR"/>
    <n v="15450"/>
    <s v="PLN"/>
    <n v="65093.52"/>
    <s v="2026-01-16"/>
    <n v="4.2138999999999998"/>
    <n v="0.23730000000000001"/>
    <n v="4.2068000000000003"/>
    <n v="1"/>
    <n v="130088.58"/>
    <s v="SPAIN ES"/>
  </r>
  <r>
    <s v="BKMILL"/>
    <n v="157177"/>
    <n v="217626"/>
    <s v="Forward"/>
    <x v="55"/>
    <s v="Buy Fwd"/>
    <s v="EUR"/>
    <n v="4000"/>
    <s v="PLN"/>
    <n v="16853.89"/>
    <s v="2026-01-16"/>
    <n v="4.2141999999999999"/>
    <n v="0.23730000000000001"/>
    <n v="4.2068000000000003"/>
    <n v="1"/>
    <n v="33681.089999999997"/>
    <s v="SPAIN ES"/>
  </r>
  <r>
    <s v="BKMILL"/>
    <n v="157178"/>
    <n v="217627"/>
    <s v="Forward"/>
    <x v="43"/>
    <s v="Sell Fwd"/>
    <s v="EUR"/>
    <n v="-20000"/>
    <s v="PLN"/>
    <n v="84251.53"/>
    <s v="2026-01-16"/>
    <n v="4.2134999999999998"/>
    <n v="0.23730000000000001"/>
    <n v="4.2068000000000003"/>
    <n v="1"/>
    <n v="115.53"/>
    <s v="FRANCE FR"/>
  </r>
  <r>
    <s v="BKMILL"/>
    <n v="157179"/>
    <n v="217630"/>
    <s v="Forward"/>
    <x v="41"/>
    <s v="Buy Fwd"/>
    <s v="EUR"/>
    <n v="4573"/>
    <s v="PLN"/>
    <n v="19267.7"/>
    <s v="2026-01-16"/>
    <n v="4.2140000000000004"/>
    <n v="0.23730000000000001"/>
    <n v="4.2068000000000003"/>
    <n v="1"/>
    <n v="38505.396399999998"/>
    <s v="GERMANY DE"/>
  </r>
  <r>
    <s v="BKMILL"/>
    <n v="157180"/>
    <n v="217631"/>
    <s v="Forward"/>
    <x v="43"/>
    <s v="Sell Fwd"/>
    <s v="EUR"/>
    <n v="-10000"/>
    <s v="PLN"/>
    <n v="42118.27"/>
    <s v="2026-01-16"/>
    <n v="4.2126999999999999"/>
    <n v="0.2374"/>
    <n v="4.2068000000000003"/>
    <n v="1"/>
    <n v="50.27"/>
    <s v="FRANCE FR"/>
  </r>
  <r>
    <s v="BKMILL"/>
    <n v="157181"/>
    <n v="900187"/>
    <s v="Spot"/>
    <x v="42"/>
    <s v="Sell"/>
    <s v="EUR"/>
    <n v="-126675.51"/>
    <s v="PLN"/>
    <n v="533758.66"/>
    <s v="2026-01-20"/>
    <n v="4.2135999999999996"/>
    <n v="0.23730000000000001"/>
    <n v="4.2230999999999996"/>
    <n v="1"/>
    <n v="-1204.686281"/>
    <s v="SWITZERLAND CH"/>
  </r>
  <r>
    <s v="BKMILL"/>
    <n v="157182"/>
    <n v="217633"/>
    <s v="Forward"/>
    <x v="41"/>
    <s v="Buy Fwd"/>
    <s v="EUR"/>
    <n v="1000"/>
    <s v="PLN"/>
    <n v="4213.5600000000004"/>
    <s v="2026-01-16"/>
    <n v="4.2141999999999999"/>
    <n v="0.23730000000000001"/>
    <n v="4.2068000000000003"/>
    <n v="1"/>
    <n v="8420.36"/>
    <s v="GERMANY DE"/>
  </r>
  <r>
    <s v="BKMILL"/>
    <n v="157183"/>
    <n v="217635"/>
    <s v="Forward"/>
    <x v="43"/>
    <s v="Sell Fwd"/>
    <s v="EUR"/>
    <n v="-1000"/>
    <s v="PLN"/>
    <n v="4212.72"/>
    <s v="2026-01-16"/>
    <n v="4.2135999999999996"/>
    <n v="0.23730000000000001"/>
    <n v="4.2068000000000003"/>
    <n v="1"/>
    <n v="5.92"/>
    <s v="FRANCE FR"/>
  </r>
  <r>
    <s v="BKMILL"/>
    <n v="157184"/>
    <n v="217637"/>
    <s v="Forward"/>
    <x v="41"/>
    <s v="Buy Fwd"/>
    <s v="EUR"/>
    <n v="1000"/>
    <s v="PLN"/>
    <n v="4213.6099999999997"/>
    <s v="2026-01-16"/>
    <n v="4.2142999999999997"/>
    <n v="0.23730000000000001"/>
    <n v="4.2068000000000003"/>
    <n v="1"/>
    <n v="8420.41"/>
    <s v="GERMANY DE"/>
  </r>
  <r>
    <s v="BKMILL"/>
    <n v="157185"/>
    <n v="217639"/>
    <s v="Forward"/>
    <x v="41"/>
    <s v="Sell Fwd"/>
    <s v="EUR"/>
    <n v="-10000"/>
    <s v="USD"/>
    <n v="11609.57"/>
    <s v="2026-01-16"/>
    <n v="1.1612"/>
    <n v="0.86119999999999997"/>
    <n v="4.2068000000000003"/>
    <n v="3.6153"/>
    <n v="-95.921578999999994"/>
    <s v="GERMANY DE"/>
  </r>
  <r>
    <s v="BKMILL"/>
    <n v="157186"/>
    <n v="217641"/>
    <s v="Forward"/>
    <x v="41"/>
    <s v="Buy Fwd"/>
    <s v="EUR"/>
    <n v="4000"/>
    <s v="PLN"/>
    <n v="16854.84"/>
    <s v="2026-01-16"/>
    <n v="4.2144000000000004"/>
    <n v="0.23730000000000001"/>
    <n v="4.2068000000000003"/>
    <n v="1"/>
    <n v="33682.04"/>
    <s v="GERMANY DE"/>
  </r>
  <r>
    <s v="BKMILL"/>
    <n v="157187"/>
    <n v="900209"/>
    <s v="Spot"/>
    <x v="42"/>
    <s v="Sell"/>
    <s v="USD"/>
    <n v="-16186.58"/>
    <s v="PLN"/>
    <n v="58730.09"/>
    <s v="2026-01-20"/>
    <n v="3.6282999999999999"/>
    <n v="0.27560000000000001"/>
    <n v="3.6345999999999998"/>
    <n v="1"/>
    <n v="-101.653668"/>
    <s v="SWITZERLAND CH"/>
  </r>
  <r>
    <s v="BKMILL"/>
    <n v="157188"/>
    <n v="900210"/>
    <s v="Spot"/>
    <x v="41"/>
    <s v="Buy"/>
    <s v="GBP"/>
    <n v="248"/>
    <s v="PLN"/>
    <n v="-1204.6400000000001"/>
    <s v="2026-01-20"/>
    <n v="4.8574000000000002"/>
    <n v="0.2059"/>
    <n v="4.8704000000000001"/>
    <n v="1"/>
    <n v="3.2191999999999998"/>
    <s v="GERMANY DE"/>
  </r>
  <r>
    <s v="BKMILL"/>
    <n v="157189"/>
    <n v="900211"/>
    <s v="Spot"/>
    <x v="42"/>
    <s v="Sell"/>
    <s v="EUR"/>
    <n v="-16184.56"/>
    <s v="PLN"/>
    <n v="68202.06"/>
    <s v="2026-01-20"/>
    <n v="4.2140000000000004"/>
    <n v="0.23730000000000001"/>
    <n v="4.2230999999999996"/>
    <n v="1"/>
    <n v="-146.95533599999999"/>
    <s v="SWITZERLAND CH"/>
  </r>
  <r>
    <s v="BKMILL"/>
    <n v="157190"/>
    <n v="900212"/>
    <s v="Spot"/>
    <x v="42"/>
    <s v="Sell"/>
    <s v="CHF"/>
    <n v="-3283"/>
    <s v="PLN"/>
    <n v="14846.48"/>
    <s v="2026-01-20"/>
    <n v="4.5221999999999998"/>
    <n v="0.22109999999999999"/>
    <n v="4.5476000000000001"/>
    <n v="1"/>
    <n v="-83.290800000000004"/>
    <s v="SWITZERLAND CH"/>
  </r>
  <r>
    <s v="BKMILL"/>
    <n v="157191"/>
    <n v="217643"/>
    <s v="Forward"/>
    <x v="43"/>
    <s v="Sell Fwd"/>
    <s v="EUR"/>
    <n v="-50000"/>
    <s v="PLN"/>
    <n v="210635.15"/>
    <s v="2026-01-16"/>
    <n v="4.2138"/>
    <n v="0.23730000000000001"/>
    <n v="4.2068000000000003"/>
    <n v="1"/>
    <n v="295.14999999999998"/>
    <s v="FRANCE FR"/>
  </r>
  <r>
    <s v="BKMILL"/>
    <n v="157192"/>
    <n v="217644"/>
    <s v="Forward"/>
    <x v="127"/>
    <s v="Buy Fwd"/>
    <s v="EUR"/>
    <n v="50000"/>
    <s v="PLN"/>
    <n v="210335"/>
    <s v="2026-01-16"/>
    <n v="4.2077999999999998"/>
    <n v="0.23769999999999999"/>
    <n v="4.2068000000000003"/>
    <n v="1"/>
    <n v="420675"/>
    <s v="POLAND PL"/>
  </r>
  <r>
    <s v="BKMILL"/>
    <n v="157193"/>
    <n v="217645"/>
    <s v="Forward"/>
    <x v="41"/>
    <s v="Buy Fwd"/>
    <s v="EUR"/>
    <n v="5700"/>
    <s v="PLN"/>
    <n v="24019.8"/>
    <s v="2026-01-16"/>
    <n v="4.2148000000000003"/>
    <n v="0.23730000000000001"/>
    <n v="4.2068000000000003"/>
    <n v="1"/>
    <n v="47998.559999999998"/>
    <s v="GERMANY DE"/>
  </r>
  <r>
    <s v="BKMILL"/>
    <n v="157194"/>
    <n v="900232"/>
    <s v="Spot"/>
    <x v="44"/>
    <s v="Buy"/>
    <s v="EUR"/>
    <n v="1000000"/>
    <s v="PLN"/>
    <n v="-4214120"/>
    <s v="2026-01-20"/>
    <n v="4.2141000000000002"/>
    <n v="0.23730000000000001"/>
    <n v="4.2230999999999996"/>
    <n v="1"/>
    <n v="8980"/>
    <s v="GERMANY DE"/>
  </r>
  <r>
    <s v="BKMILL"/>
    <n v="157195"/>
    <n v="900256"/>
    <s v="Spot"/>
    <x v="47"/>
    <s v="Sell"/>
    <s v="USD"/>
    <n v="-500000"/>
    <s v="PLN"/>
    <n v="1815250"/>
    <s v="2026-01-20"/>
    <n v="3.6305000000000001"/>
    <n v="0.27539999999999998"/>
    <n v="3.6345999999999998"/>
    <n v="1"/>
    <n v="-2050"/>
    <s v="FRANCE FR"/>
  </r>
  <r>
    <s v="BKMILL"/>
    <n v="157196"/>
    <n v="900263"/>
    <s v="Spot"/>
    <x v="47"/>
    <s v="Sell"/>
    <s v="EUR"/>
    <n v="-1000000"/>
    <s v="PLN"/>
    <n v="4216300"/>
    <s v="2026-01-20"/>
    <n v="4.2163000000000004"/>
    <n v="0.23719999999999999"/>
    <n v="4.2230999999999996"/>
    <n v="1"/>
    <n v="-6800"/>
    <s v="FRANCE FR"/>
  </r>
  <r>
    <s v="BKMILL"/>
    <n v="157197"/>
    <n v="217660"/>
    <s v="Forward"/>
    <x v="70"/>
    <s v="Buy Fwd"/>
    <s v="EUR"/>
    <n v="69712.36"/>
    <s v="PLN"/>
    <n v="293489.03999999998"/>
    <s v="2026-01-16"/>
    <n v="4.21"/>
    <n v="0.23749999999999999"/>
    <n v="4.2068000000000003"/>
    <n v="1"/>
    <n v="586754.99604799994"/>
    <s v="POLAND PL"/>
  </r>
  <r>
    <s v="BKMILL"/>
    <n v="157198"/>
    <n v="217661"/>
    <s v="Forward"/>
    <x v="97"/>
    <s v="Sell Fwd"/>
    <s v="USD"/>
    <n v="-38000"/>
    <s v="PLN"/>
    <n v="138320"/>
    <s v="2026-01-16"/>
    <n v="3.64"/>
    <n v="0.2747"/>
    <n v="3.6153"/>
    <n v="1"/>
    <n v="938.6"/>
    <s v="POLAND PL"/>
  </r>
  <r>
    <s v="BKMILL"/>
    <n v="157199"/>
    <n v="217662"/>
    <s v="Forward"/>
    <x v="121"/>
    <s v="Buy Fwd"/>
    <s v="EUR"/>
    <n v="20000"/>
    <s v="PLN"/>
    <n v="84000"/>
    <s v="2026-01-16"/>
    <n v="4.2009999999999996"/>
    <n v="0.23799999999999999"/>
    <n v="4.2068000000000003"/>
    <n v="1"/>
    <n v="168136"/>
    <s v="POLAND PL"/>
  </r>
  <r>
    <s v="BKMILL"/>
    <n v="157200"/>
    <n v="217666"/>
    <s v="Forward"/>
    <x v="160"/>
    <s v="Buy Fwd"/>
    <s v="EUR"/>
    <n v="95000"/>
    <s v="PLN"/>
    <n v="399475"/>
    <s v="2026-01-16"/>
    <n v="4.2058"/>
    <n v="0.23780000000000001"/>
    <n v="4.2068000000000003"/>
    <n v="1"/>
    <n v="799121"/>
    <s v="POLAND PL"/>
  </r>
  <r>
    <s v="BKMILL"/>
    <n v="157201"/>
    <n v="217667"/>
    <s v="Forward"/>
    <x v="127"/>
    <s v="Buy Fwd"/>
    <s v="EUR"/>
    <n v="5400"/>
    <s v="PLN"/>
    <n v="22738.32"/>
    <s v="2026-01-16"/>
    <n v="4.2119"/>
    <n v="0.2374"/>
    <n v="4.2068000000000003"/>
    <n v="1"/>
    <n v="45455.040000000001"/>
    <s v="POLAND PL"/>
  </r>
  <r>
    <s v="BKMILL"/>
    <n v="157202"/>
    <n v="217672"/>
    <s v="Forward"/>
    <x v="161"/>
    <s v="Sell Fwd"/>
    <s v="USD"/>
    <n v="-5000"/>
    <s v="PLN"/>
    <n v="18225"/>
    <s v="2026-01-16"/>
    <n v="3.645"/>
    <n v="0.27429999999999999"/>
    <n v="3.6153"/>
    <n v="1"/>
    <n v="148.5"/>
    <s v="POLAND PL"/>
  </r>
  <r>
    <s v="BKMILL"/>
    <n v="157203"/>
    <n v="900336"/>
    <s v="Spot"/>
    <x v="43"/>
    <s v="Sell"/>
    <s v="USD"/>
    <n v="-5000000"/>
    <s v="PLN"/>
    <n v="18160650"/>
    <s v="2026-01-20"/>
    <n v="3.6320999999999999"/>
    <n v="0.27529999999999999"/>
    <n v="3.6345999999999998"/>
    <n v="1"/>
    <n v="-12350"/>
    <s v="FRANCE FR"/>
  </r>
  <r>
    <s v="BKMILL"/>
    <n v="157204"/>
    <n v="900337"/>
    <s v="Spot"/>
    <x v="40"/>
    <s v="Sell"/>
    <s v="USD"/>
    <n v="-5000000"/>
    <s v="PLN"/>
    <n v="18161000"/>
    <s v="2026-01-20"/>
    <n v="3.6322000000000001"/>
    <n v="0.27529999999999999"/>
    <n v="3.6345999999999998"/>
    <n v="1"/>
    <n v="-12000"/>
    <s v="UNITED STATES OF AMERICA US"/>
  </r>
  <r>
    <s v="BKMILL"/>
    <n v="157205"/>
    <n v="900338"/>
    <s v="Spot"/>
    <x v="47"/>
    <s v="Sell"/>
    <s v="USD"/>
    <n v="-5000000"/>
    <s v="PLN"/>
    <n v="18161500"/>
    <s v="2026-01-20"/>
    <n v="3.6322999999999999"/>
    <n v="0.27529999999999999"/>
    <n v="3.6345999999999998"/>
    <n v="1"/>
    <n v="-11500"/>
    <s v="FRANCE FR"/>
  </r>
  <r>
    <s v="BKMILL"/>
    <n v="157206"/>
    <n v="900339"/>
    <s v="Spot"/>
    <x v="41"/>
    <s v="Sell"/>
    <s v="USD"/>
    <n v="-5000000"/>
    <s v="PLN"/>
    <n v="18161000"/>
    <s v="2026-01-20"/>
    <n v="3.6322000000000001"/>
    <n v="0.27529999999999999"/>
    <n v="3.6345999999999998"/>
    <n v="1"/>
    <n v="-12000"/>
    <s v="GERMANY DE"/>
  </r>
  <r>
    <s v="BKMILL"/>
    <n v="157207"/>
    <n v="900341"/>
    <s v="Spot"/>
    <x v="43"/>
    <s v="Sell"/>
    <s v="USD"/>
    <n v="-5000000"/>
    <s v="PLN"/>
    <n v="18162050"/>
    <s v="2026-01-20"/>
    <n v="3.6324000000000001"/>
    <n v="0.27529999999999999"/>
    <n v="3.6345999999999998"/>
    <n v="1"/>
    <n v="-10950"/>
    <s v="FRANCE FR"/>
  </r>
  <r>
    <s v="BKMILL"/>
    <n v="157208"/>
    <n v="900342"/>
    <s v="Spot"/>
    <x v="40"/>
    <s v="Sell"/>
    <s v="USD"/>
    <n v="-5000000"/>
    <s v="PLN"/>
    <n v="18164000"/>
    <s v="2026-01-20"/>
    <n v="3.6328"/>
    <n v="0.27529999999999999"/>
    <n v="3.6345999999999998"/>
    <n v="1"/>
    <n v="-9000"/>
    <s v="UNITED STATES OF AMERICA US"/>
  </r>
  <r>
    <s v="BKMILL"/>
    <n v="157209"/>
    <n v="900343"/>
    <s v="Spot"/>
    <x v="47"/>
    <s v="Sell"/>
    <s v="USD"/>
    <n v="-5000000"/>
    <s v="PLN"/>
    <n v="18163500"/>
    <s v="2026-01-20"/>
    <n v="3.6326999999999998"/>
    <n v="0.27529999999999999"/>
    <n v="3.6345999999999998"/>
    <n v="1"/>
    <n v="-9500"/>
    <s v="FRANCE FR"/>
  </r>
  <r>
    <s v="BKMILL"/>
    <n v="157210"/>
    <n v="900345"/>
    <s v="Spot"/>
    <x v="38"/>
    <s v="Sell"/>
    <s v="USD"/>
    <n v="-5000000"/>
    <s v="PLN"/>
    <n v="18163250"/>
    <s v="2026-01-20"/>
    <n v="3.6326000000000001"/>
    <n v="0.27529999999999999"/>
    <n v="3.6345999999999998"/>
    <n v="1"/>
    <n v="-9750"/>
    <s v="NETHERLANDS NL"/>
  </r>
  <r>
    <s v="BKMILL"/>
    <n v="157211"/>
    <n v="900346"/>
    <s v="Spot"/>
    <x v="43"/>
    <s v="Sell"/>
    <s v="USD"/>
    <n v="-1000000"/>
    <s v="PLN"/>
    <n v="3632020"/>
    <s v="2026-01-20"/>
    <n v="3.6320000000000001"/>
    <n v="0.27529999999999999"/>
    <n v="3.6345999999999998"/>
    <n v="1"/>
    <n v="-2580"/>
    <s v="FRANCE FR"/>
  </r>
  <r>
    <s v="BKMILL"/>
    <n v="157212"/>
    <n v="900347"/>
    <s v="Spot"/>
    <x v="40"/>
    <s v="Sell"/>
    <s v="USD"/>
    <n v="-5000000"/>
    <s v="PLN"/>
    <n v="18160500"/>
    <s v="2026-01-20"/>
    <n v="3.6320999999999999"/>
    <n v="0.27529999999999999"/>
    <n v="3.6345999999999998"/>
    <n v="1"/>
    <n v="-12500"/>
    <s v="UNITED STATES OF AMERICA US"/>
  </r>
  <r>
    <s v="BKMILL"/>
    <n v="157213"/>
    <n v="900348"/>
    <s v="Spot"/>
    <x v="43"/>
    <s v="Sell"/>
    <s v="USD"/>
    <n v="-1000000"/>
    <s v="PLN"/>
    <n v="3632490"/>
    <s v="2026-01-20"/>
    <n v="3.6324999999999998"/>
    <n v="0.27529999999999999"/>
    <n v="3.6345999999999998"/>
    <n v="1"/>
    <n v="-2110"/>
    <s v="FRANCE FR"/>
  </r>
  <r>
    <s v="BKMILL"/>
    <n v="157214"/>
    <n v="900369"/>
    <s v="Spot"/>
    <x v="40"/>
    <s v="Sell"/>
    <s v="USD"/>
    <n v="-5000000"/>
    <s v="PLN"/>
    <n v="18157500"/>
    <s v="2026-01-20"/>
    <n v="3.6315"/>
    <n v="0.27539999999999998"/>
    <n v="3.6345999999999998"/>
    <n v="1"/>
    <n v="-15500"/>
    <s v="UNITED STATES OF AMERICA US"/>
  </r>
  <r>
    <s v="BKMILL"/>
    <n v="157215"/>
    <n v="900370"/>
    <s v="Spot"/>
    <x v="41"/>
    <s v="Sell"/>
    <s v="USD"/>
    <n v="-5000000"/>
    <s v="PLN"/>
    <n v="18159000"/>
    <s v="2026-01-20"/>
    <n v="3.6318000000000001"/>
    <n v="0.27529999999999999"/>
    <n v="3.6345999999999998"/>
    <n v="1"/>
    <n v="-14000"/>
    <s v="GERMANY DE"/>
  </r>
  <r>
    <s v="BKMILL"/>
    <n v="157216"/>
    <n v="900371"/>
    <s v="Spot"/>
    <x v="47"/>
    <s v="Sell"/>
    <s v="USD"/>
    <n v="-5000000"/>
    <s v="PLN"/>
    <n v="18159000"/>
    <s v="2026-01-20"/>
    <n v="3.6318000000000001"/>
    <n v="0.27529999999999999"/>
    <n v="3.6345999999999998"/>
    <n v="1"/>
    <n v="-14000"/>
    <s v="FRANCE FR"/>
  </r>
  <r>
    <s v="BKMILL"/>
    <n v="157217"/>
    <n v="900372"/>
    <s v="Spot"/>
    <x v="41"/>
    <s v="Sell"/>
    <s v="USD"/>
    <n v="-1000000"/>
    <s v="PLN"/>
    <n v="3632000"/>
    <s v="2026-01-20"/>
    <n v="3.6320000000000001"/>
    <n v="0.27529999999999999"/>
    <n v="3.6345999999999998"/>
    <n v="1"/>
    <n v="-2600"/>
    <s v="GERMANY DE"/>
  </r>
  <r>
    <s v="BKMILL"/>
    <n v="157218"/>
    <n v="900373"/>
    <s v="Spot"/>
    <x v="41"/>
    <s v="Sell"/>
    <s v="USD"/>
    <n v="-1000000"/>
    <s v="PLN"/>
    <n v="3631700"/>
    <s v="2026-01-20"/>
    <n v="3.6316999999999999"/>
    <n v="0.27539999999999998"/>
    <n v="3.6345999999999998"/>
    <n v="1"/>
    <n v="-2900"/>
    <s v="GERMANY DE"/>
  </r>
  <r>
    <s v="BKMILL"/>
    <n v="157219"/>
    <n v="900374"/>
    <s v="Spot"/>
    <x v="47"/>
    <s v="Sell"/>
    <s v="USD"/>
    <n v="-500000"/>
    <s v="PLN"/>
    <n v="1815840"/>
    <s v="2026-01-20"/>
    <n v="3.6316999999999999"/>
    <n v="0.27539999999999998"/>
    <n v="3.6345999999999998"/>
    <n v="1"/>
    <n v="-1460"/>
    <s v="FRANCE FR"/>
  </r>
  <r>
    <s v="BKMILL"/>
    <n v="157220"/>
    <n v="900376"/>
    <s v="Spot"/>
    <x v="43"/>
    <s v="Sell"/>
    <s v="USD"/>
    <n v="-500000"/>
    <s v="PLN"/>
    <n v="1815890"/>
    <s v="2026-01-20"/>
    <n v="3.6318000000000001"/>
    <n v="0.27529999999999999"/>
    <n v="3.6345999999999998"/>
    <n v="1"/>
    <n v="-1410"/>
    <s v="FRANCE FR"/>
  </r>
  <r>
    <s v="BKMILL"/>
    <n v="157221"/>
    <n v="900377"/>
    <s v="Spot"/>
    <x v="41"/>
    <s v="Sell"/>
    <s v="USD"/>
    <n v="-500000"/>
    <s v="PLN"/>
    <n v="1815700"/>
    <s v="2026-01-20"/>
    <n v="3.6314000000000002"/>
    <n v="0.27539999999999998"/>
    <n v="3.6345999999999998"/>
    <n v="1"/>
    <n v="-1600"/>
    <s v="GERMANY DE"/>
  </r>
  <r>
    <s v="BKMILL"/>
    <n v="157222"/>
    <n v="900381"/>
    <s v="Spot"/>
    <x v="43"/>
    <s v="Sell"/>
    <s v="USD"/>
    <n v="-5000000"/>
    <s v="PLN"/>
    <n v="18159200"/>
    <s v="2026-01-20"/>
    <n v="3.6318000000000001"/>
    <n v="0.27529999999999999"/>
    <n v="3.6345999999999998"/>
    <n v="1"/>
    <n v="-13800"/>
    <s v="FRANCE FR"/>
  </r>
  <r>
    <s v="BKMILL"/>
    <n v="157223"/>
    <n v="900383"/>
    <s v="Spot"/>
    <x v="40"/>
    <s v="Sell"/>
    <s v="USD"/>
    <n v="-5000000"/>
    <s v="PLN"/>
    <n v="18159500"/>
    <s v="2026-01-20"/>
    <n v="3.6318999999999999"/>
    <n v="0.27529999999999999"/>
    <n v="3.6345999999999998"/>
    <n v="1"/>
    <n v="-13500"/>
    <s v="UNITED STATES OF AMERICA US"/>
  </r>
  <r>
    <s v="BKMILL"/>
    <n v="157224"/>
    <n v="900384"/>
    <s v="Spot"/>
    <x v="47"/>
    <s v="Sell"/>
    <s v="USD"/>
    <n v="-5000000"/>
    <s v="PLN"/>
    <n v="18159500"/>
    <s v="2026-01-20"/>
    <n v="3.6318999999999999"/>
    <n v="0.27529999999999999"/>
    <n v="3.6345999999999998"/>
    <n v="1"/>
    <n v="-13500"/>
    <s v="FRANCE FR"/>
  </r>
  <r>
    <s v="BKMILL"/>
    <n v="157225"/>
    <n v="900385"/>
    <s v="Spot"/>
    <x v="41"/>
    <s v="Sell"/>
    <s v="USD"/>
    <n v="-5000000"/>
    <s v="PLN"/>
    <n v="18159000"/>
    <s v="2026-01-20"/>
    <n v="3.6318000000000001"/>
    <n v="0.27529999999999999"/>
    <n v="3.6345999999999998"/>
    <n v="1"/>
    <n v="-14000"/>
    <s v="GERMANY DE"/>
  </r>
  <r>
    <s v="BKMILL"/>
    <n v="157227"/>
    <n v="900389"/>
    <s v="Spot"/>
    <x v="43"/>
    <s v="Sell"/>
    <s v="USD"/>
    <n v="-5000000"/>
    <s v="PLN"/>
    <n v="18155900"/>
    <s v="2026-01-20"/>
    <n v="3.6312000000000002"/>
    <n v="0.27539999999999998"/>
    <n v="3.6345999999999998"/>
    <n v="1"/>
    <n v="-17100"/>
    <s v="FRANCE FR"/>
  </r>
  <r>
    <s v="BKMILL"/>
    <n v="157228"/>
    <n v="900390"/>
    <s v="Spot"/>
    <x v="43"/>
    <s v="Sell"/>
    <s v="USD"/>
    <n v="-5000000"/>
    <s v="PLN"/>
    <n v="18156300"/>
    <s v="2026-01-20"/>
    <n v="3.6313"/>
    <n v="0.27539999999999998"/>
    <n v="3.6345999999999998"/>
    <n v="1"/>
    <n v="-16700"/>
    <s v="FRANCE FR"/>
  </r>
  <r>
    <s v="BKMILL"/>
    <n v="157229"/>
    <n v="900395"/>
    <s v="Spot"/>
    <x v="40"/>
    <s v="Sell"/>
    <s v="EUR"/>
    <n v="-500000"/>
    <s v="PLN"/>
    <n v="2108100"/>
    <s v="2026-01-20"/>
    <n v="4.2161999999999997"/>
    <n v="0.23719999999999999"/>
    <n v="4.2230999999999996"/>
    <n v="1"/>
    <n v="-3450"/>
    <s v="UNITED STATES OF AMERICA US"/>
  </r>
  <r>
    <s v="BKMILL"/>
    <n v="157230"/>
    <n v="217687"/>
    <s v="Forward"/>
    <x v="20"/>
    <s v="Buy Fwd"/>
    <s v="USD"/>
    <n v="50000"/>
    <s v="PLN"/>
    <n v="181400"/>
    <s v="2026-01-16"/>
    <n v="3.6280999999999999"/>
    <n v="0.27560000000000001"/>
    <n v="3.6153"/>
    <n v="1"/>
    <n v="362165"/>
    <s v="POLAND PL"/>
  </r>
  <r>
    <s v="BKMILL"/>
    <n v="157231"/>
    <n v="217689"/>
    <s v="Forward"/>
    <x v="100"/>
    <s v="Sell Fwd"/>
    <s v="USD"/>
    <n v="-130000"/>
    <s v="PLN"/>
    <n v="472498"/>
    <s v="2026-01-16"/>
    <n v="3.6347"/>
    <n v="0.27510000000000001"/>
    <n v="3.6153"/>
    <n v="1"/>
    <n v="2509"/>
    <s v="POLAND PL"/>
  </r>
  <r>
    <s v="BKMILL"/>
    <n v="157233"/>
    <n v="217690"/>
    <s v="Forward"/>
    <x v="162"/>
    <s v="Buy Fwd"/>
    <s v="USD"/>
    <n v="20000000"/>
    <s v="PLN"/>
    <n v="72600000"/>
    <s v="2026-01-16"/>
    <n v="3.63"/>
    <n v="0.27550000000000002"/>
    <n v="3.6153"/>
    <n v="1"/>
    <n v="144906000"/>
    <s v="POLAND PL"/>
  </r>
  <r>
    <s v="BKMILL"/>
    <n v="157235"/>
    <n v="217692"/>
    <s v="Forward"/>
    <x v="162"/>
    <s v="Buy Fwd"/>
    <s v="USD"/>
    <n v="20000000"/>
    <s v="PLN"/>
    <n v="72600000"/>
    <s v="2026-01-16"/>
    <n v="3.63"/>
    <n v="0.27550000000000002"/>
    <n v="3.6153"/>
    <n v="1"/>
    <n v="144906000"/>
    <s v="POLAND PL"/>
  </r>
  <r>
    <s v="BKMILL"/>
    <n v="157236"/>
    <n v="217693"/>
    <s v="Forward"/>
    <x v="163"/>
    <s v="Sell Fwd"/>
    <s v="EUR"/>
    <n v="-100000"/>
    <s v="PLN"/>
    <n v="422700"/>
    <s v="2026-01-16"/>
    <n v="4.2281000000000004"/>
    <n v="0.23649999999999999"/>
    <n v="4.2068000000000003"/>
    <n v="1"/>
    <n v="2020"/>
    <s v="POLAND PL"/>
  </r>
  <r>
    <s v="BKMILL"/>
    <n v="157237"/>
    <n v="217694"/>
    <s v="Forward"/>
    <x v="77"/>
    <s v="Buy Fwd"/>
    <s v="EUR"/>
    <n v="50000"/>
    <s v="PLN"/>
    <n v="210000"/>
    <s v="2026-01-16"/>
    <n v="4.2"/>
    <n v="0.23810000000000001"/>
    <n v="4.2068000000000003"/>
    <n v="1"/>
    <n v="420340"/>
    <s v="POLAND PL"/>
  </r>
  <r>
    <s v="BKMILL"/>
    <n v="157238"/>
    <n v="217695"/>
    <s v="Forward"/>
    <x v="162"/>
    <s v="Buy Fwd"/>
    <s v="USD"/>
    <n v="7000000"/>
    <s v="PLN"/>
    <n v="25413500"/>
    <s v="2026-01-16"/>
    <n v="3.6305000000000001"/>
    <n v="0.27539999999999998"/>
    <n v="3.6153"/>
    <n v="1"/>
    <n v="50720600"/>
    <s v="POLAND PL"/>
  </r>
  <r>
    <s v="BKMILL"/>
    <n v="157239"/>
    <n v="217696"/>
    <s v="Forward"/>
    <x v="162"/>
    <s v="Buy Fwd"/>
    <s v="USD"/>
    <n v="350000"/>
    <s v="PLN"/>
    <n v="1270675"/>
    <s v="2026-01-16"/>
    <n v="3.6305000000000001"/>
    <n v="0.27539999999999998"/>
    <n v="3.6153"/>
    <n v="1"/>
    <n v="2536030"/>
    <s v="POLAND PL"/>
  </r>
  <r>
    <s v="BKMILL"/>
    <n v="157240"/>
    <n v="217698"/>
    <s v="Forward"/>
    <x v="162"/>
    <s v="Buy Fwd"/>
    <s v="USD"/>
    <n v="18440000"/>
    <s v="PLN"/>
    <n v="66937200"/>
    <s v="2026-01-16"/>
    <n v="3.63"/>
    <n v="0.27550000000000002"/>
    <n v="3.6153"/>
    <n v="1"/>
    <n v="133603332"/>
    <s v="POLAND PL"/>
  </r>
  <r>
    <s v="BKMILL"/>
    <n v="157242"/>
    <n v="217700"/>
    <s v="Forward"/>
    <x v="164"/>
    <s v="Buy Fwd"/>
    <s v="EUR"/>
    <n v="30000"/>
    <s v="PLN"/>
    <n v="126321"/>
    <s v="2026-01-16"/>
    <n v="4.2115999999999998"/>
    <n v="0.2374"/>
    <n v="4.2068000000000003"/>
    <n v="1"/>
    <n v="252525"/>
    <s v="POLAND PL"/>
  </r>
  <r>
    <s v="BKMILL"/>
    <n v="157245"/>
    <n v="217704"/>
    <s v="Forward"/>
    <x v="165"/>
    <s v="Buy Fwd"/>
    <s v="EUR"/>
    <n v="24000"/>
    <s v="PLN"/>
    <n v="100672.8"/>
    <s v="2026-01-16"/>
    <n v="4.1955"/>
    <n v="0.2384"/>
    <n v="4.2068000000000003"/>
    <n v="1"/>
    <n v="201636"/>
    <s v="POLAND PL"/>
  </r>
  <r>
    <s v="BKMILL"/>
    <n v="157247"/>
    <n v="217705"/>
    <s v="Forward"/>
    <x v="166"/>
    <s v="Sell Fwd"/>
    <s v="EUR"/>
    <n v="-9461"/>
    <s v="PLN"/>
    <n v="40020.03"/>
    <s v="2026-01-16"/>
    <n v="4.2310999999999996"/>
    <n v="0.23630000000000001"/>
    <n v="4.2068000000000003"/>
    <n v="1"/>
    <n v="219.49520000000001"/>
    <s v="POLAND PL"/>
  </r>
  <r>
    <s v="BKMILL"/>
    <n v="157248"/>
    <n v="900461"/>
    <s v="Spot"/>
    <x v="43"/>
    <s v="Sell"/>
    <s v="EUR"/>
    <n v="-200000"/>
    <s v="USD"/>
    <n v="232164"/>
    <s v="2026-01-20"/>
    <n v="1.1608000000000001"/>
    <n v="0.86150000000000004"/>
    <n v="4.2230999999999996"/>
    <n v="3.6345999999999998"/>
    <n v="-796.72559999999999"/>
    <s v="FRANCE FR"/>
  </r>
  <r>
    <s v="BKMILL"/>
    <n v="157249"/>
    <n v="900462"/>
    <s v="Spot"/>
    <x v="43"/>
    <s v="Sell"/>
    <s v="EUR"/>
    <n v="-200000"/>
    <s v="USD"/>
    <n v="232164"/>
    <s v="2026-01-20"/>
    <n v="1.1608000000000001"/>
    <n v="0.86150000000000004"/>
    <n v="4.2230999999999996"/>
    <n v="3.6345999999999998"/>
    <n v="-796.72559999999999"/>
    <s v="FRANCE FR"/>
  </r>
  <r>
    <s v="BKMILL"/>
    <n v="157251"/>
    <n v="900469"/>
    <s v="Spot"/>
    <x v="47"/>
    <s v="Sell"/>
    <s v="USD"/>
    <n v="-5000000"/>
    <s v="PLN"/>
    <n v="18159000"/>
    <s v="2026-01-20"/>
    <n v="3.6318000000000001"/>
    <n v="0.27529999999999999"/>
    <n v="3.6345999999999998"/>
    <n v="1"/>
    <n v="-14000"/>
    <s v="FRANCE FR"/>
  </r>
  <r>
    <s v="BKMILL"/>
    <n v="157252"/>
    <n v="900470"/>
    <s v="Spot"/>
    <x v="40"/>
    <s v="Sell"/>
    <s v="USD"/>
    <n v="-5000000"/>
    <s v="PLN"/>
    <n v="18158000"/>
    <s v="2026-01-20"/>
    <n v="3.6316000000000002"/>
    <n v="0.27539999999999998"/>
    <n v="3.6345999999999998"/>
    <n v="1"/>
    <n v="-15000"/>
    <s v="UNITED STATES OF AMERICA US"/>
  </r>
  <r>
    <s v="BKMILL"/>
    <n v="157253"/>
    <n v="900471"/>
    <s v="Spot"/>
    <x v="43"/>
    <s v="Sell"/>
    <s v="USD"/>
    <n v="-5000000"/>
    <s v="PLN"/>
    <n v="18157950"/>
    <s v="2026-01-20"/>
    <n v="3.6316000000000002"/>
    <n v="0.27539999999999998"/>
    <n v="3.6345999999999998"/>
    <n v="1"/>
    <n v="-15050"/>
    <s v="FRANCE FR"/>
  </r>
  <r>
    <s v="BKMILL"/>
    <n v="157254"/>
    <n v="900472"/>
    <s v="Spot"/>
    <x v="43"/>
    <s v="Sell"/>
    <s v="USD"/>
    <n v="-5000000"/>
    <s v="PLN"/>
    <n v="18157750"/>
    <s v="2026-01-20"/>
    <n v="3.6315"/>
    <n v="0.27539999999999998"/>
    <n v="3.6345999999999998"/>
    <n v="1"/>
    <n v="-15250"/>
    <s v="FRANCE FR"/>
  </r>
  <r>
    <s v="BKMILL"/>
    <n v="157255"/>
    <n v="900485"/>
    <s v="Spot"/>
    <x v="44"/>
    <s v="Buy"/>
    <s v="EUR"/>
    <n v="500000"/>
    <s v="PLN"/>
    <n v="-2108465"/>
    <s v="2026-01-20"/>
    <n v="4.2168999999999999"/>
    <n v="0.23710000000000001"/>
    <n v="4.2230999999999996"/>
    <n v="1"/>
    <n v="3085"/>
    <s v="GERMANY DE"/>
  </r>
  <r>
    <s v="BKMILL"/>
    <n v="157256"/>
    <n v="217709"/>
    <s v="Forward"/>
    <x v="167"/>
    <s v="Sell Fwd"/>
    <s v="EUR"/>
    <n v="-400000"/>
    <s v="PLN"/>
    <n v="1687080"/>
    <s v="2026-01-16"/>
    <n v="4.2183999999999999"/>
    <n v="0.23710000000000001"/>
    <n v="4.2068000000000003"/>
    <n v="1"/>
    <n v="4360"/>
    <s v="POLAND PL"/>
  </r>
  <r>
    <s v="BKMILL"/>
    <n v="157257"/>
    <n v="217712"/>
    <s v="Forward"/>
    <x v="144"/>
    <s v="Buy Fwd"/>
    <s v="USD"/>
    <n v="10000"/>
    <s v="PLN"/>
    <n v="36200"/>
    <s v="2026-01-16"/>
    <n v="3.6204999999999998"/>
    <n v="0.2762"/>
    <n v="3.6153"/>
    <n v="1"/>
    <n v="72353"/>
    <s v="POLAND PL"/>
  </r>
  <r>
    <s v="BKMILL"/>
    <n v="157258"/>
    <n v="217713"/>
    <s v="Forward"/>
    <x v="168"/>
    <s v="Buy Fwd"/>
    <s v="EUR"/>
    <n v="100000"/>
    <s v="PLN"/>
    <n v="421360"/>
    <s v="2026-01-19"/>
    <n v="4.2138"/>
    <n v="0.23730000000000001"/>
    <n v="4.2191999999999998"/>
    <n v="1"/>
    <n v="843280"/>
    <s v="POLAND PL"/>
  </r>
  <r>
    <s v="BKMILL"/>
    <n v="157259"/>
    <n v="217715"/>
    <s v="Forward"/>
    <x v="169"/>
    <s v="Buy Fwd"/>
    <s v="EUR"/>
    <n v="70000"/>
    <s v="PLN"/>
    <n v="294770"/>
    <s v="2026-01-16"/>
    <n v="4.2119"/>
    <n v="0.2374"/>
    <n v="4.2068000000000003"/>
    <n v="1"/>
    <n v="589246"/>
    <s v="POLAND PL"/>
  </r>
  <r>
    <s v="BKMILL"/>
    <n v="157260"/>
    <n v="900520"/>
    <s v="Spot"/>
    <x v="40"/>
    <s v="Sell"/>
    <s v="EUR"/>
    <n v="-500000"/>
    <s v="PLN"/>
    <n v="2108650"/>
    <s v="2026-01-20"/>
    <n v="4.2172999999999998"/>
    <n v="0.23710000000000001"/>
    <n v="4.2230999999999996"/>
    <n v="1"/>
    <n v="-2900"/>
    <s v="UNITED STATES OF AMERICA US"/>
  </r>
  <r>
    <s v="BKMILL"/>
    <n v="157261"/>
    <n v="217719"/>
    <s v="Forward"/>
    <x v="170"/>
    <s v="Buy Fwd"/>
    <s v="GBP"/>
    <n v="10000"/>
    <s v="PLN"/>
    <n v="48612"/>
    <s v="2026-01-16"/>
    <n v="4.8613"/>
    <n v="0.20569999999999999"/>
    <n v="4.8579999999999997"/>
    <n v="1"/>
    <n v="97192"/>
    <s v="POLAND PL"/>
  </r>
  <r>
    <s v="BKMILL"/>
    <n v="157262"/>
    <n v="217720"/>
    <s v="Forward"/>
    <x v="170"/>
    <s v="Buy Fwd"/>
    <s v="EUR"/>
    <n v="20000"/>
    <s v="PLN"/>
    <n v="84270"/>
    <s v="2026-01-16"/>
    <n v="4.2144000000000004"/>
    <n v="0.23730000000000001"/>
    <n v="4.2068000000000003"/>
    <n v="1"/>
    <n v="168406"/>
    <s v="POLAND PL"/>
  </r>
  <r>
    <s v="BKMILL"/>
    <n v="157263"/>
    <n v="217722"/>
    <s v="Forward"/>
    <x v="171"/>
    <s v="Sell Fwd"/>
    <s v="USD"/>
    <n v="-26000"/>
    <s v="PLN"/>
    <n v="94718"/>
    <s v="2026-01-16"/>
    <n v="3.6429999999999998"/>
    <n v="0.27450000000000002"/>
    <n v="3.6153"/>
    <n v="1"/>
    <n v="720.2"/>
    <s v="POLAND PL"/>
  </r>
  <r>
    <s v="BKMILL"/>
    <n v="157264"/>
    <n v="217724"/>
    <s v="Forward"/>
    <x v="171"/>
    <s v="Sell Fwd"/>
    <s v="EUR"/>
    <n v="-4000"/>
    <s v="PLN"/>
    <n v="16916"/>
    <s v="2026-01-16"/>
    <n v="4.2290000000000001"/>
    <n v="0.23649999999999999"/>
    <n v="4.2068000000000003"/>
    <n v="1"/>
    <n v="88.8"/>
    <s v="POLAND PL"/>
  </r>
  <r>
    <s v="BKMILL"/>
    <n v="157265"/>
    <n v="217726"/>
    <s v="Forward"/>
    <x v="143"/>
    <s v="Buy Fwd"/>
    <s v="EUR"/>
    <n v="30000"/>
    <s v="PLN"/>
    <n v="126450"/>
    <s v="2026-01-16"/>
    <n v="4.2159000000000004"/>
    <n v="0.23719999999999999"/>
    <n v="4.2068000000000003"/>
    <n v="1"/>
    <n v="252654"/>
    <s v="POLAND PL"/>
  </r>
  <r>
    <s v="BKMILL"/>
    <n v="157266"/>
    <n v="217727"/>
    <s v="Forward"/>
    <x v="172"/>
    <s v="Sell Fwd"/>
    <s v="EUR"/>
    <n v="-62337.05"/>
    <s v="PLN"/>
    <n v="263000"/>
    <s v="2026-01-16"/>
    <n v="4.2249999999999996"/>
    <n v="0.23669999999999999"/>
    <n v="4.2068000000000003"/>
    <n v="1"/>
    <n v="760.49806000000001"/>
    <s v="POLAND PL"/>
  </r>
  <r>
    <s v="BKMILL"/>
    <n v="157269"/>
    <n v="900561"/>
    <s v="Spot"/>
    <x v="43"/>
    <s v="Sell"/>
    <s v="EUR"/>
    <n v="-500000"/>
    <s v="PLN"/>
    <n v="2109500"/>
    <s v="2026-01-20"/>
    <n v="4.2190000000000003"/>
    <n v="0.23699999999999999"/>
    <n v="4.2230999999999996"/>
    <n v="1"/>
    <n v="-2050"/>
    <s v="FRANCE FR"/>
  </r>
  <r>
    <s v="BKMILL"/>
    <n v="157270"/>
    <n v="217733"/>
    <s v="Forward"/>
    <x v="173"/>
    <s v="Sell Fwd"/>
    <s v="EUR"/>
    <n v="-423896"/>
    <s v="PLN"/>
    <n v="1790960.6"/>
    <s v="2026-01-16"/>
    <n v="4.2249999999999996"/>
    <n v="0.23669999999999999"/>
    <n v="4.2068000000000003"/>
    <n v="1"/>
    <n v="7714.9071999999996"/>
    <s v="POLAND PL"/>
  </r>
  <r>
    <s v="BKMILL"/>
    <n v="157271"/>
    <n v="217735"/>
    <s v="Forward"/>
    <x v="174"/>
    <s v="Sell Fwd"/>
    <s v="EUR"/>
    <n v="-75000"/>
    <s v="PLN"/>
    <n v="316875"/>
    <s v="2026-01-16"/>
    <n v="4.2249999999999996"/>
    <n v="0.23669999999999999"/>
    <n v="4.2068000000000003"/>
    <n v="1"/>
    <n v="1365"/>
    <s v="POLAND PL"/>
  </r>
  <r>
    <s v="BKMILL"/>
    <n v="157272"/>
    <n v="217736"/>
    <s v="Forward"/>
    <x v="175"/>
    <s v="Sell Fwd"/>
    <s v="EUR"/>
    <n v="-50000"/>
    <s v="PLN"/>
    <n v="211025"/>
    <s v="2026-01-16"/>
    <n v="4.2205000000000004"/>
    <n v="0.2369"/>
    <n v="4.2068000000000003"/>
    <n v="1"/>
    <n v="685"/>
    <s v="POLAND PL"/>
  </r>
  <r>
    <s v="BKMILL"/>
    <n v="157276"/>
    <n v="217739"/>
    <s v="Forward"/>
    <x v="139"/>
    <s v="Buy Fwd"/>
    <s v="EUR"/>
    <n v="128348.24"/>
    <s v="PLN"/>
    <n v="540602.79"/>
    <s v="2026-01-16"/>
    <n v="4.2129000000000003"/>
    <n v="0.2374"/>
    <n v="4.2068000000000003"/>
    <n v="1"/>
    <n v="1080538.166032"/>
    <s v="POLAND PL"/>
  </r>
  <r>
    <s v="BKMILL"/>
    <n v="157279"/>
    <n v="217746"/>
    <s v="Forward"/>
    <x v="176"/>
    <s v="Buy Fwd"/>
    <s v="EUR"/>
    <n v="50000"/>
    <s v="PLN"/>
    <n v="210500"/>
    <s v="2026-01-16"/>
    <n v="4.21"/>
    <n v="0.23749999999999999"/>
    <n v="4.2068000000000003"/>
    <n v="1"/>
    <n v="420840"/>
    <s v="POLAND PL"/>
  </r>
  <r>
    <s v="BKMILL"/>
    <n v="157280"/>
    <n v="217748"/>
    <s v="Forward"/>
    <x v="177"/>
    <s v="Buy Fwd"/>
    <s v="EUR"/>
    <n v="12000"/>
    <s v="PLN"/>
    <n v="50436"/>
    <s v="2026-01-16"/>
    <n v="4.2030000000000003"/>
    <n v="0.2379"/>
    <n v="4.2068000000000003"/>
    <n v="1"/>
    <n v="100917.6"/>
    <s v="POLAND PL"/>
  </r>
  <r>
    <s v="BKMILL"/>
    <n v="157281"/>
    <n v="900627"/>
    <s v="Spot"/>
    <x v="39"/>
    <s v="Buy"/>
    <s v="EUR"/>
    <n v="1000000"/>
    <s v="PLN"/>
    <n v="-4219610"/>
    <s v="2026-01-20"/>
    <n v="4.2195999999999998"/>
    <n v="0.23699999999999999"/>
    <n v="4.2230999999999996"/>
    <n v="1"/>
    <n v="3490"/>
    <s v="UNITED KINGDOM GB"/>
  </r>
  <r>
    <s v="BKMILL"/>
    <n v="157282"/>
    <n v="217752"/>
    <s v="Forward"/>
    <x v="69"/>
    <s v="Buy Fwd"/>
    <s v="EUR"/>
    <n v="300000"/>
    <s v="PLN"/>
    <n v="1264650"/>
    <s v="2026-01-16"/>
    <n v="4.2164000000000001"/>
    <n v="0.23719999999999999"/>
    <n v="4.2068000000000003"/>
    <n v="1"/>
    <n v="2526690"/>
    <s v="POLAND PL"/>
  </r>
  <r>
    <s v="BKMILL"/>
    <n v="157283"/>
    <n v="900636"/>
    <s v="Spot"/>
    <x v="178"/>
    <s v="Buy"/>
    <s v="EUR"/>
    <n v="44000"/>
    <s v="USD"/>
    <n v="-51026.8"/>
    <s v="2026-01-20"/>
    <n v="1.1597"/>
    <n v="0.86229999999999996"/>
    <n v="4.2230999999999996"/>
    <n v="3.6345999999999998"/>
    <n v="354.39272"/>
    <s v="POLAND PL"/>
  </r>
  <r>
    <s v="BKMILL"/>
    <n v="157284"/>
    <n v="900644"/>
    <s v="Spot"/>
    <x v="44"/>
    <s v="Sell"/>
    <s v="EUR"/>
    <n v="-500000"/>
    <s v="PLN"/>
    <n v="2109700"/>
    <s v="2026-01-20"/>
    <n v="4.2194000000000003"/>
    <n v="0.23699999999999999"/>
    <n v="4.2230999999999996"/>
    <n v="1"/>
    <n v="-1850"/>
    <s v="GERMANY DE"/>
  </r>
  <r>
    <s v="BKMILL"/>
    <n v="157285"/>
    <n v="900655"/>
    <s v="Spot"/>
    <x v="47"/>
    <s v="Sell"/>
    <s v="USD"/>
    <n v="-5000000"/>
    <s v="PLN"/>
    <n v="18170500"/>
    <s v="2026-01-20"/>
    <n v="3.6341000000000001"/>
    <n v="0.2752"/>
    <n v="3.6345999999999998"/>
    <n v="1"/>
    <n v="-2500"/>
    <s v="FRANCE FR"/>
  </r>
  <r>
    <s v="BKMILL"/>
    <n v="157286"/>
    <n v="900656"/>
    <s v="Spot"/>
    <x v="40"/>
    <s v="Sell"/>
    <s v="USD"/>
    <n v="-5000000"/>
    <s v="PLN"/>
    <n v="18169500"/>
    <s v="2026-01-20"/>
    <n v="3.6339000000000001"/>
    <n v="0.2752"/>
    <n v="3.6345999999999998"/>
    <n v="1"/>
    <n v="-3500"/>
    <s v="UNITED STATES OF AMERICA US"/>
  </r>
  <r>
    <s v="BKMILL"/>
    <n v="157287"/>
    <n v="900657"/>
    <s v="Spot"/>
    <x v="41"/>
    <s v="Sell"/>
    <s v="USD"/>
    <n v="-5000000"/>
    <s v="PLN"/>
    <n v="18170000"/>
    <s v="2026-01-20"/>
    <n v="3.6339999999999999"/>
    <n v="0.2752"/>
    <n v="3.6345999999999998"/>
    <n v="1"/>
    <n v="-3000"/>
    <s v="GERMANY DE"/>
  </r>
  <r>
    <s v="BKMILL"/>
    <n v="157288"/>
    <n v="217758"/>
    <s v="Forward"/>
    <x v="153"/>
    <s v="Sell Fwd"/>
    <s v="EUR"/>
    <n v="-50000"/>
    <s v="PLN"/>
    <n v="211600"/>
    <s v="2026-01-16"/>
    <n v="4.2328000000000001"/>
    <n v="0.23630000000000001"/>
    <n v="4.2068000000000003"/>
    <n v="1"/>
    <n v="1260"/>
    <s v="POLAND PL"/>
  </r>
  <r>
    <s v="BKMILL"/>
    <n v="157289"/>
    <n v="900661"/>
    <s v="Spot"/>
    <x v="41"/>
    <s v="Sell"/>
    <s v="USD"/>
    <n v="-5000000"/>
    <s v="PLN"/>
    <n v="18169500"/>
    <s v="2026-01-20"/>
    <n v="3.6339000000000001"/>
    <n v="0.2752"/>
    <n v="3.6345999999999998"/>
    <n v="1"/>
    <n v="-3500"/>
    <s v="GERMANY DE"/>
  </r>
  <r>
    <s v="BKMILL"/>
    <n v="157290"/>
    <n v="217761"/>
    <s v="Forward"/>
    <x v="153"/>
    <s v="Sell Fwd"/>
    <s v="USD"/>
    <n v="-50000"/>
    <s v="PLN"/>
    <n v="182250"/>
    <s v="2026-01-16"/>
    <n v="3.6455000000000002"/>
    <n v="0.27429999999999999"/>
    <n v="3.6153"/>
    <n v="1"/>
    <n v="1485"/>
    <s v="POLAND PL"/>
  </r>
  <r>
    <s v="BKMILL"/>
    <n v="157291"/>
    <n v="900672"/>
    <s v="Spot"/>
    <x v="41"/>
    <s v="Sell"/>
    <s v="EUR"/>
    <n v="-500000"/>
    <s v="PLN"/>
    <n v="2109550"/>
    <s v="2026-01-20"/>
    <n v="4.2191000000000001"/>
    <n v="0.23699999999999999"/>
    <n v="4.2230999999999996"/>
    <n v="1"/>
    <n v="-2000"/>
    <s v="GERMANY DE"/>
  </r>
  <r>
    <s v="BKMILL"/>
    <n v="157292"/>
    <n v="900673"/>
    <s v="Spot"/>
    <x v="43"/>
    <s v="Sell"/>
    <s v="GBP"/>
    <n v="-100000"/>
    <s v="PLN"/>
    <n v="486940"/>
    <s v="2026-01-20"/>
    <n v="4.8693999999999997"/>
    <n v="0.2054"/>
    <n v="4.8704000000000001"/>
    <n v="1"/>
    <n v="-100"/>
    <s v="FRANCE FR"/>
  </r>
  <r>
    <s v="BKMILL"/>
    <n v="157293"/>
    <n v="900677"/>
    <s v="Spot"/>
    <x v="41"/>
    <s v="Sell"/>
    <s v="EUR"/>
    <n v="-500000"/>
    <s v="PLN"/>
    <n v="2109550"/>
    <s v="2026-01-20"/>
    <n v="4.2191000000000001"/>
    <n v="0.23699999999999999"/>
    <n v="4.2230999999999996"/>
    <n v="1"/>
    <n v="-2000"/>
    <s v="GERMANY DE"/>
  </r>
  <r>
    <s v="BKMILL"/>
    <n v="157294"/>
    <n v="900685"/>
    <s v="Spot"/>
    <x v="40"/>
    <s v="Buy"/>
    <s v="EUR"/>
    <n v="100000"/>
    <s v="GBP"/>
    <n v="-86631"/>
    <s v="2026-01-20"/>
    <n v="0.86629999999999996"/>
    <n v="1.1543000000000001"/>
    <n v="4.2230999999999996"/>
    <n v="4.8704000000000001"/>
    <n v="382.37759999999997"/>
    <s v="UNITED STATES OF AMERICA US"/>
  </r>
  <r>
    <s v="BKMILL"/>
    <n v="157297"/>
    <n v="217767"/>
    <s v="Forward"/>
    <x v="179"/>
    <s v="Buy Fwd"/>
    <s v="EUR"/>
    <n v="89000"/>
    <s v="PLN"/>
    <n v="374690"/>
    <s v="2026-01-16"/>
    <n v="4.2111000000000001"/>
    <n v="0.23749999999999999"/>
    <n v="4.2068000000000003"/>
    <n v="1"/>
    <n v="749095.2"/>
    <s v="POLAND PL"/>
  </r>
  <r>
    <s v="BKMILL"/>
    <n v="157298"/>
    <n v="217769"/>
    <s v="Forward"/>
    <x v="28"/>
    <s v="Buy Fwd"/>
    <s v="EUR"/>
    <n v="618744"/>
    <s v="PLN"/>
    <n v="2606644.7200000002"/>
    <s v="2026-01-16"/>
    <n v="4.2137000000000002"/>
    <n v="0.23730000000000001"/>
    <n v="4.2068000000000003"/>
    <n v="1"/>
    <n v="5209576.9791999999"/>
    <s v="POLAND PL"/>
  </r>
  <r>
    <s v="BKMILL"/>
    <n v="157300"/>
    <n v="900708"/>
    <s v="Spot"/>
    <x v="40"/>
    <s v="Sell"/>
    <s v="EUR"/>
    <n v="-500000"/>
    <s v="PLN"/>
    <n v="2109400"/>
    <s v="2026-01-20"/>
    <n v="4.2187999999999999"/>
    <n v="0.23699999999999999"/>
    <n v="4.2230999999999996"/>
    <n v="1"/>
    <n v="-2150"/>
    <s v="UNITED STATES OF AMERICA US"/>
  </r>
  <r>
    <s v="BKMILL"/>
    <n v="157302"/>
    <n v="217777"/>
    <s v="Forward"/>
    <x v="180"/>
    <s v="Sell Fwd"/>
    <s v="USD"/>
    <n v="-50000"/>
    <s v="PLN"/>
    <n v="181735"/>
    <s v="2026-01-16"/>
    <n v="3.6347999999999998"/>
    <n v="0.27510000000000001"/>
    <n v="3.6153"/>
    <n v="1"/>
    <n v="970"/>
    <s v="POLAND PL"/>
  </r>
  <r>
    <s v="BKMILL"/>
    <n v="157303"/>
    <n v="217780"/>
    <s v="Forward"/>
    <x v="142"/>
    <s v="Buy Fwd"/>
    <s v="EUR"/>
    <n v="300000"/>
    <s v="PLN"/>
    <n v="1262250"/>
    <s v="2026-01-16"/>
    <n v="4.2074999999999996"/>
    <n v="0.23769999999999999"/>
    <n v="4.2068000000000003"/>
    <n v="1"/>
    <n v="2524290"/>
    <s v="POLAND PL"/>
  </r>
  <r>
    <s v="BKMILL"/>
    <n v="157304"/>
    <n v="217786"/>
    <s v="Forward"/>
    <x v="181"/>
    <s v="Sell Fwd"/>
    <s v="EUR"/>
    <n v="-70000"/>
    <s v="PLN"/>
    <n v="296191"/>
    <s v="2026-01-19"/>
    <n v="4.2314999999999996"/>
    <n v="0.23630000000000001"/>
    <n v="4.2191999999999998"/>
    <n v="1"/>
    <n v="847"/>
    <s v="POLAND PL"/>
  </r>
  <r>
    <s v="BKMILL"/>
    <n v="157306"/>
    <n v="217790"/>
    <s v="Forward"/>
    <x v="182"/>
    <s v="Sell Fwd"/>
    <s v="EUR"/>
    <n v="-13500"/>
    <s v="PLN"/>
    <n v="57037.5"/>
    <s v="2026-01-16"/>
    <n v="4.226"/>
    <n v="0.2366"/>
    <n v="4.2068000000000003"/>
    <n v="1"/>
    <n v="245.7"/>
    <s v="POLAND PL"/>
  </r>
  <r>
    <s v="BKMILL"/>
    <n v="157308"/>
    <n v="900802"/>
    <s v="Spot"/>
    <x v="183"/>
    <s v="Buy"/>
    <s v="EUR"/>
    <n v="50000"/>
    <s v="PLN"/>
    <n v="-210865"/>
    <s v="2026-01-20"/>
    <n v="4.2172999999999998"/>
    <n v="0.23710000000000001"/>
    <n v="4.2230999999999996"/>
    <n v="1"/>
    <n v="290"/>
    <s v="POLAND PL"/>
  </r>
  <r>
    <s v="BKMILL"/>
    <n v="157309"/>
    <n v="217804"/>
    <s v="Forward"/>
    <x v="184"/>
    <s v="Buy Fwd"/>
    <s v="USD"/>
    <n v="50000"/>
    <s v="PLN"/>
    <n v="180100"/>
    <s v="2026-01-16"/>
    <n v="3.6019999999999999"/>
    <n v="0.27760000000000001"/>
    <n v="3.6153"/>
    <n v="1"/>
    <n v="360865"/>
    <s v="POLAND PL"/>
  </r>
  <r>
    <s v="BKMILL"/>
    <n v="157310"/>
    <n v="900828"/>
    <s v="Spot"/>
    <x v="41"/>
    <s v="Sell"/>
    <s v="EUR"/>
    <n v="-500000"/>
    <s v="PLN"/>
    <n v="2110050"/>
    <s v="2026-01-20"/>
    <n v="4.2201000000000004"/>
    <n v="0.23699999999999999"/>
    <n v="4.2230999999999996"/>
    <n v="1"/>
    <n v="-1500"/>
    <s v="GERMANY DE"/>
  </r>
  <r>
    <s v="BKMILL"/>
    <n v="157316"/>
    <n v="217811"/>
    <s v="Forward"/>
    <x v="185"/>
    <s v="Buy Fwd"/>
    <s v="EUR"/>
    <n v="50000"/>
    <s v="PLN"/>
    <n v="210750"/>
    <s v="2026-01-16"/>
    <n v="4.2149999999999999"/>
    <n v="0.23719999999999999"/>
    <n v="4.2068000000000003"/>
    <n v="1"/>
    <n v="421090"/>
    <s v="POLAND PL"/>
  </r>
  <r>
    <s v="BKMILL"/>
    <n v="157318"/>
    <n v="217815"/>
    <s v="Forward"/>
    <x v="139"/>
    <s v="Buy Fwd"/>
    <s v="EUR"/>
    <n v="64847.6"/>
    <s v="PLN"/>
    <n v="273196.45"/>
    <s v="2026-01-16"/>
    <n v="4.2138"/>
    <n v="0.23730000000000001"/>
    <n v="4.2068000000000003"/>
    <n v="1"/>
    <n v="545997.33368000004"/>
    <s v="POLAND PL"/>
  </r>
  <r>
    <s v="BKMILL"/>
    <n v="157319"/>
    <n v="217816"/>
    <s v="Forward"/>
    <x v="186"/>
    <s v="Buy Fwd"/>
    <s v="USD"/>
    <n v="60885.23"/>
    <s v="PLN"/>
    <n v="221013.38"/>
    <s v="2026-01-16"/>
    <n v="3.63"/>
    <n v="0.27550000000000002"/>
    <n v="3.6153"/>
    <n v="1"/>
    <n v="441131.75201900001"/>
    <s v="POLAND PL"/>
  </r>
  <r>
    <s v="BKMILL"/>
    <n v="157321"/>
    <n v="900861"/>
    <s v="Spot"/>
    <x v="40"/>
    <s v="Sell"/>
    <s v="EUR"/>
    <n v="-400000"/>
    <s v="CNY"/>
    <n v="3236404"/>
    <s v="2026-01-20"/>
    <n v="8.0909999999999993"/>
    <n v="0.1236"/>
    <n v="4.2230999999999996"/>
    <n v="0.52170000000000005"/>
    <n v="-808.03319999999997"/>
    <s v="UNITED STATES OF AMERICA US"/>
  </r>
  <r>
    <s v="BKMILL"/>
    <n v="157322"/>
    <n v="900862"/>
    <s v="Spot"/>
    <x v="101"/>
    <s v="Buy"/>
    <s v="EUR"/>
    <n v="25000"/>
    <s v="PLN"/>
    <n v="-105455"/>
    <s v="2026-01-20"/>
    <n v="4.2182000000000004"/>
    <n v="0.23710000000000001"/>
    <n v="4.2230999999999996"/>
    <n v="1"/>
    <n v="122.5"/>
    <s v="POLAND PL"/>
  </r>
  <r>
    <s v="BKMILL"/>
    <n v="157324"/>
    <n v="217820"/>
    <s v="Forward"/>
    <x v="106"/>
    <s v="Sell Fwd"/>
    <s v="EUR"/>
    <n v="-23370"/>
    <s v="PLN"/>
    <n v="98675.15"/>
    <s v="2026-01-16"/>
    <n v="4.2232000000000003"/>
    <n v="0.23680000000000001"/>
    <n v="4.2068000000000003"/>
    <n v="1"/>
    <n v="362.23399999999998"/>
    <s v="POLAND PL"/>
  </r>
  <r>
    <s v="BKMILL"/>
    <n v="157325"/>
    <n v="900878"/>
    <s v="Spot"/>
    <x v="40"/>
    <s v="Sell"/>
    <s v="EUR"/>
    <n v="-300000"/>
    <s v="CNY"/>
    <n v="2427480"/>
    <s v="2026-01-20"/>
    <n v="8.0915999999999997"/>
    <n v="0.1236"/>
    <n v="4.2230999999999996"/>
    <n v="0.52170000000000005"/>
    <n v="-513.68399999999997"/>
    <s v="UNITED STATES OF AMERICA US"/>
  </r>
  <r>
    <s v="BKMILL"/>
    <n v="157326"/>
    <n v="217821"/>
    <s v="Forward"/>
    <x v="108"/>
    <s v="Buy Fwd"/>
    <s v="SEK"/>
    <n v="250000"/>
    <s v="PLN"/>
    <n v="98375"/>
    <s v="2026-01-16"/>
    <n v="0.39360000000000001"/>
    <n v="2.5407000000000002"/>
    <n v="0.39379999999999998"/>
    <n v="1"/>
    <n v="196825"/>
    <s v="POLAND PL"/>
  </r>
  <r>
    <s v="BKMILL"/>
    <n v="157328"/>
    <n v="217824"/>
    <s v="Forward"/>
    <x v="187"/>
    <s v="Buy Fwd"/>
    <s v="EUR"/>
    <n v="20000"/>
    <s v="PLN"/>
    <n v="84100"/>
    <s v="2026-01-16"/>
    <n v="4.2058999999999997"/>
    <n v="0.23780000000000001"/>
    <n v="4.2068000000000003"/>
    <n v="1"/>
    <n v="168236"/>
    <s v="POLAND PL"/>
  </r>
  <r>
    <s v="BKMILL"/>
    <n v="157329"/>
    <n v="217826"/>
    <s v="Forward"/>
    <x v="188"/>
    <s v="Buy Fwd"/>
    <s v="USD"/>
    <n v="100000"/>
    <s v="PLN"/>
    <n v="363270"/>
    <s v="2026-01-16"/>
    <n v="3.6328"/>
    <n v="0.27529999999999999"/>
    <n v="3.6153"/>
    <n v="1"/>
    <n v="724800"/>
    <s v="POLAND PL"/>
  </r>
  <r>
    <s v="BKMILL"/>
    <n v="157330"/>
    <n v="900897"/>
    <s v="Spot"/>
    <x v="40"/>
    <s v="Sell"/>
    <s v="EUR"/>
    <n v="-500000"/>
    <s v="PLN"/>
    <n v="2111250"/>
    <s v="2026-01-20"/>
    <n v="4.2225000000000001"/>
    <n v="0.23680000000000001"/>
    <n v="4.2230999999999996"/>
    <n v="1"/>
    <n v="-300"/>
    <s v="UNITED STATES OF AMERICA US"/>
  </r>
  <r>
    <s v="BKMILL"/>
    <n v="157331"/>
    <n v="900916"/>
    <s v="Spot"/>
    <x v="101"/>
    <s v="Buy"/>
    <s v="EUR"/>
    <n v="25000"/>
    <s v="PLN"/>
    <n v="-105502.5"/>
    <s v="2026-01-20"/>
    <n v="4.2201000000000004"/>
    <n v="0.23699999999999999"/>
    <n v="4.2230999999999996"/>
    <n v="1"/>
    <n v="75"/>
    <s v="POLAND PL"/>
  </r>
  <r>
    <s v="BKMILL"/>
    <n v="157332"/>
    <n v="900927"/>
    <s v="Spot"/>
    <x v="40"/>
    <s v="Buy"/>
    <s v="EUR"/>
    <n v="100000"/>
    <s v="GBP"/>
    <n v="-86637"/>
    <s v="2026-01-20"/>
    <n v="0.86639999999999995"/>
    <n v="1.1541999999999999"/>
    <n v="4.2230999999999996"/>
    <n v="4.8704000000000001"/>
    <n v="353.15519999999998"/>
    <s v="UNITED STATES OF AMERICA US"/>
  </r>
  <r>
    <s v="BKMILL"/>
    <n v="157333"/>
    <n v="900931"/>
    <s v="Spot"/>
    <x v="47"/>
    <s v="Sell"/>
    <s v="EUR"/>
    <n v="-500000"/>
    <s v="PLN"/>
    <n v="2111360"/>
    <s v="2026-01-20"/>
    <n v="4.2226999999999997"/>
    <n v="0.23680000000000001"/>
    <n v="4.2230999999999996"/>
    <n v="1"/>
    <n v="-190"/>
    <s v="FRANCE FR"/>
  </r>
  <r>
    <s v="BKMILL"/>
    <n v="157334"/>
    <n v="900938"/>
    <s v="Spot"/>
    <x v="40"/>
    <s v="Buy"/>
    <s v="EUR"/>
    <n v="100000"/>
    <s v="CHF"/>
    <n v="-93121"/>
    <s v="2026-01-20"/>
    <n v="0.93120000000000003"/>
    <n v="1.0739000000000001"/>
    <n v="4.2230999999999996"/>
    <n v="4.5476000000000001"/>
    <n v="-1167.0596"/>
    <s v="UNITED STATES OF AMERICA US"/>
  </r>
  <r>
    <s v="BKMILL"/>
    <n v="157335"/>
    <n v="900939"/>
    <s v="Spot"/>
    <x v="101"/>
    <s v="Buy"/>
    <s v="EUR"/>
    <n v="25000"/>
    <s v="PLN"/>
    <n v="-105502.5"/>
    <s v="2026-01-20"/>
    <n v="4.2201000000000004"/>
    <n v="0.23699999999999999"/>
    <n v="4.2230999999999996"/>
    <n v="1"/>
    <n v="75"/>
    <s v="POLAND PL"/>
  </r>
  <r>
    <s v="BKMILL"/>
    <n v="157336"/>
    <n v="900940"/>
    <s v="Spot"/>
    <x v="41"/>
    <s v="Buy"/>
    <s v="EUR"/>
    <n v="100000"/>
    <s v="USD"/>
    <n v="-116151"/>
    <s v="2026-01-20"/>
    <n v="1.1615"/>
    <n v="0.8609"/>
    <n v="4.2230999999999996"/>
    <n v="3.6345999999999998"/>
    <n v="147.5754"/>
    <s v="GERMANY DE"/>
  </r>
  <r>
    <s v="BKMILL"/>
    <n v="157337"/>
    <n v="900941"/>
    <s v="Spot"/>
    <x v="43"/>
    <s v="Buy"/>
    <s v="EUR"/>
    <n v="100000"/>
    <s v="SEK"/>
    <n v="-1070915"/>
    <s v="2026-01-20"/>
    <n v="10.709099999999999"/>
    <n v="9.3399999999999997E-2"/>
    <n v="4.2230999999999996"/>
    <n v="0.39360000000000001"/>
    <n v="797.85599999999999"/>
    <s v="FRANCE FR"/>
  </r>
  <r>
    <s v="BKMILL"/>
    <n v="157338"/>
    <n v="217834"/>
    <s v="Forward"/>
    <x v="115"/>
    <s v="Sell Fwd"/>
    <s v="USD"/>
    <n v="-10000"/>
    <s v="PLN"/>
    <n v="36430"/>
    <s v="2026-01-16"/>
    <n v="3.6431"/>
    <n v="0.27450000000000002"/>
    <n v="3.6153"/>
    <n v="1"/>
    <n v="277"/>
    <s v="POLAND PL"/>
  </r>
  <r>
    <s v="BKMILL"/>
    <n v="157339"/>
    <n v="217837"/>
    <s v="Forward"/>
    <x v="189"/>
    <s v="Buy Fwd"/>
    <s v="EUR"/>
    <n v="10000"/>
    <s v="PLN"/>
    <n v="42100"/>
    <s v="2026-01-16"/>
    <n v="4.2107999999999999"/>
    <n v="0.23749999999999999"/>
    <n v="4.2068000000000003"/>
    <n v="1"/>
    <n v="84168"/>
    <s v="POLAND PL"/>
  </r>
  <r>
    <s v="BKMILL"/>
    <n v="157340"/>
    <n v="217838"/>
    <s v="Forward"/>
    <x v="190"/>
    <s v="Buy Fwd"/>
    <s v="EUR"/>
    <n v="300000"/>
    <s v="PLN"/>
    <n v="1266090"/>
    <s v="2026-01-19"/>
    <n v="4.2205000000000004"/>
    <n v="0.2369"/>
    <n v="4.2191999999999998"/>
    <n v="1"/>
    <n v="2531850"/>
    <s v="POLAND PL"/>
  </r>
  <r>
    <s v="BKMILL"/>
    <n v="157342"/>
    <n v="900960"/>
    <s v="Spot"/>
    <x v="43"/>
    <s v="Sell"/>
    <s v="EUR"/>
    <n v="-500000"/>
    <s v="PLN"/>
    <n v="2111370"/>
    <s v="2026-01-20"/>
    <n v="4.2226999999999997"/>
    <n v="0.23680000000000001"/>
    <n v="4.2230999999999996"/>
    <n v="1"/>
    <n v="-180"/>
    <s v="FRANCE FR"/>
  </r>
  <r>
    <s v="BKMILL"/>
    <n v="157343"/>
    <n v="900961"/>
    <s v="Spot"/>
    <x v="38"/>
    <s v="Sell"/>
    <s v="EUR"/>
    <n v="-1000000"/>
    <s v="PLN"/>
    <n v="4222740"/>
    <s v="2026-01-20"/>
    <n v="4.2226999999999997"/>
    <n v="0.23680000000000001"/>
    <n v="4.2230999999999996"/>
    <n v="1"/>
    <n v="-360"/>
    <s v="NETHERLANDS NL"/>
  </r>
  <r>
    <s v="BKMILL"/>
    <n v="157344"/>
    <n v="900962"/>
    <s v="Spot"/>
    <x v="191"/>
    <s v="Sell"/>
    <s v="EUR"/>
    <n v="-1000"/>
    <s v="PLN"/>
    <n v="4273.3999999999996"/>
    <s v="2026-01-20"/>
    <n v="4.2733999999999996"/>
    <n v="0.23400000000000001"/>
    <n v="4.2230999999999996"/>
    <n v="1"/>
    <n v="50.3"/>
    <s v="POLAND PL"/>
  </r>
  <r>
    <s v="BKMILL"/>
    <n v="157346"/>
    <n v="217843"/>
    <s v="Forward"/>
    <x v="192"/>
    <s v="Buy Fwd"/>
    <s v="EUR"/>
    <n v="933586.35"/>
    <s v="PLN"/>
    <n v="3939734.4"/>
    <s v="2026-01-16"/>
    <n v="4.22"/>
    <n v="0.23699999999999999"/>
    <n v="4.2068000000000003"/>
    <n v="1"/>
    <n v="7867145.4571799999"/>
    <s v="POLAND PL"/>
  </r>
  <r>
    <s v="BKMILL"/>
    <n v="157349"/>
    <n v="900997"/>
    <s v="Spot"/>
    <x v="47"/>
    <s v="Sell"/>
    <s v="EUR"/>
    <n v="-1000000"/>
    <s v="PLN"/>
    <n v="4222200"/>
    <s v="2026-01-20"/>
    <n v="4.2222"/>
    <n v="0.23680000000000001"/>
    <n v="4.2230999999999996"/>
    <n v="1"/>
    <n v="-900"/>
    <s v="FRANCE FR"/>
  </r>
  <r>
    <s v="BKMILL"/>
    <n v="157350"/>
    <n v="217850"/>
    <s v="Forward"/>
    <x v="24"/>
    <s v="Buy Fwd"/>
    <s v="EUR"/>
    <n v="30690"/>
    <s v="PLN"/>
    <n v="129474.97"/>
    <s v="2026-01-16"/>
    <n v="4.2196999999999996"/>
    <n v="0.23699999999999999"/>
    <n v="4.2068000000000003"/>
    <n v="1"/>
    <n v="258581.66200000001"/>
    <s v="POLAND PL"/>
  </r>
  <r>
    <s v="BKMILL"/>
    <n v="157351"/>
    <n v="217851"/>
    <s v="Forward"/>
    <x v="193"/>
    <s v="Sell Fwd"/>
    <s v="EUR"/>
    <n v="-200000"/>
    <s v="PLN"/>
    <n v="845300"/>
    <s v="2026-01-16"/>
    <n v="4.2264999999999997"/>
    <n v="0.2366"/>
    <n v="4.2068000000000003"/>
    <n v="1"/>
    <n v="3940"/>
    <s v="POLAND PL"/>
  </r>
  <r>
    <s v="BKMILL"/>
    <n v="157353"/>
    <n v="217768"/>
    <s v="Forward"/>
    <x v="194"/>
    <s v="Buy Fwd"/>
    <s v="PLN"/>
    <n v="1135000"/>
    <s v="EUR"/>
    <n v="268359.58"/>
    <s v="2026-01-16"/>
    <n v="4.2283999999999997"/>
    <n v="0.23649999999999999"/>
    <n v="1"/>
    <n v="4.2068000000000003"/>
    <n v="2263935.0811439999"/>
    <s v="POLAND PL"/>
  </r>
  <r>
    <s v="BKMILL"/>
    <n v="157356"/>
    <n v="901035"/>
    <s v="Spot"/>
    <x v="43"/>
    <s v="Sell"/>
    <s v="EUR"/>
    <n v="-500000"/>
    <s v="PLN"/>
    <n v="2111215"/>
    <s v="2026-01-20"/>
    <n v="4.2224000000000004"/>
    <n v="0.23680000000000001"/>
    <n v="4.2230999999999996"/>
    <n v="1"/>
    <n v="-335"/>
    <s v="FRANCE FR"/>
  </r>
  <r>
    <s v="BKMILL"/>
    <n v="157357"/>
    <n v="901039"/>
    <s v="Spot"/>
    <x v="101"/>
    <s v="Buy"/>
    <s v="EUR"/>
    <n v="25000"/>
    <s v="PLN"/>
    <n v="-105500"/>
    <s v="2026-01-20"/>
    <n v="4.22"/>
    <n v="0.23699999999999999"/>
    <n v="4.2230999999999996"/>
    <n v="1"/>
    <n v="77.5"/>
    <s v="POLAND PL"/>
  </r>
  <r>
    <s v="BKMILL"/>
    <n v="157358"/>
    <n v="217862"/>
    <s v="Forward"/>
    <x v="101"/>
    <s v="Buy Fwd"/>
    <s v="EUR"/>
    <n v="1000"/>
    <s v="PLN"/>
    <n v="4219.8"/>
    <s v="2026-01-19"/>
    <n v="4.22"/>
    <n v="0.23699999999999999"/>
    <n v="4.2191999999999998"/>
    <n v="1"/>
    <n v="8439"/>
    <s v="POLAND PL"/>
  </r>
  <r>
    <s v="BKMILL"/>
    <n v="157359"/>
    <n v="901045"/>
    <s v="Spot"/>
    <x v="101"/>
    <s v="Buy"/>
    <s v="EUR"/>
    <n v="25000"/>
    <s v="PLN"/>
    <n v="-105502.5"/>
    <s v="2026-01-20"/>
    <n v="4.2201000000000004"/>
    <n v="0.23699999999999999"/>
    <n v="4.2230999999999996"/>
    <n v="1"/>
    <n v="75"/>
    <s v="POLAND PL"/>
  </r>
  <r>
    <s v="BKMILL"/>
    <n v="157360"/>
    <n v="217868"/>
    <s v="Forward"/>
    <x v="195"/>
    <s v="Sell Fwd"/>
    <s v="EUR"/>
    <n v="-3000"/>
    <s v="PLN"/>
    <n v="12705"/>
    <s v="2026-01-16"/>
    <n v="4.2359999999999998"/>
    <n v="0.2361"/>
    <n v="4.2068000000000003"/>
    <n v="1"/>
    <n v="84.6"/>
    <s v="POLAND PL"/>
  </r>
  <r>
    <s v="BKMILL"/>
    <n v="157361"/>
    <n v="217870"/>
    <s v="Forward"/>
    <x v="106"/>
    <s v="Sell Fwd"/>
    <s v="EUR"/>
    <n v="-21360"/>
    <s v="PLN"/>
    <n v="90222.5"/>
    <s v="2026-01-16"/>
    <n v="4.2248000000000001"/>
    <n v="0.23669999999999999"/>
    <n v="4.2068000000000003"/>
    <n v="1"/>
    <n v="365.25200000000001"/>
    <s v="POLAND PL"/>
  </r>
  <r>
    <s v="BKMILL"/>
    <n v="157362"/>
    <n v="217871"/>
    <s v="Forward"/>
    <x v="151"/>
    <s v="Sell Fwd"/>
    <s v="EUR"/>
    <n v="-55028"/>
    <s v="PLN"/>
    <n v="233098.61"/>
    <s v="2026-01-16"/>
    <n v="4.2359999999999998"/>
    <n v="0.2361"/>
    <n v="4.2068000000000003"/>
    <n v="1"/>
    <n v="1606.8196"/>
    <s v="POLAND PL"/>
  </r>
  <r>
    <s v="BKMILL"/>
    <n v="157364"/>
    <n v="901130"/>
    <s v="Spot"/>
    <x v="41"/>
    <s v="Sell"/>
    <s v="EUR"/>
    <n v="-500000"/>
    <s v="PLN"/>
    <n v="2111150"/>
    <s v="2026-01-20"/>
    <n v="4.2222999999999997"/>
    <n v="0.23680000000000001"/>
    <n v="4.2230999999999996"/>
    <n v="1"/>
    <n v="-400"/>
    <s v="GERMANY DE"/>
  </r>
  <r>
    <s v="BKMILL"/>
    <n v="157365"/>
    <n v="901146"/>
    <s v="Spot"/>
    <x v="40"/>
    <s v="Sell"/>
    <s v="EUR"/>
    <n v="-500000"/>
    <s v="PLN"/>
    <n v="2111450"/>
    <s v="2026-01-20"/>
    <n v="4.2229000000000001"/>
    <n v="0.23680000000000001"/>
    <n v="4.2230999999999996"/>
    <n v="1"/>
    <n v="-100"/>
    <s v="UNITED STATES OF AMERICA US"/>
  </r>
  <r>
    <s v="BKMILL"/>
    <n v="157366"/>
    <n v="217895"/>
    <s v="Forward"/>
    <x v="152"/>
    <s v="Buy Fwd"/>
    <s v="EUR"/>
    <n v="300000"/>
    <s v="PLN"/>
    <n v="1266000"/>
    <s v="2026-01-16"/>
    <n v="4.22"/>
    <n v="0.23699999999999999"/>
    <n v="4.2068000000000003"/>
    <n v="1"/>
    <n v="2528040"/>
    <s v="POLAND PL"/>
  </r>
  <r>
    <s v="BKMILL"/>
    <n v="157367"/>
    <n v="217896"/>
    <s v="Forward"/>
    <x v="143"/>
    <s v="Buy Fwd"/>
    <s v="EUR"/>
    <n v="40000"/>
    <s v="PLN"/>
    <n v="168800"/>
    <s v="2026-01-16"/>
    <n v="4.2209000000000003"/>
    <n v="0.2369"/>
    <n v="4.2068000000000003"/>
    <n v="1"/>
    <n v="337072"/>
    <s v="POLAND PL"/>
  </r>
  <r>
    <s v="BKMILL"/>
    <n v="157368"/>
    <n v="217897"/>
    <s v="Forward"/>
    <x v="196"/>
    <s v="Buy Fwd"/>
    <s v="EUR"/>
    <n v="30000"/>
    <s v="PLN"/>
    <n v="126612"/>
    <s v="2026-01-19"/>
    <n v="4.2206000000000001"/>
    <n v="0.2369"/>
    <n v="4.2191999999999998"/>
    <n v="1"/>
    <n v="253188"/>
    <s v="POLAND PL"/>
  </r>
  <r>
    <s v="BKMILL"/>
    <n v="157370"/>
    <n v="217899"/>
    <s v="Forward"/>
    <x v="187"/>
    <s v="Buy Fwd"/>
    <s v="EUR"/>
    <n v="20000"/>
    <s v="PLN"/>
    <n v="84200"/>
    <s v="2026-01-16"/>
    <n v="4.2108999999999996"/>
    <n v="0.23749999999999999"/>
    <n v="4.2068000000000003"/>
    <n v="1"/>
    <n v="168336"/>
    <s v="POLAND PL"/>
  </r>
  <r>
    <s v="BKMILL"/>
    <n v="157371"/>
    <n v="217900"/>
    <s v="Forward"/>
    <x v="197"/>
    <s v="Buy Fwd"/>
    <s v="EUR"/>
    <n v="25000"/>
    <s v="PLN"/>
    <n v="105500"/>
    <s v="2026-01-19"/>
    <n v="4.2202000000000002"/>
    <n v="0.23699999999999999"/>
    <n v="4.2191999999999998"/>
    <n v="1"/>
    <n v="210980"/>
    <s v="POLAND PL"/>
  </r>
  <r>
    <s v="BKMILL"/>
    <n v="157372"/>
    <n v="901174"/>
    <s v="Spot"/>
    <x v="40"/>
    <s v="Sell"/>
    <s v="EUR"/>
    <n v="-500000"/>
    <s v="PLN"/>
    <n v="2113200"/>
    <s v="2026-01-20"/>
    <n v="4.2263999999999999"/>
    <n v="0.2366"/>
    <n v="4.2230999999999996"/>
    <n v="1"/>
    <n v="1650"/>
    <s v="UNITED STATES OF AMERICA US"/>
  </r>
  <r>
    <s v="BKMILL"/>
    <n v="157374"/>
    <n v="217905"/>
    <s v="Forward"/>
    <x v="74"/>
    <s v="Buy Fwd"/>
    <s v="EUR"/>
    <n v="250000"/>
    <s v="PLN"/>
    <n v="1052000"/>
    <s v="2026-01-16"/>
    <n v="4.2080000000000002"/>
    <n v="0.23760000000000001"/>
    <n v="4.2068000000000003"/>
    <n v="1"/>
    <n v="2103700"/>
    <s v="POLAND PL"/>
  </r>
  <r>
    <s v="BKMILL"/>
    <n v="157376"/>
    <n v="217906"/>
    <s v="Forward"/>
    <x v="70"/>
    <s v="Buy Fwd"/>
    <s v="EUR"/>
    <n v="10766.53"/>
    <s v="PLN"/>
    <n v="45413.22"/>
    <s v="2026-01-16"/>
    <n v="4.218"/>
    <n v="0.23710000000000001"/>
    <n v="4.2068000000000003"/>
    <n v="1"/>
    <n v="90705.858403999999"/>
    <s v="POLAND PL"/>
  </r>
  <r>
    <s v="BKMILL"/>
    <n v="157378"/>
    <n v="217910"/>
    <s v="Forward"/>
    <x v="95"/>
    <s v="Sell Fwd"/>
    <s v="EUR"/>
    <n v="-2100000"/>
    <s v="PLN"/>
    <n v="8892870"/>
    <s v="2026-01-16"/>
    <n v="4.2355"/>
    <n v="0.2361"/>
    <n v="4.2068000000000003"/>
    <n v="1"/>
    <n v="58590"/>
    <s v="POLAND PL"/>
  </r>
  <r>
    <s v="BKMILL"/>
    <n v="157380"/>
    <n v="901207"/>
    <s v="Spot"/>
    <x v="44"/>
    <s v="Buy"/>
    <s v="EUR"/>
    <n v="1000000"/>
    <s v="PLN"/>
    <n v="-4225640"/>
    <s v="2026-01-20"/>
    <n v="4.2256"/>
    <n v="0.23669999999999999"/>
    <n v="4.2230999999999996"/>
    <n v="1"/>
    <n v="-2540"/>
    <s v="GERMANY DE"/>
  </r>
  <r>
    <s v="BKMILL"/>
    <n v="157382"/>
    <n v="901208"/>
    <s v="Spot"/>
    <x v="42"/>
    <s v="Buy"/>
    <s v="EUR"/>
    <n v="1000000"/>
    <s v="PLN"/>
    <n v="-4225980"/>
    <s v="2026-01-20"/>
    <n v="4.226"/>
    <n v="0.2366"/>
    <n v="4.2230999999999996"/>
    <n v="1"/>
    <n v="-2880"/>
    <s v="SWITZERLAND CH"/>
  </r>
  <r>
    <s v="BKMILL"/>
    <n v="157383"/>
    <n v="217911"/>
    <s v="Forward"/>
    <x v="198"/>
    <s v="Buy Fwd"/>
    <s v="EUR"/>
    <n v="30000"/>
    <s v="PLN"/>
    <n v="126339"/>
    <s v="2026-01-16"/>
    <n v="4.2122000000000002"/>
    <n v="0.2374"/>
    <n v="4.2068000000000003"/>
    <n v="1"/>
    <n v="252543"/>
    <s v="POLAND PL"/>
  </r>
  <r>
    <s v="BKMILL"/>
    <n v="157385"/>
    <n v="217913"/>
    <s v="Forward"/>
    <x v="186"/>
    <s v="Buy Fwd"/>
    <s v="EUR"/>
    <n v="70000"/>
    <s v="PLN"/>
    <n v="295470"/>
    <s v="2026-01-16"/>
    <n v="4.2210000000000001"/>
    <n v="0.2369"/>
    <n v="4.2068000000000003"/>
    <n v="1"/>
    <n v="589946"/>
    <s v="POLAND PL"/>
  </r>
  <r>
    <s v="BKMILL"/>
    <n v="157386"/>
    <n v="217916"/>
    <s v="Forward"/>
    <x v="199"/>
    <s v="Buy Fwd"/>
    <s v="EUR"/>
    <n v="20000"/>
    <s v="PLN"/>
    <n v="84300"/>
    <s v="2026-01-16"/>
    <n v="4.2149999999999999"/>
    <n v="0.23719999999999999"/>
    <n v="4.2068000000000003"/>
    <n v="1"/>
    <n v="168436"/>
    <s v="POLAND PL"/>
  </r>
  <r>
    <s v="BKMILL"/>
    <n v="157387"/>
    <n v="217918"/>
    <s v="Forward"/>
    <x v="70"/>
    <s v="Buy Fwd"/>
    <s v="EUR"/>
    <n v="2502.6"/>
    <s v="PLN"/>
    <n v="10555.97"/>
    <s v="2026-01-16"/>
    <n v="4.218"/>
    <n v="0.23710000000000001"/>
    <n v="4.2068000000000003"/>
    <n v="1"/>
    <n v="21083.90768"/>
    <s v="POLAND PL"/>
  </r>
  <r>
    <s v="BKMILL"/>
    <n v="157388"/>
    <n v="217919"/>
    <s v="Forward"/>
    <x v="200"/>
    <s v="Sell Fwd"/>
    <s v="EUR"/>
    <n v="-40000"/>
    <s v="PLN"/>
    <n v="169692"/>
    <s v="2026-01-16"/>
    <n v="4.2431000000000001"/>
    <n v="0.23569999999999999"/>
    <n v="4.2068000000000003"/>
    <n v="1"/>
    <n v="1420"/>
    <s v="POLAND PL"/>
  </r>
  <r>
    <s v="BKMILL"/>
    <n v="157389"/>
    <n v="217920"/>
    <s v="Forward"/>
    <x v="201"/>
    <s v="Sell Fwd"/>
    <s v="EUR"/>
    <n v="-17000"/>
    <s v="PLN"/>
    <n v="72156.5"/>
    <s v="2026-01-16"/>
    <n v="4.2454000000000001"/>
    <n v="0.23549999999999999"/>
    <n v="4.2068000000000003"/>
    <n v="1"/>
    <n v="640.9"/>
    <s v="POLAND PL"/>
  </r>
  <r>
    <s v="BKMILL"/>
    <n v="157392"/>
    <n v="901254"/>
    <s v="Spot"/>
    <x v="202"/>
    <s v="Sell"/>
    <s v="GBP"/>
    <n v="-10000"/>
    <s v="PLN"/>
    <n v="48826"/>
    <s v="2026-01-20"/>
    <n v="4.8826000000000001"/>
    <n v="0.20480000000000001"/>
    <n v="4.8704000000000001"/>
    <n v="1"/>
    <n v="122"/>
    <s v="POLAND PL"/>
  </r>
  <r>
    <s v="BKMILL"/>
    <n v="157394"/>
    <n v="901264"/>
    <s v="Spot"/>
    <x v="43"/>
    <s v="Sell"/>
    <s v="EUR"/>
    <n v="-500000"/>
    <s v="PLN"/>
    <n v="2113500"/>
    <s v="2026-01-20"/>
    <n v="4.2270000000000003"/>
    <n v="0.2366"/>
    <n v="4.2230999999999996"/>
    <n v="1"/>
    <n v="1950"/>
    <s v="FRANCE FR"/>
  </r>
  <r>
    <s v="BKMILL"/>
    <n v="157395"/>
    <n v="217929"/>
    <s v="Forward"/>
    <x v="72"/>
    <s v="Buy Fwd"/>
    <s v="EUR"/>
    <n v="25000"/>
    <s v="PLN"/>
    <n v="105475"/>
    <s v="2026-01-16"/>
    <n v="4.2199"/>
    <n v="0.23699999999999999"/>
    <n v="4.2068000000000003"/>
    <n v="1"/>
    <n v="210645"/>
    <s v="POLAND PL"/>
  </r>
  <r>
    <s v="BKMILL"/>
    <n v="157397"/>
    <n v="217931"/>
    <s v="Forward"/>
    <x v="203"/>
    <s v="Buy Fwd"/>
    <s v="EUR"/>
    <n v="100000"/>
    <s v="PLN"/>
    <n v="422000"/>
    <s v="2026-01-16"/>
    <n v="4.22"/>
    <n v="0.23699999999999999"/>
    <n v="4.2068000000000003"/>
    <n v="1"/>
    <n v="842680"/>
    <s v="POLAND PL"/>
  </r>
  <r>
    <s v="BKMILL"/>
    <n v="157406"/>
    <n v="901287"/>
    <s v="Spot"/>
    <x v="40"/>
    <s v="Sell"/>
    <s v="EUR"/>
    <n v="-500000"/>
    <s v="PLN"/>
    <n v="2113500"/>
    <s v="2026-01-20"/>
    <n v="4.2270000000000003"/>
    <n v="0.2366"/>
    <n v="4.2230999999999996"/>
    <n v="1"/>
    <n v="1950"/>
    <s v="UNITED STATES OF AMERICA US"/>
  </r>
  <r>
    <s v="BKMILL"/>
    <n v="157411"/>
    <n v="217937"/>
    <s v="Forward"/>
    <x v="164"/>
    <s v="Buy Fwd"/>
    <s v="EUR"/>
    <n v="20000"/>
    <s v="PLN"/>
    <n v="84418"/>
    <s v="2026-01-16"/>
    <n v="4.2218"/>
    <n v="0.2369"/>
    <n v="4.2068000000000003"/>
    <n v="1"/>
    <n v="168554"/>
    <s v="POLAND PL"/>
  </r>
  <r>
    <s v="BKMILL"/>
    <n v="157413"/>
    <n v="217938"/>
    <s v="Forward"/>
    <x v="204"/>
    <s v="Buy Fwd"/>
    <s v="EUR"/>
    <n v="100000"/>
    <s v="PLN"/>
    <n v="421750"/>
    <s v="2026-01-16"/>
    <n v="4.2183999999999999"/>
    <n v="0.23710000000000001"/>
    <n v="4.2068000000000003"/>
    <n v="1"/>
    <n v="842430"/>
    <s v="POLAND PL"/>
  </r>
  <r>
    <s v="BKMILL"/>
    <n v="157415"/>
    <n v="901309"/>
    <s v="Spot"/>
    <x v="183"/>
    <s v="Buy"/>
    <s v="EUR"/>
    <n v="50000"/>
    <s v="PLN"/>
    <n v="-211000"/>
    <s v="2026-01-20"/>
    <n v="4.22"/>
    <n v="0.23699999999999999"/>
    <n v="4.2230999999999996"/>
    <n v="1"/>
    <n v="155"/>
    <s v="POLAND PL"/>
  </r>
  <r>
    <s v="BKMILL"/>
    <n v="157416"/>
    <n v="901318"/>
    <s v="Spot"/>
    <x v="41"/>
    <s v="Sell"/>
    <s v="EUR"/>
    <n v="-500000"/>
    <s v="PLN"/>
    <n v="2112250"/>
    <s v="2026-01-20"/>
    <n v="4.2244999999999999"/>
    <n v="0.23669999999999999"/>
    <n v="4.2230999999999996"/>
    <n v="1"/>
    <n v="700"/>
    <s v="GERMANY DE"/>
  </r>
  <r>
    <s v="BKMILL"/>
    <n v="157418"/>
    <n v="217947"/>
    <s v="Forward"/>
    <x v="135"/>
    <s v="Buy Fwd"/>
    <s v="EUR"/>
    <n v="200000"/>
    <s v="PLN"/>
    <n v="844400"/>
    <s v="2026-01-16"/>
    <n v="4.2220000000000004"/>
    <n v="0.2369"/>
    <n v="4.2068000000000003"/>
    <n v="1"/>
    <n v="1685760"/>
    <s v="POLAND PL"/>
  </r>
  <r>
    <s v="BKMILL"/>
    <n v="157419"/>
    <n v="901349"/>
    <s v="Spot"/>
    <x v="40"/>
    <s v="Sell"/>
    <s v="EUR"/>
    <n v="-500000"/>
    <s v="PLN"/>
    <n v="2112650"/>
    <s v="2026-01-20"/>
    <n v="4.2252999999999998"/>
    <n v="0.23669999999999999"/>
    <n v="4.2230999999999996"/>
    <n v="1"/>
    <n v="1100"/>
    <s v="UNITED STATES OF AMERICA US"/>
  </r>
  <r>
    <s v="BKMILL"/>
    <n v="157420"/>
    <n v="901356"/>
    <s v="Spot"/>
    <x v="38"/>
    <s v="Sell"/>
    <s v="EUR"/>
    <n v="-1000000"/>
    <s v="PLN"/>
    <n v="4226230"/>
    <s v="2026-01-20"/>
    <n v="4.2262000000000004"/>
    <n v="0.2366"/>
    <n v="4.2230999999999996"/>
    <n v="1"/>
    <n v="3130"/>
    <s v="NETHERLANDS NL"/>
  </r>
  <r>
    <s v="BKMILL"/>
    <n v="157422"/>
    <n v="217957"/>
    <s v="Forward"/>
    <x v="205"/>
    <s v="Buy Fwd"/>
    <s v="EUR"/>
    <n v="250000"/>
    <s v="PLN"/>
    <n v="1053250"/>
    <s v="2026-01-16"/>
    <n v="4.2130000000000001"/>
    <n v="0.2374"/>
    <n v="4.2068000000000003"/>
    <n v="1"/>
    <n v="2104950"/>
    <s v="POLAND PL"/>
  </r>
  <r>
    <s v="BKMILL"/>
    <n v="157424"/>
    <n v="217958"/>
    <s v="Forward"/>
    <x v="206"/>
    <s v="Buy Fwd"/>
    <s v="EUR"/>
    <n v="50000"/>
    <s v="PLN"/>
    <n v="209500"/>
    <s v="2026-01-16"/>
    <n v="4.1900000000000004"/>
    <n v="0.2387"/>
    <n v="4.2068000000000003"/>
    <n v="1"/>
    <n v="419840"/>
    <s v="POLAND PL"/>
  </r>
  <r>
    <s v="BKMILL"/>
    <n v="157425"/>
    <n v="901372"/>
    <s v="Spot"/>
    <x v="54"/>
    <s v="Buy"/>
    <s v="EUR"/>
    <n v="30000"/>
    <s v="PLN"/>
    <n v="-126303"/>
    <s v="2026-01-20"/>
    <n v="4.2100999999999997"/>
    <n v="0.23749999999999999"/>
    <n v="4.2230999999999996"/>
    <n v="1"/>
    <n v="390"/>
    <s v="POLAND PL"/>
  </r>
  <r>
    <s v="BKMILL"/>
    <n v="157426"/>
    <n v="217960"/>
    <s v="Forward"/>
    <x v="145"/>
    <s v="Buy Fwd"/>
    <s v="EUR"/>
    <n v="3000"/>
    <s v="PLN"/>
    <n v="12633"/>
    <s v="2026-01-16"/>
    <n v="4.2110000000000003"/>
    <n v="0.23749999999999999"/>
    <n v="4.2068000000000003"/>
    <n v="1"/>
    <n v="25253.4"/>
    <s v="POLAND PL"/>
  </r>
  <r>
    <s v="BKMILL"/>
    <n v="157427"/>
    <n v="217961"/>
    <s v="Forward"/>
    <x v="207"/>
    <s v="Sell Fwd"/>
    <s v="EUR"/>
    <n v="-100000"/>
    <s v="PLN"/>
    <n v="432200"/>
    <s v="2026-01-16"/>
    <n v="4.3230000000000004"/>
    <n v="0.23130000000000001"/>
    <n v="4.2068000000000003"/>
    <n v="1"/>
    <n v="11520"/>
    <s v="POLAND PL"/>
  </r>
  <r>
    <s v="BKMILL"/>
    <n v="157430"/>
    <n v="217964"/>
    <s v="Forward"/>
    <x v="139"/>
    <s v="Buy Fwd"/>
    <s v="EUR"/>
    <n v="35930.949999999997"/>
    <s v="PLN"/>
    <n v="151463.32999999999"/>
    <s v="2026-01-16"/>
    <n v="4.2163000000000004"/>
    <n v="0.23719999999999999"/>
    <n v="4.2068000000000003"/>
    <n v="1"/>
    <n v="302617.65045999998"/>
    <s v="POLAND PL"/>
  </r>
  <r>
    <s v="BKMILL"/>
    <n v="157431"/>
    <n v="901394"/>
    <s v="Spot"/>
    <x v="40"/>
    <s v="Sell"/>
    <s v="EUR"/>
    <n v="-500000"/>
    <s v="PLN"/>
    <n v="2111600"/>
    <s v="2026-01-20"/>
    <n v="4.2232000000000003"/>
    <n v="0.23680000000000001"/>
    <n v="4.2230999999999996"/>
    <n v="1"/>
    <n v="50"/>
    <s v="UNITED STATES OF AMERICA US"/>
  </r>
  <r>
    <s v="BKMILL"/>
    <n v="157432"/>
    <n v="217967"/>
    <s v="Forward"/>
    <x v="208"/>
    <s v="Buy Fwd"/>
    <s v="EUR"/>
    <n v="50000"/>
    <s v="PLN"/>
    <n v="207700"/>
    <s v="2026-01-16"/>
    <n v="4.1539999999999999"/>
    <n v="0.2407"/>
    <n v="4.2068000000000003"/>
    <n v="1"/>
    <n v="418040"/>
    <s v="POLAND PL"/>
  </r>
  <r>
    <s v="BKMILL"/>
    <n v="157433"/>
    <n v="217969"/>
    <s v="Forward"/>
    <x v="139"/>
    <s v="Buy Fwd"/>
    <s v="EUR"/>
    <n v="90000"/>
    <s v="PLN"/>
    <n v="379539"/>
    <s v="2026-01-30"/>
    <n v="4.2167000000000003"/>
    <n v="0.23719999999999999"/>
    <n v="4.2072000000000003"/>
    <n v="1"/>
    <n v="758187"/>
    <s v="POLAND PL"/>
  </r>
  <r>
    <s v="BKMILL"/>
    <n v="157434"/>
    <n v="217971"/>
    <s v="Forward"/>
    <x v="139"/>
    <s v="Buy Fwd"/>
    <s v="EUR"/>
    <n v="70000"/>
    <s v="PLN"/>
    <n v="295190"/>
    <s v="2026-01-30"/>
    <n v="4.2165999999999997"/>
    <n v="0.23719999999999999"/>
    <n v="4.2072000000000003"/>
    <n v="1"/>
    <n v="589694"/>
    <s v="POLAND PL"/>
  </r>
  <r>
    <s v="BKMILL"/>
    <n v="157435"/>
    <n v="217973"/>
    <s v="Forward"/>
    <x v="139"/>
    <s v="Buy Fwd"/>
    <s v="EUR"/>
    <n v="38976"/>
    <s v="PLN"/>
    <n v="164365.69"/>
    <s v="2026-01-29"/>
    <n v="4.2165999999999997"/>
    <n v="0.23719999999999999"/>
    <n v="4.2008999999999999"/>
    <n v="1"/>
    <n v="328099.96840000001"/>
    <s v="POLAND PL"/>
  </r>
  <r>
    <s v="BKMILL"/>
    <n v="157436"/>
    <n v="217977"/>
    <s v="Forward"/>
    <x v="209"/>
    <s v="Buy Fwd"/>
    <s v="EUR"/>
    <n v="50000"/>
    <s v="PLN"/>
    <n v="210330"/>
    <s v="2026-01-16"/>
    <n v="4.2073999999999998"/>
    <n v="0.23769999999999999"/>
    <n v="4.2068000000000003"/>
    <n v="1"/>
    <n v="420670"/>
    <s v="POLAND PL"/>
  </r>
  <r>
    <s v="BKMILL"/>
    <n v="157437"/>
    <n v="901432"/>
    <s v="Spot"/>
    <x v="41"/>
    <s v="Sell"/>
    <s v="EUR"/>
    <n v="-500000"/>
    <s v="PLN"/>
    <n v="2111700"/>
    <s v="2026-01-20"/>
    <n v="4.2233999999999998"/>
    <n v="0.23680000000000001"/>
    <n v="4.2230999999999996"/>
    <n v="1"/>
    <n v="150"/>
    <s v="GERMANY DE"/>
  </r>
  <r>
    <s v="BKMILL"/>
    <n v="157438"/>
    <n v="217979"/>
    <s v="Forward"/>
    <x v="210"/>
    <s v="Buy Fwd"/>
    <s v="EUR"/>
    <n v="20000"/>
    <s v="PLN"/>
    <n v="84340"/>
    <s v="2026-01-16"/>
    <n v="4.2169999999999996"/>
    <n v="0.23710000000000001"/>
    <n v="4.2068000000000003"/>
    <n v="1"/>
    <n v="168476"/>
    <s v="POLAND PL"/>
  </r>
  <r>
    <s v="BKMILL"/>
    <n v="157441"/>
    <n v="217983"/>
    <s v="Forward"/>
    <x v="211"/>
    <s v="Sell Fwd"/>
    <s v="EUR"/>
    <n v="-10000"/>
    <s v="PLN"/>
    <n v="42360"/>
    <s v="2026-01-16"/>
    <n v="4.2367999999999997"/>
    <n v="0.23599999999999999"/>
    <n v="4.2068000000000003"/>
    <n v="1"/>
    <n v="292"/>
    <s v="POLAND PL"/>
  </r>
  <r>
    <s v="BKMILL"/>
    <n v="157444"/>
    <n v="901464"/>
    <s v="Spot"/>
    <x v="50"/>
    <s v="Buy"/>
    <s v="NOK"/>
    <n v="980000"/>
    <s v="PLN"/>
    <n v="-353192"/>
    <s v="2026-01-20"/>
    <n v="0.3604"/>
    <n v="2.7747000000000002"/>
    <n v="0.36009999999999998"/>
    <n v="1"/>
    <n v="-294"/>
    <s v="POLAND PL"/>
  </r>
  <r>
    <s v="BKMILL"/>
    <n v="157445"/>
    <n v="901468"/>
    <s v="Spot"/>
    <x v="47"/>
    <s v="Buy"/>
    <s v="EUR"/>
    <n v="100000"/>
    <s v="NOK"/>
    <n v="-1171830"/>
    <s v="2026-01-20"/>
    <n v="11.718299999999999"/>
    <n v="8.5300000000000001E-2"/>
    <n v="4.2230999999999996"/>
    <n v="0.36009999999999998"/>
    <n v="334.017"/>
    <s v="FRANCE FR"/>
  </r>
  <r>
    <s v="BKMILL"/>
    <n v="157446"/>
    <n v="217989"/>
    <s v="Forward"/>
    <x v="212"/>
    <s v="Sell Fwd"/>
    <s v="EUR"/>
    <n v="-45750"/>
    <s v="GBP"/>
    <n v="39711"/>
    <s v="2026-01-16"/>
    <n v="0.86799999999999999"/>
    <n v="1.1520999999999999"/>
    <n v="4.2068000000000003"/>
    <n v="4.8579999999999997"/>
    <n v="454.93799999999999"/>
    <s v="UNITED KINGDOM GB"/>
  </r>
  <r>
    <s v="BKMILL"/>
    <n v="157449"/>
    <n v="217994"/>
    <s v="Forward"/>
    <x v="213"/>
    <s v="Buy Fwd"/>
    <s v="EUR"/>
    <n v="6100"/>
    <s v="PLN"/>
    <n v="25534.6"/>
    <s v="2026-01-16"/>
    <n v="4.1859999999999999"/>
    <n v="0.2389"/>
    <n v="4.2068000000000003"/>
    <n v="1"/>
    <n v="51196.08"/>
    <s v="POLAND PL"/>
  </r>
  <r>
    <s v="BKMILL"/>
    <n v="157450"/>
    <n v="217995"/>
    <s v="Forward"/>
    <x v="214"/>
    <s v="Buy Fwd"/>
    <s v="EUR"/>
    <n v="1000"/>
    <s v="PLN"/>
    <n v="4212"/>
    <s v="2026-01-16"/>
    <n v="4.2129000000000003"/>
    <n v="0.2374"/>
    <n v="4.2068000000000003"/>
    <n v="1"/>
    <n v="8418.7999999999993"/>
    <s v="POLAND PL"/>
  </r>
  <r>
    <s v="BKMILL"/>
    <n v="157451"/>
    <n v="217997"/>
    <s v="Forward"/>
    <x v="215"/>
    <s v="Sell Fwd"/>
    <s v="EUR"/>
    <n v="-16000"/>
    <s v="PLN"/>
    <n v="67744"/>
    <s v="2026-01-16"/>
    <n v="4.234"/>
    <n v="0.23619999999999999"/>
    <n v="4.2068000000000003"/>
    <n v="1"/>
    <n v="435.2"/>
    <s v="POLAND PL"/>
  </r>
  <r>
    <s v="BKMILL"/>
    <n v="157453"/>
    <n v="901555"/>
    <s v="Spot"/>
    <x v="38"/>
    <s v="Sell"/>
    <s v="EUR"/>
    <n v="-1000000"/>
    <s v="PLN"/>
    <n v="4223100"/>
    <s v="2026-01-20"/>
    <n v="4.2230999999999996"/>
    <n v="0.23680000000000001"/>
    <n v="4.2230999999999996"/>
    <n v="1"/>
    <n v="0"/>
    <s v="NETHERLANDS NL"/>
  </r>
  <r>
    <s v="BKMILL"/>
    <n v="157454"/>
    <n v="901558"/>
    <s v="Spot"/>
    <x v="43"/>
    <s v="Sell"/>
    <s v="EUR"/>
    <n v="-300000"/>
    <s v="PLN"/>
    <n v="1266900"/>
    <s v="2026-01-20"/>
    <n v="4.2229999999999999"/>
    <n v="0.23680000000000001"/>
    <n v="4.2230999999999996"/>
    <n v="1"/>
    <n v="-30"/>
    <s v="FRANCE FR"/>
  </r>
  <r>
    <s v="BKMILL"/>
    <n v="157455"/>
    <n v="901587"/>
    <s v="Spot"/>
    <x v="40"/>
    <s v="Buy"/>
    <s v="EUR"/>
    <n v="100000"/>
    <s v="GBP"/>
    <n v="-86671"/>
    <s v="2026-01-20"/>
    <n v="0.86670000000000003"/>
    <n v="1.1537999999999999"/>
    <n v="4.2230999999999996"/>
    <n v="4.8704000000000001"/>
    <n v="187.5616"/>
    <s v="UNITED STATES OF AMERICA US"/>
  </r>
  <r>
    <s v="BKMILL"/>
    <n v="157456"/>
    <n v="218004"/>
    <s v="Forward"/>
    <x v="216"/>
    <s v="Buy Fwd"/>
    <s v="EUR"/>
    <n v="100000"/>
    <s v="USD"/>
    <n v="116000"/>
    <s v="2026-01-16"/>
    <n v="1.1599999999999999"/>
    <n v="0.86209999999999998"/>
    <n v="4.2068000000000003"/>
    <n v="3.6153"/>
    <n v="840054.8"/>
    <s v="POLAND PL"/>
  </r>
  <r>
    <s v="BKMILL"/>
    <n v="157457"/>
    <n v="901607"/>
    <s v="Spot"/>
    <x v="47"/>
    <s v="Buy"/>
    <s v="EUR"/>
    <n v="100000"/>
    <s v="NOK"/>
    <n v="-1171900"/>
    <s v="2026-01-20"/>
    <n v="11.718999999999999"/>
    <n v="8.5300000000000001E-2"/>
    <n v="4.2230999999999996"/>
    <n v="0.36009999999999998"/>
    <n v="308.81"/>
    <s v="FRANCE FR"/>
  </r>
  <r>
    <s v="BKMILL"/>
    <n v="157458"/>
    <n v="901610"/>
    <s v="Spot"/>
    <x v="217"/>
    <s v="Buy"/>
    <s v="EUR"/>
    <n v="16251.66"/>
    <s v="PLN"/>
    <n v="-68504"/>
    <s v="2026-01-20"/>
    <n v="4.2152000000000003"/>
    <n v="0.23719999999999999"/>
    <n v="4.2230999999999996"/>
    <n v="1"/>
    <n v="128.385346"/>
    <s v="POLAND PL"/>
  </r>
  <r>
    <s v="BKMILL"/>
    <n v="157459"/>
    <n v="901611"/>
    <s v="Spot"/>
    <x v="41"/>
    <s v="Sell"/>
    <s v="EUR"/>
    <n v="-100000"/>
    <s v="USD"/>
    <n v="116129"/>
    <s v="2026-01-20"/>
    <n v="1.1613"/>
    <n v="0.86109999999999998"/>
    <n v="4.2230999999999996"/>
    <n v="3.6345999999999998"/>
    <n v="-227.53659999999999"/>
    <s v="GERMANY DE"/>
  </r>
  <r>
    <s v="BKMILL"/>
    <n v="157461"/>
    <n v="901622"/>
    <s v="Spot"/>
    <x v="41"/>
    <s v="Sell"/>
    <s v="USD"/>
    <n v="-500000"/>
    <s v="PLN"/>
    <n v="1818000"/>
    <s v="2026-01-20"/>
    <n v="3.6360000000000001"/>
    <n v="0.27500000000000002"/>
    <n v="3.6345999999999998"/>
    <n v="1"/>
    <n v="700"/>
    <s v="GERMANY DE"/>
  </r>
  <r>
    <s v="BKMILL"/>
    <n v="157462"/>
    <n v="218007"/>
    <s v="Forward"/>
    <x v="218"/>
    <s v="Buy Fwd"/>
    <s v="USD"/>
    <n v="400000"/>
    <s v="PLN"/>
    <n v="1451080"/>
    <s v="2026-01-16"/>
    <n v="3.6282000000000001"/>
    <n v="0.27560000000000001"/>
    <n v="3.6153"/>
    <n v="1"/>
    <n v="2897200"/>
    <s v="POLAND PL"/>
  </r>
  <r>
    <s v="BKMILL"/>
    <n v="157464"/>
    <n v="901636"/>
    <s v="Spot"/>
    <x v="40"/>
    <s v="Sell"/>
    <s v="EUR"/>
    <n v="-500000"/>
    <s v="PLN"/>
    <n v="2112500"/>
    <s v="2026-01-20"/>
    <n v="4.2249999999999996"/>
    <n v="0.23669999999999999"/>
    <n v="4.2230999999999996"/>
    <n v="1"/>
    <n v="950"/>
    <s v="UNITED STATES OF AMERICA US"/>
  </r>
  <r>
    <s v="BKMILL"/>
    <n v="157465"/>
    <n v="218010"/>
    <s v="Forward"/>
    <x v="219"/>
    <s v="Sell Fwd"/>
    <s v="USD"/>
    <n v="-4000"/>
    <s v="PLN"/>
    <n v="14572"/>
    <s v="2026-01-16"/>
    <n v="3.6431"/>
    <n v="0.27450000000000002"/>
    <n v="3.6153"/>
    <n v="1"/>
    <n v="110.8"/>
    <s v="POLAND PL"/>
  </r>
  <r>
    <s v="BKMILL"/>
    <n v="157466"/>
    <n v="218012"/>
    <s v="Forward"/>
    <x v="220"/>
    <s v="Buy Fwd"/>
    <s v="EUR"/>
    <n v="3015"/>
    <s v="PLN"/>
    <n v="12699.18"/>
    <s v="2026-01-16"/>
    <n v="4.2119999999999997"/>
    <n v="0.2374"/>
    <n v="4.2068000000000003"/>
    <n v="1"/>
    <n v="25382.682000000001"/>
    <s v="POLAND PL"/>
  </r>
  <r>
    <s v="BKMILL"/>
    <n v="157467"/>
    <n v="218013"/>
    <s v="Forward"/>
    <x v="221"/>
    <s v="Buy Fwd"/>
    <s v="EUR"/>
    <n v="60000"/>
    <s v="PLN"/>
    <n v="253080"/>
    <s v="2026-01-16"/>
    <n v="4.218"/>
    <n v="0.23710000000000001"/>
    <n v="4.2068000000000003"/>
    <n v="1"/>
    <n v="505488"/>
    <s v="POLAND PL"/>
  </r>
  <r>
    <s v="BKMILL"/>
    <n v="157469"/>
    <n v="901663"/>
    <s v="Spot"/>
    <x v="47"/>
    <s v="Sell"/>
    <s v="EUR"/>
    <n v="-1000000"/>
    <s v="PLN"/>
    <n v="4224200"/>
    <s v="2026-01-20"/>
    <n v="4.2241999999999997"/>
    <n v="0.23669999999999999"/>
    <n v="4.2230999999999996"/>
    <n v="1"/>
    <n v="1100"/>
    <s v="FRANCE FR"/>
  </r>
  <r>
    <s v="BKMILL"/>
    <n v="157470"/>
    <n v="901664"/>
    <s v="Spot"/>
    <x v="47"/>
    <s v="Sell"/>
    <s v="EUR"/>
    <n v="-1000000"/>
    <s v="PLN"/>
    <n v="4224100"/>
    <s v="2026-01-20"/>
    <n v="4.2241"/>
    <n v="0.23669999999999999"/>
    <n v="4.2230999999999996"/>
    <n v="1"/>
    <n v="1000"/>
    <s v="FRANCE FR"/>
  </r>
  <r>
    <s v="BKMILL"/>
    <n v="157471"/>
    <n v="901665"/>
    <s v="Spot"/>
    <x v="40"/>
    <s v="Sell"/>
    <s v="EUR"/>
    <n v="-1000000"/>
    <s v="PLN"/>
    <n v="4224100"/>
    <s v="2026-01-20"/>
    <n v="4.2241"/>
    <n v="0.23669999999999999"/>
    <n v="4.2230999999999996"/>
    <n v="1"/>
    <n v="1000"/>
    <s v="UNITED STATES OF AMERICA US"/>
  </r>
  <r>
    <s v="BKMILL"/>
    <n v="157472"/>
    <n v="901669"/>
    <s v="Spot"/>
    <x v="47"/>
    <s v="Sell"/>
    <s v="EUR"/>
    <n v="-500000"/>
    <s v="PLN"/>
    <n v="2112075"/>
    <s v="2026-01-20"/>
    <n v="4.2241"/>
    <n v="0.23669999999999999"/>
    <n v="4.2230999999999996"/>
    <n v="1"/>
    <n v="525"/>
    <s v="FRANCE FR"/>
  </r>
  <r>
    <s v="BKMILL"/>
    <n v="157474"/>
    <n v="218021"/>
    <s v="Forward"/>
    <x v="222"/>
    <s v="Buy Fwd"/>
    <s v="EUR"/>
    <n v="100000"/>
    <s v="PLN"/>
    <n v="422000"/>
    <s v="2026-01-19"/>
    <n v="4.2202000000000002"/>
    <n v="0.23699999999999999"/>
    <n v="4.2191999999999998"/>
    <n v="1"/>
    <n v="843920"/>
    <s v="POLAND PL"/>
  </r>
  <r>
    <s v="BKMILL"/>
    <n v="157475"/>
    <n v="901679"/>
    <s v="Spot"/>
    <x v="41"/>
    <s v="Sell"/>
    <s v="EUR"/>
    <n v="-100000"/>
    <s v="USD"/>
    <n v="116213"/>
    <s v="2026-01-20"/>
    <n v="1.1620999999999999"/>
    <n v="0.86050000000000004"/>
    <n v="4.2230999999999996"/>
    <n v="3.6345999999999998"/>
    <n v="77.769800000000004"/>
    <s v="GERMANY DE"/>
  </r>
  <r>
    <s v="BKMILL"/>
    <n v="157480"/>
    <n v="218026"/>
    <s v="Forward"/>
    <x v="139"/>
    <s v="Buy Fwd"/>
    <s v="EUR"/>
    <n v="91893.9"/>
    <s v="PLN"/>
    <n v="387332.79"/>
    <s v="2026-01-16"/>
    <n v="4.2159000000000004"/>
    <n v="0.23719999999999999"/>
    <n v="4.2068000000000003"/>
    <n v="1"/>
    <n v="773912.04851999995"/>
    <s v="POLAND PL"/>
  </r>
  <r>
    <s v="BKMILL"/>
    <n v="157481"/>
    <n v="218029"/>
    <s v="Forward"/>
    <x v="223"/>
    <s v="Buy Fwd"/>
    <s v="EUR"/>
    <n v="5000"/>
    <s v="PLN"/>
    <n v="21025"/>
    <s v="2026-01-16"/>
    <n v="4.2050000000000001"/>
    <n v="0.23780000000000001"/>
    <n v="4.2068000000000003"/>
    <n v="1"/>
    <n v="42059"/>
    <s v="POLAND PL"/>
  </r>
  <r>
    <s v="BKMILL"/>
    <n v="157482"/>
    <n v="218031"/>
    <s v="Forward"/>
    <x v="41"/>
    <s v="Buy Fwd"/>
    <s v="EUR"/>
    <n v="3000"/>
    <s v="PLN"/>
    <n v="12669.45"/>
    <s v="2026-01-19"/>
    <n v="4.2232000000000003"/>
    <n v="0.23680000000000001"/>
    <n v="4.2191999999999998"/>
    <n v="1"/>
    <n v="25327.05"/>
    <s v="GERMANY DE"/>
  </r>
  <r>
    <s v="BKMILL"/>
    <n v="157483"/>
    <n v="218032"/>
    <s v="Forward"/>
    <x v="224"/>
    <s v="Sell Fwd"/>
    <s v="EUR"/>
    <n v="-3000"/>
    <s v="PLN"/>
    <n v="12678.6"/>
    <s v="2026-01-19"/>
    <n v="4.2262000000000004"/>
    <n v="0.2366"/>
    <n v="4.2191999999999998"/>
    <n v="1"/>
    <n v="21"/>
    <s v="POLAND PL"/>
  </r>
  <r>
    <s v="BKMILL"/>
    <n v="157484"/>
    <n v="901720"/>
    <s v="Spot"/>
    <x v="40"/>
    <s v="Sell"/>
    <s v="EUR"/>
    <n v="-98707.69"/>
    <s v="PLN"/>
    <n v="416697.47"/>
    <s v="2026-01-20"/>
    <n v="4.2214999999999998"/>
    <n v="0.2369"/>
    <n v="4.2230999999999996"/>
    <n v="1"/>
    <n v="-154.975639"/>
    <s v="UNITED STATES OF AMERICA US"/>
  </r>
  <r>
    <s v="BKMILL"/>
    <n v="157485"/>
    <n v="901721"/>
    <s v="Spot"/>
    <x v="36"/>
    <s v="Sell"/>
    <s v="USD"/>
    <n v="-17393.240000000002"/>
    <s v="PLN"/>
    <n v="63306.7"/>
    <s v="2026-01-20"/>
    <n v="3.6396999999999999"/>
    <n v="0.2747"/>
    <n v="3.6345999999999998"/>
    <n v="1"/>
    <n v="89.229895999999997"/>
    <s v="UNITED KINGDOM GB"/>
  </r>
  <r>
    <s v="BKMILL"/>
    <n v="157486"/>
    <n v="901722"/>
    <s v="Spot"/>
    <x v="40"/>
    <s v="Sell"/>
    <s v="GBP"/>
    <n v="-7708.33"/>
    <s v="PLN"/>
    <n v="37541.879999999997"/>
    <s v="2026-01-20"/>
    <n v="4.8703000000000003"/>
    <n v="0.20530000000000001"/>
    <n v="4.8704000000000001"/>
    <n v="1"/>
    <n v="-0.77043200000000001"/>
    <s v="UNITED STATES OF AMERICA US"/>
  </r>
  <r>
    <s v="BKMILL"/>
    <n v="157487"/>
    <n v="901723"/>
    <s v="Spot"/>
    <x v="41"/>
    <s v="Buy"/>
    <s v="CHF"/>
    <n v="7072.65"/>
    <s v="PLN"/>
    <n v="-32082.25"/>
    <s v="2026-01-20"/>
    <n v="4.5361000000000002"/>
    <n v="0.2205"/>
    <n v="4.5476000000000001"/>
    <n v="1"/>
    <n v="81.33314"/>
    <s v="GERMANY DE"/>
  </r>
  <r>
    <s v="BKMILL"/>
    <n v="157488"/>
    <n v="901728"/>
    <s v="Spot"/>
    <x v="41"/>
    <s v="Sell"/>
    <s v="EUR"/>
    <n v="-100623.75"/>
    <s v="PLN"/>
    <n v="424591.98"/>
    <s v="2026-01-20"/>
    <n v="4.2195999999999998"/>
    <n v="0.23699999999999999"/>
    <n v="4.2230999999999996"/>
    <n v="1"/>
    <n v="-352.17862500000001"/>
    <s v="GERMANY DE"/>
  </r>
  <r>
    <s v="BKMILL"/>
    <n v="157489"/>
    <n v="901730"/>
    <s v="Spot"/>
    <x v="40"/>
    <s v="Sell"/>
    <s v="EUR"/>
    <n v="-115633.7"/>
    <s v="PLN"/>
    <n v="487831.98"/>
    <s v="2026-01-20"/>
    <n v="4.2187999999999999"/>
    <n v="0.23699999999999999"/>
    <n v="4.2230999999999996"/>
    <n v="1"/>
    <n v="-500.69846999999999"/>
    <s v="UNITED STATES OF AMERICA US"/>
  </r>
  <r>
    <s v="BKMILL"/>
    <n v="157490"/>
    <n v="901732"/>
    <s v="Spot"/>
    <x v="40"/>
    <s v="Sell"/>
    <s v="CHF"/>
    <n v="-798.27"/>
    <s v="PLN"/>
    <n v="3614.74"/>
    <s v="2026-01-20"/>
    <n v="4.5282"/>
    <n v="0.2208"/>
    <n v="4.5476000000000001"/>
    <n v="1"/>
    <n v="-15.472652"/>
    <s v="UNITED STATES OF AMERICA US"/>
  </r>
  <r>
    <s v="BKMILL"/>
    <n v="157491"/>
    <n v="901733"/>
    <s v="Spot"/>
    <x v="40"/>
    <s v="Sell"/>
    <s v="USD"/>
    <n v="-34393.31"/>
    <s v="PLN"/>
    <n v="125117.01"/>
    <s v="2026-01-20"/>
    <n v="3.6377999999999999"/>
    <n v="0.27489999999999998"/>
    <n v="3.6345999999999998"/>
    <n v="1"/>
    <n v="111.085474"/>
    <s v="UNITED STATES OF AMERICA US"/>
  </r>
  <r>
    <s v="BKMILL"/>
    <n v="157492"/>
    <n v="901734"/>
    <s v="Spot"/>
    <x v="40"/>
    <s v="Buy"/>
    <s v="GBP"/>
    <n v="2079.66"/>
    <s v="PLN"/>
    <n v="-10126.49"/>
    <s v="2026-01-20"/>
    <n v="4.8693"/>
    <n v="0.2054"/>
    <n v="4.8704000000000001"/>
    <n v="1"/>
    <n v="2.2860640000000001"/>
    <s v="UNITED STATES OF AMERICA US"/>
  </r>
  <r>
    <s v="BKMILL"/>
    <n v="157493"/>
    <n v="901735"/>
    <s v="Spot"/>
    <x v="40"/>
    <s v="Sell"/>
    <s v="EUR"/>
    <n v="-56181.45"/>
    <s v="PLN"/>
    <n v="237013.24"/>
    <s v="2026-01-20"/>
    <n v="4.2187000000000001"/>
    <n v="0.23699999999999999"/>
    <n v="4.2230999999999996"/>
    <n v="1"/>
    <n v="-246.64149499999999"/>
    <s v="UNITED STATES OF AMERICA US"/>
  </r>
  <r>
    <s v="BKMILL"/>
    <n v="157494"/>
    <n v="901740"/>
    <s v="Spot"/>
    <x v="42"/>
    <s v="Sell"/>
    <s v="EUR"/>
    <n v="-55591.65"/>
    <s v="PLN"/>
    <n v="234574.53"/>
    <s v="2026-01-20"/>
    <n v="4.2195999999999998"/>
    <n v="0.23699999999999999"/>
    <n v="4.2230999999999996"/>
    <n v="1"/>
    <n v="-194.567115"/>
    <s v="SWITZERLAND CH"/>
  </r>
  <r>
    <s v="BKMILL"/>
    <n v="157495"/>
    <n v="901741"/>
    <s v="Spot"/>
    <x v="42"/>
    <s v="Sell"/>
    <s v="USD"/>
    <n v="-4313.3"/>
    <s v="PLN"/>
    <n v="15691.01"/>
    <s v="2026-01-20"/>
    <n v="3.6377999999999999"/>
    <n v="0.27489999999999998"/>
    <n v="3.6345999999999998"/>
    <n v="1"/>
    <n v="13.88982"/>
    <s v="SWITZERLAND CH"/>
  </r>
  <r>
    <s v="BKMILL"/>
    <n v="157496"/>
    <n v="901742"/>
    <s v="Spot"/>
    <x v="40"/>
    <s v="Buy"/>
    <s v="CHF"/>
    <n v="361.1"/>
    <s v="PLN"/>
    <n v="-1636.07"/>
    <s v="2026-01-20"/>
    <n v="4.5308000000000002"/>
    <n v="0.22070000000000001"/>
    <n v="4.5476000000000001"/>
    <n v="1"/>
    <n v="6.0683600000000002"/>
    <s v="UNITED STATES OF AMERICA US"/>
  </r>
  <r>
    <s v="BKMILL"/>
    <n v="157498"/>
    <n v="901750"/>
    <s v="Spot"/>
    <x v="41"/>
    <s v="Sell"/>
    <s v="EUR"/>
    <n v="-101272.67"/>
    <s v="PLN"/>
    <n v="427380.79"/>
    <s v="2026-01-21"/>
    <n v="4.2201000000000004"/>
    <n v="0.23699999999999999"/>
    <n v="4.2279"/>
    <n v="1"/>
    <n v="-789.93149300000005"/>
    <s v="GERMANY DE"/>
  </r>
  <r>
    <s v="BKMILL"/>
    <n v="157499"/>
    <n v="901751"/>
    <s v="Spot"/>
    <x v="41"/>
    <s v="Sell"/>
    <s v="EUR"/>
    <n v="-100176.03"/>
    <s v="PLN"/>
    <n v="422752.86"/>
    <s v="2026-01-21"/>
    <n v="4.2201000000000004"/>
    <n v="0.23699999999999999"/>
    <n v="4.2279"/>
    <n v="1"/>
    <n v="-781.37723700000004"/>
    <s v="GERMANY DE"/>
  </r>
  <r>
    <s v="BKMILL"/>
    <n v="157500"/>
    <n v="901752"/>
    <s v="Spot"/>
    <x v="41"/>
    <s v="Sell"/>
    <s v="EUR"/>
    <n v="-100039.36"/>
    <s v="PLN"/>
    <n v="422176.1"/>
    <s v="2026-01-21"/>
    <n v="4.2201000000000004"/>
    <n v="0.23699999999999999"/>
    <n v="4.2279"/>
    <n v="1"/>
    <n v="-780.31014400000004"/>
    <s v="GERMANY DE"/>
  </r>
  <r>
    <s v="BKMILL"/>
    <n v="157501"/>
    <n v="901753"/>
    <s v="Spot"/>
    <x v="41"/>
    <s v="Sell"/>
    <s v="EUR"/>
    <n v="-100494.43"/>
    <s v="PLN"/>
    <n v="424096.54"/>
    <s v="2026-01-21"/>
    <n v="4.2201000000000004"/>
    <n v="0.23699999999999999"/>
    <n v="4.2279"/>
    <n v="1"/>
    <n v="-783.86059699999998"/>
    <s v="GERMANY DE"/>
  </r>
  <r>
    <s v="BKMILL"/>
    <n v="157502"/>
    <n v="901754"/>
    <s v="Spot"/>
    <x v="41"/>
    <s v="Sell"/>
    <s v="USD"/>
    <n v="-113997.32"/>
    <s v="PLN"/>
    <n v="415315.04"/>
    <s v="2026-01-21"/>
    <n v="3.6432000000000002"/>
    <n v="0.27450000000000002"/>
    <n v="3.6053999999999999"/>
    <n v="1"/>
    <n v="4309.1024719999996"/>
    <s v="GERMANY DE"/>
  </r>
  <r>
    <s v="BKMILL"/>
    <n v="157503"/>
    <n v="901755"/>
    <s v="Spot"/>
    <x v="41"/>
    <s v="Sell"/>
    <s v="EUR"/>
    <n v="-102804.21"/>
    <s v="PLN"/>
    <n v="433844.05"/>
    <s v="2026-01-21"/>
    <n v="4.2201000000000004"/>
    <n v="0.23699999999999999"/>
    <n v="4.2279"/>
    <n v="1"/>
    <n v="-801.86945900000001"/>
    <s v="GERMANY DE"/>
  </r>
  <r>
    <s v="BKMILL"/>
    <n v="157504"/>
    <n v="901756"/>
    <s v="Spot"/>
    <x v="41"/>
    <s v="Sell"/>
    <s v="EUR"/>
    <n v="-100234.36"/>
    <s v="PLN"/>
    <n v="422999.02"/>
    <s v="2026-01-21"/>
    <n v="4.2201000000000004"/>
    <n v="0.23699999999999999"/>
    <n v="4.2279"/>
    <n v="1"/>
    <n v="-781.83064400000001"/>
    <s v="GERMANY DE"/>
  </r>
  <r>
    <s v="BKMILL"/>
    <n v="157505"/>
    <n v="901757"/>
    <s v="Spot"/>
    <x v="41"/>
    <s v="Sell"/>
    <s v="EUR"/>
    <n v="-104057.81"/>
    <s v="PLN"/>
    <n v="439134.36"/>
    <s v="2026-01-21"/>
    <n v="4.2201000000000004"/>
    <n v="0.23699999999999999"/>
    <n v="4.2279"/>
    <n v="1"/>
    <n v="-811.654899"/>
    <s v="GERMANY DE"/>
  </r>
  <r>
    <s v="BKMILL"/>
    <n v="157506"/>
    <n v="901758"/>
    <s v="Spot"/>
    <x v="41"/>
    <s v="Sell"/>
    <s v="USD"/>
    <n v="-134500.44"/>
    <s v="PLN"/>
    <n v="490159.95"/>
    <s v="2026-01-21"/>
    <n v="3.6442999999999999"/>
    <n v="0.27439999999999998"/>
    <n v="3.6053999999999999"/>
    <n v="1"/>
    <n v="5232.0636240000003"/>
    <s v="GERMANY DE"/>
  </r>
  <r>
    <s v="BKMILL"/>
    <n v="157507"/>
    <n v="901759"/>
    <s v="Spot"/>
    <x v="41"/>
    <s v="Sell"/>
    <s v="EUR"/>
    <n v="-102018.57"/>
    <s v="PLN"/>
    <n v="430528.57"/>
    <s v="2026-01-21"/>
    <n v="4.2201000000000004"/>
    <n v="0.23699999999999999"/>
    <n v="4.2279"/>
    <n v="1"/>
    <n v="-795.74210300000004"/>
    <s v="GERMANY DE"/>
  </r>
  <r>
    <s v="BKMILL"/>
    <n v="157508"/>
    <n v="901760"/>
    <s v="Spot"/>
    <x v="41"/>
    <s v="Sell"/>
    <s v="EUR"/>
    <n v="-102629.63"/>
    <s v="PLN"/>
    <n v="433107.3"/>
    <s v="2026-01-21"/>
    <n v="4.2201000000000004"/>
    <n v="0.23699999999999999"/>
    <n v="4.2279"/>
    <n v="1"/>
    <n v="-800.51267700000005"/>
    <s v="GERMANY DE"/>
  </r>
  <r>
    <s v="BKMILL"/>
    <n v="157509"/>
    <n v="901761"/>
    <s v="Spot"/>
    <x v="41"/>
    <s v="Sell"/>
    <s v="EUR"/>
    <n v="-100101.35"/>
    <s v="PLN"/>
    <n v="422437.71"/>
    <s v="2026-01-21"/>
    <n v="4.2201000000000004"/>
    <n v="0.23699999999999999"/>
    <n v="4.2279"/>
    <n v="1"/>
    <n v="-780.78766499999995"/>
    <s v="GERMANY DE"/>
  </r>
  <r>
    <s v="BKMILL"/>
    <n v="157510"/>
    <n v="901762"/>
    <s v="Spot"/>
    <x v="41"/>
    <s v="Sell"/>
    <s v="EUR"/>
    <n v="-100236.61"/>
    <s v="PLN"/>
    <n v="423008.52"/>
    <s v="2026-01-21"/>
    <n v="4.2201000000000004"/>
    <n v="0.23699999999999999"/>
    <n v="4.2279"/>
    <n v="1"/>
    <n v="-781.84341900000004"/>
    <s v="GERMANY DE"/>
  </r>
  <r>
    <s v="BKMILL"/>
    <n v="157511"/>
    <n v="901763"/>
    <s v="Spot"/>
    <x v="41"/>
    <s v="Sell"/>
    <s v="USD"/>
    <n v="-141684.57"/>
    <s v="PLN"/>
    <n v="516341.08"/>
    <s v="2026-01-21"/>
    <n v="3.6442999999999999"/>
    <n v="0.27439999999999998"/>
    <n v="3.6053999999999999"/>
    <n v="1"/>
    <n v="5511.5313219999998"/>
    <s v="GERMANY DE"/>
  </r>
  <r>
    <s v="BKMILL"/>
    <n v="157512"/>
    <n v="901764"/>
    <s v="Spot"/>
    <x v="41"/>
    <s v="Sell"/>
    <s v="EUR"/>
    <n v="-100107.77"/>
    <s v="PLN"/>
    <n v="422464.8"/>
    <s v="2026-01-21"/>
    <n v="4.2201000000000004"/>
    <n v="0.23699999999999999"/>
    <n v="4.2279"/>
    <n v="1"/>
    <n v="-780.84078299999999"/>
    <s v="GERMANY DE"/>
  </r>
  <r>
    <s v="BKMILL"/>
    <n v="157513"/>
    <n v="901765"/>
    <s v="Spot"/>
    <x v="41"/>
    <s v="Sell"/>
    <s v="GBP"/>
    <n v="-33639.5"/>
    <s v="PLN"/>
    <n v="163615.79999999999"/>
    <s v="2026-01-21"/>
    <n v="4.8638000000000003"/>
    <n v="0.2056"/>
    <n v="4.8582999999999998"/>
    <n v="1"/>
    <n v="185.01714999999999"/>
    <s v="GERMANY DE"/>
  </r>
  <r>
    <s v="BKMILL"/>
    <n v="157514"/>
    <n v="901766"/>
    <s v="Spot"/>
    <x v="41"/>
    <s v="Sell"/>
    <s v="USD"/>
    <n v="-43465.52"/>
    <s v="PLN"/>
    <n v="158349.24"/>
    <s v="2026-01-21"/>
    <n v="3.6431"/>
    <n v="0.27450000000000002"/>
    <n v="3.6053999999999999"/>
    <n v="1"/>
    <n v="1638.654192"/>
    <s v="GERMANY DE"/>
  </r>
  <r>
    <s v="BKMILL"/>
    <n v="157515"/>
    <n v="901767"/>
    <s v="Spot"/>
    <x v="41"/>
    <s v="Sell"/>
    <s v="EUR"/>
    <n v="-65983.88"/>
    <s v="PLN"/>
    <n v="278458.57"/>
    <s v="2026-01-21"/>
    <n v="4.2201000000000004"/>
    <n v="0.23699999999999999"/>
    <n v="4.2279"/>
    <n v="1"/>
    <n v="-514.67625199999998"/>
    <s v="GERMANY DE"/>
  </r>
  <r>
    <s v="BKMILL"/>
    <n v="157516"/>
    <n v="901768"/>
    <s v="Spot"/>
    <x v="36"/>
    <s v="Sell"/>
    <s v="CHF"/>
    <n v="-1844.07"/>
    <s v="PLN"/>
    <n v="8366.9"/>
    <s v="2026-01-21"/>
    <n v="4.5372000000000003"/>
    <n v="0.22040000000000001"/>
    <n v="4.5608000000000004"/>
    <n v="1"/>
    <n v="-43.534455999999999"/>
    <s v="UNITED KINGDOM GB"/>
  </r>
  <r>
    <s v="BKMILL"/>
    <n v="157517"/>
    <n v="218034"/>
    <s v="Forward"/>
    <x v="40"/>
    <s v="Sell Fwd"/>
    <s v="EUR"/>
    <n v="-4000"/>
    <s v="PLN"/>
    <n v="16888.669999999998"/>
    <s v="2026-01-19"/>
    <n v="4.2232000000000003"/>
    <n v="0.23680000000000001"/>
    <n v="4.2191999999999998"/>
    <n v="1"/>
    <n v="11.87"/>
    <s v="UNITED STATES OF AMERICA US"/>
  </r>
  <r>
    <s v="BKMILL"/>
    <n v="157518"/>
    <n v="218036"/>
    <s v="Forward"/>
    <x v="40"/>
    <s v="Sell Fwd"/>
    <s v="EUR"/>
    <n v="-4000"/>
    <s v="PLN"/>
    <n v="16888.79"/>
    <s v="2026-01-19"/>
    <n v="4.2233000000000001"/>
    <n v="0.23680000000000001"/>
    <n v="4.2191999999999998"/>
    <n v="1"/>
    <n v="11.99"/>
    <s v="UNITED STATES OF AMERICA US"/>
  </r>
  <r>
    <s v="BKMILL"/>
    <n v="157519"/>
    <n v="901835"/>
    <s v="Spot"/>
    <x v="43"/>
    <s v="Sell"/>
    <s v="EUR"/>
    <n v="-52302.82"/>
    <s v="PLN"/>
    <n v="220907.76"/>
    <s v="2026-01-21"/>
    <n v="4.2236000000000002"/>
    <n v="0.23680000000000001"/>
    <n v="4.2279"/>
    <n v="1"/>
    <n v="-223.33267799999999"/>
    <s v="FRANCE FR"/>
  </r>
  <r>
    <s v="BKMILL"/>
    <n v="157520"/>
    <n v="901836"/>
    <s v="Spot"/>
    <x v="41"/>
    <s v="Sell"/>
    <s v="USD"/>
    <n v="-1356.37"/>
    <s v="PLN"/>
    <n v="4924.17"/>
    <s v="2026-01-21"/>
    <n v="3.6303999999999998"/>
    <n v="0.27550000000000002"/>
    <n v="3.6053999999999999"/>
    <n v="1"/>
    <n v="33.913601999999997"/>
    <s v="GERMANY DE"/>
  </r>
  <r>
    <s v="BKMILL"/>
    <n v="157521"/>
    <n v="218039"/>
    <s v="Forward"/>
    <x v="40"/>
    <s v="Buy Fwd"/>
    <s v="EUR"/>
    <n v="10000"/>
    <s v="PLN"/>
    <n v="42247.040000000001"/>
    <s v="2026-01-19"/>
    <n v="4.2245999999999997"/>
    <n v="0.23669999999999999"/>
    <n v="4.2191999999999998"/>
    <n v="1"/>
    <n v="84439.039999999994"/>
    <s v="UNITED STATES OF AMERICA US"/>
  </r>
  <r>
    <s v="BKMILL"/>
    <n v="157522"/>
    <n v="218040"/>
    <s v="Forward"/>
    <x v="55"/>
    <s v="Sell Fwd"/>
    <s v="EUR"/>
    <n v="-94678.37"/>
    <s v="PLN"/>
    <n v="400000"/>
    <s v="2026-01-19"/>
    <n v="4.2248000000000001"/>
    <n v="0.23669999999999999"/>
    <n v="4.2191999999999998"/>
    <n v="1"/>
    <n v="533.02129600000001"/>
    <s v="SPAIN ES"/>
  </r>
  <r>
    <s v="BKMILL"/>
    <n v="157523"/>
    <n v="901847"/>
    <s v="Spot"/>
    <x v="43"/>
    <s v="Sell"/>
    <s v="EUR"/>
    <n v="-100214.15"/>
    <s v="PLN"/>
    <n v="423300.56"/>
    <s v="2026-01-21"/>
    <n v="4.2240000000000002"/>
    <n v="0.23669999999999999"/>
    <n v="4.2279"/>
    <n v="1"/>
    <n v="-394.844785"/>
    <s v="FRANCE FR"/>
  </r>
  <r>
    <s v="BKMILL"/>
    <n v="157524"/>
    <n v="901848"/>
    <s v="Spot"/>
    <x v="43"/>
    <s v="Sell"/>
    <s v="USD"/>
    <n v="-21608.89"/>
    <s v="PLN"/>
    <n v="78412.399999999994"/>
    <s v="2026-01-21"/>
    <n v="3.6286999999999998"/>
    <n v="0.27560000000000001"/>
    <n v="3.6053999999999999"/>
    <n v="1"/>
    <n v="503.70799399999999"/>
    <s v="FRANCE FR"/>
  </r>
  <r>
    <s v="BKMILL"/>
    <n v="157525"/>
    <n v="218043"/>
    <s v="Forward"/>
    <x v="41"/>
    <s v="Buy Fwd"/>
    <s v="GBP"/>
    <n v="5300"/>
    <s v="PLN"/>
    <n v="25798.49"/>
    <s v="2026-01-19"/>
    <n v="4.8676000000000004"/>
    <n v="0.2054"/>
    <n v="4.8692000000000002"/>
    <n v="1"/>
    <n v="51605.25"/>
    <s v="GERMANY DE"/>
  </r>
  <r>
    <s v="BKMILL"/>
    <n v="157526"/>
    <n v="218048"/>
    <s v="Forward"/>
    <x v="143"/>
    <s v="Buy Fwd"/>
    <s v="EUR"/>
    <n v="40000"/>
    <s v="PLN"/>
    <n v="169000"/>
    <s v="2026-01-19"/>
    <n v="4.2255000000000003"/>
    <n v="0.23669999999999999"/>
    <n v="4.2191999999999998"/>
    <n v="1"/>
    <n v="337768"/>
    <s v="POLAND PL"/>
  </r>
  <r>
    <s v="BKMILL"/>
    <n v="157527"/>
    <n v="218058"/>
    <s v="Forward"/>
    <x v="225"/>
    <s v="Sell Fwd"/>
    <s v="EUR"/>
    <n v="-10000"/>
    <s v="PLN"/>
    <n v="42430"/>
    <s v="2026-01-19"/>
    <n v="4.2430000000000003"/>
    <n v="0.23569999999999999"/>
    <n v="4.2191999999999998"/>
    <n v="1"/>
    <n v="238"/>
    <s v="POLAND PL"/>
  </r>
  <r>
    <s v="BKMILL"/>
    <n v="157528"/>
    <n v="901904"/>
    <s v="Spot"/>
    <x v="226"/>
    <s v="Buy"/>
    <s v="EUR"/>
    <n v="35000"/>
    <s v="PLN"/>
    <n v="-147896"/>
    <s v="2026-01-21"/>
    <n v="4.2256"/>
    <n v="0.23669999999999999"/>
    <n v="4.2279"/>
    <n v="1"/>
    <n v="80.5"/>
    <s v="POLAND PL"/>
  </r>
  <r>
    <s v="BKMILL"/>
    <n v="157529"/>
    <n v="218062"/>
    <s v="Forward"/>
    <x v="227"/>
    <s v="Buy Fwd"/>
    <s v="EUR"/>
    <n v="100000"/>
    <s v="PLN"/>
    <n v="422100"/>
    <s v="2026-01-19"/>
    <n v="4.2210000000000001"/>
    <n v="0.2369"/>
    <n v="4.2191999999999998"/>
    <n v="1"/>
    <n v="844020"/>
    <s v="POLAND PL"/>
  </r>
  <r>
    <s v="BKMILL"/>
    <n v="157530"/>
    <n v="901921"/>
    <s v="Spot"/>
    <x v="40"/>
    <s v="Sell"/>
    <s v="EUR"/>
    <n v="-500000"/>
    <s v="USD"/>
    <n v="581380"/>
    <s v="2026-01-21"/>
    <n v="1.1628000000000001"/>
    <n v="0.86"/>
    <n v="4.2279"/>
    <n v="3.6053999999999999"/>
    <n v="-17842.547999999999"/>
    <s v="UNITED STATES OF AMERICA US"/>
  </r>
  <r>
    <s v="BKMILL"/>
    <n v="157531"/>
    <n v="901922"/>
    <s v="Spot"/>
    <x v="44"/>
    <s v="Buy"/>
    <s v="USD"/>
    <n v="500000"/>
    <s v="PLN"/>
    <n v="-1818350"/>
    <s v="2026-01-21"/>
    <n v="3.6366999999999998"/>
    <n v="0.27500000000000002"/>
    <n v="3.6053999999999999"/>
    <n v="1"/>
    <n v="-15650"/>
    <s v="GERMANY DE"/>
  </r>
  <r>
    <s v="BKMILL"/>
    <n v="157533"/>
    <n v="901938"/>
    <s v="Spot"/>
    <x v="38"/>
    <s v="Buy"/>
    <s v="EUR"/>
    <n v="100000"/>
    <s v="GBP"/>
    <n v="-86783"/>
    <s v="2026-01-21"/>
    <n v="0.86780000000000002"/>
    <n v="1.1523000000000001"/>
    <n v="4.2279"/>
    <n v="4.8582999999999998"/>
    <n v="1172.1511"/>
    <s v="NETHERLANDS NL"/>
  </r>
  <r>
    <s v="BKMILL"/>
    <n v="157536"/>
    <n v="901945"/>
    <s v="Spot"/>
    <x v="41"/>
    <s v="Buy"/>
    <s v="EUR"/>
    <n v="100000"/>
    <s v="CNY"/>
    <n v="-808727"/>
    <s v="2026-01-21"/>
    <n v="8.0873000000000008"/>
    <n v="0.1237"/>
    <n v="4.2279"/>
    <n v="0.51800000000000002"/>
    <n v="3869.4140000000002"/>
    <s v="GERMANY DE"/>
  </r>
  <r>
    <s v="BKMILL"/>
    <n v="157537"/>
    <n v="218067"/>
    <s v="Forward"/>
    <x v="68"/>
    <s v="Sell Fwd"/>
    <s v="EUR"/>
    <n v="-100000"/>
    <s v="PLN"/>
    <n v="422990"/>
    <s v="2026-01-19"/>
    <n v="4.2304000000000004"/>
    <n v="0.2364"/>
    <n v="4.2191999999999998"/>
    <n v="1"/>
    <n v="1070"/>
    <s v="POLAND PL"/>
  </r>
  <r>
    <s v="BKMILL"/>
    <n v="157538"/>
    <n v="901949"/>
    <s v="Spot"/>
    <x v="47"/>
    <s v="Sell"/>
    <s v="USD"/>
    <n v="-5000000"/>
    <s v="PLN"/>
    <n v="18195000"/>
    <s v="2026-01-21"/>
    <n v="3.6389999999999998"/>
    <n v="0.27479999999999999"/>
    <n v="3.6053999999999999"/>
    <n v="1"/>
    <n v="168000"/>
    <s v="FRANCE FR"/>
  </r>
  <r>
    <s v="BKMILL"/>
    <n v="157539"/>
    <n v="901950"/>
    <s v="Spot"/>
    <x v="40"/>
    <s v="Sell"/>
    <s v="USD"/>
    <n v="-500000"/>
    <s v="PLN"/>
    <n v="1819500"/>
    <s v="2026-01-21"/>
    <n v="3.6389999999999998"/>
    <n v="0.27479999999999999"/>
    <n v="3.6053999999999999"/>
    <n v="1"/>
    <n v="16800"/>
    <s v="UNITED STATES OF AMERICA US"/>
  </r>
  <r>
    <s v="BKMILL"/>
    <n v="157540"/>
    <n v="901951"/>
    <s v="Spot"/>
    <x v="41"/>
    <s v="Sell"/>
    <s v="EUR"/>
    <n v="-500000"/>
    <s v="PLN"/>
    <n v="2114500"/>
    <s v="2026-01-21"/>
    <n v="4.2290000000000001"/>
    <n v="0.23649999999999999"/>
    <n v="4.2279"/>
    <n v="1"/>
    <n v="550"/>
    <s v="GERMANY DE"/>
  </r>
  <r>
    <s v="BKMILL"/>
    <n v="157541"/>
    <n v="901955"/>
    <s v="Spot"/>
    <x v="41"/>
    <s v="Sell"/>
    <s v="USD"/>
    <n v="-500000"/>
    <s v="PLN"/>
    <n v="1819250"/>
    <s v="2026-01-21"/>
    <n v="3.6385000000000001"/>
    <n v="0.27479999999999999"/>
    <n v="3.6053999999999999"/>
    <n v="1"/>
    <n v="16550"/>
    <s v="GERMANY DE"/>
  </r>
  <r>
    <s v="BKMILL"/>
    <n v="157543"/>
    <n v="901957"/>
    <s v="Spot"/>
    <x v="38"/>
    <s v="Sell"/>
    <s v="USD"/>
    <n v="-1000000"/>
    <s v="PLN"/>
    <n v="3639030"/>
    <s v="2026-01-21"/>
    <n v="3.6389999999999998"/>
    <n v="0.27479999999999999"/>
    <n v="3.6053999999999999"/>
    <n v="1"/>
    <n v="33630"/>
    <s v="NETHERLANDS NL"/>
  </r>
  <r>
    <s v="BKMILL"/>
    <n v="157544"/>
    <n v="901958"/>
    <s v="Spot"/>
    <x v="41"/>
    <s v="Sell"/>
    <s v="USD"/>
    <n v="-500000"/>
    <s v="PLN"/>
    <n v="1819500"/>
    <s v="2026-01-21"/>
    <n v="3.6389999999999998"/>
    <n v="0.27479999999999999"/>
    <n v="3.6053999999999999"/>
    <n v="1"/>
    <n v="16800"/>
    <s v="GERMANY DE"/>
  </r>
  <r>
    <s v="BKMILL"/>
    <n v="157545"/>
    <n v="901959"/>
    <s v="Spot"/>
    <x v="40"/>
    <s v="Sell"/>
    <s v="USD"/>
    <n v="-500000"/>
    <s v="PLN"/>
    <n v="1819600"/>
    <s v="2026-01-21"/>
    <n v="3.6392000000000002"/>
    <n v="0.27479999999999999"/>
    <n v="3.6053999999999999"/>
    <n v="1"/>
    <n v="16900"/>
    <s v="UNITED STATES OF AMERICA US"/>
  </r>
  <r>
    <s v="BKMILL"/>
    <n v="157546"/>
    <n v="901960"/>
    <s v="Spot"/>
    <x v="40"/>
    <s v="Sell"/>
    <s v="USD"/>
    <n v="-500000"/>
    <s v="PLN"/>
    <n v="1819600"/>
    <s v="2026-01-21"/>
    <n v="3.6392000000000002"/>
    <n v="0.27479999999999999"/>
    <n v="3.6053999999999999"/>
    <n v="1"/>
    <n v="16900"/>
    <s v="UNITED STATES OF AMERICA US"/>
  </r>
  <r>
    <s v="BKMILL"/>
    <n v="157547"/>
    <n v="901964"/>
    <s v="Spot"/>
    <x v="41"/>
    <s v="Sell"/>
    <s v="EUR"/>
    <n v="-500000"/>
    <s v="PLN"/>
    <n v="2114450"/>
    <s v="2026-01-21"/>
    <n v="4.2289000000000003"/>
    <n v="0.23649999999999999"/>
    <n v="4.2279"/>
    <n v="1"/>
    <n v="500"/>
    <s v="GERMANY DE"/>
  </r>
  <r>
    <s v="BKMILL"/>
    <n v="157548"/>
    <n v="901965"/>
    <s v="Spot"/>
    <x v="41"/>
    <s v="Sell"/>
    <s v="USD"/>
    <n v="-500000"/>
    <s v="PLN"/>
    <n v="1819200"/>
    <s v="2026-01-21"/>
    <n v="3.6383999999999999"/>
    <n v="0.27479999999999999"/>
    <n v="3.6053999999999999"/>
    <n v="1"/>
    <n v="16500"/>
    <s v="GERMANY DE"/>
  </r>
  <r>
    <s v="BKMILL"/>
    <n v="157549"/>
    <n v="901966"/>
    <s v="Spot"/>
    <x v="40"/>
    <s v="Buy"/>
    <s v="EUR"/>
    <n v="1000000"/>
    <s v="USD"/>
    <n v="-1162130"/>
    <s v="2026-01-21"/>
    <n v="1.1620999999999999"/>
    <n v="0.86050000000000004"/>
    <n v="4.2279"/>
    <n v="3.6053999999999999"/>
    <n v="37956.498"/>
    <s v="UNITED STATES OF AMERICA US"/>
  </r>
  <r>
    <s v="BKMILL"/>
    <n v="155074"/>
    <n v="888167"/>
    <s v="Spot"/>
    <x v="41"/>
    <s v="Buy"/>
    <s v="EUR"/>
    <n v="300000"/>
    <s v="NOK"/>
    <n v="-3539220"/>
    <s v="2026-01-06"/>
    <n v="11.7974"/>
    <n v="8.48E-2"/>
    <n v="4.2110000000000003"/>
    <n v="0.35720000000000002"/>
    <n v="-909.38400000000001"/>
    <s v="GERMANY DE"/>
  </r>
  <r>
    <s v="BKMILL"/>
    <n v="155075"/>
    <n v="888173"/>
    <s v="Spot"/>
    <x v="50"/>
    <s v="Buy"/>
    <s v="SEK"/>
    <n v="350000"/>
    <s v="PLN"/>
    <n v="-136430"/>
    <s v="2026-01-07"/>
    <n v="0.38979999999999998"/>
    <n v="2.5653999999999999"/>
    <n v="0.39050000000000001"/>
    <n v="1"/>
    <n v="245"/>
    <s v="POLAND PL"/>
  </r>
  <r>
    <s v="BKMILL"/>
    <n v="155076"/>
    <n v="888181"/>
    <s v="Spot"/>
    <x v="50"/>
    <s v="Buy"/>
    <s v="NOK"/>
    <n v="1640000"/>
    <s v="PLN"/>
    <n v="-585316"/>
    <s v="2026-01-07"/>
    <n v="0.3569"/>
    <n v="2.8018999999999998"/>
    <n v="0.35720000000000002"/>
    <n v="1"/>
    <n v="492"/>
    <s v="POLAND PL"/>
  </r>
  <r>
    <s v="BKMILL"/>
    <n v="155077"/>
    <n v="888185"/>
    <s v="Spot"/>
    <x v="50"/>
    <s v="Buy"/>
    <s v="DKK"/>
    <n v="690000"/>
    <s v="PLN"/>
    <n v="-389091"/>
    <s v="2026-01-07"/>
    <n v="0.56389999999999996"/>
    <n v="1.7734000000000001"/>
    <n v="0.56369999999999998"/>
    <n v="1"/>
    <n v="-138"/>
    <s v="POLAND PL"/>
  </r>
  <r>
    <s v="BKMILL"/>
    <n v="155078"/>
    <n v="888186"/>
    <s v="Spot"/>
    <x v="45"/>
    <s v="Buy"/>
    <s v="EUR"/>
    <n v="100000"/>
    <s v="NOK"/>
    <n v="-1179737"/>
    <s v="2026-01-06"/>
    <n v="11.7974"/>
    <n v="8.48E-2"/>
    <n v="4.2110000000000003"/>
    <n v="0.35720000000000002"/>
    <n v="-302.0564"/>
    <s v="SWITZERLAND CH"/>
  </r>
  <r>
    <s v="BKMILL"/>
    <n v="155079"/>
    <n v="888196"/>
    <s v="Spot"/>
    <x v="44"/>
    <s v="Sell"/>
    <s v="EUR"/>
    <n v="-500000"/>
    <s v="PLN"/>
    <n v="2105950"/>
    <s v="2026-01-07"/>
    <n v="4.2119"/>
    <n v="0.2374"/>
    <n v="4.2110000000000003"/>
    <n v="1"/>
    <n v="450"/>
    <s v="GERMANY DE"/>
  </r>
  <r>
    <s v="BKMILL"/>
    <n v="155080"/>
    <n v="888199"/>
    <s v="Spot"/>
    <x v="44"/>
    <s v="Sell"/>
    <s v="EUR"/>
    <n v="-500000"/>
    <s v="PLN"/>
    <n v="2105990"/>
    <s v="2026-01-07"/>
    <n v="4.2119999999999997"/>
    <n v="0.2374"/>
    <n v="4.2110000000000003"/>
    <n v="1"/>
    <n v="490"/>
    <s v="GERMANY DE"/>
  </r>
  <r>
    <s v="BKMILL"/>
    <n v="155081"/>
    <n v="888200"/>
    <s v="Spot"/>
    <x v="41"/>
    <s v="Sell"/>
    <s v="EUR"/>
    <n v="-500000"/>
    <s v="PLN"/>
    <n v="2105950"/>
    <s v="2026-01-07"/>
    <n v="4.2119"/>
    <n v="0.2374"/>
    <n v="4.2110000000000003"/>
    <n v="1"/>
    <n v="450"/>
    <s v="GERMANY DE"/>
  </r>
  <r>
    <s v="BKMILL"/>
    <n v="155082"/>
    <n v="888203"/>
    <s v="Spot"/>
    <x v="47"/>
    <s v="Sell"/>
    <s v="EUR"/>
    <n v="-500000"/>
    <s v="PLN"/>
    <n v="2106100"/>
    <s v="2026-01-07"/>
    <n v="4.2122000000000002"/>
    <n v="0.2374"/>
    <n v="4.2110000000000003"/>
    <n v="1"/>
    <n v="600"/>
    <s v="FRANCE FR"/>
  </r>
  <r>
    <s v="BKMILL"/>
    <n v="155083"/>
    <n v="214591"/>
    <s v="Forward"/>
    <x v="228"/>
    <s v="Buy Fwd"/>
    <s v="EUR"/>
    <n v="11500"/>
    <s v="PLN"/>
    <n v="48323"/>
    <s v="2026-01-02"/>
    <n v="4.202"/>
    <n v="0.23799999999999999"/>
    <n v="4.2267000000000001"/>
    <n v="1"/>
    <n v="96930.05"/>
    <s v="POLAND PL"/>
  </r>
  <r>
    <s v="BKMILL"/>
    <n v="155084"/>
    <n v="888207"/>
    <s v="Spot"/>
    <x v="44"/>
    <s v="Sell"/>
    <s v="USD"/>
    <n v="-500000"/>
    <s v="PLN"/>
    <n v="1796050"/>
    <s v="2026-01-07"/>
    <n v="3.5920999999999998"/>
    <n v="0.27839999999999998"/>
    <n v="3.6044999999999998"/>
    <n v="1"/>
    <n v="-6200"/>
    <s v="GERMANY DE"/>
  </r>
  <r>
    <s v="BKMILL"/>
    <n v="155085"/>
    <n v="888221"/>
    <s v="Spot"/>
    <x v="36"/>
    <s v="Sell"/>
    <s v="EUR"/>
    <n v="-100000"/>
    <s v="GBP"/>
    <n v="87080"/>
    <s v="2026-01-06"/>
    <n v="0.87080000000000002"/>
    <n v="1.1484000000000001"/>
    <n v="4.2110000000000003"/>
    <n v="4.8457999999999997"/>
    <n v="872.26400000000001"/>
    <s v="UNITED KINGDOM GB"/>
  </r>
  <r>
    <s v="BKMILL"/>
    <n v="155086"/>
    <n v="888227"/>
    <s v="Spot"/>
    <x v="36"/>
    <s v="Buy"/>
    <s v="EUR"/>
    <n v="100000"/>
    <s v="NOK"/>
    <n v="-1178936"/>
    <s v="2026-01-06"/>
    <n v="11.789400000000001"/>
    <n v="8.48E-2"/>
    <n v="4.2110000000000003"/>
    <n v="0.35720000000000002"/>
    <n v="-15.9392"/>
    <s v="UNITED KINGDOM GB"/>
  </r>
  <r>
    <s v="BKMILL"/>
    <n v="155087"/>
    <n v="888254"/>
    <s v="Spot"/>
    <x v="47"/>
    <s v="Sell"/>
    <s v="EUR"/>
    <n v="-200000"/>
    <s v="CNY"/>
    <n v="1634064"/>
    <s v="2026-01-06"/>
    <n v="8.1702999999999992"/>
    <n v="0.12239999999999999"/>
    <n v="4.2110000000000003"/>
    <n v="0.5161"/>
    <n v="1140.4304"/>
    <s v="FRANCE FR"/>
  </r>
  <r>
    <s v="BKMILL"/>
    <n v="155088"/>
    <n v="888255"/>
    <s v="Spot"/>
    <x v="44"/>
    <s v="Sell"/>
    <s v="EUR"/>
    <n v="-300000"/>
    <s v="PLN"/>
    <n v="1263540"/>
    <s v="2026-01-07"/>
    <n v="4.2118000000000002"/>
    <n v="0.2374"/>
    <n v="4.2110000000000003"/>
    <n v="1"/>
    <n v="240"/>
    <s v="GERMANY DE"/>
  </r>
  <r>
    <s v="BKMILL"/>
    <n v="155089"/>
    <n v="214593"/>
    <s v="Forward"/>
    <x v="229"/>
    <s v="Buy Fwd"/>
    <s v="EUR"/>
    <n v="30000"/>
    <s v="PLN"/>
    <n v="126000"/>
    <s v="2026-01-02"/>
    <n v="4.2"/>
    <n v="0.23810000000000001"/>
    <n v="4.2267000000000001"/>
    <n v="1"/>
    <n v="252801"/>
    <s v="POLAND PL"/>
  </r>
  <r>
    <s v="BKMILL"/>
    <n v="155090"/>
    <n v="888268"/>
    <s v="Spot"/>
    <x v="55"/>
    <s v="Sell"/>
    <s v="EUR"/>
    <n v="-100000"/>
    <s v="GBP"/>
    <n v="87146"/>
    <s v="2026-01-06"/>
    <n v="0.87150000000000005"/>
    <n v="1.1475"/>
    <n v="4.2110000000000003"/>
    <n v="4.8457999999999997"/>
    <n v="1192.0868"/>
    <s v="SPAIN ES"/>
  </r>
  <r>
    <s v="BKMILL"/>
    <n v="155091"/>
    <n v="888269"/>
    <s v="Spot"/>
    <x v="36"/>
    <s v="Sell"/>
    <s v="EUR"/>
    <n v="-100000"/>
    <s v="GBP"/>
    <n v="87144"/>
    <s v="2026-01-06"/>
    <n v="0.87139999999999995"/>
    <n v="1.1475"/>
    <n v="4.2110000000000003"/>
    <n v="4.8457999999999997"/>
    <n v="1182.3951999999999"/>
    <s v="UNITED KINGDOM GB"/>
  </r>
  <r>
    <s v="BKMILL"/>
    <n v="155092"/>
    <n v="888270"/>
    <s v="Spot"/>
    <x v="36"/>
    <s v="Sell"/>
    <s v="EUR"/>
    <n v="-100000"/>
    <s v="GBP"/>
    <n v="87144"/>
    <s v="2026-01-06"/>
    <n v="0.87139999999999995"/>
    <n v="1.1475"/>
    <n v="4.2110000000000003"/>
    <n v="4.8457999999999997"/>
    <n v="1182.3951999999999"/>
    <s v="UNITED KINGDOM GB"/>
  </r>
  <r>
    <s v="BKMILL"/>
    <n v="155094"/>
    <n v="888274"/>
    <s v="Spot"/>
    <x v="41"/>
    <s v="Sell"/>
    <s v="EUR"/>
    <n v="-100000"/>
    <s v="CZK"/>
    <n v="2419510"/>
    <s v="2026-01-06"/>
    <n v="24.1951"/>
    <n v="4.1300000000000003E-2"/>
    <n v="4.2110000000000003"/>
    <n v="0.17419999999999999"/>
    <n v="378.642"/>
    <s v="GERMANY DE"/>
  </r>
  <r>
    <s v="BKMILL"/>
    <n v="155097"/>
    <n v="888282"/>
    <s v="Spot"/>
    <x v="39"/>
    <s v="Buy"/>
    <s v="EUR"/>
    <n v="500000"/>
    <s v="PLN"/>
    <n v="-2105315"/>
    <s v="2026-01-07"/>
    <n v="4.2106000000000003"/>
    <n v="0.23749999999999999"/>
    <n v="4.2110000000000003"/>
    <n v="1"/>
    <n v="185"/>
    <s v="UNITED KINGDOM GB"/>
  </r>
  <r>
    <s v="BKMILL"/>
    <n v="155102"/>
    <n v="888289"/>
    <s v="Spot"/>
    <x v="63"/>
    <s v="Sell"/>
    <s v="USD"/>
    <n v="-5000"/>
    <s v="PLN"/>
    <n v="17970"/>
    <s v="2026-01-07"/>
    <n v="3.5939999999999999"/>
    <n v="0.2782"/>
    <n v="3.6044999999999998"/>
    <n v="1"/>
    <n v="-52.5"/>
    <s v="POLAND PL"/>
  </r>
  <r>
    <s v="BKMILL"/>
    <n v="155103"/>
    <n v="214602"/>
    <s v="Forward"/>
    <x v="63"/>
    <s v="Sell Fwd"/>
    <s v="USD"/>
    <n v="-5000"/>
    <s v="PLN"/>
    <n v="17983"/>
    <s v="2026-01-19"/>
    <n v="3.5939000000000001"/>
    <n v="0.2782"/>
    <n v="3.6345999999999998"/>
    <n v="1"/>
    <n v="-190"/>
    <s v="POLAND PL"/>
  </r>
  <r>
    <s v="BKMILL"/>
    <n v="155104"/>
    <n v="214603"/>
    <s v="Forward"/>
    <x v="139"/>
    <s v="Buy Fwd"/>
    <s v="EUR"/>
    <n v="39805.29"/>
    <s v="PLN"/>
    <n v="167285.71"/>
    <s v="2026-01-02"/>
    <n v="4.2035999999999998"/>
    <n v="0.2379"/>
    <n v="4.2267000000000001"/>
    <n v="1"/>
    <n v="335530.72924299998"/>
    <s v="POLAND PL"/>
  </r>
  <r>
    <s v="BKMILL"/>
    <n v="155105"/>
    <n v="888308"/>
    <s v="Spot"/>
    <x v="60"/>
    <s v="Sell"/>
    <s v="EUR"/>
    <n v="-600000"/>
    <s v="PLN"/>
    <n v="2527200"/>
    <s v="2026-01-07"/>
    <n v="4.2119999999999997"/>
    <n v="0.2374"/>
    <n v="4.2110000000000003"/>
    <n v="1"/>
    <n v="600"/>
    <s v="POLAND PL"/>
  </r>
  <r>
    <s v="BKMILL"/>
    <n v="155106"/>
    <n v="888312"/>
    <s v="Spot"/>
    <x v="39"/>
    <s v="Buy"/>
    <s v="EUR"/>
    <n v="500000"/>
    <s v="PLN"/>
    <n v="-2104845"/>
    <s v="2026-01-07"/>
    <n v="4.2096999999999998"/>
    <n v="0.23749999999999999"/>
    <n v="4.2110000000000003"/>
    <n v="1"/>
    <n v="655"/>
    <s v="UNITED KINGDOM GB"/>
  </r>
  <r>
    <s v="BKMILL"/>
    <n v="155107"/>
    <n v="214608"/>
    <s v="Forward"/>
    <x v="139"/>
    <s v="Buy Fwd"/>
    <s v="EUR"/>
    <n v="75107.199999999997"/>
    <s v="PLN"/>
    <n v="315607.96999999997"/>
    <s v="2026-01-02"/>
    <n v="4.2031000000000001"/>
    <n v="0.2379"/>
    <n v="4.2267000000000001"/>
    <n v="1"/>
    <n v="633063.57224000001"/>
    <s v="POLAND PL"/>
  </r>
  <r>
    <s v="BKMILL"/>
    <n v="155109"/>
    <n v="888335"/>
    <s v="Spot"/>
    <x v="40"/>
    <s v="Sell"/>
    <s v="EUR"/>
    <n v="-44215.15"/>
    <s v="PLN"/>
    <n v="186102.01"/>
    <s v="2026-01-07"/>
    <n v="4.2089999999999996"/>
    <n v="0.23760000000000001"/>
    <n v="4.2110000000000003"/>
    <n v="1"/>
    <n v="-87.986649999999997"/>
    <s v="UNITED STATES OF AMERICA US"/>
  </r>
  <r>
    <s v="BKMILL"/>
    <n v="155110"/>
    <n v="888336"/>
    <s v="Spot"/>
    <x v="41"/>
    <s v="Sell"/>
    <s v="GBP"/>
    <n v="-7286.34"/>
    <s v="PLN"/>
    <n v="35213.42"/>
    <s v="2026-01-07"/>
    <n v="4.8327999999999998"/>
    <n v="0.2069"/>
    <n v="4.8457999999999997"/>
    <n v="1"/>
    <n v="-94.726371999999998"/>
    <s v="GERMANY DE"/>
  </r>
  <r>
    <s v="BKMILL"/>
    <n v="155111"/>
    <n v="888337"/>
    <s v="Spot"/>
    <x v="40"/>
    <s v="Buy"/>
    <s v="USD"/>
    <n v="12215.37"/>
    <s v="PLN"/>
    <n v="-43808.23"/>
    <s v="2026-01-07"/>
    <n v="3.5863"/>
    <n v="0.27879999999999999"/>
    <n v="3.6044999999999998"/>
    <n v="1"/>
    <n v="222.07116500000001"/>
    <s v="UNITED STATES OF AMERICA US"/>
  </r>
  <r>
    <s v="BKMILL"/>
    <n v="155112"/>
    <n v="888338"/>
    <s v="Spot"/>
    <x v="40"/>
    <s v="Sell"/>
    <s v="CHF"/>
    <n v="-750.71"/>
    <s v="PLN"/>
    <n v="3399.81"/>
    <s v="2026-01-07"/>
    <n v="4.5288000000000004"/>
    <n v="0.2208"/>
    <n v="4.5263"/>
    <n v="1"/>
    <n v="1.871327"/>
    <s v="UNITED STATES OF AMERICA US"/>
  </r>
  <r>
    <s v="BKMILL"/>
    <n v="155113"/>
    <n v="888343"/>
    <s v="Spot"/>
    <x v="41"/>
    <s v="Sell"/>
    <s v="EUR"/>
    <n v="-101229.42"/>
    <s v="PLN"/>
    <n v="426044.26"/>
    <s v="2026-01-07"/>
    <n v="4.2087000000000003"/>
    <n v="0.23760000000000001"/>
    <n v="4.2110000000000003"/>
    <n v="1"/>
    <n v="-232.82762"/>
    <s v="GERMANY DE"/>
  </r>
  <r>
    <s v="BKMILL"/>
    <n v="155114"/>
    <n v="888345"/>
    <s v="Spot"/>
    <x v="36"/>
    <s v="Buy"/>
    <s v="USD"/>
    <n v="28428.42"/>
    <s v="PLN"/>
    <n v="-102069.97"/>
    <s v="2026-01-07"/>
    <n v="3.5903999999999998"/>
    <n v="0.27850000000000003"/>
    <n v="3.6044999999999998"/>
    <n v="1"/>
    <n v="400.26988999999998"/>
    <s v="UNITED KINGDOM GB"/>
  </r>
  <r>
    <s v="BKMILL"/>
    <n v="155115"/>
    <n v="888346"/>
    <s v="Spot"/>
    <x v="41"/>
    <s v="Sell"/>
    <s v="CHF"/>
    <n v="-8936.61"/>
    <s v="PLN"/>
    <n v="40507.870000000003"/>
    <s v="2026-01-07"/>
    <n v="4.5327999999999999"/>
    <n v="0.22059999999999999"/>
    <n v="4.5263"/>
    <n v="1"/>
    <n v="58.092157"/>
    <s v="GERMANY DE"/>
  </r>
  <r>
    <s v="BKMILL"/>
    <n v="155116"/>
    <n v="888347"/>
    <s v="Spot"/>
    <x v="41"/>
    <s v="Sell"/>
    <s v="GBP"/>
    <n v="-10517.94"/>
    <s v="PLN"/>
    <n v="50804.81"/>
    <s v="2026-01-07"/>
    <n v="4.8303000000000003"/>
    <n v="0.20699999999999999"/>
    <n v="4.8457999999999997"/>
    <n v="1"/>
    <n v="-163.023652"/>
    <s v="GERMANY DE"/>
  </r>
  <r>
    <s v="BKMILL"/>
    <n v="155117"/>
    <n v="888348"/>
    <s v="Spot"/>
    <x v="41"/>
    <s v="Sell"/>
    <s v="EUR"/>
    <n v="-63926.41"/>
    <s v="PLN"/>
    <n v="269047.08"/>
    <s v="2026-01-07"/>
    <n v="4.2087000000000003"/>
    <n v="0.23760000000000001"/>
    <n v="4.2110000000000003"/>
    <n v="1"/>
    <n v="-147.03251"/>
    <s v="GERMANY DE"/>
  </r>
  <r>
    <s v="BKMILL"/>
    <n v="155118"/>
    <n v="888353"/>
    <s v="Spot"/>
    <x v="40"/>
    <s v="Sell"/>
    <s v="EUR"/>
    <n v="-44105.58"/>
    <s v="PLN"/>
    <n v="185610.84"/>
    <s v="2026-01-07"/>
    <n v="4.2083000000000004"/>
    <n v="0.23760000000000001"/>
    <n v="4.2110000000000003"/>
    <n v="1"/>
    <n v="-117.75738"/>
    <s v="UNITED STATES OF AMERICA US"/>
  </r>
  <r>
    <s v="BKMILL"/>
    <n v="155119"/>
    <n v="888354"/>
    <s v="Spot"/>
    <x v="42"/>
    <s v="Buy"/>
    <s v="USD"/>
    <n v="2918.55"/>
    <s v="PLN"/>
    <n v="-10484.19"/>
    <s v="2026-01-07"/>
    <n v="3.5922999999999998"/>
    <n v="0.27839999999999998"/>
    <n v="3.6044999999999998"/>
    <n v="1"/>
    <n v="35.723475000000001"/>
    <s v="SWITZERLAND CH"/>
  </r>
  <r>
    <s v="BKMILL"/>
    <n v="155120"/>
    <n v="888355"/>
    <s v="Spot"/>
    <x v="42"/>
    <s v="Buy"/>
    <s v="CHF"/>
    <n v="977"/>
    <s v="PLN"/>
    <n v="-4429.7299999999996"/>
    <s v="2026-01-07"/>
    <n v="4.5339999999999998"/>
    <n v="0.22059999999999999"/>
    <n v="4.5263"/>
    <n v="1"/>
    <n v="-7.5349000000000004"/>
    <s v="SWITZERLAND CH"/>
  </r>
  <r>
    <s v="BKMILL"/>
    <n v="155121"/>
    <n v="888360"/>
    <s v="Spot"/>
    <x v="42"/>
    <s v="Buy"/>
    <s v="EUR"/>
    <n v="200.02"/>
    <s v="PLN"/>
    <n v="-842.29"/>
    <s v="2026-01-08"/>
    <n v="4.2110000000000003"/>
    <n v="0.23749999999999999"/>
    <n v="4.2104999999999997"/>
    <n v="1"/>
    <n v="-0.10579"/>
    <s v="SWITZERLAND CH"/>
  </r>
  <r>
    <s v="BKMILL"/>
    <n v="155122"/>
    <n v="888361"/>
    <s v="Spot"/>
    <x v="41"/>
    <s v="Buy"/>
    <s v="GBP"/>
    <n v="19705.45"/>
    <s v="PLN"/>
    <n v="-95407.88"/>
    <s v="2026-01-08"/>
    <n v="4.8417000000000003"/>
    <n v="0.20649999999999999"/>
    <n v="4.8628999999999998"/>
    <n v="1"/>
    <n v="417.75280500000002"/>
    <s v="GERMANY DE"/>
  </r>
  <r>
    <s v="BKMILL"/>
    <n v="155123"/>
    <n v="888362"/>
    <s v="Spot"/>
    <x v="41"/>
    <s v="Sell"/>
    <s v="USD"/>
    <n v="-35805.75"/>
    <s v="PLN"/>
    <n v="128650.06"/>
    <s v="2026-01-08"/>
    <n v="3.593"/>
    <n v="0.27829999999999999"/>
    <n v="3.6034999999999999"/>
    <n v="1"/>
    <n v="-375.96012500000001"/>
    <s v="GERMANY DE"/>
  </r>
  <r>
    <s v="BKMILL"/>
    <n v="155124"/>
    <n v="888363"/>
    <s v="Spot"/>
    <x v="41"/>
    <s v="Sell"/>
    <s v="EUR"/>
    <n v="-101852.1"/>
    <s v="PLN"/>
    <n v="428593.64"/>
    <s v="2026-01-08"/>
    <n v="4.2080000000000002"/>
    <n v="0.23760000000000001"/>
    <n v="4.2104999999999997"/>
    <n v="1"/>
    <n v="-254.62705"/>
    <s v="GERMANY DE"/>
  </r>
  <r>
    <s v="BKMILL"/>
    <n v="155125"/>
    <n v="888364"/>
    <s v="Spot"/>
    <x v="40"/>
    <s v="Sell"/>
    <s v="CHF"/>
    <n v="-22239.1"/>
    <s v="PLN"/>
    <n v="100750.24"/>
    <s v="2026-01-08"/>
    <n v="4.5303000000000004"/>
    <n v="0.22070000000000001"/>
    <n v="4.5278999999999998"/>
    <n v="1"/>
    <n v="53.819110000000002"/>
    <s v="UNITED STATES OF AMERICA US"/>
  </r>
  <r>
    <s v="BKMILL"/>
    <n v="155126"/>
    <n v="888365"/>
    <s v="Spot"/>
    <x v="41"/>
    <s v="Sell"/>
    <s v="EUR"/>
    <n v="-3637.73"/>
    <s v="PLN"/>
    <n v="15307.57"/>
    <s v="2026-01-08"/>
    <n v="4.2080000000000002"/>
    <n v="0.23760000000000001"/>
    <n v="4.2104999999999997"/>
    <n v="1"/>
    <n v="-9.0921649999999996"/>
    <s v="GERMANY DE"/>
  </r>
  <r>
    <s v="BKMILL"/>
    <n v="155127"/>
    <n v="888366"/>
    <s v="Spot"/>
    <x v="41"/>
    <s v="Sell"/>
    <s v="EUR"/>
    <n v="-100033.04"/>
    <s v="PLN"/>
    <n v="420939.03"/>
    <s v="2026-01-08"/>
    <n v="4.2080000000000002"/>
    <n v="0.23760000000000001"/>
    <n v="4.2104999999999997"/>
    <n v="1"/>
    <n v="-250.08492000000001"/>
    <s v="GERMANY DE"/>
  </r>
  <r>
    <s v="BKMILL"/>
    <n v="155128"/>
    <n v="888367"/>
    <s v="Spot"/>
    <x v="41"/>
    <s v="Sell"/>
    <s v="EUR"/>
    <n v="-100489.62"/>
    <s v="PLN"/>
    <n v="422860.32"/>
    <s v="2026-01-08"/>
    <n v="4.2080000000000002"/>
    <n v="0.23760000000000001"/>
    <n v="4.2104999999999997"/>
    <n v="1"/>
    <n v="-251.22501"/>
    <s v="GERMANY DE"/>
  </r>
  <r>
    <s v="BKMILL"/>
    <n v="155129"/>
    <n v="888368"/>
    <s v="Spot"/>
    <x v="41"/>
    <s v="Sell"/>
    <s v="EUR"/>
    <n v="-100719.16"/>
    <s v="PLN"/>
    <n v="423826.23"/>
    <s v="2026-01-08"/>
    <n v="4.2080000000000002"/>
    <n v="0.23760000000000001"/>
    <n v="4.2104999999999997"/>
    <n v="1"/>
    <n v="-251.79318000000001"/>
    <s v="GERMANY DE"/>
  </r>
  <r>
    <s v="BKMILL"/>
    <n v="155130"/>
    <n v="888369"/>
    <s v="Spot"/>
    <x v="41"/>
    <s v="Sell"/>
    <s v="EUR"/>
    <n v="-100941.22"/>
    <s v="PLN"/>
    <n v="424760.65"/>
    <s v="2026-01-08"/>
    <n v="4.2080000000000002"/>
    <n v="0.23760000000000001"/>
    <n v="4.2104999999999997"/>
    <n v="1"/>
    <n v="-252.35681"/>
    <s v="GERMANY DE"/>
  </r>
  <r>
    <s v="BKMILL"/>
    <n v="155131"/>
    <n v="888370"/>
    <s v="Spot"/>
    <x v="41"/>
    <s v="Sell"/>
    <s v="EUR"/>
    <n v="-110311.93"/>
    <s v="PLN"/>
    <n v="464192.6"/>
    <s v="2026-01-08"/>
    <n v="4.2080000000000002"/>
    <n v="0.23760000000000001"/>
    <n v="4.2104999999999997"/>
    <n v="1"/>
    <n v="-275.78126500000002"/>
    <s v="GERMANY DE"/>
  </r>
  <r>
    <s v="BKMILL"/>
    <n v="155132"/>
    <n v="888371"/>
    <s v="Spot"/>
    <x v="41"/>
    <s v="Sell"/>
    <s v="EUR"/>
    <n v="-100003.1"/>
    <s v="PLN"/>
    <n v="420813.04"/>
    <s v="2026-01-08"/>
    <n v="4.2080000000000002"/>
    <n v="0.23760000000000001"/>
    <n v="4.2104999999999997"/>
    <n v="1"/>
    <n v="-250.01255"/>
    <s v="GERMANY DE"/>
  </r>
  <r>
    <s v="BKMILL"/>
    <n v="155133"/>
    <n v="888372"/>
    <s v="Spot"/>
    <x v="41"/>
    <s v="Sell"/>
    <s v="EUR"/>
    <n v="-101137.38"/>
    <s v="PLN"/>
    <n v="425586.1"/>
    <s v="2026-01-08"/>
    <n v="4.2080000000000002"/>
    <n v="0.23760000000000001"/>
    <n v="4.2104999999999997"/>
    <n v="1"/>
    <n v="-252.83849000000001"/>
    <s v="GERMANY DE"/>
  </r>
  <r>
    <s v="BKMILL"/>
    <n v="155134"/>
    <n v="888373"/>
    <s v="Spot"/>
    <x v="41"/>
    <s v="Sell"/>
    <s v="EUR"/>
    <n v="-100002.09"/>
    <s v="PLN"/>
    <n v="420808.79"/>
    <s v="2026-01-08"/>
    <n v="4.2080000000000002"/>
    <n v="0.23760000000000001"/>
    <n v="4.2104999999999997"/>
    <n v="1"/>
    <n v="-250.00994499999999"/>
    <s v="GERMANY DE"/>
  </r>
  <r>
    <s v="BKMILL"/>
    <n v="155135"/>
    <n v="888374"/>
    <s v="Spot"/>
    <x v="41"/>
    <s v="Sell"/>
    <s v="EUR"/>
    <n v="-103429.89"/>
    <s v="PLN"/>
    <n v="435232.98"/>
    <s v="2026-01-08"/>
    <n v="4.2080000000000002"/>
    <n v="0.23760000000000001"/>
    <n v="4.2104999999999997"/>
    <n v="1"/>
    <n v="-258.571845"/>
    <s v="GERMANY DE"/>
  </r>
  <r>
    <s v="BKMILL"/>
    <n v="155136"/>
    <n v="888375"/>
    <s v="Spot"/>
    <x v="41"/>
    <s v="Sell"/>
    <s v="EUR"/>
    <n v="-125648.59"/>
    <s v="PLN"/>
    <n v="528729.27"/>
    <s v="2026-01-08"/>
    <n v="4.2080000000000002"/>
    <n v="0.23760000000000001"/>
    <n v="4.2104999999999997"/>
    <n v="1"/>
    <n v="-314.11819500000001"/>
    <s v="GERMANY DE"/>
  </r>
  <r>
    <s v="BKMILL"/>
    <n v="155137"/>
    <n v="888376"/>
    <s v="Spot"/>
    <x v="41"/>
    <s v="Sell"/>
    <s v="EUR"/>
    <n v="-100582.17"/>
    <s v="PLN"/>
    <n v="423249.77"/>
    <s v="2026-01-08"/>
    <n v="4.2080000000000002"/>
    <n v="0.23760000000000001"/>
    <n v="4.2104999999999997"/>
    <n v="1"/>
    <n v="-251.456785"/>
    <s v="GERMANY DE"/>
  </r>
  <r>
    <s v="BKMILL"/>
    <n v="155138"/>
    <n v="888377"/>
    <s v="Spot"/>
    <x v="41"/>
    <s v="Sell"/>
    <s v="EUR"/>
    <n v="-99999.92"/>
    <s v="PLN"/>
    <n v="420799.66"/>
    <s v="2026-01-08"/>
    <n v="4.2080000000000002"/>
    <n v="0.23760000000000001"/>
    <n v="4.2104999999999997"/>
    <n v="1"/>
    <n v="-250.00316000000001"/>
    <s v="GERMANY DE"/>
  </r>
  <r>
    <s v="BKMILL"/>
    <n v="155139"/>
    <n v="214613"/>
    <s v="Forward"/>
    <x v="197"/>
    <s v="Buy Fwd"/>
    <s v="USD"/>
    <n v="10000"/>
    <s v="PLN"/>
    <n v="36000"/>
    <s v="2026-01-05"/>
    <n v="3.5998999999999999"/>
    <n v="0.27779999999999999"/>
    <n v="3.5962999999999998"/>
    <n v="1"/>
    <n v="71963"/>
    <s v="POLAND PL"/>
  </r>
  <r>
    <s v="BKMILL"/>
    <n v="155140"/>
    <n v="888440"/>
    <s v="Spot"/>
    <x v="41"/>
    <s v="Sell"/>
    <s v="EUR"/>
    <n v="-19269.13"/>
    <s v="PLN"/>
    <n v="81121.11"/>
    <s v="2026-01-08"/>
    <n v="4.2099000000000002"/>
    <n v="0.23749999999999999"/>
    <n v="4.2104999999999997"/>
    <n v="1"/>
    <n v="-11.561864999999999"/>
    <s v="GERMANY DE"/>
  </r>
  <r>
    <s v="BKMILL"/>
    <n v="155141"/>
    <n v="214614"/>
    <s v="Forward"/>
    <x v="55"/>
    <s v="Sell Fwd"/>
    <s v="EUR"/>
    <n v="-4430"/>
    <s v="PLN"/>
    <n v="18642.86"/>
    <s v="2026-01-05"/>
    <n v="4.2092999999999998"/>
    <n v="0.23760000000000001"/>
    <n v="4.2156000000000002"/>
    <n v="1"/>
    <n v="-32.247999999999998"/>
    <s v="SPAIN ES"/>
  </r>
  <r>
    <s v="BKMILL"/>
    <n v="155142"/>
    <n v="214616"/>
    <s v="Forward"/>
    <x v="40"/>
    <s v="Sell Fwd"/>
    <s v="EUR"/>
    <n v="-15150.82"/>
    <s v="PLN"/>
    <n v="63771.08"/>
    <s v="2026-01-05"/>
    <n v="4.2096999999999998"/>
    <n v="0.23749999999999999"/>
    <n v="4.2156000000000002"/>
    <n v="1"/>
    <n v="-98.716791999999998"/>
    <s v="UNITED STATES OF AMERICA US"/>
  </r>
  <r>
    <s v="BKMILL"/>
    <n v="155143"/>
    <n v="214618"/>
    <s v="Forward"/>
    <x v="40"/>
    <s v="Buy Fwd"/>
    <s v="EUR"/>
    <n v="5000"/>
    <s v="PLN"/>
    <n v="21054.94"/>
    <s v="2026-01-05"/>
    <n v="4.2115"/>
    <n v="0.2374"/>
    <n v="4.2156000000000002"/>
    <n v="1"/>
    <n v="42132.94"/>
    <s v="UNITED STATES OF AMERICA US"/>
  </r>
  <r>
    <s v="BKMILL"/>
    <n v="155144"/>
    <n v="214620"/>
    <s v="Forward"/>
    <x v="40"/>
    <s v="Sell Fwd"/>
    <s v="EUR"/>
    <n v="-7315"/>
    <s v="PLN"/>
    <n v="30790.14"/>
    <s v="2026-01-05"/>
    <n v="4.2098000000000004"/>
    <n v="0.23749999999999999"/>
    <n v="4.2156000000000002"/>
    <n v="1"/>
    <n v="-46.973999999999997"/>
    <s v="UNITED STATES OF AMERICA US"/>
  </r>
  <r>
    <s v="BKMILL"/>
    <n v="155145"/>
    <n v="888458"/>
    <s v="Spot"/>
    <x v="41"/>
    <s v="Sell"/>
    <s v="EUR"/>
    <n v="-69002.55"/>
    <s v="PLN"/>
    <n v="290521.44"/>
    <s v="2026-01-08"/>
    <n v="4.2103000000000002"/>
    <n v="0.23749999999999999"/>
    <n v="4.2104999999999997"/>
    <n v="1"/>
    <n v="-13.796775"/>
    <s v="GERMANY DE"/>
  </r>
  <r>
    <s v="BKMILL"/>
    <n v="155146"/>
    <n v="214622"/>
    <s v="Forward"/>
    <x v="40"/>
    <s v="Sell Fwd"/>
    <s v="EUR"/>
    <n v="-10000"/>
    <s v="PLN"/>
    <n v="42100.47"/>
    <s v="2026-01-05"/>
    <n v="4.2107000000000001"/>
    <n v="0.23749999999999999"/>
    <n v="4.2156000000000002"/>
    <n v="1"/>
    <n v="-55.53"/>
    <s v="UNITED STATES OF AMERICA US"/>
  </r>
  <r>
    <s v="BKMILL"/>
    <n v="155147"/>
    <n v="888467"/>
    <s v="Spot"/>
    <x v="40"/>
    <s v="Buy"/>
    <s v="EUR"/>
    <n v="500000"/>
    <s v="PLN"/>
    <n v="-2105900"/>
    <s v="2026-01-08"/>
    <n v="4.2118000000000002"/>
    <n v="0.2374"/>
    <n v="4.2104999999999997"/>
    <n v="1"/>
    <n v="-650"/>
    <s v="UNITED STATES OF AMERICA US"/>
  </r>
  <r>
    <s v="BKMILL"/>
    <n v="155148"/>
    <n v="214627"/>
    <s v="Forward"/>
    <x v="154"/>
    <s v="Sell Fwd"/>
    <s v="USD"/>
    <n v="-100000"/>
    <s v="PLN"/>
    <n v="358500"/>
    <s v="2026-01-05"/>
    <n v="3.585"/>
    <n v="0.27889999999999998"/>
    <n v="3.5962999999999998"/>
    <n v="1"/>
    <n v="-1130"/>
    <s v="POLAND PL"/>
  </r>
  <r>
    <s v="BKMILL"/>
    <n v="155149"/>
    <n v="214641"/>
    <s v="Forward"/>
    <x v="155"/>
    <s v="Sell Fwd"/>
    <s v="EUR"/>
    <n v="-200000"/>
    <s v="PLN"/>
    <n v="843080"/>
    <s v="2026-01-05"/>
    <n v="4.2159000000000004"/>
    <n v="0.23719999999999999"/>
    <n v="4.2156000000000002"/>
    <n v="1"/>
    <n v="-40"/>
    <s v="POLAND PL"/>
  </r>
  <r>
    <s v="BKMILL"/>
    <n v="155150"/>
    <n v="214642"/>
    <s v="Forward"/>
    <x v="161"/>
    <s v="Sell Fwd"/>
    <s v="EUR"/>
    <n v="-20000"/>
    <s v="PLN"/>
    <n v="84480"/>
    <s v="2026-01-05"/>
    <n v="4.2240000000000002"/>
    <n v="0.23669999999999999"/>
    <n v="4.2156000000000002"/>
    <n v="1"/>
    <n v="168"/>
    <s v="POLAND PL"/>
  </r>
  <r>
    <s v="BKMILL"/>
    <n v="155151"/>
    <n v="214643"/>
    <s v="Forward"/>
    <x v="230"/>
    <s v="Sell Fwd"/>
    <s v="EUR"/>
    <n v="-5000"/>
    <s v="PLN"/>
    <n v="21125"/>
    <s v="2026-01-05"/>
    <n v="4.2249999999999996"/>
    <n v="0.23669999999999999"/>
    <n v="4.2156000000000002"/>
    <n v="1"/>
    <n v="47"/>
    <s v="POLAND PL"/>
  </r>
  <r>
    <s v="BKMILL"/>
    <n v="155152"/>
    <n v="214644"/>
    <s v="Forward"/>
    <x v="230"/>
    <s v="Sell Fwd"/>
    <s v="CZK"/>
    <n v="-6000"/>
    <s v="PLN"/>
    <n v="1068"/>
    <s v="2026-01-05"/>
    <n v="0.17799999999999999"/>
    <n v="5.6180000000000003"/>
    <n v="0.17430000000000001"/>
    <n v="1"/>
    <n v="22.2"/>
    <s v="POLAND PL"/>
  </r>
  <r>
    <s v="BKMILL"/>
    <n v="155153"/>
    <n v="214645"/>
    <s v="Forward"/>
    <x v="231"/>
    <s v="Buy Fwd"/>
    <s v="EUR"/>
    <n v="200000"/>
    <s v="PLN"/>
    <n v="841200"/>
    <s v="2026-01-05"/>
    <n v="4.2060000000000004"/>
    <n v="0.23780000000000001"/>
    <n v="4.2156000000000002"/>
    <n v="1"/>
    <n v="1684320"/>
    <s v="POLAND PL"/>
  </r>
  <r>
    <s v="BKMILL"/>
    <n v="155154"/>
    <n v="214648"/>
    <s v="Forward"/>
    <x v="186"/>
    <s v="Sell Fwd"/>
    <s v="EUR"/>
    <n v="-171115.67"/>
    <s v="USD"/>
    <n v="200000"/>
    <s v="2026-01-05"/>
    <n v="1.1696"/>
    <n v="0.85499999999999998"/>
    <n v="4.2156000000000002"/>
    <n v="3.5962999999999998"/>
    <n v="-2095.2184520000001"/>
    <s v="POLAND PL"/>
  </r>
  <r>
    <s v="BKMILL"/>
    <n v="155155"/>
    <n v="214649"/>
    <s v="Forward"/>
    <x v="68"/>
    <s v="Sell Fwd"/>
    <s v="EUR"/>
    <n v="-408500"/>
    <s v="PLN"/>
    <n v="1720030.1"/>
    <s v="2026-01-05"/>
    <n v="4.2111000000000001"/>
    <n v="0.23749999999999999"/>
    <n v="4.2156000000000002"/>
    <n v="1"/>
    <n v="-2042.5"/>
    <s v="POLAND PL"/>
  </r>
  <r>
    <s v="BKMILL"/>
    <n v="155156"/>
    <n v="214650"/>
    <s v="Forward"/>
    <x v="154"/>
    <s v="Buy Fwd"/>
    <s v="USD"/>
    <n v="100000"/>
    <s v="PLN"/>
    <n v="360000"/>
    <s v="2026-01-05"/>
    <n v="3.6"/>
    <n v="0.27779999999999999"/>
    <n v="3.5962999999999998"/>
    <n v="1"/>
    <n v="719630"/>
    <s v="POLAND PL"/>
  </r>
  <r>
    <s v="BKMILL"/>
    <n v="155157"/>
    <n v="214653"/>
    <s v="Forward"/>
    <x v="87"/>
    <s v="Sell Fwd"/>
    <s v="EUR"/>
    <n v="-50000"/>
    <s v="PLN"/>
    <n v="210625"/>
    <s v="2026-01-05"/>
    <n v="4.2125000000000004"/>
    <n v="0.2374"/>
    <n v="4.2156000000000002"/>
    <n v="1"/>
    <n v="-155"/>
    <s v="POLAND PL"/>
  </r>
  <r>
    <s v="BKMILL"/>
    <n v="155158"/>
    <n v="888581"/>
    <s v="Spot"/>
    <x v="43"/>
    <s v="Buy"/>
    <s v="EUR"/>
    <n v="200000"/>
    <s v="USD"/>
    <n v="-233868"/>
    <s v="2026-01-07"/>
    <n v="1.1693"/>
    <n v="0.85519999999999996"/>
    <n v="4.2110000000000003"/>
    <n v="3.6044999999999998"/>
    <n v="-777.20600000000002"/>
    <s v="FRANCE FR"/>
  </r>
  <r>
    <s v="BKMILL"/>
    <n v="155160"/>
    <n v="888588"/>
    <s v="Spot"/>
    <x v="41"/>
    <s v="Buy"/>
    <s v="EUR"/>
    <n v="100000"/>
    <s v="USD"/>
    <n v="-116944"/>
    <s v="2026-01-07"/>
    <n v="1.1694"/>
    <n v="0.85509999999999997"/>
    <n v="4.2110000000000003"/>
    <n v="3.6044999999999998"/>
    <n v="-424.64800000000002"/>
    <s v="GERMANY DE"/>
  </r>
  <r>
    <s v="BKMILL"/>
    <n v="155161"/>
    <n v="214661"/>
    <s v="Forward"/>
    <x v="232"/>
    <s v="Buy Fwd"/>
    <s v="EUR"/>
    <n v="40000"/>
    <s v="PLN"/>
    <n v="167800"/>
    <s v="2026-01-05"/>
    <n v="4.1950000000000003"/>
    <n v="0.2384"/>
    <n v="4.2156000000000002"/>
    <n v="1"/>
    <n v="336424"/>
    <s v="POLAND PL"/>
  </r>
  <r>
    <s v="BKMILL"/>
    <n v="155162"/>
    <n v="214662"/>
    <s v="Forward"/>
    <x v="233"/>
    <s v="Buy Fwd"/>
    <s v="EUR"/>
    <n v="6000"/>
    <s v="PLN"/>
    <n v="25098"/>
    <s v="2026-01-05"/>
    <n v="4.1829999999999998"/>
    <n v="0.23910000000000001"/>
    <n v="4.2156000000000002"/>
    <n v="1"/>
    <n v="50391.6"/>
    <s v="POLAND PL"/>
  </r>
  <r>
    <s v="BKMILL"/>
    <n v="155163"/>
    <n v="214666"/>
    <s v="Forward"/>
    <x v="234"/>
    <s v="Buy Fwd"/>
    <s v="USD"/>
    <n v="19000"/>
    <s v="PLN"/>
    <n v="68044.7"/>
    <s v="2026-01-05"/>
    <n v="3.5815000000000001"/>
    <n v="0.2792"/>
    <n v="3.5962999999999998"/>
    <n v="1"/>
    <n v="136374.39999999999"/>
    <s v="POLAND PL"/>
  </r>
  <r>
    <s v="BKMILL"/>
    <n v="155164"/>
    <n v="888613"/>
    <s v="Spot"/>
    <x v="41"/>
    <s v="Sell"/>
    <s v="EUR"/>
    <n v="-500000"/>
    <s v="PLN"/>
    <n v="2104150"/>
    <s v="2026-01-08"/>
    <n v="4.2083000000000004"/>
    <n v="0.23760000000000001"/>
    <n v="4.2104999999999997"/>
    <n v="1"/>
    <n v="-1100"/>
    <s v="GERMANY DE"/>
  </r>
  <r>
    <s v="BKMILL"/>
    <n v="155166"/>
    <n v="888614"/>
    <s v="Spot"/>
    <x v="235"/>
    <s v="Sell"/>
    <s v="EUR"/>
    <n v="-5000"/>
    <s v="PLN"/>
    <n v="21078"/>
    <s v="2026-01-08"/>
    <n v="4.2156000000000002"/>
    <n v="0.23719999999999999"/>
    <n v="4.2104999999999997"/>
    <n v="1"/>
    <n v="25.5"/>
    <s v="POLAND PL"/>
  </r>
  <r>
    <s v="BKMILL"/>
    <n v="155167"/>
    <n v="214668"/>
    <s v="Forward"/>
    <x v="236"/>
    <s v="Buy Fwd"/>
    <s v="EUR"/>
    <n v="5000"/>
    <s v="PLN"/>
    <n v="21000"/>
    <s v="2026-01-05"/>
    <n v="4.2"/>
    <n v="0.23810000000000001"/>
    <n v="4.2156000000000002"/>
    <n v="1"/>
    <n v="42078"/>
    <s v="POLAND PL"/>
  </r>
  <r>
    <s v="BKMILL"/>
    <n v="155168"/>
    <n v="214669"/>
    <s v="Forward"/>
    <x v="237"/>
    <s v="Sell Fwd"/>
    <s v="CHF"/>
    <n v="-7100"/>
    <s v="PLN"/>
    <n v="32411.5"/>
    <s v="2026-01-05"/>
    <n v="4.5663999999999998"/>
    <n v="0.219"/>
    <n v="4.5313999999999997"/>
    <n v="1"/>
    <n v="238.56"/>
    <s v="POLAND PL"/>
  </r>
  <r>
    <s v="BKMILL"/>
    <n v="155170"/>
    <n v="214670"/>
    <s v="Forward"/>
    <x v="238"/>
    <s v="Buy Fwd"/>
    <s v="EUR"/>
    <n v="7680"/>
    <s v="PLN"/>
    <n v="32217.599999999999"/>
    <s v="2026-01-05"/>
    <n v="4.1955"/>
    <n v="0.2384"/>
    <n v="4.2156000000000002"/>
    <n v="1"/>
    <n v="64593.408000000003"/>
    <s v="POLAND PL"/>
  </r>
  <r>
    <s v="BKMILL"/>
    <n v="155174"/>
    <n v="214678"/>
    <s v="Forward"/>
    <x v="239"/>
    <s v="Sell Fwd"/>
    <s v="EUR"/>
    <n v="-120000"/>
    <s v="PLN"/>
    <n v="506400"/>
    <s v="2026-01-05"/>
    <n v="4.2205000000000004"/>
    <n v="0.2369"/>
    <n v="4.2156000000000002"/>
    <n v="1"/>
    <n v="528"/>
    <s v="POLAND PL"/>
  </r>
  <r>
    <s v="BKMILL"/>
    <n v="155175"/>
    <n v="888654"/>
    <s v="Spot"/>
    <x v="42"/>
    <s v="Sell"/>
    <s v="EUR"/>
    <n v="-1000000"/>
    <s v="PLN"/>
    <n v="4209850"/>
    <s v="2026-01-08"/>
    <n v="4.2099000000000002"/>
    <n v="0.23749999999999999"/>
    <n v="4.2104999999999997"/>
    <n v="1"/>
    <n v="-650"/>
    <s v="SWITZERLAND CH"/>
  </r>
  <r>
    <s v="BKMILL"/>
    <n v="155176"/>
    <n v="214679"/>
    <s v="Forward"/>
    <x v="240"/>
    <s v="Buy Fwd"/>
    <s v="EUR"/>
    <n v="1012000"/>
    <s v="PLN"/>
    <n v="4251412"/>
    <s v="2026-01-05"/>
    <n v="4.2015000000000002"/>
    <n v="0.23799999999999999"/>
    <n v="4.2156000000000002"/>
    <n v="1"/>
    <n v="8517599.1999999993"/>
    <s v="POLAND PL"/>
  </r>
  <r>
    <s v="BKMILL"/>
    <n v="155177"/>
    <n v="214682"/>
    <s v="Forward"/>
    <x v="241"/>
    <s v="Buy Fwd"/>
    <s v="EUR"/>
    <n v="25000"/>
    <s v="PLN"/>
    <n v="104750"/>
    <s v="2026-01-05"/>
    <n v="4.1900000000000004"/>
    <n v="0.2387"/>
    <n v="4.2156000000000002"/>
    <n v="1"/>
    <n v="210140"/>
    <s v="POLAND PL"/>
  </r>
  <r>
    <s v="BKMILL"/>
    <n v="155178"/>
    <n v="214689"/>
    <s v="Forward"/>
    <x v="69"/>
    <s v="Buy Fwd"/>
    <s v="EUR"/>
    <n v="100000"/>
    <s v="PLN"/>
    <n v="420500"/>
    <s v="2026-01-05"/>
    <n v="4.2054999999999998"/>
    <n v="0.23780000000000001"/>
    <n v="4.2156000000000002"/>
    <n v="1"/>
    <n v="842060"/>
    <s v="POLAND PL"/>
  </r>
  <r>
    <s v="BKMILL"/>
    <n v="155179"/>
    <n v="214690"/>
    <s v="Forward"/>
    <x v="242"/>
    <s v="Sell Fwd"/>
    <s v="EUR"/>
    <n v="-250000"/>
    <s v="PLN"/>
    <n v="1053125"/>
    <s v="2026-01-05"/>
    <n v="4.2125000000000004"/>
    <n v="0.2374"/>
    <n v="4.2156000000000002"/>
    <n v="1"/>
    <n v="-775"/>
    <s v="POLAND PL"/>
  </r>
  <r>
    <s v="BKMILL"/>
    <n v="155180"/>
    <n v="888701"/>
    <s v="Spot"/>
    <x v="43"/>
    <s v="Buy"/>
    <s v="USD"/>
    <n v="500000"/>
    <s v="PLN"/>
    <n v="-1802515"/>
    <s v="2026-01-08"/>
    <n v="3.605"/>
    <n v="0.27739999999999998"/>
    <n v="3.6034999999999999"/>
    <n v="1"/>
    <n v="-765"/>
    <s v="FRANCE FR"/>
  </r>
  <r>
    <s v="BKMILL"/>
    <n v="155181"/>
    <n v="214693"/>
    <s v="Forward"/>
    <x v="74"/>
    <s v="Buy Fwd"/>
    <s v="EUR"/>
    <n v="200000"/>
    <s v="PLN"/>
    <n v="839000"/>
    <s v="2026-01-05"/>
    <n v="4.1950000000000003"/>
    <n v="0.2384"/>
    <n v="4.2156000000000002"/>
    <n v="1"/>
    <n v="1682120"/>
    <s v="POLAND PL"/>
  </r>
  <r>
    <s v="BKMILL"/>
    <n v="155184"/>
    <n v="214697"/>
    <s v="Forward"/>
    <x v="243"/>
    <s v="Sell Fwd"/>
    <s v="USD"/>
    <n v="-16000"/>
    <s v="PLN"/>
    <n v="57728"/>
    <s v="2026-01-05"/>
    <n v="3.6080000000000001"/>
    <n v="0.2772"/>
    <n v="3.5962999999999998"/>
    <n v="1"/>
    <n v="187.2"/>
    <s v="POLAND PL"/>
  </r>
  <r>
    <s v="BKMILL"/>
    <n v="155186"/>
    <n v="214699"/>
    <s v="Forward"/>
    <x v="70"/>
    <s v="Buy Fwd"/>
    <s v="GBP"/>
    <n v="7449.06"/>
    <s v="PLN"/>
    <n v="36016.21"/>
    <s v="2026-01-05"/>
    <n v="4.835"/>
    <n v="0.20680000000000001"/>
    <n v="4.8391000000000002"/>
    <n v="1"/>
    <n v="72062.956246000002"/>
    <s v="POLAND PL"/>
  </r>
  <r>
    <s v="BKMILL"/>
    <n v="155190"/>
    <n v="214703"/>
    <s v="Forward"/>
    <x v="244"/>
    <s v="Sell Fwd"/>
    <s v="EUR"/>
    <n v="-15000"/>
    <s v="PLN"/>
    <n v="63375"/>
    <s v="2026-01-05"/>
    <n v="4.2255000000000003"/>
    <n v="0.23669999999999999"/>
    <n v="4.2156000000000002"/>
    <n v="1"/>
    <n v="141"/>
    <s v="POLAND PL"/>
  </r>
  <r>
    <s v="BKMILL"/>
    <n v="155191"/>
    <n v="214707"/>
    <s v="Forward"/>
    <x v="245"/>
    <s v="Buy Fwd"/>
    <s v="USD"/>
    <n v="10000"/>
    <s v="PLN"/>
    <n v="35750"/>
    <s v="2026-01-05"/>
    <n v="3.5750000000000002"/>
    <n v="0.2797"/>
    <n v="3.5962999999999998"/>
    <n v="1"/>
    <n v="71713"/>
    <s v="POLAND PL"/>
  </r>
  <r>
    <s v="BKMILL"/>
    <n v="155193"/>
    <n v="214713"/>
    <s v="Forward"/>
    <x v="246"/>
    <s v="Buy Fwd"/>
    <s v="EUR"/>
    <n v="10000"/>
    <s v="PLN"/>
    <n v="42000"/>
    <s v="2026-01-05"/>
    <n v="4.2004999999999999"/>
    <n v="0.23810000000000001"/>
    <n v="4.2156000000000002"/>
    <n v="1"/>
    <n v="84156"/>
    <s v="POLAND PL"/>
  </r>
  <r>
    <s v="BKMILL"/>
    <n v="155194"/>
    <n v="214717"/>
    <s v="Forward"/>
    <x v="247"/>
    <s v="Sell Fwd"/>
    <s v="EUR"/>
    <n v="-50000"/>
    <s v="PLN"/>
    <n v="210650"/>
    <s v="2026-01-05"/>
    <n v="4.2134999999999998"/>
    <n v="0.23730000000000001"/>
    <n v="4.2156000000000002"/>
    <n v="1"/>
    <n v="-130"/>
    <s v="POLAND PL"/>
  </r>
  <r>
    <s v="BKMILL"/>
    <n v="155195"/>
    <n v="214721"/>
    <s v="Forward"/>
    <x v="170"/>
    <s v="Buy Fwd"/>
    <s v="EUR"/>
    <n v="20000"/>
    <s v="PLN"/>
    <n v="84156"/>
    <s v="2026-01-05"/>
    <n v="4.2084000000000001"/>
    <n v="0.23760000000000001"/>
    <n v="4.2156000000000002"/>
    <n v="1"/>
    <n v="168468"/>
    <s v="POLAND PL"/>
  </r>
  <r>
    <s v="BKMILL"/>
    <n v="155196"/>
    <n v="214722"/>
    <s v="Forward"/>
    <x v="30"/>
    <s v="Sell Fwd"/>
    <s v="EUR"/>
    <n v="-150000"/>
    <s v="NOK"/>
    <n v="1769775"/>
    <s v="2026-01-16"/>
    <n v="11.792899999999999"/>
    <n v="8.48E-2"/>
    <n v="4.2068000000000003"/>
    <n v="0.35880000000000001"/>
    <n v="3975.27"/>
    <s v="POLAND PL"/>
  </r>
  <r>
    <s v="BKMILL"/>
    <n v="155197"/>
    <n v="214726"/>
    <s v="Forward"/>
    <x v="139"/>
    <s v="Buy Fwd"/>
    <s v="EUR"/>
    <n v="19586.57"/>
    <s v="PLN"/>
    <n v="82347.820000000007"/>
    <s v="2026-01-05"/>
    <n v="4.2049000000000003"/>
    <n v="0.23780000000000001"/>
    <n v="4.2156000000000002"/>
    <n v="1"/>
    <n v="164916.964492"/>
    <s v="POLAND PL"/>
  </r>
  <r>
    <s v="BKMILL"/>
    <n v="155198"/>
    <n v="888822"/>
    <s v="Spot"/>
    <x v="43"/>
    <s v="Buy"/>
    <s v="EUR"/>
    <n v="200000"/>
    <s v="NOK"/>
    <n v="-2357116"/>
    <s v="2026-01-07"/>
    <n v="11.785600000000001"/>
    <n v="8.48E-2"/>
    <n v="4.2110000000000003"/>
    <n v="0.35720000000000002"/>
    <n v="238.16480000000001"/>
    <s v="FRANCE FR"/>
  </r>
  <r>
    <s v="BKMILL"/>
    <n v="155200"/>
    <n v="888832"/>
    <s v="Spot"/>
    <x v="41"/>
    <s v="Buy"/>
    <s v="EUR"/>
    <n v="500000"/>
    <s v="PLN"/>
    <n v="-2106300"/>
    <s v="2026-01-08"/>
    <n v="4.2126000000000001"/>
    <n v="0.2374"/>
    <n v="4.2104999999999997"/>
    <n v="1"/>
    <n v="-1050"/>
    <s v="GERMANY DE"/>
  </r>
  <r>
    <s v="BKMILL"/>
    <n v="155201"/>
    <n v="214730"/>
    <s v="Forward"/>
    <x v="248"/>
    <s v="Buy Fwd"/>
    <s v="SEK"/>
    <n v="98000"/>
    <s v="PLN"/>
    <n v="37877"/>
    <s v="2026-01-05"/>
    <n v="0.38650000000000001"/>
    <n v="2.5872999999999999"/>
    <n v="0.3896"/>
    <n v="1"/>
    <n v="76057.8"/>
    <s v="POLAND PL"/>
  </r>
  <r>
    <s v="BKMILL"/>
    <n v="155202"/>
    <n v="214732"/>
    <s v="Forward"/>
    <x v="249"/>
    <s v="Sell Fwd"/>
    <s v="EUR"/>
    <n v="-54373.52"/>
    <s v="PLN"/>
    <n v="229999.99"/>
    <s v="2026-01-05"/>
    <n v="4.2305000000000001"/>
    <n v="0.2364"/>
    <n v="4.2156000000000002"/>
    <n v="1"/>
    <n v="782.97908800000005"/>
    <s v="POLAND PL"/>
  </r>
  <r>
    <s v="BKMILL"/>
    <n v="155207"/>
    <n v="214738"/>
    <s v="Forward"/>
    <x v="82"/>
    <s v="Sell Fwd"/>
    <s v="EUR"/>
    <n v="-12309"/>
    <s v="PLN"/>
    <n v="51939.06"/>
    <s v="2026-01-05"/>
    <n v="4.2201000000000004"/>
    <n v="0.23699999999999999"/>
    <n v="4.2156000000000002"/>
    <n v="1"/>
    <n v="49.239600000000003"/>
    <s v="POLAND PL"/>
  </r>
  <r>
    <s v="BKMILL"/>
    <n v="155208"/>
    <n v="214741"/>
    <s v="Forward"/>
    <x v="190"/>
    <s v="Buy Fwd"/>
    <s v="EUR"/>
    <n v="200000"/>
    <s v="PLN"/>
    <n v="842040"/>
    <s v="2026-01-05"/>
    <n v="4.2107999999999999"/>
    <n v="0.23749999999999999"/>
    <n v="4.2156000000000002"/>
    <n v="1"/>
    <n v="1685160"/>
    <s v="POLAND PL"/>
  </r>
  <r>
    <s v="BKMILL"/>
    <n v="155209"/>
    <n v="888877"/>
    <s v="Spot"/>
    <x v="47"/>
    <s v="Sell"/>
    <s v="EUR"/>
    <n v="-500000"/>
    <s v="PLN"/>
    <n v="2106870"/>
    <s v="2026-01-08"/>
    <n v="4.2137000000000002"/>
    <n v="0.23730000000000001"/>
    <n v="4.2104999999999997"/>
    <n v="1"/>
    <n v="1620"/>
    <s v="FRANCE FR"/>
  </r>
  <r>
    <s v="BKMILL"/>
    <n v="155210"/>
    <n v="214745"/>
    <s v="Forward"/>
    <x v="250"/>
    <s v="Buy Fwd"/>
    <s v="GBP"/>
    <n v="10929.73"/>
    <s v="PLN"/>
    <n v="52899.89"/>
    <s v="2026-01-05"/>
    <n v="4.84"/>
    <n v="0.20660000000000001"/>
    <n v="4.8391000000000002"/>
    <n v="1"/>
    <n v="105789.94644299999"/>
    <s v="POLAND PL"/>
  </r>
  <r>
    <s v="BKMILL"/>
    <n v="155212"/>
    <n v="214752"/>
    <s v="Forward"/>
    <x v="123"/>
    <s v="Sell Fwd"/>
    <s v="USD"/>
    <n v="-50000"/>
    <s v="PLN"/>
    <n v="180575"/>
    <s v="2026-01-05"/>
    <n v="3.6114999999999999"/>
    <n v="0.27689999999999998"/>
    <n v="3.5962999999999998"/>
    <n v="1"/>
    <n v="760"/>
    <s v="POLAND PL"/>
  </r>
  <r>
    <s v="BKMILL"/>
    <n v="155213"/>
    <n v="888916"/>
    <s v="Spot"/>
    <x v="44"/>
    <s v="Sell"/>
    <s v="EUR"/>
    <n v="-1000000"/>
    <s v="PLN"/>
    <n v="4216120"/>
    <s v="2026-01-08"/>
    <n v="4.2161"/>
    <n v="0.23719999999999999"/>
    <n v="4.2104999999999997"/>
    <n v="1"/>
    <n v="5620"/>
    <s v="GERMANY DE"/>
  </r>
  <r>
    <s v="BKMILL"/>
    <n v="155214"/>
    <n v="214754"/>
    <s v="Forward"/>
    <x v="186"/>
    <s v="Buy Fwd"/>
    <s v="USD"/>
    <n v="150000"/>
    <s v="PLN"/>
    <n v="540750"/>
    <s v="2026-01-05"/>
    <n v="3.605"/>
    <n v="0.27739999999999998"/>
    <n v="3.5962999999999998"/>
    <n v="1"/>
    <n v="1080195"/>
    <s v="POLAND PL"/>
  </r>
  <r>
    <s v="BKMILL"/>
    <n v="155215"/>
    <n v="214758"/>
    <s v="Forward"/>
    <x v="129"/>
    <s v="Buy Fwd"/>
    <s v="EUR"/>
    <n v="18161"/>
    <s v="USD"/>
    <n v="21202.97"/>
    <s v="2026-01-05"/>
    <n v="1.1677"/>
    <n v="0.85640000000000005"/>
    <n v="4.2156000000000002"/>
    <n v="3.5962999999999998"/>
    <n v="152811.752611"/>
    <s v="POLAND PL"/>
  </r>
  <r>
    <s v="BKMILL"/>
    <n v="155216"/>
    <n v="888933"/>
    <s v="Spot"/>
    <x v="51"/>
    <s v="Sell"/>
    <s v="EUR"/>
    <n v="-200000"/>
    <s v="PLN"/>
    <n v="843600"/>
    <s v="2026-01-08"/>
    <n v="4.218"/>
    <n v="0.23710000000000001"/>
    <n v="4.2104999999999997"/>
    <n v="1"/>
    <n v="1500"/>
    <s v="POLAND PL"/>
  </r>
  <r>
    <s v="BKMILL"/>
    <n v="155217"/>
    <n v="214760"/>
    <s v="Forward"/>
    <x v="251"/>
    <s v="Buy Fwd"/>
    <s v="EUR"/>
    <n v="4400"/>
    <s v="PLN"/>
    <n v="18392"/>
    <s v="2026-01-05"/>
    <n v="4.18"/>
    <n v="0.2392"/>
    <n v="4.2156000000000002"/>
    <n v="1"/>
    <n v="36940.639999999999"/>
    <s v="POLAND PL"/>
  </r>
  <r>
    <s v="BKMILL"/>
    <n v="155218"/>
    <n v="888940"/>
    <s v="Spot"/>
    <x v="44"/>
    <s v="Buy"/>
    <s v="EUR"/>
    <n v="1000000"/>
    <s v="PLN"/>
    <n v="-4216700"/>
    <s v="2026-01-08"/>
    <n v="4.2167000000000003"/>
    <n v="0.23719999999999999"/>
    <n v="4.2104999999999997"/>
    <n v="1"/>
    <n v="-6200"/>
    <s v="GERMANY DE"/>
  </r>
  <r>
    <s v="BKMILL"/>
    <n v="155219"/>
    <n v="214762"/>
    <s v="Forward"/>
    <x v="252"/>
    <s v="Sell Fwd"/>
    <s v="EUR"/>
    <n v="-10000"/>
    <s v="PLN"/>
    <n v="42417"/>
    <s v="2026-01-05"/>
    <n v="4.2422000000000004"/>
    <n v="0.23569999999999999"/>
    <n v="4.2156000000000002"/>
    <n v="1"/>
    <n v="261"/>
    <s v="POLAND PL"/>
  </r>
  <r>
    <s v="BKMILL"/>
    <n v="155220"/>
    <n v="214763"/>
    <s v="Forward"/>
    <x v="144"/>
    <s v="Buy Fwd"/>
    <s v="USD"/>
    <n v="6000"/>
    <s v="PLN"/>
    <n v="21570"/>
    <s v="2026-01-05"/>
    <n v="3.5952000000000002"/>
    <n v="0.27810000000000001"/>
    <n v="3.5962999999999998"/>
    <n v="1"/>
    <n v="43147.8"/>
    <s v="POLAND PL"/>
  </r>
  <r>
    <s v="BKMILL"/>
    <n v="155221"/>
    <n v="214765"/>
    <s v="Forward"/>
    <x v="253"/>
    <s v="Sell Fwd"/>
    <s v="DKK"/>
    <n v="-300000"/>
    <s v="PLN"/>
    <n v="169920"/>
    <s v="2026-01-05"/>
    <n v="0.56640000000000001"/>
    <n v="1.7655000000000001"/>
    <n v="0.56440000000000001"/>
    <n v="1"/>
    <n v="600"/>
    <s v="POLAND PL"/>
  </r>
  <r>
    <s v="BKMILL"/>
    <n v="155223"/>
    <n v="214766"/>
    <s v="Forward"/>
    <x v="254"/>
    <s v="Buy Fwd"/>
    <s v="EUR"/>
    <n v="16646.849999999999"/>
    <s v="PLN"/>
    <n v="70000"/>
    <s v="2026-01-05"/>
    <n v="4.2054999999999998"/>
    <n v="0.23780000000000001"/>
    <n v="4.2156000000000002"/>
    <n v="1"/>
    <n v="140176.46085999999"/>
    <s v="POLAND PL"/>
  </r>
  <r>
    <s v="BKMILL"/>
    <n v="155224"/>
    <n v="888984"/>
    <s v="Spot"/>
    <x v="38"/>
    <s v="Buy"/>
    <s v="USD"/>
    <n v="1000000"/>
    <s v="PLN"/>
    <n v="-3607150"/>
    <s v="2026-01-08"/>
    <n v="3.6071"/>
    <n v="0.2772"/>
    <n v="3.6034999999999999"/>
    <n v="1"/>
    <n v="-3650"/>
    <s v="NETHERLANDS NL"/>
  </r>
  <r>
    <s v="BKMILL"/>
    <n v="155225"/>
    <n v="214773"/>
    <s v="Forward"/>
    <x v="139"/>
    <s v="Buy Fwd"/>
    <s v="EUR"/>
    <n v="12475.84"/>
    <s v="PLN"/>
    <n v="52488.35"/>
    <s v="2026-01-05"/>
    <n v="4.2077999999999998"/>
    <n v="0.23769999999999999"/>
    <n v="4.2156000000000002"/>
    <n v="1"/>
    <n v="105081.501104"/>
    <s v="POLAND PL"/>
  </r>
  <r>
    <s v="BKMILL"/>
    <n v="155226"/>
    <n v="888997"/>
    <s v="Spot"/>
    <x v="43"/>
    <s v="Buy"/>
    <s v="EUR"/>
    <n v="150000"/>
    <s v="SEK"/>
    <n v="-1616320.5"/>
    <s v="2026-01-08"/>
    <n v="10.775499999999999"/>
    <n v="9.2799999999999994E-2"/>
    <n v="4.2104999999999997"/>
    <n v="0.39150000000000001"/>
    <n v="-1214.4757500000001"/>
    <s v="FRANCE FR"/>
  </r>
  <r>
    <s v="BKMILL"/>
    <n v="155227"/>
    <n v="889006"/>
    <s v="Spot"/>
    <x v="42"/>
    <s v="Buy"/>
    <s v="USD"/>
    <n v="500000"/>
    <s v="PLN"/>
    <n v="-1804070"/>
    <s v="2026-01-08"/>
    <n v="3.6080999999999999"/>
    <n v="0.2772"/>
    <n v="3.6034999999999999"/>
    <n v="1"/>
    <n v="-2320"/>
    <s v="SWITZERLAND CH"/>
  </r>
  <r>
    <s v="BKMILL"/>
    <n v="155228"/>
    <n v="214778"/>
    <s v="Forward"/>
    <x v="255"/>
    <s v="Buy Fwd"/>
    <s v="EUR"/>
    <n v="76000"/>
    <s v="PLN"/>
    <n v="319998"/>
    <s v="2026-01-05"/>
    <n v="4.2111000000000001"/>
    <n v="0.23749999999999999"/>
    <n v="4.2156000000000002"/>
    <n v="1"/>
    <n v="640383.6"/>
    <s v="POLAND PL"/>
  </r>
  <r>
    <s v="BKMILL"/>
    <n v="155229"/>
    <n v="889013"/>
    <s v="Spot"/>
    <x v="43"/>
    <s v="Buy"/>
    <s v="USD"/>
    <n v="500000"/>
    <s v="PLN"/>
    <n v="-1803970"/>
    <s v="2026-01-08"/>
    <n v="3.6078999999999999"/>
    <n v="0.2772"/>
    <n v="3.6034999999999999"/>
    <n v="1"/>
    <n v="-2220"/>
    <s v="FRANCE FR"/>
  </r>
  <r>
    <s v="BKMILL"/>
    <n v="155230"/>
    <n v="214783"/>
    <s v="Forward"/>
    <x v="200"/>
    <s v="Sell Fwd"/>
    <s v="EUR"/>
    <n v="-60000"/>
    <s v="PLN"/>
    <n v="253836"/>
    <s v="2026-01-05"/>
    <n v="4.2310999999999996"/>
    <n v="0.23630000000000001"/>
    <n v="4.2156000000000002"/>
    <n v="1"/>
    <n v="900"/>
    <s v="POLAND PL"/>
  </r>
  <r>
    <s v="BKMILL"/>
    <n v="155231"/>
    <n v="889027"/>
    <s v="Spot"/>
    <x v="41"/>
    <s v="Sell"/>
    <s v="EUR"/>
    <n v="-500000"/>
    <s v="PLN"/>
    <n v="2107600"/>
    <s v="2026-01-08"/>
    <n v="4.2152000000000003"/>
    <n v="0.23719999999999999"/>
    <n v="4.2104999999999997"/>
    <n v="1"/>
    <n v="2350"/>
    <s v="GERMANY DE"/>
  </r>
  <r>
    <s v="BKMILL"/>
    <n v="155232"/>
    <n v="889028"/>
    <s v="Spot"/>
    <x v="40"/>
    <s v="Sell"/>
    <s v="EUR"/>
    <n v="-500000"/>
    <s v="PLN"/>
    <n v="2107500"/>
    <s v="2026-01-08"/>
    <n v="4.2149999999999999"/>
    <n v="0.23719999999999999"/>
    <n v="4.2104999999999997"/>
    <n v="1"/>
    <n v="2250"/>
    <s v="UNITED STATES OF AMERICA US"/>
  </r>
  <r>
    <s v="BKMILL"/>
    <n v="155233"/>
    <n v="214785"/>
    <s v="Forward"/>
    <x v="256"/>
    <s v="Buy Fwd"/>
    <s v="EUR"/>
    <n v="100000"/>
    <s v="PLN"/>
    <n v="420400"/>
    <s v="2026-01-05"/>
    <n v="4.2045000000000003"/>
    <n v="0.23780000000000001"/>
    <n v="4.2156000000000002"/>
    <n v="1"/>
    <n v="841960"/>
    <s v="POLAND PL"/>
  </r>
  <r>
    <s v="BKMILL"/>
    <n v="155234"/>
    <n v="889041"/>
    <s v="Spot"/>
    <x v="257"/>
    <s v="Buy"/>
    <s v="EUR"/>
    <n v="115000"/>
    <s v="USD"/>
    <n v="-134274"/>
    <s v="2026-01-08"/>
    <n v="1.1676"/>
    <n v="0.85650000000000004"/>
    <n v="4.2104999999999997"/>
    <n v="3.6034999999999999"/>
    <n v="351.14100000000002"/>
    <s v="POLAND PL"/>
  </r>
  <r>
    <s v="BKMILL"/>
    <n v="155236"/>
    <n v="889043"/>
    <s v="Spot"/>
    <x v="43"/>
    <s v="Buy"/>
    <s v="EUR"/>
    <n v="500000"/>
    <s v="PLN"/>
    <n v="-2107785"/>
    <s v="2026-01-08"/>
    <n v="4.2156000000000002"/>
    <n v="0.23719999999999999"/>
    <n v="4.2104999999999997"/>
    <n v="1"/>
    <n v="-2535"/>
    <s v="FRANCE FR"/>
  </r>
  <r>
    <s v="BKMILL"/>
    <n v="155237"/>
    <n v="214787"/>
    <s v="Forward"/>
    <x v="73"/>
    <s v="Sell Fwd"/>
    <s v="EUR"/>
    <n v="-680000"/>
    <s v="PLN"/>
    <n v="2866880"/>
    <s v="2026-01-05"/>
    <n v="4.2165999999999997"/>
    <n v="0.23719999999999999"/>
    <n v="4.2156000000000002"/>
    <n v="1"/>
    <n v="272"/>
    <s v="POLAND PL"/>
  </r>
  <r>
    <s v="BKMILL"/>
    <n v="155243"/>
    <n v="889061"/>
    <s v="Spot"/>
    <x v="47"/>
    <s v="Sell"/>
    <s v="EUR"/>
    <n v="-300000"/>
    <s v="USD"/>
    <n v="350520"/>
    <s v="2026-01-07"/>
    <n v="1.1684000000000001"/>
    <n v="0.85589999999999999"/>
    <n v="4.2110000000000003"/>
    <n v="3.6044999999999998"/>
    <n v="149.34"/>
    <s v="FRANCE FR"/>
  </r>
  <r>
    <s v="BKMILL"/>
    <n v="155245"/>
    <n v="889078"/>
    <s v="Spot"/>
    <x v="41"/>
    <s v="Sell"/>
    <s v="USD"/>
    <n v="-500000"/>
    <s v="PLN"/>
    <n v="1805100"/>
    <s v="2026-01-08"/>
    <n v="3.6101999999999999"/>
    <n v="0.27700000000000002"/>
    <n v="3.6034999999999999"/>
    <n v="1"/>
    <n v="3350"/>
    <s v="GERMANY DE"/>
  </r>
  <r>
    <s v="BKMILL"/>
    <n v="155247"/>
    <n v="214798"/>
    <s v="Forward"/>
    <x v="70"/>
    <s v="Buy Fwd"/>
    <s v="EUR"/>
    <n v="73963.03"/>
    <s v="PLN"/>
    <n v="311384.36"/>
    <s v="2026-01-05"/>
    <n v="4.21"/>
    <n v="0.23749999999999999"/>
    <n v="4.2156000000000002"/>
    <n v="1"/>
    <n v="623182.90926800005"/>
    <s v="POLAND PL"/>
  </r>
  <r>
    <s v="BKMILL"/>
    <n v="155248"/>
    <n v="214799"/>
    <s v="Forward"/>
    <x v="70"/>
    <s v="Buy Fwd"/>
    <s v="GBP"/>
    <n v="9920.2800000000007"/>
    <s v="PLN"/>
    <n v="48123.28"/>
    <s v="2026-01-05"/>
    <n v="4.851"/>
    <n v="0.20610000000000001"/>
    <n v="4.8391000000000002"/>
    <n v="1"/>
    <n v="96128.506947999995"/>
    <s v="POLAND PL"/>
  </r>
  <r>
    <s v="BKMILL"/>
    <n v="155249"/>
    <n v="214800"/>
    <s v="Forward"/>
    <x v="258"/>
    <s v="Sell Fwd"/>
    <s v="EUR"/>
    <n v="-320000"/>
    <s v="PLN"/>
    <n v="1351360"/>
    <s v="2026-01-05"/>
    <n v="4.2229999999999999"/>
    <n v="0.23680000000000001"/>
    <n v="4.2156000000000002"/>
    <n v="1"/>
    <n v="2368"/>
    <s v="POLAND PL"/>
  </r>
  <r>
    <s v="BKMILL"/>
    <n v="155256"/>
    <n v="214811"/>
    <s v="Forward"/>
    <x v="259"/>
    <s v="Buy Fwd"/>
    <s v="EUR"/>
    <n v="10000"/>
    <s v="PLN"/>
    <n v="42100"/>
    <s v="2026-01-05"/>
    <n v="4.21"/>
    <n v="0.23749999999999999"/>
    <n v="4.2156000000000002"/>
    <n v="1"/>
    <n v="84256"/>
    <s v="POLAND PL"/>
  </r>
  <r>
    <s v="BKMILL"/>
    <n v="155257"/>
    <n v="214813"/>
    <s v="Forward"/>
    <x v="260"/>
    <s v="Buy Fwd"/>
    <s v="EUR"/>
    <n v="12000"/>
    <s v="PLN"/>
    <n v="50520"/>
    <s v="2026-01-05"/>
    <n v="4.21"/>
    <n v="0.23749999999999999"/>
    <n v="4.2156000000000002"/>
    <n v="1"/>
    <n v="101107.2"/>
    <s v="POLAND PL"/>
  </r>
  <r>
    <s v="BKMILL"/>
    <n v="155259"/>
    <n v="889150"/>
    <s v="Spot"/>
    <x v="41"/>
    <s v="Sell"/>
    <s v="USD"/>
    <n v="-500000"/>
    <s v="PLN"/>
    <n v="1806250"/>
    <s v="2026-01-08"/>
    <n v="3.6124999999999998"/>
    <n v="0.27679999999999999"/>
    <n v="3.6034999999999999"/>
    <n v="1"/>
    <n v="4500"/>
    <s v="GERMANY DE"/>
  </r>
  <r>
    <s v="BKMILL"/>
    <n v="155260"/>
    <n v="214823"/>
    <s v="Forward"/>
    <x v="61"/>
    <s v="Sell Fwd"/>
    <s v="EUR"/>
    <n v="-50000"/>
    <s v="USD"/>
    <n v="58370"/>
    <s v="2026-01-05"/>
    <n v="1.1676"/>
    <n v="0.85650000000000004"/>
    <n v="4.2156000000000002"/>
    <n v="3.5962999999999998"/>
    <n v="-863.96900000000005"/>
    <s v="POLAND PL"/>
  </r>
  <r>
    <s v="BKMILL"/>
    <n v="155261"/>
    <n v="889164"/>
    <s v="Spot"/>
    <x v="44"/>
    <s v="Sell"/>
    <s v="GBP"/>
    <n v="-1000000"/>
    <s v="PLN"/>
    <n v="4860600"/>
    <s v="2026-01-08"/>
    <n v="4.8605999999999998"/>
    <n v="0.20569999999999999"/>
    <n v="4.8628999999999998"/>
    <n v="1"/>
    <n v="-2300"/>
    <s v="GERMANY DE"/>
  </r>
  <r>
    <s v="BKMILL"/>
    <n v="155262"/>
    <n v="214825"/>
    <s v="Forward"/>
    <x v="109"/>
    <s v="Buy Fwd"/>
    <s v="GBP"/>
    <n v="1000000"/>
    <s v="PLN"/>
    <n v="4858300"/>
    <s v="2026-01-05"/>
    <n v="4.8582999999999998"/>
    <n v="0.20580000000000001"/>
    <n v="4.8391000000000002"/>
    <n v="1"/>
    <n v="9697400"/>
    <s v="POLAND PL"/>
  </r>
  <r>
    <s v="BKMILL"/>
    <n v="155263"/>
    <n v="889168"/>
    <s v="Spot"/>
    <x v="47"/>
    <s v="Sell"/>
    <s v="EUR"/>
    <n v="-500000"/>
    <s v="PLN"/>
    <n v="2108205"/>
    <s v="2026-01-08"/>
    <n v="4.2164000000000001"/>
    <n v="0.23719999999999999"/>
    <n v="4.2104999999999997"/>
    <n v="1"/>
    <n v="2955"/>
    <s v="FRANCE FR"/>
  </r>
  <r>
    <s v="BKMILL"/>
    <n v="155266"/>
    <n v="889206"/>
    <s v="Spot"/>
    <x v="43"/>
    <s v="Buy"/>
    <s v="EUR"/>
    <n v="200000"/>
    <s v="USD"/>
    <n v="-233238"/>
    <s v="2026-01-07"/>
    <n v="1.1661999999999999"/>
    <n v="0.85750000000000004"/>
    <n v="4.2110000000000003"/>
    <n v="3.6044999999999998"/>
    <n v="1493.6289999999999"/>
    <s v="FRANCE FR"/>
  </r>
  <r>
    <s v="BKMILL"/>
    <n v="155267"/>
    <n v="214837"/>
    <s v="Forward"/>
    <x v="139"/>
    <s v="Buy Fwd"/>
    <s v="EUR"/>
    <n v="31632.51"/>
    <s v="PLN"/>
    <n v="133201.34"/>
    <s v="2026-01-05"/>
    <n v="4.2115"/>
    <n v="0.2374"/>
    <n v="4.2156000000000002"/>
    <n v="1"/>
    <n v="266551.34915600001"/>
    <s v="POLAND PL"/>
  </r>
  <r>
    <s v="BKMILL"/>
    <n v="155272"/>
    <n v="214850"/>
    <s v="Forward"/>
    <x v="251"/>
    <s v="Buy Fwd"/>
    <s v="EUR"/>
    <n v="7600"/>
    <s v="PLN"/>
    <n v="31768"/>
    <s v="2026-01-05"/>
    <n v="4.18"/>
    <n v="0.2392"/>
    <n v="4.2156000000000002"/>
    <n v="1"/>
    <n v="63806.559999999998"/>
    <s v="POLAND PL"/>
  </r>
  <r>
    <s v="BKMILL"/>
    <n v="155276"/>
    <n v="214851"/>
    <s v="Forward"/>
    <x v="106"/>
    <s v="Sell Fwd"/>
    <s v="EUR"/>
    <n v="-21360"/>
    <s v="PLN"/>
    <n v="90100.75"/>
    <s v="2026-01-05"/>
    <n v="4.2186000000000003"/>
    <n v="0.23699999999999999"/>
    <n v="4.2156000000000002"/>
    <n v="1"/>
    <n v="55.533999999999999"/>
    <s v="POLAND PL"/>
  </r>
  <r>
    <s v="BKMILL"/>
    <n v="155277"/>
    <n v="889274"/>
    <s v="Spot"/>
    <x v="50"/>
    <s v="Buy"/>
    <s v="DKK"/>
    <n v="290000"/>
    <s v="PLN"/>
    <n v="-163676"/>
    <s v="2026-01-08"/>
    <n v="0.56440000000000001"/>
    <n v="1.7718"/>
    <n v="0.5635"/>
    <n v="1"/>
    <n v="-261"/>
    <s v="POLAND PL"/>
  </r>
  <r>
    <s v="BKMILL"/>
    <n v="155279"/>
    <n v="889281"/>
    <s v="Spot"/>
    <x v="40"/>
    <s v="Sell"/>
    <s v="EUR"/>
    <n v="-500000"/>
    <s v="USD"/>
    <n v="583745"/>
    <s v="2026-01-07"/>
    <n v="1.1675"/>
    <n v="0.85650000000000004"/>
    <n v="4.2110000000000003"/>
    <n v="3.6044999999999998"/>
    <n v="-1391.1475"/>
    <s v="UNITED STATES OF AMERICA US"/>
  </r>
  <r>
    <s v="BKMILL"/>
    <n v="155280"/>
    <n v="214857"/>
    <s v="Forward"/>
    <x v="261"/>
    <s v="Buy Fwd"/>
    <s v="EUR"/>
    <n v="20000"/>
    <s v="PLN"/>
    <n v="84272"/>
    <s v="2026-01-05"/>
    <n v="4.2141000000000002"/>
    <n v="0.23730000000000001"/>
    <n v="4.2156000000000002"/>
    <n v="1"/>
    <n v="168584"/>
    <s v="POLAND PL"/>
  </r>
  <r>
    <s v="BKMILL"/>
    <n v="155281"/>
    <n v="889295"/>
    <s v="Spot"/>
    <x v="41"/>
    <s v="Sell"/>
    <s v="EUR"/>
    <n v="-500000"/>
    <s v="PLN"/>
    <n v="2108250"/>
    <s v="2026-01-08"/>
    <n v="4.2164999999999999"/>
    <n v="0.23719999999999999"/>
    <n v="4.2104999999999997"/>
    <n v="1"/>
    <n v="3000"/>
    <s v="GERMANY DE"/>
  </r>
  <r>
    <s v="BKMILL"/>
    <n v="155282"/>
    <n v="889308"/>
    <s v="Spot"/>
    <x v="41"/>
    <s v="Sell"/>
    <s v="USD"/>
    <n v="-500000"/>
    <s v="PLN"/>
    <n v="1804300"/>
    <s v="2026-01-08"/>
    <n v="3.6086"/>
    <n v="0.27710000000000001"/>
    <n v="3.6034999999999999"/>
    <n v="1"/>
    <n v="2550"/>
    <s v="GERMANY DE"/>
  </r>
  <r>
    <s v="BKMILL"/>
    <n v="155283"/>
    <n v="214862"/>
    <s v="Forward"/>
    <x v="74"/>
    <s v="Buy Fwd"/>
    <s v="EUR"/>
    <n v="150000"/>
    <s v="PLN"/>
    <n v="630000"/>
    <s v="2026-01-05"/>
    <n v="4.2"/>
    <n v="0.23810000000000001"/>
    <n v="4.2156000000000002"/>
    <n v="1"/>
    <n v="1262340"/>
    <s v="POLAND PL"/>
  </r>
  <r>
    <s v="BKMILL"/>
    <n v="155285"/>
    <n v="889350"/>
    <s v="Spot"/>
    <x v="41"/>
    <s v="Sell"/>
    <s v="EUR"/>
    <n v="-500000"/>
    <s v="PLN"/>
    <n v="2106100"/>
    <s v="2026-01-08"/>
    <n v="4.2122000000000002"/>
    <n v="0.2374"/>
    <n v="4.2104999999999997"/>
    <n v="1"/>
    <n v="850"/>
    <s v="GERMANY DE"/>
  </r>
  <r>
    <s v="BKMILL"/>
    <n v="155292"/>
    <n v="214866"/>
    <s v="Forward"/>
    <x v="30"/>
    <s v="Sell Fwd"/>
    <s v="EUR"/>
    <n v="-200000"/>
    <s v="NOK"/>
    <n v="2355520"/>
    <s v="2026-01-09"/>
    <n v="11.777100000000001"/>
    <n v="8.4900000000000003E-2"/>
    <n v="4.2119"/>
    <n v="0.35630000000000001"/>
    <n v="-3108.2240000000002"/>
    <s v="POLAND PL"/>
  </r>
  <r>
    <s v="BKMILL"/>
    <n v="155293"/>
    <n v="889362"/>
    <s v="Spot"/>
    <x v="43"/>
    <s v="Buy"/>
    <s v="EUR"/>
    <n v="100000"/>
    <s v="NOK"/>
    <n v="-1176463"/>
    <s v="2026-01-07"/>
    <n v="11.7646"/>
    <n v="8.5000000000000006E-2"/>
    <n v="4.2110000000000003"/>
    <n v="0.35720000000000002"/>
    <n v="867.41639999999995"/>
    <s v="FRANCE FR"/>
  </r>
  <r>
    <s v="BKMILL"/>
    <n v="155294"/>
    <n v="889363"/>
    <s v="Spot"/>
    <x v="47"/>
    <s v="Buy"/>
    <s v="EUR"/>
    <n v="100000"/>
    <s v="NOK"/>
    <n v="-1176730"/>
    <s v="2026-01-07"/>
    <n v="11.767300000000001"/>
    <n v="8.5000000000000006E-2"/>
    <n v="4.2110000000000003"/>
    <n v="0.35720000000000002"/>
    <n v="772.04399999999998"/>
    <s v="FRANCE FR"/>
  </r>
  <r>
    <s v="BKMILL"/>
    <n v="155297"/>
    <n v="214872"/>
    <s v="Forward"/>
    <x v="22"/>
    <s v="Sell Fwd"/>
    <s v="EUR"/>
    <n v="-60000"/>
    <s v="PLN"/>
    <n v="253680"/>
    <s v="2026-01-05"/>
    <n v="4.2279999999999998"/>
    <n v="0.23649999999999999"/>
    <n v="4.2156000000000002"/>
    <n v="1"/>
    <n v="744"/>
    <s v="POLAND PL"/>
  </r>
  <r>
    <s v="BKMILL"/>
    <n v="155298"/>
    <n v="889397"/>
    <s v="Spot"/>
    <x v="41"/>
    <s v="Sell"/>
    <s v="EUR"/>
    <n v="-500000"/>
    <s v="PLN"/>
    <n v="2105800"/>
    <s v="2026-01-08"/>
    <n v="4.2115999999999998"/>
    <n v="0.2374"/>
    <n v="4.2104999999999997"/>
    <n v="1"/>
    <n v="550"/>
    <s v="GERMANY DE"/>
  </r>
  <r>
    <s v="BKMILL"/>
    <n v="155299"/>
    <n v="889398"/>
    <s v="Spot"/>
    <x v="40"/>
    <s v="Sell"/>
    <s v="EUR"/>
    <n v="-500000"/>
    <s v="PLN"/>
    <n v="2105850"/>
    <s v="2026-01-08"/>
    <n v="4.2117000000000004"/>
    <n v="0.2374"/>
    <n v="4.2104999999999997"/>
    <n v="1"/>
    <n v="600"/>
    <s v="UNITED STATES OF AMERICA US"/>
  </r>
  <r>
    <s v="BKMILL"/>
    <n v="155300"/>
    <n v="889436"/>
    <s v="Spot"/>
    <x v="43"/>
    <s v="Buy"/>
    <s v="EUR"/>
    <n v="100000"/>
    <s v="SEK"/>
    <n v="-1078795"/>
    <s v="2026-01-08"/>
    <n v="10.788"/>
    <n v="9.2700000000000005E-2"/>
    <n v="4.2104999999999997"/>
    <n v="0.39150000000000001"/>
    <n v="-1298.2425000000001"/>
    <s v="FRANCE FR"/>
  </r>
  <r>
    <s v="BKMILL"/>
    <n v="155301"/>
    <n v="214876"/>
    <s v="Forward"/>
    <x v="262"/>
    <s v="Buy Fwd"/>
    <s v="EUR"/>
    <n v="150000"/>
    <s v="PLN"/>
    <n v="631065"/>
    <s v="2026-01-07"/>
    <n v="4.2073"/>
    <n v="0.23769999999999999"/>
    <n v="4.2110000000000003"/>
    <n v="1"/>
    <n v="1262715"/>
    <s v="POLAND PL"/>
  </r>
  <r>
    <s v="BKMILL"/>
    <n v="155302"/>
    <n v="889447"/>
    <s v="Spot"/>
    <x v="43"/>
    <s v="Buy"/>
    <s v="USD"/>
    <n v="500000"/>
    <s v="PLN"/>
    <n v="-1800185"/>
    <s v="2026-01-08"/>
    <n v="3.6004"/>
    <n v="0.2777"/>
    <n v="3.6034999999999999"/>
    <n v="1"/>
    <n v="1565"/>
    <s v="FRANCE FR"/>
  </r>
  <r>
    <s v="BKMILL"/>
    <n v="155303"/>
    <n v="214877"/>
    <s v="Forward"/>
    <x v="263"/>
    <s v="Sell Fwd"/>
    <s v="EUR"/>
    <n v="-1500"/>
    <s v="PLN"/>
    <n v="6367.5"/>
    <s v="2026-01-05"/>
    <n v="4.2453000000000003"/>
    <n v="0.2356"/>
    <n v="4.2156000000000002"/>
    <n v="1"/>
    <n v="44.1"/>
    <s v="POLAND PL"/>
  </r>
  <r>
    <s v="BKMILL"/>
    <n v="155304"/>
    <n v="889455"/>
    <s v="Spot"/>
    <x v="43"/>
    <s v="Buy"/>
    <s v="EUR"/>
    <n v="150000"/>
    <s v="DKK"/>
    <n v="-1120438.5"/>
    <s v="2026-01-07"/>
    <n v="7.4695999999999998"/>
    <n v="0.13389999999999999"/>
    <n v="4.2110000000000003"/>
    <n v="0.56369999999999998"/>
    <n v="58.817549999999997"/>
    <s v="FRANCE FR"/>
  </r>
  <r>
    <s v="BKMILL"/>
    <n v="155309"/>
    <n v="214880"/>
    <s v="Forward"/>
    <x v="76"/>
    <s v="Buy Fwd"/>
    <s v="EUR"/>
    <n v="5000"/>
    <s v="PLN"/>
    <n v="20950"/>
    <s v="2026-01-05"/>
    <n v="4.1900000000000004"/>
    <n v="0.2387"/>
    <n v="4.2156000000000002"/>
    <n v="1"/>
    <n v="42028"/>
    <s v="POLAND PL"/>
  </r>
  <r>
    <s v="BKMILL"/>
    <n v="155312"/>
    <n v="214881"/>
    <s v="Forward"/>
    <x v="264"/>
    <s v="Buy Fwd"/>
    <s v="EUR"/>
    <n v="10300"/>
    <s v="PLN"/>
    <n v="43229.1"/>
    <s v="2026-01-05"/>
    <n v="4.1974999999999998"/>
    <n v="0.2382"/>
    <n v="4.2156000000000002"/>
    <n v="1"/>
    <n v="86649.78"/>
    <s v="POLAND PL"/>
  </r>
  <r>
    <s v="BKMILL"/>
    <n v="155313"/>
    <n v="214882"/>
    <s v="Forward"/>
    <x v="265"/>
    <s v="Sell Fwd"/>
    <s v="USD"/>
    <n v="-30000"/>
    <s v="PLN"/>
    <n v="108450"/>
    <s v="2026-01-05"/>
    <n v="3.6150000000000002"/>
    <n v="0.27660000000000001"/>
    <n v="3.5962999999999998"/>
    <n v="1"/>
    <n v="561"/>
    <s v="POLAND PL"/>
  </r>
  <r>
    <s v="BKMILL"/>
    <n v="155314"/>
    <n v="214884"/>
    <s v="Forward"/>
    <x v="139"/>
    <s v="Buy Fwd"/>
    <s v="EUR"/>
    <n v="180102"/>
    <s v="PLN"/>
    <n v="756734.57"/>
    <s v="2026-01-05"/>
    <n v="4.2022000000000004"/>
    <n v="0.23799999999999999"/>
    <n v="4.2156000000000002"/>
    <n v="1"/>
    <n v="1515972.5612000001"/>
    <s v="POLAND PL"/>
  </r>
  <r>
    <s v="BKMILL"/>
    <n v="155315"/>
    <n v="889495"/>
    <s v="Spot"/>
    <x v="41"/>
    <s v="Sell"/>
    <s v="EUR"/>
    <n v="-100269.92"/>
    <s v="PLN"/>
    <n v="422316.85"/>
    <s v="2026-01-08"/>
    <n v="4.2118000000000002"/>
    <n v="0.2374"/>
    <n v="4.2104999999999997"/>
    <n v="1"/>
    <n v="130.35184000000001"/>
    <s v="GERMANY DE"/>
  </r>
  <r>
    <s v="BKMILL"/>
    <n v="155316"/>
    <n v="889497"/>
    <s v="Spot"/>
    <x v="41"/>
    <s v="Sell"/>
    <s v="CHF"/>
    <n v="-1875.97"/>
    <s v="PLN"/>
    <n v="8508.27"/>
    <s v="2026-01-08"/>
    <n v="4.5354000000000001"/>
    <n v="0.2205"/>
    <n v="4.5278999999999998"/>
    <n v="1"/>
    <n v="14.065436999999999"/>
    <s v="GERMANY DE"/>
  </r>
  <r>
    <s v="BKMILL"/>
    <n v="155317"/>
    <n v="889498"/>
    <s v="Spot"/>
    <x v="41"/>
    <s v="Sell"/>
    <s v="USD"/>
    <n v="-11806.97"/>
    <s v="PLN"/>
    <n v="42434.25"/>
    <s v="2026-01-08"/>
    <n v="3.5939999999999999"/>
    <n v="0.2782"/>
    <n v="3.6034999999999999"/>
    <n v="1"/>
    <n v="-112.16639499999999"/>
    <s v="GERMANY DE"/>
  </r>
  <r>
    <s v="BKMILL"/>
    <n v="155318"/>
    <n v="889499"/>
    <s v="Spot"/>
    <x v="41"/>
    <s v="Sell"/>
    <s v="EUR"/>
    <n v="-3422.39"/>
    <s v="PLN"/>
    <n v="14409.29"/>
    <s v="2026-01-08"/>
    <n v="4.2103000000000002"/>
    <n v="0.23749999999999999"/>
    <n v="4.2104999999999997"/>
    <n v="1"/>
    <n v="-0.68309500000000001"/>
    <s v="GERMANY DE"/>
  </r>
  <r>
    <s v="BKMILL"/>
    <n v="155319"/>
    <n v="889500"/>
    <s v="Spot"/>
    <x v="41"/>
    <s v="Sell"/>
    <s v="GBP"/>
    <n v="-6767.97"/>
    <s v="PLN"/>
    <n v="32898.43"/>
    <s v="2026-01-08"/>
    <n v="4.8609"/>
    <n v="0.20569999999999999"/>
    <n v="4.8628999999999998"/>
    <n v="1"/>
    <n v="-13.531313000000001"/>
    <s v="GERMANY DE"/>
  </r>
  <r>
    <s v="BKMILL"/>
    <n v="155320"/>
    <n v="889505"/>
    <s v="Spot"/>
    <x v="40"/>
    <s v="Sell"/>
    <s v="EUR"/>
    <n v="-102496.65"/>
    <s v="PLN"/>
    <n v="431607.24"/>
    <s v="2026-01-08"/>
    <n v="4.2108999999999996"/>
    <n v="0.23749999999999999"/>
    <n v="4.2104999999999997"/>
    <n v="1"/>
    <n v="45.095174999999998"/>
    <s v="UNITED STATES OF AMERICA US"/>
  </r>
  <r>
    <s v="BKMILL"/>
    <n v="155321"/>
    <n v="214888"/>
    <s v="Forward"/>
    <x v="41"/>
    <s v="Buy Fwd"/>
    <s v="EUR"/>
    <n v="13200"/>
    <s v="PLN"/>
    <n v="55592.27"/>
    <s v="2026-01-07"/>
    <n v="4.2117000000000004"/>
    <n v="0.2374"/>
    <n v="4.2110000000000003"/>
    <n v="1"/>
    <n v="111177.47"/>
    <s v="GERMANY DE"/>
  </r>
  <r>
    <s v="BKMILL"/>
    <n v="155322"/>
    <n v="214889"/>
    <s v="Forward"/>
    <x v="266"/>
    <s v="Sell Fwd"/>
    <s v="EUR"/>
    <n v="-13200"/>
    <s v="PLN"/>
    <n v="55841.279999999999"/>
    <s v="2026-01-07"/>
    <n v="4.2305000000000001"/>
    <n v="0.2364"/>
    <n v="4.2110000000000003"/>
    <n v="1"/>
    <n v="256.08"/>
    <s v="POLAND PL"/>
  </r>
  <r>
    <s v="BKMILL"/>
    <n v="155323"/>
    <n v="889511"/>
    <s v="Spot"/>
    <x v="40"/>
    <s v="Sell"/>
    <s v="USD"/>
    <n v="-36084.61"/>
    <s v="PLN"/>
    <n v="129571.17"/>
    <s v="2026-01-08"/>
    <n v="3.5908000000000002"/>
    <n v="0.27850000000000003"/>
    <n v="3.6034999999999999"/>
    <n v="1"/>
    <n v="-459.72213499999998"/>
    <s v="UNITED STATES OF AMERICA US"/>
  </r>
  <r>
    <s v="BKMILL"/>
    <n v="155324"/>
    <n v="889512"/>
    <s v="Spot"/>
    <x v="41"/>
    <s v="Sell"/>
    <s v="GBP"/>
    <n v="-35414.870000000003"/>
    <s v="PLN"/>
    <n v="172222.51"/>
    <s v="2026-01-08"/>
    <n v="4.8630000000000004"/>
    <n v="0.2056"/>
    <n v="4.8628999999999998"/>
    <n v="1"/>
    <n v="3.5386769999999999"/>
    <s v="GERMANY DE"/>
  </r>
  <r>
    <s v="BKMILL"/>
    <n v="155325"/>
    <n v="889513"/>
    <s v="Spot"/>
    <x v="40"/>
    <s v="Buy"/>
    <s v="EUR"/>
    <n v="56875.56"/>
    <s v="PLN"/>
    <n v="-239551.33"/>
    <s v="2026-01-08"/>
    <n v="4.2119"/>
    <n v="0.2374"/>
    <n v="4.2104999999999997"/>
    <n v="1"/>
    <n v="-76.784620000000004"/>
    <s v="UNITED STATES OF AMERICA US"/>
  </r>
  <r>
    <s v="BKMILL"/>
    <n v="155326"/>
    <n v="889514"/>
    <s v="Spot"/>
    <x v="40"/>
    <s v="Sell"/>
    <s v="CHF"/>
    <n v="-4786.08"/>
    <s v="PLN"/>
    <n v="21713.58"/>
    <s v="2026-01-08"/>
    <n v="4.5368000000000004"/>
    <n v="0.22040000000000001"/>
    <n v="4.5278999999999998"/>
    <n v="1"/>
    <n v="42.688367999999997"/>
    <s v="UNITED STATES OF AMERICA US"/>
  </r>
  <r>
    <s v="BKMILL"/>
    <n v="155327"/>
    <n v="889519"/>
    <s v="Spot"/>
    <x v="41"/>
    <s v="Buy"/>
    <s v="EUR"/>
    <n v="1866.28"/>
    <s v="PLN"/>
    <n v="-7860.4"/>
    <s v="2026-01-08"/>
    <n v="4.2118000000000002"/>
    <n v="0.2374"/>
    <n v="4.2104999999999997"/>
    <n v="1"/>
    <n v="-2.4280599999999999"/>
    <s v="GERMANY DE"/>
  </r>
  <r>
    <s v="BKMILL"/>
    <n v="155328"/>
    <n v="889520"/>
    <s v="Spot"/>
    <x v="42"/>
    <s v="Sell"/>
    <s v="GBP"/>
    <n v="-947.84"/>
    <s v="PLN"/>
    <n v="4609.93"/>
    <s v="2026-01-08"/>
    <n v="4.8635999999999999"/>
    <n v="0.2056"/>
    <n v="4.8628999999999998"/>
    <n v="1"/>
    <n v="0.67886400000000002"/>
    <s v="SWITZERLAND CH"/>
  </r>
  <r>
    <s v="BKMILL"/>
    <n v="155329"/>
    <n v="889521"/>
    <s v="Spot"/>
    <x v="36"/>
    <s v="Buy"/>
    <s v="USD"/>
    <n v="3217.62"/>
    <s v="PLN"/>
    <n v="-11557.92"/>
    <s v="2026-01-08"/>
    <n v="3.5920999999999998"/>
    <n v="0.27839999999999998"/>
    <n v="3.6034999999999999"/>
    <n v="1"/>
    <n v="36.773670000000003"/>
    <s v="UNITED KINGDOM GB"/>
  </r>
  <r>
    <s v="BKMILL"/>
    <n v="155330"/>
    <n v="889570"/>
    <s v="Spot"/>
    <x v="43"/>
    <s v="Sell"/>
    <s v="EUR"/>
    <n v="-100461.07"/>
    <s v="PLN"/>
    <n v="422749.22"/>
    <s v="2026-01-09"/>
    <n v="4.2081"/>
    <n v="0.23760000000000001"/>
    <n v="4.2119"/>
    <n v="1"/>
    <n v="-382.76073300000002"/>
    <s v="FRANCE FR"/>
  </r>
  <r>
    <s v="BKMILL"/>
    <n v="155331"/>
    <n v="889571"/>
    <s v="Spot"/>
    <x v="43"/>
    <s v="Sell"/>
    <s v="EUR"/>
    <n v="-43694.15"/>
    <s v="PLN"/>
    <n v="183868.92"/>
    <s v="2026-01-09"/>
    <n v="4.2081"/>
    <n v="0.23760000000000001"/>
    <n v="4.2119"/>
    <n v="1"/>
    <n v="-166.47038499999999"/>
    <s v="FRANCE FR"/>
  </r>
  <r>
    <s v="BKMILL"/>
    <n v="155332"/>
    <n v="889572"/>
    <s v="Spot"/>
    <x v="43"/>
    <s v="Sell"/>
    <s v="GBP"/>
    <n v="-90102.85"/>
    <s v="PLN"/>
    <n v="437934.99"/>
    <s v="2026-01-09"/>
    <n v="4.8604000000000003"/>
    <n v="0.20569999999999999"/>
    <n v="4.8471000000000002"/>
    <n v="1"/>
    <n v="1197.4657649999999"/>
    <s v="FRANCE FR"/>
  </r>
  <r>
    <s v="BKMILL"/>
    <n v="155333"/>
    <n v="889573"/>
    <s v="Spot"/>
    <x v="43"/>
    <s v="Sell"/>
    <s v="EUR"/>
    <n v="-117844.95"/>
    <s v="PLN"/>
    <n v="495902.16"/>
    <s v="2026-01-09"/>
    <n v="4.2081"/>
    <n v="0.23760000000000001"/>
    <n v="4.2119"/>
    <n v="1"/>
    <n v="-448.98490500000003"/>
    <s v="FRANCE FR"/>
  </r>
  <r>
    <s v="BKMILL"/>
    <n v="155334"/>
    <n v="889574"/>
    <s v="Spot"/>
    <x v="43"/>
    <s v="Sell"/>
    <s v="EUR"/>
    <n v="-100083.09"/>
    <s v="PLN"/>
    <n v="421158.65"/>
    <s v="2026-01-09"/>
    <n v="4.2081"/>
    <n v="0.23760000000000001"/>
    <n v="4.2119"/>
    <n v="1"/>
    <n v="-381.31677100000002"/>
    <s v="FRANCE FR"/>
  </r>
  <r>
    <s v="BKMILL"/>
    <n v="155335"/>
    <n v="889575"/>
    <s v="Spot"/>
    <x v="43"/>
    <s v="Sell"/>
    <s v="USD"/>
    <n v="-142219.56"/>
    <s v="PLN"/>
    <n v="511981.88"/>
    <s v="2026-01-09"/>
    <n v="3.5998999999999999"/>
    <n v="0.27779999999999999"/>
    <n v="3.6070000000000002"/>
    <n v="1"/>
    <n v="-1004.07292"/>
    <s v="FRANCE FR"/>
  </r>
  <r>
    <s v="BKMILL"/>
    <n v="155336"/>
    <n v="889576"/>
    <s v="Spot"/>
    <x v="43"/>
    <s v="Sell"/>
    <s v="EUR"/>
    <n v="-1540"/>
    <s v="PLN"/>
    <n v="6480.46"/>
    <s v="2026-01-09"/>
    <n v="4.2081"/>
    <n v="0.23760000000000001"/>
    <n v="4.2119"/>
    <n v="1"/>
    <n v="-5.8659999999999997"/>
    <s v="FRANCE FR"/>
  </r>
  <r>
    <s v="BKMILL"/>
    <n v="155337"/>
    <n v="889577"/>
    <s v="Spot"/>
    <x v="43"/>
    <s v="Sell"/>
    <s v="USD"/>
    <n v="-111088.4"/>
    <s v="PLN"/>
    <n v="399911.57"/>
    <s v="2026-01-09"/>
    <n v="3.5998999999999999"/>
    <n v="0.27779999999999999"/>
    <n v="3.6070000000000002"/>
    <n v="1"/>
    <n v="-784.28880000000004"/>
    <s v="FRANCE FR"/>
  </r>
  <r>
    <s v="BKMILL"/>
    <n v="155338"/>
    <n v="889578"/>
    <s v="Spot"/>
    <x v="40"/>
    <s v="Sell"/>
    <s v="CHF"/>
    <n v="-23462.65"/>
    <s v="PLN"/>
    <n v="106129.07"/>
    <s v="2026-01-09"/>
    <n v="4.5232999999999999"/>
    <n v="0.22109999999999999"/>
    <n v="4.5228000000000002"/>
    <n v="1"/>
    <n v="12.196580000000001"/>
    <s v="UNITED STATES OF AMERICA US"/>
  </r>
  <r>
    <s v="BKMILL"/>
    <n v="155339"/>
    <n v="889579"/>
    <s v="Spot"/>
    <x v="40"/>
    <s v="Sell"/>
    <s v="EUR"/>
    <n v="-131986.60999999999"/>
    <s v="PLN"/>
    <n v="555397.02"/>
    <s v="2026-01-09"/>
    <n v="4.2080000000000002"/>
    <n v="0.23760000000000001"/>
    <n v="4.2119"/>
    <n v="1"/>
    <n v="-517.38265899999999"/>
    <s v="UNITED STATES OF AMERICA US"/>
  </r>
  <r>
    <s v="BKMILL"/>
    <n v="155340"/>
    <n v="889580"/>
    <s v="Spot"/>
    <x v="42"/>
    <s v="Buy"/>
    <s v="USD"/>
    <n v="110211.43"/>
    <s v="PLN"/>
    <n v="-397056.51"/>
    <s v="2026-01-09"/>
    <n v="3.6027"/>
    <n v="0.27760000000000001"/>
    <n v="3.6070000000000002"/>
    <n v="1"/>
    <n v="476.11801000000003"/>
    <s v="SWITZERLAND CH"/>
  </r>
  <r>
    <s v="BKMILL"/>
    <n v="155341"/>
    <n v="889601"/>
    <s v="Spot"/>
    <x v="43"/>
    <s v="Sell"/>
    <s v="USD"/>
    <n v="-2939.12"/>
    <s v="PLN"/>
    <n v="10582.07"/>
    <s v="2026-01-09"/>
    <n v="3.6004"/>
    <n v="0.2777"/>
    <n v="3.6070000000000002"/>
    <n v="1"/>
    <n v="-19.335840000000001"/>
    <s v="FRANCE FR"/>
  </r>
  <r>
    <s v="BKMILL"/>
    <n v="155342"/>
    <n v="889602"/>
    <s v="Spot"/>
    <x v="42"/>
    <s v="Sell"/>
    <s v="EUR"/>
    <n v="-19741.73"/>
    <s v="PLN"/>
    <n v="83097.679999999993"/>
    <s v="2026-01-09"/>
    <n v="4.2092000000000001"/>
    <n v="0.23760000000000001"/>
    <n v="4.2119"/>
    <n v="1"/>
    <n v="-52.512587000000003"/>
    <s v="SWITZERLAND CH"/>
  </r>
  <r>
    <s v="BKMILL"/>
    <n v="155343"/>
    <n v="214890"/>
    <s v="Forward"/>
    <x v="43"/>
    <s v="Sell Fwd"/>
    <s v="EUR"/>
    <n v="-3262.16"/>
    <s v="PLN"/>
    <n v="13729.62"/>
    <s v="2026-01-07"/>
    <n v="4.2098000000000004"/>
    <n v="0.23749999999999999"/>
    <n v="4.2110000000000003"/>
    <n v="1"/>
    <n v="-7.3357599999999996"/>
    <s v="FRANCE FR"/>
  </r>
  <r>
    <s v="BKMILL"/>
    <n v="155344"/>
    <n v="214892"/>
    <s v="Forward"/>
    <x v="42"/>
    <s v="Buy Fwd"/>
    <s v="EUR"/>
    <n v="400000"/>
    <s v="PLN"/>
    <n v="1684464.4"/>
    <s v="2026-01-07"/>
    <n v="4.2111000000000001"/>
    <n v="0.23749999999999999"/>
    <n v="4.2110000000000003"/>
    <n v="1"/>
    <n v="3368864.4"/>
    <s v="SWITZERLAND CH"/>
  </r>
  <r>
    <s v="BKMILL"/>
    <n v="155345"/>
    <n v="214894"/>
    <s v="Forward"/>
    <x v="55"/>
    <s v="Sell Fwd"/>
    <s v="EUR"/>
    <n v="-5000"/>
    <s v="PLN"/>
    <n v="21038.9"/>
    <s v="2026-01-07"/>
    <n v="4.2084000000000001"/>
    <n v="0.23760000000000001"/>
    <n v="4.2110000000000003"/>
    <n v="1"/>
    <n v="-16.100000000000001"/>
    <s v="SPAIN ES"/>
  </r>
  <r>
    <s v="BKMILL"/>
    <n v="155346"/>
    <n v="214896"/>
    <s v="Forward"/>
    <x v="55"/>
    <s v="Buy Fwd"/>
    <s v="EUR"/>
    <n v="5000"/>
    <s v="PLN"/>
    <n v="21049.64"/>
    <s v="2026-01-07"/>
    <n v="4.21"/>
    <n v="0.23749999999999999"/>
    <n v="4.2110000000000003"/>
    <n v="1"/>
    <n v="42104.639999999999"/>
    <s v="SPAIN ES"/>
  </r>
  <r>
    <s v="BKMILL"/>
    <n v="155347"/>
    <n v="214898"/>
    <s v="Forward"/>
    <x v="55"/>
    <s v="Sell Fwd"/>
    <s v="EUR"/>
    <n v="-2500"/>
    <s v="PLN"/>
    <n v="10521.05"/>
    <s v="2026-01-07"/>
    <n v="4.2091000000000003"/>
    <n v="0.23760000000000001"/>
    <n v="4.2110000000000003"/>
    <n v="1"/>
    <n v="-6.45"/>
    <s v="SPAIN ES"/>
  </r>
  <r>
    <s v="BKMILL"/>
    <n v="155348"/>
    <n v="214900"/>
    <s v="Forward"/>
    <x v="42"/>
    <s v="Sell Fwd"/>
    <s v="EUR"/>
    <n v="-2000"/>
    <s v="PLN"/>
    <n v="8416.8799999999992"/>
    <s v="2026-01-07"/>
    <n v="4.2091000000000003"/>
    <n v="0.23760000000000001"/>
    <n v="4.2110000000000003"/>
    <n v="1"/>
    <n v="-5.12"/>
    <s v="SWITZERLAND CH"/>
  </r>
  <r>
    <s v="BKMILL"/>
    <n v="155349"/>
    <n v="889629"/>
    <s v="Spot"/>
    <x v="42"/>
    <s v="Sell"/>
    <s v="EUR"/>
    <n v="-84660.22"/>
    <s v="PLN"/>
    <n v="356357.72"/>
    <s v="2026-01-09"/>
    <n v="4.2092999999999998"/>
    <n v="0.23760000000000001"/>
    <n v="4.2119"/>
    <n v="1"/>
    <n v="-222.660618"/>
    <s v="SWITZERLAND CH"/>
  </r>
  <r>
    <s v="BKMILL"/>
    <n v="155350"/>
    <n v="889630"/>
    <s v="Spot"/>
    <x v="42"/>
    <s v="Buy"/>
    <s v="USD"/>
    <n v="9043.98"/>
    <s v="PLN"/>
    <n v="-32562.22"/>
    <s v="2026-01-09"/>
    <n v="3.6004"/>
    <n v="0.2777"/>
    <n v="3.6070000000000002"/>
    <n v="1"/>
    <n v="59.415860000000002"/>
    <s v="SWITZERLAND CH"/>
  </r>
  <r>
    <s v="BKMILL"/>
    <n v="155351"/>
    <n v="889634"/>
    <s v="Spot"/>
    <x v="41"/>
    <s v="Sell"/>
    <s v="GBP"/>
    <n v="-100000"/>
    <s v="PLN"/>
    <n v="486340"/>
    <s v="2026-01-09"/>
    <n v="4.8634000000000004"/>
    <n v="0.2056"/>
    <n v="4.8471000000000002"/>
    <n v="1"/>
    <n v="1630"/>
    <s v="GERMANY DE"/>
  </r>
  <r>
    <s v="BKMILL"/>
    <n v="155352"/>
    <n v="889635"/>
    <s v="Spot"/>
    <x v="40"/>
    <s v="Buy"/>
    <s v="EUR"/>
    <n v="100000"/>
    <s v="CHF"/>
    <n v="-92976"/>
    <s v="2026-01-09"/>
    <n v="0.92979999999999996"/>
    <n v="1.0754999999999999"/>
    <n v="4.2119"/>
    <n v="4.5228000000000002"/>
    <n v="678.1472"/>
    <s v="UNITED STATES OF AMERICA US"/>
  </r>
  <r>
    <s v="BKMILL"/>
    <n v="155353"/>
    <n v="214902"/>
    <s v="Forward"/>
    <x v="42"/>
    <s v="Sell Fwd"/>
    <s v="EUR"/>
    <n v="-40000"/>
    <s v="PLN"/>
    <n v="168342.8"/>
    <s v="2026-01-07"/>
    <n v="4.2092000000000001"/>
    <n v="0.23760000000000001"/>
    <n v="4.2110000000000003"/>
    <n v="1"/>
    <n v="-97.2"/>
    <s v="SWITZERLAND CH"/>
  </r>
  <r>
    <s v="BKMILL"/>
    <n v="155354"/>
    <n v="889643"/>
    <s v="Spot"/>
    <x v="40"/>
    <s v="Buy"/>
    <s v="EUR"/>
    <n v="500000"/>
    <s v="PLN"/>
    <n v="-2105350"/>
    <s v="2026-01-09"/>
    <n v="4.2107000000000001"/>
    <n v="0.23749999999999999"/>
    <n v="4.2119"/>
    <n v="1"/>
    <n v="600"/>
    <s v="UNITED STATES OF AMERICA US"/>
  </r>
  <r>
    <s v="BKMILL"/>
    <n v="155355"/>
    <n v="214904"/>
    <s v="Forward"/>
    <x v="41"/>
    <s v="Sell Fwd"/>
    <s v="EUR"/>
    <n v="-1000"/>
    <s v="PLN"/>
    <n v="4210.2"/>
    <s v="2026-01-08"/>
    <n v="4.2103999999999999"/>
    <n v="0.23749999999999999"/>
    <n v="4.2104999999999997"/>
    <n v="1"/>
    <n v="-0.3"/>
    <s v="GERMANY DE"/>
  </r>
  <r>
    <s v="BKMILL"/>
    <n v="155356"/>
    <n v="214905"/>
    <s v="Forward"/>
    <x v="46"/>
    <s v="Buy Fwd"/>
    <s v="EUR"/>
    <n v="1000"/>
    <s v="PLN"/>
    <n v="4198.8999999999996"/>
    <s v="2026-01-08"/>
    <n v="4.1990999999999996"/>
    <n v="0.23810000000000001"/>
    <n v="4.2104999999999997"/>
    <n v="1"/>
    <n v="8409.4"/>
    <s v="POLAND PL"/>
  </r>
  <r>
    <s v="BKMILL"/>
    <n v="155357"/>
    <n v="214907"/>
    <s v="Forward"/>
    <x v="36"/>
    <s v="Buy Fwd"/>
    <s v="EUR"/>
    <n v="2000"/>
    <s v="PLN"/>
    <n v="8421.15"/>
    <s v="2026-01-07"/>
    <n v="4.2108999999999996"/>
    <n v="0.23749999999999999"/>
    <n v="4.2110000000000003"/>
    <n v="1"/>
    <n v="16843.150000000001"/>
    <s v="UNITED KINGDOM GB"/>
  </r>
  <r>
    <s v="BKMILL"/>
    <n v="155358"/>
    <n v="214909"/>
    <s v="Forward"/>
    <x v="41"/>
    <s v="Sell Fwd"/>
    <s v="EUR"/>
    <n v="-100000"/>
    <s v="PLN"/>
    <n v="421001.11"/>
    <s v="2026-01-07"/>
    <n v="4.2103999999999999"/>
    <n v="0.23749999999999999"/>
    <n v="4.2110000000000003"/>
    <n v="1"/>
    <n v="-98.89"/>
    <s v="GERMANY DE"/>
  </r>
  <r>
    <s v="BKMILL"/>
    <n v="155359"/>
    <n v="214911"/>
    <s v="Forward"/>
    <x v="36"/>
    <s v="Buy Fwd"/>
    <s v="EUR"/>
    <n v="24000"/>
    <s v="PLN"/>
    <n v="101054.76"/>
    <s v="2026-01-07"/>
    <n v="4.2108999999999996"/>
    <n v="0.23749999999999999"/>
    <n v="4.2110000000000003"/>
    <n v="1"/>
    <n v="202118.76"/>
    <s v="UNITED KINGDOM GB"/>
  </r>
  <r>
    <s v="BKMILL"/>
    <n v="155360"/>
    <n v="214913"/>
    <s v="Forward"/>
    <x v="41"/>
    <s v="Sell Fwd"/>
    <s v="GBP"/>
    <n v="-3300"/>
    <s v="PLN"/>
    <n v="16047.04"/>
    <s v="2026-01-07"/>
    <n v="4.8627000000000002"/>
    <n v="0.2056"/>
    <n v="4.8457999999999997"/>
    <n v="1"/>
    <n v="55.9"/>
    <s v="GERMANY DE"/>
  </r>
  <r>
    <s v="BKMILL"/>
    <n v="155361"/>
    <n v="214923"/>
    <s v="Forward"/>
    <x v="154"/>
    <s v="Sell Fwd"/>
    <s v="USD"/>
    <n v="-100000"/>
    <s v="PLN"/>
    <n v="359000"/>
    <s v="2026-01-07"/>
    <n v="3.59"/>
    <n v="0.27860000000000001"/>
    <n v="3.6044999999999998"/>
    <n v="1"/>
    <n v="-1450"/>
    <s v="POLAND PL"/>
  </r>
  <r>
    <s v="BKMILL"/>
    <n v="155362"/>
    <n v="214926"/>
    <s v="Forward"/>
    <x v="267"/>
    <s v="Buy Fwd"/>
    <s v="EUR"/>
    <n v="21400.45"/>
    <s v="USD"/>
    <n v="25000"/>
    <s v="2026-01-07"/>
    <n v="1.1519999999999999"/>
    <n v="0.86809999999999998"/>
    <n v="4.2110000000000003"/>
    <n v="3.6044999999999998"/>
    <n v="180229.79495000001"/>
    <s v="POLAND PL"/>
  </r>
  <r>
    <s v="BKMILL"/>
    <n v="155363"/>
    <n v="889725"/>
    <s v="Spot"/>
    <x v="44"/>
    <s v="Buy"/>
    <s v="EUR"/>
    <n v="1000000"/>
    <s v="PLN"/>
    <n v="-4210200"/>
    <s v="2026-01-09"/>
    <n v="4.2102000000000004"/>
    <n v="0.23749999999999999"/>
    <n v="4.2119"/>
    <n v="1"/>
    <n v="1700"/>
    <s v="GERMANY DE"/>
  </r>
  <r>
    <s v="BKMILL"/>
    <n v="155364"/>
    <n v="214934"/>
    <s v="Forward"/>
    <x v="268"/>
    <s v="Buy Fwd"/>
    <s v="EUR"/>
    <n v="70000"/>
    <s v="PLN"/>
    <n v="291270"/>
    <s v="2026-01-07"/>
    <n v="4.1609999999999996"/>
    <n v="0.24030000000000001"/>
    <n v="4.2110000000000003"/>
    <n v="1"/>
    <n v="586040"/>
    <s v="POLAND PL"/>
  </r>
  <r>
    <s v="BKMILL"/>
    <n v="155365"/>
    <n v="214936"/>
    <s v="Forward"/>
    <x v="154"/>
    <s v="Buy Fwd"/>
    <s v="USD"/>
    <n v="100000"/>
    <s v="PLN"/>
    <n v="360200"/>
    <s v="2026-01-07"/>
    <n v="3.6019999999999999"/>
    <n v="0.27760000000000001"/>
    <n v="3.6044999999999998"/>
    <n v="1"/>
    <n v="720650"/>
    <s v="POLAND PL"/>
  </r>
  <r>
    <s v="BKMILL"/>
    <n v="155366"/>
    <n v="214938"/>
    <s v="Forward"/>
    <x v="125"/>
    <s v="Buy Fwd"/>
    <s v="EUR"/>
    <n v="100000"/>
    <s v="PLN"/>
    <n v="415500"/>
    <s v="2026-01-07"/>
    <n v="4.1550000000000002"/>
    <n v="0.2407"/>
    <n v="4.2110000000000003"/>
    <n v="1"/>
    <n v="836600"/>
    <s v="POLAND PL"/>
  </r>
  <r>
    <s v="BKMILL"/>
    <n v="155367"/>
    <n v="214940"/>
    <s v="Forward"/>
    <x v="269"/>
    <s v="Sell Fwd"/>
    <s v="EUR"/>
    <n v="-500000"/>
    <s v="PLN"/>
    <n v="2106600"/>
    <s v="2026-01-07"/>
    <n v="4.2134999999999998"/>
    <n v="0.23730000000000001"/>
    <n v="4.2110000000000003"/>
    <n v="1"/>
    <n v="1100"/>
    <s v="POLAND PL"/>
  </r>
  <r>
    <s v="BKMILL"/>
    <n v="155368"/>
    <n v="889750"/>
    <s v="Spot"/>
    <x v="43"/>
    <s v="Buy"/>
    <s v="EUR"/>
    <n v="500000"/>
    <s v="PLN"/>
    <n v="-2105475"/>
    <s v="2026-01-09"/>
    <n v="4.2110000000000003"/>
    <n v="0.23749999999999999"/>
    <n v="4.2119"/>
    <n v="1"/>
    <n v="475"/>
    <s v="FRANCE FR"/>
  </r>
  <r>
    <s v="BKMILL"/>
    <n v="155369"/>
    <n v="214941"/>
    <s v="Forward"/>
    <x v="269"/>
    <s v="Sell Fwd"/>
    <s v="EUR"/>
    <n v="-500000"/>
    <s v="PLN"/>
    <n v="2106600"/>
    <s v="2026-01-07"/>
    <n v="4.2134999999999998"/>
    <n v="0.23730000000000001"/>
    <n v="4.2110000000000003"/>
    <n v="1"/>
    <n v="1100"/>
    <s v="POLAND PL"/>
  </r>
  <r>
    <s v="BKMILL"/>
    <n v="155370"/>
    <n v="889763"/>
    <s v="Spot"/>
    <x v="270"/>
    <s v="Buy"/>
    <s v="EUR"/>
    <n v="1000000"/>
    <s v="PLN"/>
    <n v="-4211000"/>
    <s v="2026-01-09"/>
    <n v="4.2110000000000003"/>
    <n v="0.23749999999999999"/>
    <n v="4.2119"/>
    <n v="1"/>
    <n v="900"/>
    <s v="POLAND PL"/>
  </r>
  <r>
    <s v="BKMILL"/>
    <n v="155371"/>
    <n v="214945"/>
    <s v="Forward"/>
    <x v="269"/>
    <s v="Sell Fwd"/>
    <s v="EUR"/>
    <n v="-500000"/>
    <s v="PLN"/>
    <n v="2106750"/>
    <s v="2026-01-07"/>
    <n v="4.2138"/>
    <n v="0.23730000000000001"/>
    <n v="4.2110000000000003"/>
    <n v="1"/>
    <n v="1250"/>
    <s v="POLAND PL"/>
  </r>
  <r>
    <s v="BKMILL"/>
    <n v="155372"/>
    <n v="214947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73"/>
    <n v="889773"/>
    <s v="Spot"/>
    <x v="43"/>
    <s v="Buy"/>
    <s v="EUR"/>
    <n v="500000"/>
    <s v="PLN"/>
    <n v="-2105785"/>
    <s v="2026-01-09"/>
    <n v="4.2115999999999998"/>
    <n v="0.2374"/>
    <n v="4.2119"/>
    <n v="1"/>
    <n v="165"/>
    <s v="FRANCE FR"/>
  </r>
  <r>
    <s v="BKMILL"/>
    <n v="155374"/>
    <n v="214948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75"/>
    <n v="889777"/>
    <s v="Spot"/>
    <x v="41"/>
    <s v="Buy"/>
    <s v="EUR"/>
    <n v="500000"/>
    <s v="PLN"/>
    <n v="-2105900"/>
    <s v="2026-01-09"/>
    <n v="4.2118000000000002"/>
    <n v="0.2374"/>
    <n v="4.2119"/>
    <n v="1"/>
    <n v="50"/>
    <s v="GERMANY DE"/>
  </r>
  <r>
    <s v="BKMILL"/>
    <n v="155376"/>
    <n v="214949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77"/>
    <n v="889781"/>
    <s v="Spot"/>
    <x v="43"/>
    <s v="Buy"/>
    <s v="EUR"/>
    <n v="500000"/>
    <s v="PLN"/>
    <n v="-2105865"/>
    <s v="2026-01-09"/>
    <n v="4.2117000000000004"/>
    <n v="0.2374"/>
    <n v="4.2119"/>
    <n v="1"/>
    <n v="85"/>
    <s v="FRANCE FR"/>
  </r>
  <r>
    <s v="BKMILL"/>
    <n v="155378"/>
    <n v="214950"/>
    <s v="Forward"/>
    <x v="269"/>
    <s v="Sell Fwd"/>
    <s v="EUR"/>
    <n v="-500000"/>
    <s v="PLN"/>
    <n v="2107150"/>
    <s v="2026-01-07"/>
    <n v="4.2145999999999999"/>
    <n v="0.23730000000000001"/>
    <n v="4.2110000000000003"/>
    <n v="1"/>
    <n v="1650"/>
    <s v="POLAND PL"/>
  </r>
  <r>
    <s v="BKMILL"/>
    <n v="155379"/>
    <n v="889785"/>
    <s v="Spot"/>
    <x v="44"/>
    <s v="Buy"/>
    <s v="EUR"/>
    <n v="500000"/>
    <s v="PLN"/>
    <n v="-2105910"/>
    <s v="2026-01-09"/>
    <n v="4.2118000000000002"/>
    <n v="0.2374"/>
    <n v="4.2119"/>
    <n v="1"/>
    <n v="40"/>
    <s v="GERMANY DE"/>
  </r>
  <r>
    <s v="BKMILL"/>
    <n v="155380"/>
    <n v="214951"/>
    <s v="Forward"/>
    <x v="73"/>
    <s v="Sell Fwd"/>
    <s v="EUR"/>
    <n v="-720000"/>
    <s v="PLN"/>
    <n v="3033360"/>
    <s v="2026-01-07"/>
    <n v="4.2130000000000001"/>
    <n v="0.2374"/>
    <n v="4.2110000000000003"/>
    <n v="1"/>
    <n v="1440"/>
    <s v="POLAND PL"/>
  </r>
  <r>
    <s v="BKMILL"/>
    <n v="155381"/>
    <n v="214952"/>
    <s v="Forward"/>
    <x v="269"/>
    <s v="Sell Fwd"/>
    <s v="EUR"/>
    <n v="-500000"/>
    <s v="PLN"/>
    <n v="2107150"/>
    <s v="2026-01-07"/>
    <n v="4.2145999999999999"/>
    <n v="0.23730000000000001"/>
    <n v="4.2110000000000003"/>
    <n v="1"/>
    <n v="1650"/>
    <s v="POLAND PL"/>
  </r>
  <r>
    <s v="BKMILL"/>
    <n v="155382"/>
    <n v="889792"/>
    <s v="Spot"/>
    <x v="43"/>
    <s v="Buy"/>
    <s v="EUR"/>
    <n v="500000"/>
    <s v="PLN"/>
    <n v="-2105865"/>
    <s v="2026-01-09"/>
    <n v="4.2117000000000004"/>
    <n v="0.2374"/>
    <n v="4.2119"/>
    <n v="1"/>
    <n v="85"/>
    <s v="FRANCE FR"/>
  </r>
  <r>
    <s v="BKMILL"/>
    <n v="155383"/>
    <n v="214953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84"/>
    <n v="889796"/>
    <s v="Spot"/>
    <x v="40"/>
    <s v="Buy"/>
    <s v="EUR"/>
    <n v="500000"/>
    <s v="PLN"/>
    <n v="-2105850"/>
    <s v="2026-01-09"/>
    <n v="4.2117000000000004"/>
    <n v="0.2374"/>
    <n v="4.2119"/>
    <n v="1"/>
    <n v="100"/>
    <s v="UNITED STATES OF AMERICA US"/>
  </r>
  <r>
    <s v="BKMILL"/>
    <n v="155385"/>
    <n v="889797"/>
    <s v="Spot"/>
    <x v="40"/>
    <s v="Buy"/>
    <s v="EUR"/>
    <n v="500000"/>
    <s v="PLN"/>
    <n v="-2105850"/>
    <s v="2026-01-09"/>
    <n v="4.2117000000000004"/>
    <n v="0.2374"/>
    <n v="4.2119"/>
    <n v="1"/>
    <n v="100"/>
    <s v="UNITED STATES OF AMERICA US"/>
  </r>
  <r>
    <s v="BKMILL"/>
    <n v="155386"/>
    <n v="214954"/>
    <s v="Forward"/>
    <x v="269"/>
    <s v="Sell Fwd"/>
    <s v="EUR"/>
    <n v="-500000"/>
    <s v="PLN"/>
    <n v="2107000"/>
    <s v="2026-01-07"/>
    <n v="4.2142999999999997"/>
    <n v="0.23730000000000001"/>
    <n v="4.2110000000000003"/>
    <n v="1"/>
    <n v="1500"/>
    <s v="POLAND PL"/>
  </r>
  <r>
    <s v="BKMILL"/>
    <n v="155387"/>
    <n v="889801"/>
    <s v="Spot"/>
    <x v="39"/>
    <s v="Buy"/>
    <s v="EUR"/>
    <n v="500000"/>
    <s v="PLN"/>
    <n v="-2105715"/>
    <s v="2026-01-09"/>
    <n v="4.2114000000000003"/>
    <n v="0.2374"/>
    <n v="4.2119"/>
    <n v="1"/>
    <n v="235"/>
    <s v="UNITED KINGDOM GB"/>
  </r>
  <r>
    <s v="BKMILL"/>
    <n v="155388"/>
    <n v="214955"/>
    <s v="Forward"/>
    <x v="271"/>
    <s v="Buy Fwd"/>
    <s v="EUR"/>
    <n v="7000"/>
    <s v="PLN"/>
    <n v="29435"/>
    <s v="2026-01-07"/>
    <n v="4.2050000000000001"/>
    <n v="0.23780000000000001"/>
    <n v="4.2110000000000003"/>
    <n v="1"/>
    <n v="58912"/>
    <s v="POLAND PL"/>
  </r>
  <r>
    <s v="BKMILL"/>
    <n v="155389"/>
    <n v="214956"/>
    <s v="Forward"/>
    <x v="269"/>
    <s v="Sell Fwd"/>
    <s v="EUR"/>
    <n v="-500000"/>
    <s v="PLN"/>
    <n v="2107100"/>
    <s v="2026-01-07"/>
    <n v="4.2145000000000001"/>
    <n v="0.23730000000000001"/>
    <n v="4.2110000000000003"/>
    <n v="1"/>
    <n v="1600"/>
    <s v="POLAND PL"/>
  </r>
  <r>
    <s v="BKMILL"/>
    <n v="155390"/>
    <n v="889808"/>
    <s v="Spot"/>
    <x v="43"/>
    <s v="Buy"/>
    <s v="EUR"/>
    <n v="500000"/>
    <s v="PLN"/>
    <n v="-2105855"/>
    <s v="2026-01-09"/>
    <n v="4.2117000000000004"/>
    <n v="0.2374"/>
    <n v="4.2119"/>
    <n v="1"/>
    <n v="95"/>
    <s v="FRANCE FR"/>
  </r>
  <r>
    <s v="BKMILL"/>
    <n v="155391"/>
    <n v="214957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92"/>
    <n v="214958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93"/>
    <n v="889815"/>
    <s v="Spot"/>
    <x v="44"/>
    <s v="Buy"/>
    <s v="EUR"/>
    <n v="1000000"/>
    <s v="PLN"/>
    <n v="-4211370"/>
    <s v="2026-01-09"/>
    <n v="4.2114000000000003"/>
    <n v="0.23749999999999999"/>
    <n v="4.2119"/>
    <n v="1"/>
    <n v="530"/>
    <s v="GERMANY DE"/>
  </r>
  <r>
    <s v="BKMILL"/>
    <n v="155394"/>
    <n v="889843"/>
    <s v="Spot"/>
    <x v="43"/>
    <s v="Buy"/>
    <s v="EUR"/>
    <n v="150000"/>
    <s v="SEK"/>
    <n v="-1613947.5"/>
    <s v="2026-01-09"/>
    <n v="10.7597"/>
    <n v="9.2899999999999996E-2"/>
    <n v="4.2119"/>
    <n v="0.39119999999999999"/>
    <n v="408.738"/>
    <s v="FRANCE FR"/>
  </r>
  <r>
    <s v="BKMILL"/>
    <n v="155395"/>
    <n v="214970"/>
    <s v="Forward"/>
    <x v="272"/>
    <s v="Buy Fwd"/>
    <s v="EUR"/>
    <n v="32000"/>
    <s v="USD"/>
    <n v="37312"/>
    <s v="2026-01-07"/>
    <n v="1.1659999999999999"/>
    <n v="0.85760000000000003"/>
    <n v="4.2110000000000003"/>
    <n v="3.6044999999999998"/>
    <n v="269243.10399999999"/>
    <s v="POLAND PL"/>
  </r>
  <r>
    <s v="BKMILL"/>
    <n v="155397"/>
    <n v="214974"/>
    <s v="Forward"/>
    <x v="273"/>
    <s v="Buy Fwd"/>
    <s v="EUR"/>
    <n v="55000"/>
    <s v="PLN"/>
    <n v="231110"/>
    <s v="2026-01-07"/>
    <n v="4.2023999999999999"/>
    <n v="0.23799999999999999"/>
    <n v="4.2110000000000003"/>
    <n v="1"/>
    <n v="462715"/>
    <s v="POLAND PL"/>
  </r>
  <r>
    <s v="BKMILL"/>
    <n v="155398"/>
    <n v="214976"/>
    <s v="Forward"/>
    <x v="274"/>
    <s v="Sell Fwd"/>
    <s v="EUR"/>
    <n v="-16000"/>
    <s v="PLN"/>
    <n v="67576"/>
    <s v="2026-01-07"/>
    <n v="4.2239000000000004"/>
    <n v="0.23669999999999999"/>
    <n v="4.2110000000000003"/>
    <n v="1"/>
    <n v="200"/>
    <s v="POLAND PL"/>
  </r>
  <r>
    <s v="BKMILL"/>
    <n v="155399"/>
    <n v="889879"/>
    <s v="Spot"/>
    <x v="38"/>
    <s v="Sell"/>
    <s v="EUR"/>
    <n v="-1000000"/>
    <s v="PLN"/>
    <n v="4212520"/>
    <s v="2026-01-09"/>
    <n v="4.2125000000000004"/>
    <n v="0.2374"/>
    <n v="4.2119"/>
    <n v="1"/>
    <n v="620"/>
    <s v="NETHERLANDS NL"/>
  </r>
  <r>
    <s v="BKMILL"/>
    <n v="155402"/>
    <n v="214988"/>
    <s v="Forward"/>
    <x v="132"/>
    <s v="Buy Fwd"/>
    <s v="EUR"/>
    <n v="250000"/>
    <s v="PLN"/>
    <n v="1050400"/>
    <s v="2026-01-07"/>
    <n v="4.2020999999999997"/>
    <n v="0.23799999999999999"/>
    <n v="4.2110000000000003"/>
    <n v="1"/>
    <n v="2103150"/>
    <s v="POLAND PL"/>
  </r>
  <r>
    <s v="BKMILL"/>
    <n v="155403"/>
    <n v="214992"/>
    <s v="Forward"/>
    <x v="161"/>
    <s v="Sell Fwd"/>
    <s v="EUR"/>
    <n v="-25000"/>
    <s v="PLN"/>
    <n v="105600"/>
    <s v="2026-01-07"/>
    <n v="4.2240000000000002"/>
    <n v="0.23669999999999999"/>
    <n v="4.2110000000000003"/>
    <n v="1"/>
    <n v="325"/>
    <s v="POLAND PL"/>
  </r>
  <r>
    <s v="BKMILL"/>
    <n v="155404"/>
    <n v="214993"/>
    <s v="Forward"/>
    <x v="275"/>
    <s v="Sell Fwd"/>
    <s v="EUR"/>
    <n v="-65000"/>
    <s v="PLN"/>
    <n v="274462.5"/>
    <s v="2026-01-07"/>
    <n v="4.2229000000000001"/>
    <n v="0.23680000000000001"/>
    <n v="4.2110000000000003"/>
    <n v="1"/>
    <n v="747.5"/>
    <s v="POLAND PL"/>
  </r>
  <r>
    <s v="BKMILL"/>
    <n v="155406"/>
    <n v="889950"/>
    <s v="Spot"/>
    <x v="56"/>
    <s v="Buy"/>
    <s v="EUR"/>
    <n v="40000"/>
    <s v="PLN"/>
    <n v="-168236"/>
    <s v="2026-01-09"/>
    <n v="4.2058999999999997"/>
    <n v="0.23780000000000001"/>
    <n v="4.2119"/>
    <n v="1"/>
    <n v="240"/>
    <s v="POLAND PL"/>
  </r>
  <r>
    <s v="BKMILL"/>
    <n v="155407"/>
    <n v="889951"/>
    <s v="Spot"/>
    <x v="56"/>
    <s v="Buy"/>
    <s v="EUR"/>
    <n v="40000"/>
    <s v="PLN"/>
    <n v="-168236"/>
    <s v="2026-01-09"/>
    <n v="4.2058999999999997"/>
    <n v="0.23780000000000001"/>
    <n v="4.2119"/>
    <n v="1"/>
    <n v="240"/>
    <s v="POLAND PL"/>
  </r>
  <r>
    <s v="BKMILL"/>
    <n v="155408"/>
    <n v="889952"/>
    <s v="Spot"/>
    <x v="56"/>
    <s v="Buy"/>
    <s v="EUR"/>
    <n v="40000"/>
    <s v="PLN"/>
    <n v="-168244"/>
    <s v="2026-01-09"/>
    <n v="4.2061000000000002"/>
    <n v="0.23769999999999999"/>
    <n v="4.2119"/>
    <n v="1"/>
    <n v="232"/>
    <s v="POLAND PL"/>
  </r>
  <r>
    <s v="BKMILL"/>
    <n v="155409"/>
    <n v="889953"/>
    <s v="Spot"/>
    <x v="56"/>
    <s v="Buy"/>
    <s v="EUR"/>
    <n v="40000"/>
    <s v="PLN"/>
    <n v="-168244"/>
    <s v="2026-01-09"/>
    <n v="4.2061000000000002"/>
    <n v="0.23769999999999999"/>
    <n v="4.2119"/>
    <n v="1"/>
    <n v="232"/>
    <s v="POLAND PL"/>
  </r>
  <r>
    <s v="BKMILL"/>
    <n v="155410"/>
    <n v="889957"/>
    <s v="Spot"/>
    <x v="56"/>
    <s v="Buy"/>
    <s v="EUR"/>
    <n v="20000"/>
    <s v="PLN"/>
    <n v="-84122"/>
    <s v="2026-01-09"/>
    <n v="4.2061000000000002"/>
    <n v="0.23769999999999999"/>
    <n v="4.2119"/>
    <n v="1"/>
    <n v="116"/>
    <s v="POLAND PL"/>
  </r>
  <r>
    <s v="BKMILL"/>
    <n v="155411"/>
    <n v="214999"/>
    <s v="Forward"/>
    <x v="180"/>
    <s v="Sell Fwd"/>
    <s v="USD"/>
    <n v="-15000"/>
    <s v="PLN"/>
    <n v="54103.5"/>
    <s v="2026-01-07"/>
    <n v="3.6069"/>
    <n v="0.2772"/>
    <n v="3.6044999999999998"/>
    <n v="1"/>
    <n v="36"/>
    <s v="POLAND PL"/>
  </r>
  <r>
    <s v="BKMILL"/>
    <n v="155412"/>
    <n v="889964"/>
    <s v="Spot"/>
    <x v="56"/>
    <s v="Buy"/>
    <s v="EUR"/>
    <n v="20000"/>
    <s v="PLN"/>
    <n v="-84124"/>
    <s v="2026-01-09"/>
    <n v="4.2061999999999999"/>
    <n v="0.23769999999999999"/>
    <n v="4.2119"/>
    <n v="1"/>
    <n v="114"/>
    <s v="POLAND PL"/>
  </r>
  <r>
    <s v="BKMILL"/>
    <n v="155413"/>
    <n v="215012"/>
    <s v="Forward"/>
    <x v="276"/>
    <s v="Buy Fwd"/>
    <s v="EUR"/>
    <n v="27000"/>
    <s v="PLN"/>
    <n v="113219.1"/>
    <s v="2026-01-07"/>
    <n v="4.1936"/>
    <n v="0.23849999999999999"/>
    <n v="4.2110000000000003"/>
    <n v="1"/>
    <n v="226916.1"/>
    <s v="POLAND PL"/>
  </r>
  <r>
    <s v="BKMILL"/>
    <n v="155414"/>
    <n v="215017"/>
    <s v="Forward"/>
    <x v="62"/>
    <s v="Sell Fwd"/>
    <s v="EUR"/>
    <n v="-260000"/>
    <s v="PLN"/>
    <n v="1097200"/>
    <s v="2026-01-07"/>
    <n v="4.22"/>
    <n v="0.23699999999999999"/>
    <n v="4.2110000000000003"/>
    <n v="1"/>
    <n v="2340"/>
    <s v="POLAND PL"/>
  </r>
  <r>
    <s v="BKMILL"/>
    <n v="155415"/>
    <n v="215019"/>
    <s v="Forward"/>
    <x v="277"/>
    <s v="Buy Fwd"/>
    <s v="EUR"/>
    <n v="85000"/>
    <s v="PLN"/>
    <n v="357425"/>
    <s v="2026-01-07"/>
    <n v="4.2050000000000001"/>
    <n v="0.23780000000000001"/>
    <n v="4.2110000000000003"/>
    <n v="1"/>
    <n v="715360"/>
    <s v="POLAND PL"/>
  </r>
  <r>
    <s v="BKMILL"/>
    <n v="155416"/>
    <n v="215032"/>
    <s v="Forward"/>
    <x v="62"/>
    <s v="Sell Fwd"/>
    <s v="EUR"/>
    <n v="-280400"/>
    <s v="PLN"/>
    <n v="1183007.6000000001"/>
    <s v="2026-01-07"/>
    <n v="4.2190000000000003"/>
    <n v="0.23699999999999999"/>
    <n v="4.2110000000000003"/>
    <n v="1"/>
    <n v="2243.1999999999998"/>
    <s v="POLAND PL"/>
  </r>
  <r>
    <s v="BKMILL"/>
    <n v="155417"/>
    <n v="890094"/>
    <s v="Spot"/>
    <x v="41"/>
    <s v="Sell"/>
    <s v="GBP"/>
    <n v="-400000"/>
    <s v="PLN"/>
    <n v="1945240"/>
    <s v="2026-01-09"/>
    <n v="4.8631000000000002"/>
    <n v="0.2056"/>
    <n v="4.8471000000000002"/>
    <n v="1"/>
    <n v="6400"/>
    <s v="GERMANY DE"/>
  </r>
  <r>
    <s v="BKMILL"/>
    <n v="155418"/>
    <n v="215053"/>
    <s v="Forward"/>
    <x v="278"/>
    <s v="Buy Fwd"/>
    <s v="EUR"/>
    <n v="9000"/>
    <s v="PLN"/>
    <n v="37800"/>
    <s v="2026-01-07"/>
    <n v="4.2"/>
    <n v="0.23810000000000001"/>
    <n v="4.2110000000000003"/>
    <n v="1"/>
    <n v="75699"/>
    <s v="POLAND PL"/>
  </r>
  <r>
    <s v="BKMILL"/>
    <n v="155419"/>
    <n v="215054"/>
    <s v="Forward"/>
    <x v="279"/>
    <s v="Sell Fwd"/>
    <s v="USD"/>
    <n v="-1000000"/>
    <s v="PLN"/>
    <n v="3606000"/>
    <s v="2026-01-07"/>
    <n v="3.6057999999999999"/>
    <n v="0.27729999999999999"/>
    <n v="3.6044999999999998"/>
    <n v="1"/>
    <n v="1500"/>
    <s v="POLAND PL"/>
  </r>
  <r>
    <s v="BKMILL"/>
    <n v="155420"/>
    <n v="890144"/>
    <s v="Spot"/>
    <x v="40"/>
    <s v="Sell"/>
    <s v="EUR"/>
    <n v="-800000"/>
    <s v="USD"/>
    <n v="934864"/>
    <s v="2026-01-09"/>
    <n v="1.1686000000000001"/>
    <n v="0.85570000000000002"/>
    <n v="4.2119"/>
    <n v="3.6070000000000002"/>
    <n v="2534.4479999999999"/>
    <s v="UNITED STATES OF AMERICA US"/>
  </r>
  <r>
    <s v="BKMILL"/>
    <n v="155421"/>
    <n v="215059"/>
    <s v="Forward"/>
    <x v="102"/>
    <s v="Sell Fwd"/>
    <s v="EUR"/>
    <n v="-60000"/>
    <s v="PLN"/>
    <n v="252690"/>
    <s v="2026-01-07"/>
    <n v="4.2115"/>
    <n v="0.2374"/>
    <n v="4.2110000000000003"/>
    <n v="1"/>
    <n v="30"/>
    <s v="POLAND PL"/>
  </r>
  <r>
    <s v="BKMILL"/>
    <n v="155422"/>
    <n v="215061"/>
    <s v="Forward"/>
    <x v="139"/>
    <s v="Buy Fwd"/>
    <s v="EUR"/>
    <n v="185939.56"/>
    <s v="PLN"/>
    <n v="781448.19"/>
    <s v="2026-01-07"/>
    <n v="4.2031000000000001"/>
    <n v="0.2379"/>
    <n v="4.2110000000000003"/>
    <n v="1"/>
    <n v="1564439.67716"/>
    <s v="POLAND PL"/>
  </r>
  <r>
    <s v="BKMILL"/>
    <n v="155423"/>
    <n v="215063"/>
    <s v="Forward"/>
    <x v="280"/>
    <s v="Buy Fwd"/>
    <s v="EUR"/>
    <n v="40000"/>
    <s v="PLN"/>
    <n v="168000"/>
    <s v="2026-01-07"/>
    <n v="4.2004999999999999"/>
    <n v="0.23810000000000001"/>
    <n v="4.2110000000000003"/>
    <n v="1"/>
    <n v="336440"/>
    <s v="POLAND PL"/>
  </r>
  <r>
    <s v="BKMILL"/>
    <n v="155424"/>
    <n v="215066"/>
    <s v="Forward"/>
    <x v="281"/>
    <s v="Buy Fwd"/>
    <s v="EUR"/>
    <n v="23500"/>
    <s v="PLN"/>
    <n v="98817.5"/>
    <s v="2026-01-07"/>
    <n v="4.2050000000000001"/>
    <n v="0.23780000000000001"/>
    <n v="4.2110000000000003"/>
    <n v="1"/>
    <n v="197776"/>
    <s v="POLAND PL"/>
  </r>
  <r>
    <s v="BKMILL"/>
    <n v="155426"/>
    <n v="215067"/>
    <s v="Forward"/>
    <x v="165"/>
    <s v="Buy Fwd"/>
    <s v="EUR"/>
    <n v="71000"/>
    <s v="PLN"/>
    <n v="297859.20000000001"/>
    <s v="2026-01-07"/>
    <n v="4.1955999999999998"/>
    <n v="0.23830000000000001"/>
    <n v="4.2110000000000003"/>
    <n v="1"/>
    <n v="596840.19999999995"/>
    <s v="POLAND PL"/>
  </r>
  <r>
    <s v="BKMILL"/>
    <n v="155427"/>
    <n v="215068"/>
    <s v="Forward"/>
    <x v="282"/>
    <s v="Buy Fwd"/>
    <s v="EUR"/>
    <n v="33000"/>
    <s v="PLN"/>
    <n v="138600"/>
    <s v="2026-01-07"/>
    <n v="4.2004000000000001"/>
    <n v="0.23810000000000001"/>
    <n v="4.2110000000000003"/>
    <n v="1"/>
    <n v="277563"/>
    <s v="POLAND PL"/>
  </r>
  <r>
    <s v="BKMILL"/>
    <n v="155429"/>
    <n v="215069"/>
    <s v="Forward"/>
    <x v="249"/>
    <s v="Sell Fwd"/>
    <s v="EUR"/>
    <n v="-23668.639999999999"/>
    <s v="PLN"/>
    <n v="100000"/>
    <s v="2026-01-07"/>
    <n v="4.2255000000000003"/>
    <n v="0.23669999999999999"/>
    <n v="4.2110000000000003"/>
    <n v="1"/>
    <n v="331.35696000000002"/>
    <s v="POLAND PL"/>
  </r>
  <r>
    <s v="BKMILL"/>
    <n v="155430"/>
    <n v="890190"/>
    <s v="Spot"/>
    <x v="283"/>
    <s v="Sell"/>
    <s v="EUR"/>
    <n v="-100000"/>
    <s v="PLN"/>
    <n v="420960"/>
    <s v="2026-01-09"/>
    <n v="4.2096"/>
    <n v="0.23760000000000001"/>
    <n v="4.2119"/>
    <n v="1"/>
    <n v="-230"/>
    <s v="POLAND PL"/>
  </r>
  <r>
    <s v="BKMILL"/>
    <n v="155431"/>
    <n v="215070"/>
    <s v="Forward"/>
    <x v="284"/>
    <s v="Sell Fwd"/>
    <s v="EUR"/>
    <n v="-24500"/>
    <s v="PLN"/>
    <n v="103463.5"/>
    <s v="2026-01-07"/>
    <n v="4.2234999999999996"/>
    <n v="0.23680000000000001"/>
    <n v="4.2110000000000003"/>
    <n v="1"/>
    <n v="294"/>
    <s v="POLAND PL"/>
  </r>
  <r>
    <s v="BKMILL"/>
    <n v="155432"/>
    <n v="215076"/>
    <s v="Forward"/>
    <x v="285"/>
    <s v="Buy Fwd"/>
    <s v="EUR"/>
    <n v="10000"/>
    <s v="PLN"/>
    <n v="42000"/>
    <s v="2026-01-07"/>
    <n v="4.2"/>
    <n v="0.23810000000000001"/>
    <n v="4.2110000000000003"/>
    <n v="1"/>
    <n v="84110"/>
    <s v="POLAND PL"/>
  </r>
  <r>
    <s v="BKMILL"/>
    <n v="155433"/>
    <n v="215079"/>
    <s v="Forward"/>
    <x v="286"/>
    <s v="Buy Fwd"/>
    <s v="EUR"/>
    <n v="60000"/>
    <s v="PLN"/>
    <n v="252000"/>
    <s v="2026-01-07"/>
    <n v="4.2004999999999999"/>
    <n v="0.23810000000000001"/>
    <n v="4.2110000000000003"/>
    <n v="1"/>
    <n v="504660"/>
    <s v="POLAND PL"/>
  </r>
  <r>
    <s v="BKMILL"/>
    <n v="155434"/>
    <n v="215081"/>
    <s v="Forward"/>
    <x v="287"/>
    <s v="Sell Fwd"/>
    <s v="CHF"/>
    <n v="-10000"/>
    <s v="PLN"/>
    <n v="45400"/>
    <s v="2026-01-07"/>
    <n v="4.5412999999999997"/>
    <n v="0.22020000000000001"/>
    <n v="4.5263"/>
    <n v="1"/>
    <n v="137"/>
    <s v="POLAND PL"/>
  </r>
  <r>
    <s v="BKMILL"/>
    <n v="155435"/>
    <n v="215090"/>
    <s v="Forward"/>
    <x v="133"/>
    <s v="Buy Fwd"/>
    <s v="EUR"/>
    <n v="60000"/>
    <s v="PLN"/>
    <n v="252300"/>
    <s v="2026-01-07"/>
    <n v="4.2050000000000001"/>
    <n v="0.23780000000000001"/>
    <n v="4.2110000000000003"/>
    <n v="1"/>
    <n v="504960"/>
    <s v="POLAND PL"/>
  </r>
  <r>
    <s v="BKMILL"/>
    <n v="155436"/>
    <n v="215092"/>
    <s v="Forward"/>
    <x v="70"/>
    <s v="Buy Fwd"/>
    <s v="EUR"/>
    <n v="14200"/>
    <s v="PLN"/>
    <n v="59682.6"/>
    <s v="2026-01-07"/>
    <n v="4.2030000000000003"/>
    <n v="0.2379"/>
    <n v="4.2110000000000003"/>
    <n v="1"/>
    <n v="119478.8"/>
    <s v="POLAND PL"/>
  </r>
  <r>
    <s v="BKMILL"/>
    <n v="155437"/>
    <n v="215098"/>
    <s v="Forward"/>
    <x v="288"/>
    <s v="Sell Fwd"/>
    <s v="EUR"/>
    <n v="-5000"/>
    <s v="PLN"/>
    <n v="21090"/>
    <s v="2026-01-07"/>
    <n v="4.218"/>
    <n v="0.23710000000000001"/>
    <n v="4.2110000000000003"/>
    <n v="1"/>
    <n v="35"/>
    <s v="POLAND PL"/>
  </r>
  <r>
    <s v="BKMILL"/>
    <n v="155438"/>
    <n v="215108"/>
    <s v="Forward"/>
    <x v="17"/>
    <s v="Sell Fwd"/>
    <s v="EUR"/>
    <n v="-11091.72"/>
    <s v="PLN"/>
    <n v="46795.97"/>
    <s v="2026-01-07"/>
    <n v="4.2190000000000003"/>
    <n v="0.23699999999999999"/>
    <n v="4.2110000000000003"/>
    <n v="1"/>
    <n v="88.737080000000006"/>
    <s v="POLAND PL"/>
  </r>
  <r>
    <s v="BKMILL"/>
    <n v="155439"/>
    <n v="890335"/>
    <s v="Spot"/>
    <x v="47"/>
    <s v="Sell"/>
    <s v="EUR"/>
    <n v="-400000"/>
    <s v="USD"/>
    <n v="467624"/>
    <s v="2026-01-09"/>
    <n v="1.1691"/>
    <n v="0.85540000000000005"/>
    <n v="4.2119"/>
    <n v="3.6070000000000002"/>
    <n v="1959.768"/>
    <s v="FRANCE FR"/>
  </r>
  <r>
    <s v="BKMILL"/>
    <n v="155440"/>
    <n v="215112"/>
    <s v="Forward"/>
    <x v="259"/>
    <s v="Buy Fwd"/>
    <s v="EUR"/>
    <n v="3000"/>
    <s v="PLN"/>
    <n v="12615"/>
    <s v="2026-01-07"/>
    <n v="4.2050000000000001"/>
    <n v="0.23780000000000001"/>
    <n v="4.2110000000000003"/>
    <n v="1"/>
    <n v="25248"/>
    <s v="POLAND PL"/>
  </r>
  <r>
    <s v="BKMILL"/>
    <n v="155445"/>
    <n v="215115"/>
    <s v="Forward"/>
    <x v="32"/>
    <s v="Sell Fwd"/>
    <s v="EUR"/>
    <n v="-10000"/>
    <s v="PLN"/>
    <n v="42136"/>
    <s v="2026-01-07"/>
    <n v="4.2138"/>
    <n v="0.23730000000000001"/>
    <n v="4.2110000000000003"/>
    <n v="1"/>
    <n v="26"/>
    <s v="POLAND PL"/>
  </r>
  <r>
    <s v="BKMILL"/>
    <n v="155446"/>
    <n v="215116"/>
    <s v="Forward"/>
    <x v="32"/>
    <s v="Sell Fwd"/>
    <s v="EUR"/>
    <n v="-10000"/>
    <s v="PLN"/>
    <n v="42138"/>
    <s v="2026-01-07"/>
    <n v="4.2140000000000004"/>
    <n v="0.23730000000000001"/>
    <n v="4.2110000000000003"/>
    <n v="1"/>
    <n v="28"/>
    <s v="POLAND PL"/>
  </r>
  <r>
    <s v="BKMILL"/>
    <n v="155447"/>
    <n v="215117"/>
    <s v="Forward"/>
    <x v="28"/>
    <s v="Buy Fwd"/>
    <s v="EUR"/>
    <n v="365440"/>
    <s v="PLN"/>
    <n v="1536748.29"/>
    <s v="2026-01-07"/>
    <n v="4.2055999999999996"/>
    <n v="0.23780000000000001"/>
    <n v="4.2110000000000003"/>
    <n v="1"/>
    <n v="3075616.13"/>
    <s v="POLAND PL"/>
  </r>
  <r>
    <s v="BKMILL"/>
    <n v="155448"/>
    <n v="215119"/>
    <s v="Forward"/>
    <x v="289"/>
    <s v="Sell Fwd"/>
    <s v="EUR"/>
    <n v="-23000"/>
    <s v="PLN"/>
    <n v="96919.7"/>
    <s v="2026-01-07"/>
    <n v="4.2141000000000002"/>
    <n v="0.23730000000000001"/>
    <n v="4.2110000000000003"/>
    <n v="1"/>
    <n v="66.7"/>
    <s v="POLAND PL"/>
  </r>
  <r>
    <s v="BKMILL"/>
    <n v="155449"/>
    <n v="890365"/>
    <s v="Spot"/>
    <x v="101"/>
    <s v="Buy"/>
    <s v="EUR"/>
    <n v="25000"/>
    <s v="PLN"/>
    <n v="-105215"/>
    <s v="2026-01-09"/>
    <n v="4.2085999999999997"/>
    <n v="0.23760000000000001"/>
    <n v="4.2119"/>
    <n v="1"/>
    <n v="82.5"/>
    <s v="POLAND PL"/>
  </r>
  <r>
    <s v="BKMILL"/>
    <n v="155450"/>
    <n v="215120"/>
    <s v="Forward"/>
    <x v="289"/>
    <s v="Sell Fwd"/>
    <s v="EUR"/>
    <n v="-145000"/>
    <s v="PLN"/>
    <n v="611117"/>
    <s v="2026-01-12"/>
    <n v="4.2140000000000004"/>
    <n v="0.23730000000000001"/>
    <n v="4.2126999999999999"/>
    <n v="1"/>
    <n v="275.5"/>
    <s v="POLAND PL"/>
  </r>
  <r>
    <s v="BKMILL"/>
    <n v="155451"/>
    <n v="215121"/>
    <s v="Forward"/>
    <x v="290"/>
    <s v="Buy Fwd"/>
    <s v="EUR"/>
    <n v="6000"/>
    <s v="PLN"/>
    <n v="25188"/>
    <s v="2026-01-07"/>
    <n v="4.1985000000000001"/>
    <n v="0.2382"/>
    <n v="4.2110000000000003"/>
    <n v="1"/>
    <n v="50454"/>
    <s v="POLAND PL"/>
  </r>
  <r>
    <s v="BKMILL"/>
    <n v="155453"/>
    <n v="215124"/>
    <s v="Forward"/>
    <x v="110"/>
    <s v="Buy Fwd"/>
    <s v="EUR"/>
    <n v="50000"/>
    <s v="PLN"/>
    <n v="209750"/>
    <s v="2026-01-07"/>
    <n v="4.1955"/>
    <n v="0.2384"/>
    <n v="4.2110000000000003"/>
    <n v="1"/>
    <n v="420300"/>
    <s v="POLAND PL"/>
  </r>
  <r>
    <s v="BKMILL"/>
    <n v="155454"/>
    <n v="215125"/>
    <s v="Forward"/>
    <x v="291"/>
    <s v="Sell Fwd"/>
    <s v="USD"/>
    <n v="-26000"/>
    <s v="PLN"/>
    <n v="93912"/>
    <s v="2026-01-07"/>
    <n v="3.6120000000000001"/>
    <n v="0.27689999999999998"/>
    <n v="3.6044999999999998"/>
    <n v="1"/>
    <n v="195"/>
    <s v="POLAND PL"/>
  </r>
  <r>
    <s v="BKMILL"/>
    <n v="155455"/>
    <n v="215126"/>
    <s v="Forward"/>
    <x v="291"/>
    <s v="Sell Fwd"/>
    <s v="EUR"/>
    <n v="-115000"/>
    <s v="PLN"/>
    <n v="485300"/>
    <s v="2026-01-07"/>
    <n v="4.22"/>
    <n v="0.23699999999999999"/>
    <n v="4.2110000000000003"/>
    <n v="1"/>
    <n v="1035"/>
    <s v="POLAND PL"/>
  </r>
  <r>
    <s v="BKMILL"/>
    <n v="155456"/>
    <n v="215132"/>
    <s v="Forward"/>
    <x v="68"/>
    <s v="Sell Fwd"/>
    <s v="EUR"/>
    <n v="-289500"/>
    <s v="PLN"/>
    <n v="1219605.6000000001"/>
    <s v="2026-01-07"/>
    <n v="4.2130000000000001"/>
    <n v="0.2374"/>
    <n v="4.2110000000000003"/>
    <n v="1"/>
    <n v="521.1"/>
    <s v="POLAND PL"/>
  </r>
  <r>
    <s v="BKMILL"/>
    <n v="155457"/>
    <n v="890426"/>
    <s v="Spot"/>
    <x v="47"/>
    <s v="Sell"/>
    <s v="EUR"/>
    <n v="-300000"/>
    <s v="USD"/>
    <n v="350715"/>
    <s v="2026-01-09"/>
    <n v="1.169"/>
    <n v="0.85540000000000005"/>
    <n v="4.2119"/>
    <n v="3.6070000000000002"/>
    <n v="1459.0050000000001"/>
    <s v="FRANCE FR"/>
  </r>
  <r>
    <s v="BKMILL"/>
    <n v="155458"/>
    <n v="215138"/>
    <s v="Forward"/>
    <x v="292"/>
    <s v="Buy Fwd"/>
    <s v="EUR"/>
    <n v="11500"/>
    <s v="PLN"/>
    <n v="47725"/>
    <s v="2026-01-07"/>
    <n v="4.1504000000000003"/>
    <n v="0.2409"/>
    <n v="4.2110000000000003"/>
    <n v="1"/>
    <n v="96151.5"/>
    <s v="POLAND PL"/>
  </r>
  <r>
    <s v="BKMILL"/>
    <n v="155459"/>
    <n v="890430"/>
    <s v="Spot"/>
    <x v="101"/>
    <s v="Buy"/>
    <s v="EUR"/>
    <n v="25000"/>
    <s v="PLN"/>
    <n v="-105255"/>
    <s v="2026-01-09"/>
    <n v="4.2102000000000004"/>
    <n v="0.23749999999999999"/>
    <n v="4.2119"/>
    <n v="1"/>
    <n v="42.5"/>
    <s v="POLAND PL"/>
  </r>
  <r>
    <s v="BKMILL"/>
    <n v="155460"/>
    <n v="890437"/>
    <s v="Spot"/>
    <x v="101"/>
    <s v="Buy"/>
    <s v="EUR"/>
    <n v="25000"/>
    <s v="PLN"/>
    <n v="-105262.5"/>
    <s v="2026-01-09"/>
    <n v="4.2104999999999997"/>
    <n v="0.23749999999999999"/>
    <n v="4.2119"/>
    <n v="1"/>
    <n v="35"/>
    <s v="POLAND PL"/>
  </r>
  <r>
    <s v="BKMILL"/>
    <n v="155461"/>
    <n v="215140"/>
    <s v="Forward"/>
    <x v="293"/>
    <s v="Sell Fwd"/>
    <s v="EUR"/>
    <n v="-2607.6799999999998"/>
    <s v="PLN"/>
    <n v="10993.98"/>
    <s v="2026-01-07"/>
    <n v="4.2160000000000002"/>
    <n v="0.23719999999999999"/>
    <n v="4.2110000000000003"/>
    <n v="1"/>
    <n v="13.03952"/>
    <s v="POLAND PL"/>
  </r>
  <r>
    <s v="BKMILL"/>
    <n v="155462"/>
    <n v="215142"/>
    <s v="Forward"/>
    <x v="129"/>
    <s v="Buy Fwd"/>
    <s v="EUR"/>
    <n v="28400"/>
    <s v="USD"/>
    <n v="33162.68"/>
    <s v="2026-01-07"/>
    <n v="1.1678999999999999"/>
    <n v="0.85619999999999996"/>
    <n v="4.2110000000000003"/>
    <n v="3.6044999999999998"/>
    <n v="239127.28005999999"/>
    <s v="POLAND PL"/>
  </r>
  <r>
    <s v="BKMILL"/>
    <n v="155463"/>
    <n v="890454"/>
    <s v="Spot"/>
    <x v="101"/>
    <s v="Buy"/>
    <s v="EUR"/>
    <n v="25000"/>
    <s v="PLN"/>
    <n v="-105255"/>
    <s v="2026-01-09"/>
    <n v="4.2102000000000004"/>
    <n v="0.23749999999999999"/>
    <n v="4.2119"/>
    <n v="1"/>
    <n v="42.5"/>
    <s v="POLAND PL"/>
  </r>
  <r>
    <s v="BKMILL"/>
    <n v="155464"/>
    <n v="215145"/>
    <s v="Forward"/>
    <x v="126"/>
    <s v="Sell Fwd"/>
    <s v="EUR"/>
    <n v="-5000"/>
    <s v="PLN"/>
    <n v="21125"/>
    <s v="2026-01-07"/>
    <n v="4.2253999999999996"/>
    <n v="0.23669999999999999"/>
    <n v="4.2110000000000003"/>
    <n v="1"/>
    <n v="70"/>
    <s v="POLAND PL"/>
  </r>
  <r>
    <s v="BKMILL"/>
    <n v="155465"/>
    <n v="215149"/>
    <s v="Forward"/>
    <x v="294"/>
    <s v="Buy Fwd"/>
    <s v="EUR"/>
    <n v="40500"/>
    <s v="PLN"/>
    <n v="170100"/>
    <s v="2026-01-07"/>
    <n v="4.2004000000000001"/>
    <n v="0.23810000000000001"/>
    <n v="4.2110000000000003"/>
    <n v="1"/>
    <n v="340645.5"/>
    <s v="POLAND PL"/>
  </r>
  <r>
    <s v="BKMILL"/>
    <n v="155466"/>
    <n v="890474"/>
    <s v="Spot"/>
    <x v="41"/>
    <s v="Sell"/>
    <s v="EUR"/>
    <n v="-500000"/>
    <s v="PLN"/>
    <n v="2106200"/>
    <s v="2026-01-09"/>
    <n v="4.2123999999999997"/>
    <n v="0.2374"/>
    <n v="4.2119"/>
    <n v="1"/>
    <n v="250"/>
    <s v="GERMANY DE"/>
  </r>
  <r>
    <s v="BKMILL"/>
    <n v="155468"/>
    <n v="890490"/>
    <s v="Spot"/>
    <x v="295"/>
    <s v="Buy"/>
    <s v="EUR"/>
    <n v="190000"/>
    <s v="PLN"/>
    <n v="-800166"/>
    <s v="2026-01-09"/>
    <n v="4.2114000000000003"/>
    <n v="0.23749999999999999"/>
    <n v="4.2119"/>
    <n v="1"/>
    <n v="95"/>
    <s v="POLAND PL"/>
  </r>
  <r>
    <s v="BKMILL"/>
    <n v="155469"/>
    <n v="215161"/>
    <s v="Forward"/>
    <x v="140"/>
    <s v="Buy Fwd"/>
    <s v="USD"/>
    <n v="15985.22"/>
    <s v="PLN"/>
    <n v="57418.91"/>
    <s v="2026-01-07"/>
    <n v="3.5920999999999998"/>
    <n v="0.27839999999999998"/>
    <n v="3.6044999999999998"/>
    <n v="1"/>
    <n v="115037.63549"/>
    <s v="POLAND PL"/>
  </r>
  <r>
    <s v="BKMILL"/>
    <n v="155470"/>
    <n v="215164"/>
    <s v="Forward"/>
    <x v="296"/>
    <s v="Sell Fwd"/>
    <s v="EUR"/>
    <n v="-308000"/>
    <s v="USD"/>
    <n v="360206"/>
    <s v="2026-01-07"/>
    <n v="1.1697"/>
    <n v="0.85489999999999999"/>
    <n v="4.2110000000000003"/>
    <n v="3.6044999999999998"/>
    <n v="1374.527"/>
    <s v="POLAND PL"/>
  </r>
  <r>
    <s v="BKMILL"/>
    <n v="155471"/>
    <n v="890522"/>
    <s v="Spot"/>
    <x v="295"/>
    <s v="Buy"/>
    <s v="EUR"/>
    <n v="160000"/>
    <s v="PLN"/>
    <n v="-674016"/>
    <s v="2026-01-09"/>
    <n v="4.2126000000000001"/>
    <n v="0.2374"/>
    <n v="4.2119"/>
    <n v="1"/>
    <n v="-112"/>
    <s v="POLAND PL"/>
  </r>
  <r>
    <s v="BKMILL"/>
    <n v="155472"/>
    <n v="890523"/>
    <s v="Spot"/>
    <x v="41"/>
    <s v="Sell"/>
    <s v="EUR"/>
    <n v="-500000"/>
    <s v="PLN"/>
    <n v="2107000"/>
    <s v="2026-01-09"/>
    <n v="4.2140000000000004"/>
    <n v="0.23730000000000001"/>
    <n v="4.2119"/>
    <n v="1"/>
    <n v="1050"/>
    <s v="GERMANY DE"/>
  </r>
  <r>
    <s v="BKMILL"/>
    <n v="155473"/>
    <n v="890524"/>
    <s v="Spot"/>
    <x v="46"/>
    <s v="Buy"/>
    <s v="EUR"/>
    <n v="4700"/>
    <s v="PLN"/>
    <n v="-19779.95"/>
    <s v="2026-01-09"/>
    <n v="4.2084999999999999"/>
    <n v="0.23760000000000001"/>
    <n v="4.2119"/>
    <n v="1"/>
    <n v="15.98"/>
    <s v="POLAND PL"/>
  </r>
  <r>
    <s v="BKMILL"/>
    <n v="155476"/>
    <n v="890528"/>
    <s v="Spot"/>
    <x v="183"/>
    <s v="Buy"/>
    <s v="EUR"/>
    <n v="50000"/>
    <s v="PLN"/>
    <n v="-210530"/>
    <s v="2026-01-09"/>
    <n v="4.2106000000000003"/>
    <n v="0.23749999999999999"/>
    <n v="4.2119"/>
    <n v="1"/>
    <n v="65"/>
    <s v="POLAND PL"/>
  </r>
  <r>
    <s v="BKMILL"/>
    <n v="155477"/>
    <n v="890532"/>
    <s v="Spot"/>
    <x v="41"/>
    <s v="Sell"/>
    <s v="EUR"/>
    <n v="-500000"/>
    <s v="PLN"/>
    <n v="2106950"/>
    <s v="2026-01-09"/>
    <n v="4.2138999999999998"/>
    <n v="0.23730000000000001"/>
    <n v="4.2119"/>
    <n v="1"/>
    <n v="1000"/>
    <s v="GERMANY DE"/>
  </r>
  <r>
    <s v="BKMILL"/>
    <n v="155478"/>
    <n v="215166"/>
    <s v="Forward"/>
    <x v="183"/>
    <s v="Buy Fwd"/>
    <s v="EUR"/>
    <n v="50000"/>
    <s v="PLN"/>
    <n v="210530"/>
    <s v="2026-01-12"/>
    <n v="4.21"/>
    <n v="0.23749999999999999"/>
    <n v="4.2126999999999999"/>
    <n v="1"/>
    <n v="421165"/>
    <s v="POLAND PL"/>
  </r>
  <r>
    <s v="BKMILL"/>
    <n v="155479"/>
    <n v="215168"/>
    <s v="Forward"/>
    <x v="255"/>
    <s v="Buy Fwd"/>
    <s v="EUR"/>
    <n v="17344"/>
    <s v="USD"/>
    <n v="20242.18"/>
    <s v="2026-01-07"/>
    <n v="1.1673"/>
    <n v="0.85670000000000002"/>
    <n v="4.2110000000000003"/>
    <n v="3.6044999999999998"/>
    <n v="145998.52181000001"/>
    <s v="POLAND PL"/>
  </r>
  <r>
    <s v="BKMILL"/>
    <n v="155481"/>
    <n v="890548"/>
    <s v="Spot"/>
    <x v="41"/>
    <s v="Sell"/>
    <s v="GBP"/>
    <n v="-100000"/>
    <s v="PLN"/>
    <n v="486520"/>
    <s v="2026-01-09"/>
    <n v="4.8651999999999997"/>
    <n v="0.20549999999999999"/>
    <n v="4.8471000000000002"/>
    <n v="1"/>
    <n v="1810"/>
    <s v="GERMANY DE"/>
  </r>
  <r>
    <s v="BKMILL"/>
    <n v="155482"/>
    <n v="890549"/>
    <s v="Spot"/>
    <x v="43"/>
    <s v="Sell"/>
    <s v="EUR"/>
    <n v="-500000"/>
    <s v="PLN"/>
    <n v="2106250"/>
    <s v="2026-01-09"/>
    <n v="4.2125000000000004"/>
    <n v="0.2374"/>
    <n v="4.2119"/>
    <n v="1"/>
    <n v="300"/>
    <s v="FRANCE FR"/>
  </r>
  <r>
    <s v="BKMILL"/>
    <n v="155484"/>
    <n v="215177"/>
    <s v="Forward"/>
    <x v="62"/>
    <s v="Sell Fwd"/>
    <s v="EUR"/>
    <n v="-12000"/>
    <s v="PLN"/>
    <n v="50634"/>
    <s v="2026-01-07"/>
    <n v="4.2195"/>
    <n v="0.23699999999999999"/>
    <n v="4.2110000000000003"/>
    <n v="1"/>
    <n v="102"/>
    <s v="POLAND PL"/>
  </r>
  <r>
    <s v="BKMILL"/>
    <n v="155485"/>
    <n v="215178"/>
    <s v="Forward"/>
    <x v="297"/>
    <s v="Buy Fwd"/>
    <s v="EUR"/>
    <n v="70000"/>
    <s v="PLN"/>
    <n v="294210"/>
    <s v="2026-01-07"/>
    <n v="4.2030000000000003"/>
    <n v="0.2379"/>
    <n v="4.2110000000000003"/>
    <n v="1"/>
    <n v="588980"/>
    <s v="POLAND PL"/>
  </r>
  <r>
    <s v="BKMILL"/>
    <n v="155486"/>
    <n v="890580"/>
    <s v="Spot"/>
    <x v="51"/>
    <s v="Sell"/>
    <s v="EUR"/>
    <n v="-100000"/>
    <s v="PLN"/>
    <n v="421450"/>
    <s v="2026-01-09"/>
    <n v="4.2145000000000001"/>
    <n v="0.23730000000000001"/>
    <n v="4.2119"/>
    <n v="1"/>
    <n v="260"/>
    <s v="POLAND PL"/>
  </r>
  <r>
    <s v="BKMILL"/>
    <n v="155487"/>
    <n v="890591"/>
    <s v="Spot"/>
    <x v="101"/>
    <s v="Buy"/>
    <s v="EUR"/>
    <n v="25000"/>
    <s v="PLN"/>
    <n v="-105265"/>
    <s v="2026-01-09"/>
    <n v="4.2106000000000003"/>
    <n v="0.23749999999999999"/>
    <n v="4.2119"/>
    <n v="1"/>
    <n v="32.5"/>
    <s v="POLAND PL"/>
  </r>
  <r>
    <s v="BKMILL"/>
    <n v="155488"/>
    <n v="890592"/>
    <s v="Spot"/>
    <x v="40"/>
    <s v="Sell"/>
    <s v="EUR"/>
    <n v="-100000"/>
    <s v="GBP"/>
    <n v="86624"/>
    <s v="2026-01-09"/>
    <n v="0.86619999999999997"/>
    <n v="1.1544000000000001"/>
    <n v="4.2119"/>
    <n v="4.8471000000000002"/>
    <n v="-1314.8096"/>
    <s v="UNITED STATES OF AMERICA US"/>
  </r>
  <r>
    <s v="BKMILL"/>
    <n v="155489"/>
    <n v="890599"/>
    <s v="Spot"/>
    <x v="41"/>
    <s v="Sell"/>
    <s v="USD"/>
    <n v="-500000"/>
    <s v="PLN"/>
    <n v="1802500"/>
    <s v="2026-01-09"/>
    <n v="3.605"/>
    <n v="0.27739999999999998"/>
    <n v="3.6070000000000002"/>
    <n v="1"/>
    <n v="-1000"/>
    <s v="GERMANY DE"/>
  </r>
  <r>
    <s v="BKMILL"/>
    <n v="155490"/>
    <n v="215186"/>
    <s v="Forward"/>
    <x v="298"/>
    <s v="Sell Fwd"/>
    <s v="EUR"/>
    <n v="-15000"/>
    <s v="PLN"/>
    <n v="64230"/>
    <s v="2026-01-07"/>
    <n v="4.282"/>
    <n v="0.23350000000000001"/>
    <n v="4.2110000000000003"/>
    <n v="1"/>
    <n v="1065"/>
    <s v="POLAND PL"/>
  </r>
  <r>
    <s v="BKMILL"/>
    <n v="155491"/>
    <n v="890616"/>
    <s v="Spot"/>
    <x v="44"/>
    <s v="Buy"/>
    <s v="EUR"/>
    <n v="500000"/>
    <s v="PLN"/>
    <n v="-2106850"/>
    <s v="2026-01-09"/>
    <n v="4.2137000000000002"/>
    <n v="0.23730000000000001"/>
    <n v="4.2119"/>
    <n v="1"/>
    <n v="-900"/>
    <s v="GERMANY DE"/>
  </r>
  <r>
    <s v="BKMILL"/>
    <n v="155492"/>
    <n v="215194"/>
    <s v="Forward"/>
    <x v="299"/>
    <s v="Buy Fwd"/>
    <s v="EUR"/>
    <n v="100000"/>
    <s v="PLN"/>
    <n v="420500"/>
    <s v="2026-01-07"/>
    <n v="4.2050000000000001"/>
    <n v="0.23780000000000001"/>
    <n v="4.2110000000000003"/>
    <n v="1"/>
    <n v="841600"/>
    <s v="POLAND PL"/>
  </r>
  <r>
    <s v="BKMILL"/>
    <n v="155493"/>
    <n v="215196"/>
    <s v="Forward"/>
    <x v="300"/>
    <s v="Buy Fwd"/>
    <s v="EUR"/>
    <n v="23000"/>
    <s v="PLN"/>
    <n v="95220"/>
    <s v="2026-01-07"/>
    <n v="4.1399999999999997"/>
    <n v="0.24149999999999999"/>
    <n v="4.2110000000000003"/>
    <n v="1"/>
    <n v="192073"/>
    <s v="POLAND PL"/>
  </r>
  <r>
    <s v="BKMILL"/>
    <n v="155494"/>
    <n v="215197"/>
    <s v="Forward"/>
    <x v="301"/>
    <s v="Sell Fwd"/>
    <s v="USD"/>
    <n v="-10647.8"/>
    <s v="PLN"/>
    <n v="38380"/>
    <s v="2026-01-07"/>
    <n v="3.6949999999999998"/>
    <n v="0.27060000000000001"/>
    <n v="3.6044999999999998"/>
    <n v="1"/>
    <n v="4.8999999999999998E-3"/>
    <s v="POLAND PL"/>
  </r>
  <r>
    <s v="BKMILL"/>
    <n v="155495"/>
    <n v="215198"/>
    <s v="Forward"/>
    <x v="302"/>
    <s v="Sell Fwd"/>
    <s v="EUR"/>
    <n v="-8400"/>
    <s v="PLN"/>
    <n v="35439.599999999999"/>
    <s v="2026-01-07"/>
    <n v="4.2190000000000003"/>
    <n v="0.23699999999999999"/>
    <n v="4.2110000000000003"/>
    <n v="1"/>
    <n v="67.2"/>
    <s v="POLAND PL"/>
  </r>
  <r>
    <s v="BKMILL"/>
    <n v="155496"/>
    <n v="890652"/>
    <s v="Spot"/>
    <x v="41"/>
    <s v="Sell"/>
    <s v="EUR"/>
    <n v="-1000000"/>
    <s v="PLN"/>
    <n v="4212900"/>
    <s v="2026-01-09"/>
    <n v="4.2129000000000003"/>
    <n v="0.2374"/>
    <n v="4.2119"/>
    <n v="1"/>
    <n v="1000"/>
    <s v="GERMANY DE"/>
  </r>
  <r>
    <s v="BKMILL"/>
    <n v="155497"/>
    <n v="890653"/>
    <s v="Spot"/>
    <x v="38"/>
    <s v="Sell"/>
    <s v="EUR"/>
    <n v="-1000000"/>
    <s v="PLN"/>
    <n v="4212730"/>
    <s v="2026-01-09"/>
    <n v="4.2126999999999999"/>
    <n v="0.2374"/>
    <n v="4.2119"/>
    <n v="1"/>
    <n v="830"/>
    <s v="NETHERLANDS NL"/>
  </r>
  <r>
    <s v="BKMILL"/>
    <n v="155498"/>
    <n v="890654"/>
    <s v="Spot"/>
    <x v="41"/>
    <s v="Sell"/>
    <s v="EUR"/>
    <n v="-1000000"/>
    <s v="PLN"/>
    <n v="4212800"/>
    <s v="2026-01-09"/>
    <n v="4.2127999999999997"/>
    <n v="0.2374"/>
    <n v="4.2119"/>
    <n v="1"/>
    <n v="900"/>
    <s v="GERMANY DE"/>
  </r>
  <r>
    <s v="BKMILL"/>
    <n v="155501"/>
    <n v="215200"/>
    <s v="Forward"/>
    <x v="303"/>
    <s v="Buy Fwd"/>
    <s v="EUR"/>
    <n v="300000"/>
    <s v="PLN"/>
    <n v="1263300"/>
    <s v="2026-01-07"/>
    <n v="4.2110000000000003"/>
    <n v="0.23749999999999999"/>
    <n v="4.2110000000000003"/>
    <n v="1"/>
    <n v="2526600"/>
    <s v="POLAND PL"/>
  </r>
  <r>
    <s v="BKMILL"/>
    <n v="155503"/>
    <n v="215201"/>
    <s v="Forward"/>
    <x v="304"/>
    <s v="Buy Fwd"/>
    <s v="EUR"/>
    <n v="2500000"/>
    <s v="PLN"/>
    <n v="10527500"/>
    <s v="2026-01-07"/>
    <n v="4.2110000000000003"/>
    <n v="0.23749999999999999"/>
    <n v="4.2110000000000003"/>
    <n v="1"/>
    <n v="21055000"/>
    <s v="POLAND PL"/>
  </r>
  <r>
    <s v="BKMILL"/>
    <n v="155507"/>
    <n v="890677"/>
    <s v="Spot"/>
    <x v="41"/>
    <s v="Sell"/>
    <s v="EUR"/>
    <n v="-500000"/>
    <s v="PLN"/>
    <n v="2106550"/>
    <s v="2026-01-09"/>
    <n v="4.2130999999999998"/>
    <n v="0.2374"/>
    <n v="4.2119"/>
    <n v="1"/>
    <n v="600"/>
    <s v="GERMANY DE"/>
  </r>
  <r>
    <s v="BKMILL"/>
    <n v="155508"/>
    <n v="215206"/>
    <s v="Forward"/>
    <x v="160"/>
    <s v="Buy Fwd"/>
    <s v="EUR"/>
    <n v="100000"/>
    <s v="PLN"/>
    <n v="420100"/>
    <s v="2026-01-07"/>
    <n v="4.2015000000000002"/>
    <n v="0.23799999999999999"/>
    <n v="4.2110000000000003"/>
    <n v="1"/>
    <n v="841200"/>
    <s v="POLAND PL"/>
  </r>
  <r>
    <s v="BKMILL"/>
    <n v="155509"/>
    <n v="215207"/>
    <s v="Forward"/>
    <x v="305"/>
    <s v="Sell Fwd"/>
    <s v="EUR"/>
    <n v="-50000"/>
    <s v="PLN"/>
    <n v="210800"/>
    <s v="2026-01-07"/>
    <n v="4.2164000000000001"/>
    <n v="0.23719999999999999"/>
    <n v="4.2110000000000003"/>
    <n v="1"/>
    <n v="250"/>
    <s v="POLAND PL"/>
  </r>
  <r>
    <s v="BKMILL"/>
    <n v="155510"/>
    <n v="890696"/>
    <s v="Spot"/>
    <x v="306"/>
    <s v="Buy"/>
    <s v="USD"/>
    <n v="11400"/>
    <s v="PLN"/>
    <n v="-40920.300000000003"/>
    <s v="2026-01-09"/>
    <n v="3.5895000000000001"/>
    <n v="0.27860000000000001"/>
    <n v="3.6070000000000002"/>
    <n v="1"/>
    <n v="199.5"/>
    <s v="POLAND PL"/>
  </r>
  <r>
    <s v="BKMILL"/>
    <n v="155511"/>
    <n v="890697"/>
    <s v="Spot"/>
    <x v="41"/>
    <s v="Sell"/>
    <s v="EUR"/>
    <n v="-500000"/>
    <s v="PLN"/>
    <n v="2107200"/>
    <s v="2026-01-09"/>
    <n v="4.2144000000000004"/>
    <n v="0.23730000000000001"/>
    <n v="4.2119"/>
    <n v="1"/>
    <n v="1250"/>
    <s v="GERMANY DE"/>
  </r>
  <r>
    <s v="BKMILL"/>
    <n v="155512"/>
    <n v="215214"/>
    <s v="Forward"/>
    <x v="7"/>
    <s v="Buy Fwd"/>
    <s v="EUR"/>
    <n v="200000"/>
    <s v="PLN"/>
    <n v="841580"/>
    <s v="2026-01-07"/>
    <n v="4.2083000000000004"/>
    <n v="0.23760000000000001"/>
    <n v="4.2110000000000003"/>
    <n v="1"/>
    <n v="1683780"/>
    <s v="POLAND PL"/>
  </r>
  <r>
    <s v="BKMILL"/>
    <n v="155513"/>
    <n v="215215"/>
    <s v="Forward"/>
    <x v="307"/>
    <s v="Sell Fwd"/>
    <s v="EUR"/>
    <n v="-25000"/>
    <s v="PLN"/>
    <n v="105475"/>
    <s v="2026-01-07"/>
    <n v="4.2190000000000003"/>
    <n v="0.23699999999999999"/>
    <n v="4.2110000000000003"/>
    <n v="1"/>
    <n v="200"/>
    <s v="POLAND PL"/>
  </r>
  <r>
    <s v="BKMILL"/>
    <n v="155514"/>
    <n v="890713"/>
    <s v="Spot"/>
    <x v="40"/>
    <s v="Buy"/>
    <s v="EUR"/>
    <n v="500000"/>
    <s v="PLN"/>
    <n v="-2107300"/>
    <s v="2026-01-09"/>
    <n v="4.2145999999999999"/>
    <n v="0.23730000000000001"/>
    <n v="4.2119"/>
    <n v="1"/>
    <n v="-1350"/>
    <s v="UNITED STATES OF AMERICA US"/>
  </r>
  <r>
    <s v="BKMILL"/>
    <n v="155515"/>
    <n v="215218"/>
    <s v="Forward"/>
    <x v="164"/>
    <s v="Buy Fwd"/>
    <s v="EUR"/>
    <n v="6000"/>
    <s v="PLN"/>
    <n v="25256.400000000001"/>
    <s v="2026-01-07"/>
    <n v="4.2098000000000004"/>
    <n v="0.23749999999999999"/>
    <n v="4.2110000000000003"/>
    <n v="1"/>
    <n v="50522.400000000001"/>
    <s v="POLAND PL"/>
  </r>
  <r>
    <s v="BKMILL"/>
    <n v="155518"/>
    <n v="890741"/>
    <s v="Spot"/>
    <x v="101"/>
    <s v="Buy"/>
    <s v="EUR"/>
    <n v="25000"/>
    <s v="PLN"/>
    <n v="-105280"/>
    <s v="2026-01-09"/>
    <n v="4.2111999999999998"/>
    <n v="0.23749999999999999"/>
    <n v="4.2119"/>
    <n v="1"/>
    <n v="17.5"/>
    <s v="POLAND PL"/>
  </r>
  <r>
    <s v="BKMILL"/>
    <n v="155519"/>
    <n v="215225"/>
    <s v="Forward"/>
    <x v="70"/>
    <s v="Buy Fwd"/>
    <s v="GBP"/>
    <n v="51217.5"/>
    <s v="PLN"/>
    <n v="248660.96"/>
    <s v="2026-01-07"/>
    <n v="4.8550000000000004"/>
    <n v="0.20599999999999999"/>
    <n v="4.8457999999999997"/>
    <n v="1"/>
    <n v="496850.72149999999"/>
    <s v="POLAND PL"/>
  </r>
  <r>
    <s v="BKMILL"/>
    <n v="155520"/>
    <n v="890748"/>
    <s v="Spot"/>
    <x v="40"/>
    <s v="Buy"/>
    <s v="EUR"/>
    <n v="100000"/>
    <s v="GBP"/>
    <n v="-86620"/>
    <s v="2026-01-09"/>
    <n v="0.86619999999999997"/>
    <n v="1.1545000000000001"/>
    <n v="4.2119"/>
    <n v="4.8471000000000002"/>
    <n v="1334.1980000000001"/>
    <s v="UNITED STATES OF AMERICA US"/>
  </r>
  <r>
    <s v="BKMILL"/>
    <n v="155521"/>
    <n v="215232"/>
    <s v="Forward"/>
    <x v="261"/>
    <s v="Buy Fwd"/>
    <s v="EUR"/>
    <n v="30000"/>
    <s v="PLN"/>
    <n v="126354"/>
    <s v="2026-01-07"/>
    <n v="4.2122000000000002"/>
    <n v="0.2374"/>
    <n v="4.2110000000000003"/>
    <n v="1"/>
    <n v="252684"/>
    <s v="POLAND PL"/>
  </r>
  <r>
    <s v="BKMILL"/>
    <n v="155530"/>
    <n v="215234"/>
    <s v="Forward"/>
    <x v="308"/>
    <s v="Buy Fwd"/>
    <s v="EUR"/>
    <n v="50000"/>
    <s v="PLN"/>
    <n v="209900"/>
    <s v="2026-01-07"/>
    <n v="4.1985000000000001"/>
    <n v="0.2382"/>
    <n v="4.2110000000000003"/>
    <n v="1"/>
    <n v="420450"/>
    <s v="POLAND PL"/>
  </r>
  <r>
    <s v="BKMILL"/>
    <n v="155531"/>
    <n v="215237"/>
    <s v="Forward"/>
    <x v="34"/>
    <s v="Sell Fwd"/>
    <s v="USD"/>
    <n v="-5000"/>
    <s v="PLN"/>
    <n v="18032"/>
    <s v="2026-01-07"/>
    <n v="3.6063000000000001"/>
    <n v="0.27729999999999999"/>
    <n v="3.6044999999999998"/>
    <n v="1"/>
    <n v="9.5"/>
    <s v="POLAND PL"/>
  </r>
  <r>
    <s v="BKMILL"/>
    <n v="155532"/>
    <n v="890785"/>
    <s v="Spot"/>
    <x v="44"/>
    <s v="Sell"/>
    <s v="EUR"/>
    <n v="-500000"/>
    <s v="PLN"/>
    <n v="2106900"/>
    <s v="2026-01-09"/>
    <n v="4.2138"/>
    <n v="0.23730000000000001"/>
    <n v="4.2119"/>
    <n v="1"/>
    <n v="950"/>
    <s v="GERMANY DE"/>
  </r>
  <r>
    <s v="BKMILL"/>
    <n v="155534"/>
    <n v="215241"/>
    <s v="Forward"/>
    <x v="309"/>
    <s v="Sell Fwd"/>
    <s v="EUR"/>
    <n v="-35589"/>
    <s v="PLN"/>
    <n v="150007.64000000001"/>
    <s v="2026-01-07"/>
    <n v="4.2149999999999999"/>
    <n v="0.23719999999999999"/>
    <n v="4.2110000000000003"/>
    <n v="1"/>
    <n v="142.36099999999999"/>
    <s v="POLAND PL"/>
  </r>
  <r>
    <s v="BKMILL"/>
    <n v="155535"/>
    <n v="890801"/>
    <s v="Spot"/>
    <x v="40"/>
    <s v="Sell"/>
    <s v="EUR"/>
    <n v="-500000"/>
    <s v="PLN"/>
    <n v="2107400"/>
    <s v="2026-01-09"/>
    <n v="4.2148000000000003"/>
    <n v="0.23730000000000001"/>
    <n v="4.2119"/>
    <n v="1"/>
    <n v="1450"/>
    <s v="UNITED STATES OF AMERICA US"/>
  </r>
  <r>
    <s v="BKMILL"/>
    <n v="155538"/>
    <n v="215244"/>
    <s v="Forward"/>
    <x v="310"/>
    <s v="Buy Fwd"/>
    <s v="EUR"/>
    <n v="405000"/>
    <s v="PLN"/>
    <n v="1701810"/>
    <s v="2026-01-07"/>
    <n v="4.2023999999999999"/>
    <n v="0.23799999999999999"/>
    <n v="4.2110000000000003"/>
    <n v="1"/>
    <n v="3407265"/>
    <s v="POLAND PL"/>
  </r>
  <r>
    <s v="BKMILL"/>
    <n v="155539"/>
    <n v="215247"/>
    <s v="Forward"/>
    <x v="311"/>
    <s v="Buy Fwd"/>
    <s v="EUR"/>
    <n v="48000"/>
    <s v="PLN"/>
    <n v="201696"/>
    <s v="2026-01-07"/>
    <n v="4.2023999999999999"/>
    <n v="0.23799999999999999"/>
    <n v="4.2110000000000003"/>
    <n v="1"/>
    <n v="403824"/>
    <s v="POLAND PL"/>
  </r>
  <r>
    <s v="BKMILL"/>
    <n v="155540"/>
    <n v="215248"/>
    <s v="Forward"/>
    <x v="312"/>
    <s v="Sell Fwd"/>
    <s v="EUR"/>
    <n v="-25000"/>
    <s v="PLN"/>
    <n v="105750"/>
    <s v="2026-01-07"/>
    <n v="4.2304000000000004"/>
    <n v="0.2364"/>
    <n v="4.2110000000000003"/>
    <n v="1"/>
    <n v="475"/>
    <s v="POLAND PL"/>
  </r>
  <r>
    <s v="BKMILL"/>
    <n v="155541"/>
    <n v="215252"/>
    <s v="Forward"/>
    <x v="262"/>
    <s v="Buy Fwd"/>
    <s v="EUR"/>
    <n v="150000"/>
    <s v="PLN"/>
    <n v="631635"/>
    <s v="2026-01-08"/>
    <n v="4.2111000000000001"/>
    <n v="0.23749999999999999"/>
    <n v="4.2104999999999997"/>
    <n v="1"/>
    <n v="1263210"/>
    <s v="POLAND PL"/>
  </r>
  <r>
    <s v="BKMILL"/>
    <n v="155542"/>
    <n v="215254"/>
    <s v="Forward"/>
    <x v="313"/>
    <s v="Sell Fwd"/>
    <s v="EUR"/>
    <n v="-50000"/>
    <s v="PLN"/>
    <n v="210825"/>
    <s v="2026-01-07"/>
    <n v="4.2164999999999999"/>
    <n v="0.23719999999999999"/>
    <n v="4.2110000000000003"/>
    <n v="1"/>
    <n v="275"/>
    <s v="POLAND PL"/>
  </r>
  <r>
    <s v="BKMILL"/>
    <n v="155544"/>
    <n v="890895"/>
    <s v="Spot"/>
    <x v="47"/>
    <s v="Sell"/>
    <s v="EUR"/>
    <n v="-1000000"/>
    <s v="PLN"/>
    <n v="4213400"/>
    <s v="2026-01-09"/>
    <n v="4.2134"/>
    <n v="0.23730000000000001"/>
    <n v="4.2119"/>
    <n v="1"/>
    <n v="1500"/>
    <s v="FRANCE FR"/>
  </r>
  <r>
    <s v="BKMILL"/>
    <n v="155546"/>
    <n v="890909"/>
    <s v="Spot"/>
    <x v="50"/>
    <s v="Buy"/>
    <s v="SEK"/>
    <n v="940000"/>
    <s v="PLN"/>
    <n v="-368856"/>
    <s v="2026-01-09"/>
    <n v="0.39240000000000003"/>
    <n v="2.5484"/>
    <n v="0.39119999999999999"/>
    <n v="1"/>
    <n v="-1128"/>
    <s v="POLAND PL"/>
  </r>
  <r>
    <s v="BKMILL"/>
    <n v="155547"/>
    <n v="890913"/>
    <s v="Spot"/>
    <x v="40"/>
    <s v="Sell"/>
    <s v="EUR"/>
    <n v="-100000"/>
    <s v="GBP"/>
    <n v="86672"/>
    <s v="2026-01-09"/>
    <n v="0.86670000000000003"/>
    <n v="1.1537999999999999"/>
    <n v="4.2119"/>
    <n v="4.8471000000000002"/>
    <n v="-1082.1487999999999"/>
    <s v="UNITED STATES OF AMERICA US"/>
  </r>
  <r>
    <s v="BKMILL"/>
    <n v="155548"/>
    <n v="890914"/>
    <s v="Spot"/>
    <x v="43"/>
    <s v="Buy"/>
    <s v="EUR"/>
    <n v="100000"/>
    <s v="SEK"/>
    <n v="-1073247"/>
    <s v="2026-01-09"/>
    <n v="10.7325"/>
    <n v="9.3200000000000005E-2"/>
    <n v="4.2119"/>
    <n v="0.39119999999999999"/>
    <n v="1335.7736"/>
    <s v="FRANCE FR"/>
  </r>
  <r>
    <s v="BKMILL"/>
    <n v="155549"/>
    <n v="890928"/>
    <s v="Spot"/>
    <x v="50"/>
    <s v="Buy"/>
    <s v="NOK"/>
    <n v="1480000"/>
    <s v="PLN"/>
    <n v="-530284"/>
    <s v="2026-01-09"/>
    <n v="0.35830000000000001"/>
    <n v="2.7909999999999999"/>
    <n v="0.35630000000000001"/>
    <n v="1"/>
    <n v="-2960"/>
    <s v="POLAND PL"/>
  </r>
  <r>
    <s v="BKMILL"/>
    <n v="155550"/>
    <n v="890932"/>
    <s v="Spot"/>
    <x v="50"/>
    <s v="Buy"/>
    <s v="DKK"/>
    <n v="1030000"/>
    <s v="PLN"/>
    <n v="-580611"/>
    <s v="2026-01-09"/>
    <n v="0.56369999999999998"/>
    <n v="1.774"/>
    <n v="0.56359999999999999"/>
    <n v="1"/>
    <n v="-103"/>
    <s v="POLAND PL"/>
  </r>
  <r>
    <s v="BKMILL"/>
    <n v="155551"/>
    <n v="890933"/>
    <s v="Spot"/>
    <x v="43"/>
    <s v="Buy"/>
    <s v="EUR"/>
    <n v="100000"/>
    <s v="NOK"/>
    <n v="-1175818"/>
    <s v="2026-01-09"/>
    <n v="11.7582"/>
    <n v="8.5000000000000006E-2"/>
    <n v="4.2119"/>
    <n v="0.35630000000000001"/>
    <n v="2246.0466000000001"/>
    <s v="FRANCE FR"/>
  </r>
  <r>
    <s v="BKMILL"/>
    <n v="155552"/>
    <n v="890937"/>
    <s v="Spot"/>
    <x v="43"/>
    <s v="Buy"/>
    <s v="EUR"/>
    <n v="200000"/>
    <s v="DKK"/>
    <n v="-1494488"/>
    <s v="2026-01-09"/>
    <n v="7.4724000000000004"/>
    <n v="0.1338"/>
    <n v="4.2119"/>
    <n v="0.56359999999999999"/>
    <n v="86.563199999999995"/>
    <s v="FRANCE FR"/>
  </r>
  <r>
    <s v="BKMILL"/>
    <n v="155553"/>
    <n v="215266"/>
    <s v="Forward"/>
    <x v="80"/>
    <s v="Sell Fwd"/>
    <s v="EUR"/>
    <n v="-344000"/>
    <s v="PLN"/>
    <n v="1451164"/>
    <s v="2026-01-07"/>
    <n v="4.2187999999999999"/>
    <n v="0.23699999999999999"/>
    <n v="4.2110000000000003"/>
    <n v="1"/>
    <n v="2580"/>
    <s v="POLAND PL"/>
  </r>
  <r>
    <s v="BKMILL"/>
    <n v="155554"/>
    <n v="890961"/>
    <s v="Spot"/>
    <x v="44"/>
    <s v="Sell"/>
    <s v="EUR"/>
    <n v="-1000000"/>
    <s v="PLN"/>
    <n v="4211420"/>
    <s v="2026-01-09"/>
    <n v="4.2114000000000003"/>
    <n v="0.2374"/>
    <n v="4.2119"/>
    <n v="1"/>
    <n v="-480"/>
    <s v="GERMANY DE"/>
  </r>
  <r>
    <s v="BKMILL"/>
    <n v="155555"/>
    <n v="890962"/>
    <s v="Spot"/>
    <x v="47"/>
    <s v="Sell"/>
    <s v="EUR"/>
    <n v="-1000000"/>
    <s v="PLN"/>
    <n v="4211400"/>
    <s v="2026-01-09"/>
    <n v="4.2114000000000003"/>
    <n v="0.23749999999999999"/>
    <n v="4.2119"/>
    <n v="1"/>
    <n v="-500"/>
    <s v="FRANCE FR"/>
  </r>
  <r>
    <s v="BKMILL"/>
    <n v="155556"/>
    <n v="890963"/>
    <s v="Spot"/>
    <x v="47"/>
    <s v="Sell"/>
    <s v="EUR"/>
    <n v="-1000000"/>
    <s v="PLN"/>
    <n v="4211400"/>
    <s v="2026-01-09"/>
    <n v="4.2114000000000003"/>
    <n v="0.23749999999999999"/>
    <n v="4.2119"/>
    <n v="1"/>
    <n v="-500"/>
    <s v="FRANCE FR"/>
  </r>
  <r>
    <s v="BKMILL"/>
    <n v="155557"/>
    <n v="890969"/>
    <s v="Spot"/>
    <x v="41"/>
    <s v="Sell"/>
    <s v="USD"/>
    <n v="-1000000"/>
    <s v="PLN"/>
    <n v="3601300"/>
    <s v="2026-01-09"/>
    <n v="3.6013000000000002"/>
    <n v="0.2777"/>
    <n v="3.6070000000000002"/>
    <n v="1"/>
    <n v="-5700"/>
    <s v="GERMANY DE"/>
  </r>
  <r>
    <s v="BKMILL"/>
    <n v="155558"/>
    <n v="890981"/>
    <s v="Spot"/>
    <x v="41"/>
    <s v="Sell"/>
    <s v="GBP"/>
    <n v="-100000"/>
    <s v="PLN"/>
    <n v="485970"/>
    <s v="2026-01-09"/>
    <n v="4.8597000000000001"/>
    <n v="0.20580000000000001"/>
    <n v="4.8471000000000002"/>
    <n v="1"/>
    <n v="1260"/>
    <s v="GERMANY DE"/>
  </r>
  <r>
    <s v="BKMILL"/>
    <n v="155559"/>
    <n v="215273"/>
    <s v="Forward"/>
    <x v="139"/>
    <s v="Buy Fwd"/>
    <s v="EUR"/>
    <n v="77220"/>
    <s v="PLN"/>
    <n v="324686.93"/>
    <s v="2026-01-07"/>
    <n v="4.2050999999999998"/>
    <n v="0.23780000000000001"/>
    <n v="4.2110000000000003"/>
    <n v="1"/>
    <n v="649860.35"/>
    <s v="POLAND PL"/>
  </r>
  <r>
    <s v="BKMILL"/>
    <n v="155560"/>
    <n v="891027"/>
    <s v="Spot"/>
    <x v="40"/>
    <s v="Sell"/>
    <s v="EUR"/>
    <n v="-300000"/>
    <s v="CNY"/>
    <n v="2451915"/>
    <s v="2026-01-09"/>
    <n v="8.173"/>
    <n v="0.12239999999999999"/>
    <n v="4.2119"/>
    <n v="0.51659999999999995"/>
    <n v="3089.2890000000002"/>
    <s v="UNITED STATES OF AMERICA US"/>
  </r>
  <r>
    <s v="BKMILL"/>
    <n v="155561"/>
    <n v="891034"/>
    <s v="Spot"/>
    <x v="41"/>
    <s v="Buy"/>
    <s v="EUR"/>
    <n v="100000"/>
    <s v="USD"/>
    <n v="-116917"/>
    <s v="2026-01-09"/>
    <n v="1.1692"/>
    <n v="0.85529999999999995"/>
    <n v="4.2119"/>
    <n v="3.6070000000000002"/>
    <n v="-529.61900000000003"/>
    <s v="GERMANY DE"/>
  </r>
  <r>
    <s v="BKMILL"/>
    <n v="155562"/>
    <n v="215275"/>
    <s v="Forward"/>
    <x v="178"/>
    <s v="Buy Fwd"/>
    <s v="EUR"/>
    <n v="45000"/>
    <s v="PLN"/>
    <n v="189288"/>
    <s v="2026-01-08"/>
    <n v="4.2065999999999999"/>
    <n v="0.23769999999999999"/>
    <n v="4.2104999999999997"/>
    <n v="1"/>
    <n v="378760.5"/>
    <s v="POLAND PL"/>
  </r>
  <r>
    <s v="BKMILL"/>
    <n v="155563"/>
    <n v="891041"/>
    <s v="Spot"/>
    <x v="178"/>
    <s v="Buy"/>
    <s v="GBP"/>
    <n v="15000"/>
    <s v="PLN"/>
    <n v="-72808.5"/>
    <s v="2026-01-09"/>
    <n v="4.8539000000000003"/>
    <n v="0.20599999999999999"/>
    <n v="4.8471000000000002"/>
    <n v="1"/>
    <n v="-102"/>
    <s v="POLAND PL"/>
  </r>
  <r>
    <s v="BKMILL"/>
    <n v="155564"/>
    <n v="891051"/>
    <s v="Spot"/>
    <x v="40"/>
    <s v="Sell"/>
    <s v="EUR"/>
    <n v="-500000"/>
    <s v="PLN"/>
    <n v="2105000"/>
    <s v="2026-01-09"/>
    <n v="4.21"/>
    <n v="0.23749999999999999"/>
    <n v="4.2119"/>
    <n v="1"/>
    <n v="-950"/>
    <s v="UNITED STATES OF AMERICA US"/>
  </r>
  <r>
    <s v="BKMILL"/>
    <n v="155565"/>
    <n v="215278"/>
    <s v="Forward"/>
    <x v="91"/>
    <s v="Buy Fwd"/>
    <s v="CNY"/>
    <n v="3500000"/>
    <s v="PLN"/>
    <n v="1804250"/>
    <s v="2026-01-30"/>
    <n v="0.51500000000000001"/>
    <n v="1.9417"/>
    <n v="0.50660000000000005"/>
    <n v="1"/>
    <n v="3577350"/>
    <s v="POLAND PL"/>
  </r>
  <r>
    <s v="BKMILL"/>
    <n v="155566"/>
    <n v="891064"/>
    <s v="Spot"/>
    <x v="40"/>
    <s v="Buy"/>
    <s v="EUR"/>
    <n v="500000"/>
    <s v="CNY"/>
    <n v="-4086235"/>
    <s v="2026-01-09"/>
    <n v="8.1724999999999994"/>
    <n v="0.12239999999999999"/>
    <n v="4.2119"/>
    <n v="0.51659999999999995"/>
    <n v="-4999.0010000000002"/>
    <s v="UNITED STATES OF AMERICA US"/>
  </r>
  <r>
    <s v="BKMILL"/>
    <n v="155567"/>
    <n v="215280"/>
    <s v="Forward"/>
    <x v="314"/>
    <s v="Buy Fwd"/>
    <s v="EUR"/>
    <n v="100000"/>
    <s v="PLN"/>
    <n v="418100"/>
    <s v="2026-01-07"/>
    <n v="4.181"/>
    <n v="0.2392"/>
    <n v="4.2110000000000003"/>
    <n v="1"/>
    <n v="839200"/>
    <s v="POLAND PL"/>
  </r>
  <r>
    <s v="BKMILL"/>
    <n v="155568"/>
    <n v="891068"/>
    <s v="Spot"/>
    <x v="41"/>
    <s v="Sell"/>
    <s v="EUR"/>
    <n v="-500000"/>
    <s v="PLN"/>
    <n v="2105500"/>
    <s v="2026-01-09"/>
    <n v="4.2110000000000003"/>
    <n v="0.23749999999999999"/>
    <n v="4.2119"/>
    <n v="1"/>
    <n v="-450"/>
    <s v="GERMANY DE"/>
  </r>
  <r>
    <s v="BKMILL"/>
    <n v="155573"/>
    <n v="215282"/>
    <s v="Forward"/>
    <x v="74"/>
    <s v="Buy Fwd"/>
    <s v="EUR"/>
    <n v="200000"/>
    <s v="PLN"/>
    <n v="839600"/>
    <s v="2026-01-07"/>
    <n v="4.1980000000000004"/>
    <n v="0.2382"/>
    <n v="4.2110000000000003"/>
    <n v="1"/>
    <n v="1681800"/>
    <s v="POLAND PL"/>
  </r>
  <r>
    <s v="BKMILL"/>
    <n v="155576"/>
    <n v="215283"/>
    <s v="Forward"/>
    <x v="199"/>
    <s v="Buy Fwd"/>
    <s v="EUR"/>
    <n v="56000"/>
    <s v="PLN"/>
    <n v="235284"/>
    <s v="2026-01-07"/>
    <n v="4.2015000000000002"/>
    <n v="0.23799999999999999"/>
    <n v="4.2110000000000003"/>
    <n v="1"/>
    <n v="471100"/>
    <s v="POLAND PL"/>
  </r>
  <r>
    <s v="BKMILL"/>
    <n v="155578"/>
    <n v="215285"/>
    <s v="Forward"/>
    <x v="265"/>
    <s v="Sell Fwd"/>
    <s v="EUR"/>
    <n v="-5000"/>
    <s v="PLN"/>
    <n v="21140"/>
    <s v="2026-01-07"/>
    <n v="4.2279999999999998"/>
    <n v="0.23649999999999999"/>
    <n v="4.2110000000000003"/>
    <n v="1"/>
    <n v="85"/>
    <s v="POLAND PL"/>
  </r>
  <r>
    <s v="BKMILL"/>
    <n v="155585"/>
    <n v="891103"/>
    <s v="Spot"/>
    <x v="43"/>
    <s v="Sell"/>
    <s v="EUR"/>
    <n v="-100297.66"/>
    <s v="PLN"/>
    <n v="422226.07"/>
    <s v="2026-01-09"/>
    <n v="4.2096999999999998"/>
    <n v="0.23749999999999999"/>
    <n v="4.2119"/>
    <n v="1"/>
    <n v="-217.64415399999999"/>
    <s v="FRANCE FR"/>
  </r>
  <r>
    <s v="BKMILL"/>
    <n v="155586"/>
    <n v="891105"/>
    <s v="Spot"/>
    <x v="41"/>
    <s v="Buy"/>
    <s v="GBP"/>
    <n v="7963.3"/>
    <s v="PLN"/>
    <n v="-38637.14"/>
    <s v="2026-01-09"/>
    <n v="4.8518999999999997"/>
    <n v="0.20610000000000001"/>
    <n v="4.8471000000000002"/>
    <n v="1"/>
    <n v="-38.228569999999998"/>
    <s v="GERMANY DE"/>
  </r>
  <r>
    <s v="BKMILL"/>
    <n v="155587"/>
    <n v="891106"/>
    <s v="Spot"/>
    <x v="36"/>
    <s v="Sell"/>
    <s v="USD"/>
    <n v="-53940.52"/>
    <s v="PLN"/>
    <n v="194241.43"/>
    <s v="2026-01-09"/>
    <n v="3.601"/>
    <n v="0.2777"/>
    <n v="3.6070000000000002"/>
    <n v="1"/>
    <n v="-322.02564000000001"/>
    <s v="UNITED KINGDOM GB"/>
  </r>
  <r>
    <s v="BKMILL"/>
    <n v="155588"/>
    <n v="891107"/>
    <s v="Spot"/>
    <x v="36"/>
    <s v="Sell"/>
    <s v="CHF"/>
    <n v="-1702.24"/>
    <s v="PLN"/>
    <n v="7693.99"/>
    <s v="2026-01-09"/>
    <n v="4.5198999999999998"/>
    <n v="0.22120000000000001"/>
    <n v="4.5228000000000002"/>
    <n v="1"/>
    <n v="-4.9010720000000001"/>
    <s v="UNITED KINGDOM GB"/>
  </r>
  <r>
    <s v="BKMILL"/>
    <n v="155589"/>
    <n v="891108"/>
    <s v="Spot"/>
    <x v="40"/>
    <s v="Sell"/>
    <s v="EUR"/>
    <n v="-2432.0500000000002"/>
    <s v="PLN"/>
    <n v="10237.450000000001"/>
    <s v="2026-01-09"/>
    <n v="4.2093999999999996"/>
    <n v="0.23760000000000001"/>
    <n v="4.2119"/>
    <n v="1"/>
    <n v="-6.1013950000000001"/>
    <s v="UNITED STATES OF AMERICA US"/>
  </r>
  <r>
    <s v="BKMILL"/>
    <n v="155590"/>
    <n v="891113"/>
    <s v="Spot"/>
    <x v="40"/>
    <s v="Buy"/>
    <s v="USD"/>
    <n v="11276.03"/>
    <s v="PLN"/>
    <n v="-40636.9"/>
    <s v="2026-01-09"/>
    <n v="3.6038000000000001"/>
    <n v="0.27750000000000002"/>
    <n v="3.6070000000000002"/>
    <n v="1"/>
    <n v="35.740209999999998"/>
    <s v="UNITED STATES OF AMERICA US"/>
  </r>
  <r>
    <s v="BKMILL"/>
    <n v="155591"/>
    <n v="891114"/>
    <s v="Spot"/>
    <x v="41"/>
    <s v="Sell"/>
    <s v="EUR"/>
    <n v="-51959.33"/>
    <s v="PLN"/>
    <n v="218686.43"/>
    <s v="2026-01-09"/>
    <n v="4.2088000000000001"/>
    <n v="0.23760000000000001"/>
    <n v="4.2119"/>
    <n v="1"/>
    <n v="-161.07202699999999"/>
    <s v="GERMANY DE"/>
  </r>
  <r>
    <s v="BKMILL"/>
    <n v="155592"/>
    <n v="891115"/>
    <s v="Spot"/>
    <x v="40"/>
    <s v="Buy"/>
    <s v="CHF"/>
    <n v="8692.5300000000007"/>
    <s v="PLN"/>
    <n v="-39277.81"/>
    <s v="2026-01-09"/>
    <n v="4.5186000000000002"/>
    <n v="0.2213"/>
    <n v="4.5228000000000002"/>
    <n v="1"/>
    <n v="36.764684000000003"/>
    <s v="UNITED STATES OF AMERICA US"/>
  </r>
  <r>
    <s v="BKMILL"/>
    <n v="155593"/>
    <n v="891116"/>
    <s v="Spot"/>
    <x v="41"/>
    <s v="Buy"/>
    <s v="GBP"/>
    <n v="1419.57"/>
    <s v="PLN"/>
    <n v="-6887.75"/>
    <s v="2026-01-09"/>
    <n v="4.8520000000000003"/>
    <n v="0.20610000000000001"/>
    <n v="4.8471000000000002"/>
    <n v="1"/>
    <n v="-6.9522529999999998"/>
    <s v="GERMANY DE"/>
  </r>
  <r>
    <s v="BKMILL"/>
    <n v="155594"/>
    <n v="215289"/>
    <s v="Forward"/>
    <x v="315"/>
    <s v="Sell Fwd"/>
    <s v="EUR"/>
    <n v="-100000"/>
    <s v="PLN"/>
    <n v="421000"/>
    <s v="2026-01-07"/>
    <n v="4.2102000000000004"/>
    <n v="0.23749999999999999"/>
    <n v="4.2110000000000003"/>
    <n v="1"/>
    <n v="-100"/>
    <s v="POLAND PL"/>
  </r>
  <r>
    <s v="BKMILL"/>
    <n v="155595"/>
    <n v="215290"/>
    <s v="Forward"/>
    <x v="315"/>
    <s v="Sell Fwd"/>
    <s v="EUR"/>
    <n v="-100000"/>
    <s v="PLN"/>
    <n v="421000"/>
    <s v="2026-01-07"/>
    <n v="4.2102000000000004"/>
    <n v="0.23749999999999999"/>
    <n v="4.2110000000000003"/>
    <n v="1"/>
    <n v="-100"/>
    <s v="POLAND PL"/>
  </r>
  <r>
    <s v="BKMILL"/>
    <n v="155596"/>
    <n v="215291"/>
    <s v="Forward"/>
    <x v="315"/>
    <s v="Sell Fwd"/>
    <s v="EUR"/>
    <n v="-100000"/>
    <s v="PLN"/>
    <n v="421000"/>
    <s v="2026-01-07"/>
    <n v="4.2102000000000004"/>
    <n v="0.23749999999999999"/>
    <n v="4.2110000000000003"/>
    <n v="1"/>
    <n v="-100"/>
    <s v="POLAND PL"/>
  </r>
  <r>
    <s v="BKMILL"/>
    <n v="155597"/>
    <n v="891130"/>
    <s v="Spot"/>
    <x v="41"/>
    <s v="Sell"/>
    <s v="EUR"/>
    <n v="-15296.12"/>
    <s v="PLN"/>
    <n v="64361.48"/>
    <s v="2026-01-12"/>
    <n v="4.2077"/>
    <n v="0.23769999999999999"/>
    <n v="4.2126999999999999"/>
    <n v="1"/>
    <n v="-76.484724"/>
    <s v="GERMANY DE"/>
  </r>
  <r>
    <s v="BKMILL"/>
    <n v="155598"/>
    <n v="891131"/>
    <s v="Spot"/>
    <x v="40"/>
    <s v="Sell"/>
    <s v="CHF"/>
    <n v="-179.81"/>
    <s v="PLN"/>
    <n v="811.94"/>
    <s v="2026-01-12"/>
    <n v="4.5156000000000001"/>
    <n v="0.2215"/>
    <n v="4.5221999999999998"/>
    <n v="1"/>
    <n v="-1.196782"/>
    <s v="UNITED STATES OF AMERICA US"/>
  </r>
  <r>
    <s v="BKMILL"/>
    <n v="155599"/>
    <n v="891132"/>
    <s v="Spot"/>
    <x v="41"/>
    <s v="Sell"/>
    <s v="USD"/>
    <n v="-3351.7"/>
    <s v="PLN"/>
    <n v="12076.18"/>
    <s v="2026-01-12"/>
    <n v="3.6030000000000002"/>
    <n v="0.27750000000000002"/>
    <n v="3.6183999999999998"/>
    <n v="1"/>
    <n v="-51.611280000000001"/>
    <s v="GERMANY DE"/>
  </r>
  <r>
    <s v="BKMILL"/>
    <n v="155600"/>
    <n v="891133"/>
    <s v="Spot"/>
    <x v="41"/>
    <s v="Sell"/>
    <s v="GBP"/>
    <n v="-6684.06"/>
    <s v="PLN"/>
    <n v="32404.32"/>
    <s v="2026-01-12"/>
    <n v="4.8479999999999999"/>
    <n v="0.20630000000000001"/>
    <n v="4.8525"/>
    <n v="1"/>
    <n v="-30.081150000000001"/>
    <s v="GERMANY DE"/>
  </r>
  <r>
    <s v="BKMILL"/>
    <n v="155601"/>
    <n v="891167"/>
    <s v="Spot"/>
    <x v="40"/>
    <s v="Sell"/>
    <s v="EUR"/>
    <n v="-24261.27"/>
    <s v="PLN"/>
    <n v="102116.9"/>
    <s v="2026-01-12"/>
    <n v="4.2091000000000003"/>
    <n v="0.23760000000000001"/>
    <n v="4.2126999999999999"/>
    <n v="1"/>
    <n v="-88.552128999999994"/>
    <s v="UNITED STATES OF AMERICA US"/>
  </r>
  <r>
    <s v="BKMILL"/>
    <n v="155602"/>
    <n v="891168"/>
    <s v="Spot"/>
    <x v="41"/>
    <s v="Buy"/>
    <s v="GBP"/>
    <n v="848.45"/>
    <s v="PLN"/>
    <n v="-4116.26"/>
    <s v="2026-01-12"/>
    <n v="4.8514999999999997"/>
    <n v="0.20610000000000001"/>
    <n v="4.8525"/>
    <n v="1"/>
    <n v="0.84362499999999996"/>
    <s v="GERMANY DE"/>
  </r>
  <r>
    <s v="BKMILL"/>
    <n v="155603"/>
    <n v="891169"/>
    <s v="Spot"/>
    <x v="40"/>
    <s v="Sell"/>
    <s v="USD"/>
    <n v="-3179.86"/>
    <s v="PLN"/>
    <n v="11458.31"/>
    <s v="2026-01-12"/>
    <n v="3.6034000000000002"/>
    <n v="0.27750000000000002"/>
    <n v="3.6183999999999998"/>
    <n v="1"/>
    <n v="-47.695424000000003"/>
    <s v="UNITED STATES OF AMERICA US"/>
  </r>
  <r>
    <s v="BKMILL"/>
    <n v="155604"/>
    <n v="891170"/>
    <s v="Spot"/>
    <x v="40"/>
    <s v="Sell"/>
    <s v="CHF"/>
    <n v="-390"/>
    <s v="PLN"/>
    <n v="1762.59"/>
    <s v="2026-01-12"/>
    <n v="4.5194999999999999"/>
    <n v="0.2213"/>
    <n v="4.5221999999999998"/>
    <n v="1"/>
    <n v="-1.0680000000000001"/>
    <s v="UNITED STATES OF AMERICA US"/>
  </r>
  <r>
    <s v="BKMILL"/>
    <n v="155605"/>
    <n v="215292"/>
    <s v="Forward"/>
    <x v="55"/>
    <s v="Sell Fwd"/>
    <s v="EUR"/>
    <n v="-2544"/>
    <s v="PLN"/>
    <n v="10705.79"/>
    <s v="2026-01-08"/>
    <n v="4.2091000000000003"/>
    <n v="0.23760000000000001"/>
    <n v="4.2104999999999997"/>
    <n v="1"/>
    <n v="-5.7220000000000004"/>
    <s v="SPAIN ES"/>
  </r>
  <r>
    <s v="BKMILL"/>
    <n v="155606"/>
    <n v="215294"/>
    <s v="Forward"/>
    <x v="55"/>
    <s v="Sell Fwd"/>
    <s v="EUR"/>
    <n v="-17500"/>
    <s v="PLN"/>
    <n v="73647.929999999993"/>
    <s v="2026-01-08"/>
    <n v="4.2092999999999998"/>
    <n v="0.23760000000000001"/>
    <n v="4.2104999999999997"/>
    <n v="1"/>
    <n v="-35.82"/>
    <s v="SPAIN ES"/>
  </r>
  <r>
    <s v="BKMILL"/>
    <n v="155607"/>
    <n v="215296"/>
    <s v="Forward"/>
    <x v="55"/>
    <s v="Buy Fwd"/>
    <s v="USD"/>
    <n v="11170"/>
    <s v="PLN"/>
    <n v="40287.81"/>
    <s v="2026-01-08"/>
    <n v="3.6067"/>
    <n v="0.27729999999999999"/>
    <n v="3.6034999999999999"/>
    <n v="1"/>
    <n v="80538.904999999999"/>
    <s v="SPAIN ES"/>
  </r>
  <r>
    <s v="BKMILL"/>
    <n v="155608"/>
    <n v="215298"/>
    <s v="Forward"/>
    <x v="40"/>
    <s v="Sell Fwd"/>
    <s v="EUR"/>
    <n v="-5000"/>
    <s v="PLN"/>
    <n v="21050.639999999999"/>
    <s v="2026-01-08"/>
    <n v="4.2110000000000003"/>
    <n v="0.23749999999999999"/>
    <n v="4.2104999999999997"/>
    <n v="1"/>
    <n v="-1.86"/>
    <s v="UNITED STATES OF AMERICA US"/>
  </r>
  <r>
    <s v="BKMILL"/>
    <n v="155609"/>
    <n v="215300"/>
    <s v="Forward"/>
    <x v="55"/>
    <s v="Buy Fwd"/>
    <s v="EUR"/>
    <n v="12600"/>
    <s v="PLN"/>
    <n v="53065.32"/>
    <s v="2026-01-08"/>
    <n v="4.2122000000000002"/>
    <n v="0.2374"/>
    <n v="4.2104999999999997"/>
    <n v="1"/>
    <n v="106117.62"/>
    <s v="SPAIN ES"/>
  </r>
  <r>
    <s v="BKMILL"/>
    <n v="155610"/>
    <n v="215302"/>
    <s v="Forward"/>
    <x v="55"/>
    <s v="Buy Fwd"/>
    <s v="EUR"/>
    <n v="7900"/>
    <s v="PLN"/>
    <n v="33271.11"/>
    <s v="2026-01-08"/>
    <n v="4.2122000000000002"/>
    <n v="0.2374"/>
    <n v="4.2104999999999997"/>
    <n v="1"/>
    <n v="66534.06"/>
    <s v="SPAIN ES"/>
  </r>
  <r>
    <s v="BKMILL"/>
    <n v="155611"/>
    <n v="215304"/>
    <s v="Forward"/>
    <x v="40"/>
    <s v="Sell Fwd"/>
    <s v="USD"/>
    <n v="-47190"/>
    <s v="PLN"/>
    <n v="170117.97"/>
    <s v="2026-01-08"/>
    <n v="3.605"/>
    <n v="0.27739999999999998"/>
    <n v="3.6034999999999999"/>
    <n v="1"/>
    <n v="68.805000000000007"/>
    <s v="UNITED STATES OF AMERICA US"/>
  </r>
  <r>
    <s v="BKMILL"/>
    <n v="155612"/>
    <n v="215306"/>
    <s v="Forward"/>
    <x v="40"/>
    <s v="Sell Fwd"/>
    <s v="EUR"/>
    <n v="-12000"/>
    <s v="PLN"/>
    <n v="50522.73"/>
    <s v="2026-01-08"/>
    <n v="4.2111000000000001"/>
    <n v="0.23749999999999999"/>
    <n v="4.2104999999999997"/>
    <n v="1"/>
    <n v="-3.27"/>
    <s v="UNITED STATES OF AMERICA US"/>
  </r>
  <r>
    <s v="BKMILL"/>
    <n v="155613"/>
    <n v="891207"/>
    <s v="Spot"/>
    <x v="41"/>
    <s v="Buy"/>
    <s v="EUR"/>
    <n v="500000"/>
    <s v="PLN"/>
    <n v="-2105200"/>
    <s v="2026-01-12"/>
    <n v="4.2103999999999999"/>
    <n v="0.23749999999999999"/>
    <n v="4.2126999999999999"/>
    <n v="1"/>
    <n v="1150"/>
    <s v="GERMANY DE"/>
  </r>
  <r>
    <s v="BKMILL"/>
    <n v="155614"/>
    <n v="215308"/>
    <s v="Forward"/>
    <x v="55"/>
    <s v="Buy Fwd"/>
    <s v="USD"/>
    <n v="47400"/>
    <s v="PLN"/>
    <n v="170901.41"/>
    <s v="2026-01-08"/>
    <n v="3.6053999999999999"/>
    <n v="0.27739999999999998"/>
    <n v="3.6034999999999999"/>
    <n v="1"/>
    <n v="341707.31"/>
    <s v="SPAIN ES"/>
  </r>
  <r>
    <s v="BKMILL"/>
    <n v="155615"/>
    <n v="215310"/>
    <s v="Forward"/>
    <x v="41"/>
    <s v="Buy Fwd"/>
    <s v="USD"/>
    <n v="1500"/>
    <s v="PLN"/>
    <n v="5409.2"/>
    <s v="2026-01-08"/>
    <n v="3.6059999999999999"/>
    <n v="0.27729999999999999"/>
    <n v="3.6034999999999999"/>
    <n v="1"/>
    <n v="10814.45"/>
    <s v="GERMANY DE"/>
  </r>
  <r>
    <s v="BKMILL"/>
    <n v="155616"/>
    <n v="891216"/>
    <s v="Spot"/>
    <x v="42"/>
    <s v="Sell"/>
    <s v="EUR"/>
    <n v="-100849.23"/>
    <s v="PLN"/>
    <n v="424611.56"/>
    <s v="2026-01-12"/>
    <n v="4.2103999999999999"/>
    <n v="0.23749999999999999"/>
    <n v="4.2126999999999999"/>
    <n v="1"/>
    <n v="-235.991221"/>
    <s v="SWITZERLAND CH"/>
  </r>
  <r>
    <s v="BKMILL"/>
    <n v="155617"/>
    <n v="891217"/>
    <s v="Spot"/>
    <x v="42"/>
    <s v="Sell"/>
    <s v="GBP"/>
    <n v="-16247.79"/>
    <s v="PLN"/>
    <n v="78799.990000000005"/>
    <s v="2026-01-12"/>
    <n v="4.8498999999999999"/>
    <n v="0.20619999999999999"/>
    <n v="4.8525"/>
    <n v="1"/>
    <n v="-42.410975000000001"/>
    <s v="SWITZERLAND CH"/>
  </r>
  <r>
    <s v="BKMILL"/>
    <n v="155618"/>
    <n v="891218"/>
    <s v="Spot"/>
    <x v="42"/>
    <s v="Sell"/>
    <s v="CHF"/>
    <n v="-4578.4399999999996"/>
    <s v="PLN"/>
    <n v="20696.2"/>
    <s v="2026-01-12"/>
    <n v="4.5204000000000004"/>
    <n v="0.22120000000000001"/>
    <n v="4.5221999999999998"/>
    <n v="1"/>
    <n v="-8.4213679999999993"/>
    <s v="SWITZERLAND CH"/>
  </r>
  <r>
    <s v="BKMILL"/>
    <n v="155619"/>
    <n v="215312"/>
    <s v="Forward"/>
    <x v="42"/>
    <s v="Sell Fwd"/>
    <s v="EUR"/>
    <n v="-40000"/>
    <s v="PLN"/>
    <n v="168376.08"/>
    <s v="2026-01-08"/>
    <n v="4.2103999999999999"/>
    <n v="0.23749999999999999"/>
    <n v="4.2104999999999997"/>
    <n v="1"/>
    <n v="-43.92"/>
    <s v="SWITZERLAND CH"/>
  </r>
  <r>
    <s v="BKMILL"/>
    <n v="155620"/>
    <n v="215314"/>
    <s v="Forward"/>
    <x v="36"/>
    <s v="Sell Fwd"/>
    <s v="EUR"/>
    <n v="-2505"/>
    <s v="PLN"/>
    <n v="10541.76"/>
    <s v="2026-01-08"/>
    <n v="4.2092000000000001"/>
    <n v="0.23760000000000001"/>
    <n v="4.2104999999999997"/>
    <n v="1"/>
    <n v="-5.5425000000000004"/>
    <s v="UNITED KINGDOM GB"/>
  </r>
  <r>
    <s v="BKMILL"/>
    <n v="155621"/>
    <n v="215317"/>
    <s v="Forward"/>
    <x v="40"/>
    <s v="Buy Fwd"/>
    <s v="EUR"/>
    <n v="5000"/>
    <s v="PLN"/>
    <n v="21046.79"/>
    <s v="2026-01-08"/>
    <n v="4.2100999999999997"/>
    <n v="0.23749999999999999"/>
    <n v="4.2104999999999997"/>
    <n v="1"/>
    <n v="42099.29"/>
    <s v="UNITED STATES OF AMERICA US"/>
  </r>
  <r>
    <s v="BKMILL"/>
    <n v="155622"/>
    <n v="215319"/>
    <s v="Forward"/>
    <x v="40"/>
    <s v="Sell Fwd"/>
    <s v="EUR"/>
    <n v="-100000"/>
    <s v="PLN"/>
    <n v="420816.17"/>
    <s v="2026-01-08"/>
    <n v="4.2089999999999996"/>
    <n v="0.23760000000000001"/>
    <n v="4.2104999999999997"/>
    <n v="1"/>
    <n v="-233.83"/>
    <s v="UNITED STATES OF AMERICA US"/>
  </r>
  <r>
    <s v="BKMILL"/>
    <n v="155623"/>
    <n v="215320"/>
    <s v="Forward"/>
    <x v="36"/>
    <s v="Buy Fwd"/>
    <s v="EUR"/>
    <n v="20000"/>
    <s v="PLN"/>
    <n v="84182.78"/>
    <s v="2026-01-08"/>
    <n v="4.2096999999999998"/>
    <n v="0.23749999999999999"/>
    <n v="4.2104999999999997"/>
    <n v="1"/>
    <n v="168392.78"/>
    <s v="UNITED KINGDOM GB"/>
  </r>
  <r>
    <s v="BKMILL"/>
    <n v="155624"/>
    <n v="891261"/>
    <s v="Spot"/>
    <x v="41"/>
    <s v="Buy"/>
    <s v="EUR"/>
    <n v="500000"/>
    <s v="PLN"/>
    <n v="-2104600"/>
    <s v="2026-01-12"/>
    <n v="4.2092000000000001"/>
    <n v="0.23760000000000001"/>
    <n v="4.2126999999999999"/>
    <n v="1"/>
    <n v="1750"/>
    <s v="GERMANY DE"/>
  </r>
  <r>
    <s v="BKMILL"/>
    <n v="155625"/>
    <n v="215329"/>
    <s v="Forward"/>
    <x v="73"/>
    <s v="Sell Fwd"/>
    <s v="EUR"/>
    <n v="-700000"/>
    <s v="PLN"/>
    <n v="2947700"/>
    <s v="2026-01-08"/>
    <n v="4.2110000000000003"/>
    <n v="0.23749999999999999"/>
    <n v="4.2104999999999997"/>
    <n v="1"/>
    <n v="350"/>
    <s v="POLAND PL"/>
  </r>
  <r>
    <s v="BKMILL"/>
    <n v="155626"/>
    <n v="891271"/>
    <s v="Spot"/>
    <x v="43"/>
    <s v="Sell"/>
    <s v="EUR"/>
    <n v="-200000"/>
    <s v="USD"/>
    <n v="233602"/>
    <s v="2026-01-12"/>
    <n v="1.1679999999999999"/>
    <n v="0.85619999999999996"/>
    <n v="4.2126999999999999"/>
    <n v="3.6183999999999998"/>
    <n v="2725.4767999999999"/>
    <s v="FRANCE FR"/>
  </r>
  <r>
    <s v="BKMILL"/>
    <n v="155627"/>
    <n v="891287"/>
    <s v="Spot"/>
    <x v="43"/>
    <s v="Sell"/>
    <s v="EUR"/>
    <n v="-200000"/>
    <s v="USD"/>
    <n v="233510"/>
    <s v="2026-01-12"/>
    <n v="1.1676"/>
    <n v="0.85650000000000004"/>
    <n v="4.2126999999999999"/>
    <n v="3.6183999999999998"/>
    <n v="2392.5839999999998"/>
    <s v="FRANCE FR"/>
  </r>
  <r>
    <s v="BKMILL"/>
    <n v="155628"/>
    <n v="215337"/>
    <s v="Forward"/>
    <x v="316"/>
    <s v="Buy Fwd"/>
    <s v="EUR"/>
    <n v="30000"/>
    <s v="PLN"/>
    <n v="126060"/>
    <s v="2026-01-08"/>
    <n v="4.202"/>
    <n v="0.23799999999999999"/>
    <n v="4.2104999999999997"/>
    <n v="1"/>
    <n v="252375"/>
    <s v="POLAND PL"/>
  </r>
  <r>
    <s v="BKMILL"/>
    <n v="155629"/>
    <n v="215339"/>
    <s v="Forward"/>
    <x v="317"/>
    <s v="Buy Fwd"/>
    <s v="EUR"/>
    <n v="340000"/>
    <s v="PLN"/>
    <n v="1428748"/>
    <s v="2026-01-08"/>
    <n v="4.2030000000000003"/>
    <n v="0.2379"/>
    <n v="4.2104999999999997"/>
    <n v="1"/>
    <n v="2860318"/>
    <s v="POLAND PL"/>
  </r>
  <r>
    <s v="BKMILL"/>
    <n v="155630"/>
    <n v="215340"/>
    <s v="Forward"/>
    <x v="61"/>
    <s v="Sell Fwd"/>
    <s v="EUR"/>
    <n v="-50000"/>
    <s v="USD"/>
    <n v="58395"/>
    <s v="2026-01-08"/>
    <n v="1.1681999999999999"/>
    <n v="0.85599999999999998"/>
    <n v="4.2104999999999997"/>
    <n v="3.6034999999999999"/>
    <n v="-98.617500000000007"/>
    <s v="POLAND PL"/>
  </r>
  <r>
    <s v="BKMILL"/>
    <n v="155631"/>
    <n v="891307"/>
    <s v="Spot"/>
    <x v="41"/>
    <s v="Sell"/>
    <s v="EUR"/>
    <n v="-500000"/>
    <s v="PLN"/>
    <n v="2104050"/>
    <s v="2026-01-12"/>
    <n v="4.2081"/>
    <n v="0.23760000000000001"/>
    <n v="4.2126999999999999"/>
    <n v="1"/>
    <n v="-2300"/>
    <s v="GERMANY DE"/>
  </r>
  <r>
    <s v="BKMILL"/>
    <n v="155632"/>
    <n v="215342"/>
    <s v="Forward"/>
    <x v="68"/>
    <s v="Sell Fwd"/>
    <s v="EUR"/>
    <n v="-27821.35"/>
    <s v="PLN"/>
    <n v="117122.32"/>
    <s v="2026-01-08"/>
    <n v="4.2104999999999997"/>
    <n v="0.23749999999999999"/>
    <n v="4.2104999999999997"/>
    <n v="1"/>
    <n v="-19.474174999999999"/>
    <s v="POLAND PL"/>
  </r>
  <r>
    <s v="BKMILL"/>
    <n v="155633"/>
    <n v="215345"/>
    <s v="Forward"/>
    <x v="318"/>
    <s v="Buy Fwd"/>
    <s v="EUR"/>
    <n v="120000"/>
    <s v="PLN"/>
    <n v="504600"/>
    <s v="2026-01-08"/>
    <n v="4.2050000000000001"/>
    <n v="0.23780000000000001"/>
    <n v="4.2104999999999997"/>
    <n v="1"/>
    <n v="1009860"/>
    <s v="POLAND PL"/>
  </r>
  <r>
    <s v="BKMILL"/>
    <n v="155634"/>
    <n v="215346"/>
    <s v="Forward"/>
    <x v="319"/>
    <s v="Sell Fwd"/>
    <s v="EUR"/>
    <n v="-7350"/>
    <s v="PLN"/>
    <n v="31053.75"/>
    <s v="2026-01-08"/>
    <n v="4.2255000000000003"/>
    <n v="0.23669999999999999"/>
    <n v="4.2104999999999997"/>
    <n v="1"/>
    <n v="106.575"/>
    <s v="POLAND PL"/>
  </r>
  <r>
    <s v="BKMILL"/>
    <n v="155635"/>
    <n v="215348"/>
    <s v="Forward"/>
    <x v="161"/>
    <s v="Sell Fwd"/>
    <s v="USD"/>
    <n v="-17000"/>
    <s v="PLN"/>
    <n v="61523"/>
    <s v="2026-01-08"/>
    <n v="3.6190000000000002"/>
    <n v="0.27629999999999999"/>
    <n v="3.6034999999999999"/>
    <n v="1"/>
    <n v="263.5"/>
    <s v="POLAND PL"/>
  </r>
  <r>
    <s v="BKMILL"/>
    <n v="155636"/>
    <n v="215349"/>
    <s v="Forward"/>
    <x v="320"/>
    <s v="Buy Fwd"/>
    <s v="EUR"/>
    <n v="65000"/>
    <s v="PLN"/>
    <n v="272350"/>
    <s v="2026-01-08"/>
    <n v="4.1900000000000004"/>
    <n v="0.2387"/>
    <n v="4.2104999999999997"/>
    <n v="1"/>
    <n v="546032.5"/>
    <s v="POLAND PL"/>
  </r>
  <r>
    <s v="BKMILL"/>
    <n v="155637"/>
    <n v="215352"/>
    <s v="Forward"/>
    <x v="321"/>
    <s v="Sell Fwd"/>
    <s v="EUR"/>
    <n v="-5539"/>
    <s v="PLN"/>
    <n v="23402.28"/>
    <s v="2026-01-08"/>
    <n v="4.2257999999999996"/>
    <n v="0.2366"/>
    <n v="4.2104999999999997"/>
    <n v="1"/>
    <n v="80.320499999999996"/>
    <s v="POLAND PL"/>
  </r>
  <r>
    <s v="BKMILL"/>
    <n v="155638"/>
    <n v="215355"/>
    <s v="Forward"/>
    <x v="322"/>
    <s v="Sell Fwd"/>
    <s v="EUR"/>
    <n v="-13271"/>
    <s v="PLN"/>
    <n v="56056.7"/>
    <s v="2026-01-08"/>
    <n v="4.2248000000000001"/>
    <n v="0.23669999999999999"/>
    <n v="4.2104999999999997"/>
    <n v="1"/>
    <n v="179.15450000000001"/>
    <s v="POLAND PL"/>
  </r>
  <r>
    <s v="BKMILL"/>
    <n v="155639"/>
    <n v="215364"/>
    <s v="Forward"/>
    <x v="124"/>
    <s v="Buy Fwd"/>
    <s v="SEK"/>
    <n v="173667.84"/>
    <s v="PLN"/>
    <n v="67469.960000000006"/>
    <s v="2026-01-08"/>
    <n v="0.38850000000000001"/>
    <n v="2.5739999999999998"/>
    <n v="0.39150000000000001"/>
    <n v="1"/>
    <n v="135460.91936"/>
    <s v="POLAND PL"/>
  </r>
  <r>
    <s v="BKMILL"/>
    <n v="155640"/>
    <n v="891377"/>
    <s v="Spot"/>
    <x v="44"/>
    <s v="Buy"/>
    <s v="EUR"/>
    <n v="1000000"/>
    <s v="PLN"/>
    <n v="-4210180"/>
    <s v="2026-01-12"/>
    <n v="4.2102000000000004"/>
    <n v="0.23749999999999999"/>
    <n v="4.2126999999999999"/>
    <n v="1"/>
    <n v="2520"/>
    <s v="GERMANY DE"/>
  </r>
  <r>
    <s v="BKMILL"/>
    <n v="155642"/>
    <n v="215371"/>
    <s v="Forward"/>
    <x v="61"/>
    <s v="Sell Fwd"/>
    <s v="EUR"/>
    <n v="-50000"/>
    <s v="USD"/>
    <n v="58360"/>
    <s v="2026-01-08"/>
    <n v="1.1675"/>
    <n v="0.85650000000000004"/>
    <n v="4.2104999999999997"/>
    <n v="3.6034999999999999"/>
    <n v="-224.74"/>
    <s v="POLAND PL"/>
  </r>
  <r>
    <s v="BKMILL"/>
    <n v="155643"/>
    <n v="215372"/>
    <s v="Forward"/>
    <x v="323"/>
    <s v="Buy Fwd"/>
    <s v="EUR"/>
    <n v="30000"/>
    <s v="PLN"/>
    <n v="123360"/>
    <s v="2026-01-08"/>
    <n v="4.1120000000000001"/>
    <n v="0.2432"/>
    <n v="4.2104999999999997"/>
    <n v="1"/>
    <n v="249675"/>
    <s v="POLAND PL"/>
  </r>
  <r>
    <s v="BKMILL"/>
    <n v="155644"/>
    <n v="215373"/>
    <s v="Forward"/>
    <x v="324"/>
    <s v="Sell Fwd"/>
    <s v="EUR"/>
    <n v="-40000"/>
    <s v="PLN"/>
    <n v="169040"/>
    <s v="2026-01-08"/>
    <n v="4.2267000000000001"/>
    <n v="0.2366"/>
    <n v="4.2104999999999997"/>
    <n v="1"/>
    <n v="620"/>
    <s v="POLAND PL"/>
  </r>
  <r>
    <s v="BKMILL"/>
    <n v="155645"/>
    <n v="215380"/>
    <s v="Forward"/>
    <x v="30"/>
    <s v="Buy Fwd"/>
    <s v="USD"/>
    <n v="200000"/>
    <s v="NOK"/>
    <n v="2024200"/>
    <s v="2026-01-16"/>
    <n v="10.121600000000001"/>
    <n v="9.8799999999999999E-2"/>
    <n v="3.6153"/>
    <n v="0.35880000000000001"/>
    <n v="1449342.96"/>
    <s v="POLAND PL"/>
  </r>
  <r>
    <s v="BKMILL"/>
    <n v="155646"/>
    <n v="215385"/>
    <s v="Forward"/>
    <x v="116"/>
    <s v="Sell Fwd"/>
    <s v="USD"/>
    <n v="-100000"/>
    <s v="PLN"/>
    <n v="361880"/>
    <s v="2026-01-08"/>
    <n v="3.6190000000000002"/>
    <n v="0.27629999999999999"/>
    <n v="3.6034999999999999"/>
    <n v="1"/>
    <n v="1530"/>
    <s v="POLAND PL"/>
  </r>
  <r>
    <s v="BKMILL"/>
    <n v="155648"/>
    <n v="891466"/>
    <s v="Spot"/>
    <x v="43"/>
    <s v="Buy"/>
    <s v="USD"/>
    <n v="200000"/>
    <s v="NOK"/>
    <n v="-2024400"/>
    <s v="2026-01-12"/>
    <n v="10.122"/>
    <n v="9.8799999999999999E-2"/>
    <n v="3.6183999999999998"/>
    <n v="0.35849999999999999"/>
    <n v="-2067.4"/>
    <s v="FRANCE FR"/>
  </r>
  <r>
    <s v="BKMILL"/>
    <n v="155649"/>
    <n v="891467"/>
    <s v="Spot"/>
    <x v="45"/>
    <s v="Sell"/>
    <s v="USD"/>
    <n v="-400000"/>
    <s v="NOK"/>
    <n v="4047772"/>
    <s v="2026-01-12"/>
    <n v="10.119400000000001"/>
    <n v="9.8799999999999999E-2"/>
    <n v="3.6183999999999998"/>
    <n v="0.35849999999999999"/>
    <n v="3766.2620000000002"/>
    <s v="SWITZERLAND CH"/>
  </r>
  <r>
    <s v="BKMILL"/>
    <n v="155652"/>
    <n v="215392"/>
    <s v="Forward"/>
    <x v="134"/>
    <s v="Buy Fwd"/>
    <s v="EUR"/>
    <n v="200000"/>
    <s v="PLN"/>
    <n v="841800"/>
    <s v="2026-01-08"/>
    <n v="4.2089999999999996"/>
    <n v="0.23760000000000001"/>
    <n v="4.2104999999999997"/>
    <n v="1"/>
    <n v="1683900"/>
    <s v="POLAND PL"/>
  </r>
  <r>
    <s v="BKMILL"/>
    <n v="155653"/>
    <n v="215393"/>
    <s v="Forward"/>
    <x v="136"/>
    <s v="Buy Fwd"/>
    <s v="EUR"/>
    <n v="100000"/>
    <s v="PLN"/>
    <n v="420900"/>
    <s v="2026-01-08"/>
    <n v="4.2089999999999996"/>
    <n v="0.23760000000000001"/>
    <n v="4.2104999999999997"/>
    <n v="1"/>
    <n v="841950"/>
    <s v="POLAND PL"/>
  </r>
  <r>
    <s v="BKMILL"/>
    <n v="155654"/>
    <n v="215394"/>
    <s v="Forward"/>
    <x v="325"/>
    <s v="Buy Fwd"/>
    <s v="EUR"/>
    <n v="100000"/>
    <s v="PLN"/>
    <n v="420900"/>
    <s v="2026-01-08"/>
    <n v="4.2089999999999996"/>
    <n v="0.23760000000000001"/>
    <n v="4.2104999999999997"/>
    <n v="1"/>
    <n v="841950"/>
    <s v="POLAND PL"/>
  </r>
  <r>
    <s v="BKMILL"/>
    <n v="155655"/>
    <n v="215396"/>
    <s v="Forward"/>
    <x v="326"/>
    <s v="Sell Fwd"/>
    <s v="EUR"/>
    <n v="-1000000"/>
    <s v="PLN"/>
    <n v="4213000"/>
    <s v="2026-01-08"/>
    <n v="4.2130000000000001"/>
    <n v="0.2374"/>
    <n v="4.2104999999999997"/>
    <n v="1"/>
    <n v="2500"/>
    <s v="POLAND PL"/>
  </r>
  <r>
    <s v="BKMILL"/>
    <n v="155656"/>
    <n v="215400"/>
    <s v="Forward"/>
    <x v="327"/>
    <s v="Sell Fwd"/>
    <s v="EUR"/>
    <n v="-8900"/>
    <s v="PLN"/>
    <n v="37593.599999999999"/>
    <s v="2026-01-08"/>
    <n v="4.2247000000000003"/>
    <n v="0.23669999999999999"/>
    <n v="4.2104999999999997"/>
    <n v="1"/>
    <n v="120.15"/>
    <s v="POLAND PL"/>
  </r>
  <r>
    <s v="BKMILL"/>
    <n v="155657"/>
    <n v="891513"/>
    <s v="Spot"/>
    <x v="41"/>
    <s v="Buy"/>
    <s v="EUR"/>
    <n v="500000"/>
    <s v="PLN"/>
    <n v="-2105200"/>
    <s v="2026-01-12"/>
    <n v="4.2103999999999999"/>
    <n v="0.23749999999999999"/>
    <n v="4.2126999999999999"/>
    <n v="1"/>
    <n v="1150"/>
    <s v="GERMANY DE"/>
  </r>
  <r>
    <s v="BKMILL"/>
    <n v="155658"/>
    <n v="891514"/>
    <s v="Spot"/>
    <x v="44"/>
    <s v="Buy"/>
    <s v="EUR"/>
    <n v="1000000"/>
    <s v="PLN"/>
    <n v="-4210900"/>
    <s v="2026-01-12"/>
    <n v="4.2108999999999996"/>
    <n v="0.23749999999999999"/>
    <n v="4.2126999999999999"/>
    <n v="1"/>
    <n v="1800"/>
    <s v="GERMANY DE"/>
  </r>
  <r>
    <s v="BKMILL"/>
    <n v="155661"/>
    <n v="215406"/>
    <s v="Forward"/>
    <x v="125"/>
    <s v="Buy Fwd"/>
    <s v="EUR"/>
    <n v="50000"/>
    <s v="PLN"/>
    <n v="207750"/>
    <s v="2026-01-08"/>
    <n v="4.1550000000000002"/>
    <n v="0.2407"/>
    <n v="4.2104999999999997"/>
    <n v="1"/>
    <n v="418275"/>
    <s v="POLAND PL"/>
  </r>
  <r>
    <s v="BKMILL"/>
    <n v="155662"/>
    <n v="891530"/>
    <s v="Spot"/>
    <x v="41"/>
    <s v="Buy"/>
    <s v="EUR"/>
    <n v="500000"/>
    <s v="PLN"/>
    <n v="-2105650"/>
    <s v="2026-01-12"/>
    <n v="4.2112999999999996"/>
    <n v="0.23749999999999999"/>
    <n v="4.2126999999999999"/>
    <n v="1"/>
    <n v="700"/>
    <s v="GERMANY DE"/>
  </r>
  <r>
    <s v="BKMILL"/>
    <n v="155663"/>
    <n v="891531"/>
    <s v="Spot"/>
    <x v="43"/>
    <s v="Buy"/>
    <s v="EUR"/>
    <n v="500000"/>
    <s v="PLN"/>
    <n v="-2105675"/>
    <s v="2026-01-12"/>
    <n v="4.2114000000000003"/>
    <n v="0.23749999999999999"/>
    <n v="4.2126999999999999"/>
    <n v="1"/>
    <n v="675"/>
    <s v="FRANCE FR"/>
  </r>
  <r>
    <s v="BKMILL"/>
    <n v="155664"/>
    <n v="215407"/>
    <s v="Forward"/>
    <x v="328"/>
    <s v="Sell Fwd"/>
    <s v="EUR"/>
    <n v="-70000"/>
    <s v="PLN"/>
    <n v="295190"/>
    <s v="2026-01-08"/>
    <n v="4.2169999999999996"/>
    <n v="0.23710000000000001"/>
    <n v="4.2104999999999997"/>
    <n v="1"/>
    <n v="455"/>
    <s v="POLAND PL"/>
  </r>
  <r>
    <s v="BKMILL"/>
    <n v="155665"/>
    <n v="891535"/>
    <s v="Spot"/>
    <x v="43"/>
    <s v="Buy"/>
    <s v="USD"/>
    <n v="200000"/>
    <s v="NOK"/>
    <n v="-2024656"/>
    <s v="2026-01-12"/>
    <n v="10.1233"/>
    <n v="9.8799999999999999E-2"/>
    <n v="3.6183999999999998"/>
    <n v="0.35849999999999999"/>
    <n v="-2159.1759999999999"/>
    <s v="FRANCE FR"/>
  </r>
  <r>
    <s v="BKMILL"/>
    <n v="155668"/>
    <n v="215409"/>
    <s v="Forward"/>
    <x v="329"/>
    <s v="Sell Fwd"/>
    <s v="EUR"/>
    <n v="-500000"/>
    <s v="PLN"/>
    <n v="2108000"/>
    <s v="2026-01-08"/>
    <n v="4.2164000000000001"/>
    <n v="0.23719999999999999"/>
    <n v="4.2104999999999997"/>
    <n v="1"/>
    <n v="2750"/>
    <s v="POLAND PL"/>
  </r>
  <r>
    <s v="BKMILL"/>
    <n v="155672"/>
    <n v="215418"/>
    <s v="Forward"/>
    <x v="157"/>
    <s v="Buy Fwd"/>
    <s v="EUR"/>
    <n v="30000"/>
    <s v="PLN"/>
    <n v="126000"/>
    <s v="2026-01-08"/>
    <n v="4.2008000000000001"/>
    <n v="0.23799999999999999"/>
    <n v="4.2104999999999997"/>
    <n v="1"/>
    <n v="252315"/>
    <s v="POLAND PL"/>
  </r>
  <r>
    <s v="BKMILL"/>
    <n v="155673"/>
    <n v="215420"/>
    <s v="Forward"/>
    <x v="122"/>
    <s v="Buy Fwd"/>
    <s v="EUR"/>
    <n v="58000"/>
    <s v="PLN"/>
    <n v="243774"/>
    <s v="2026-01-08"/>
    <n v="4.2030000000000003"/>
    <n v="0.2379"/>
    <n v="4.2104999999999997"/>
    <n v="1"/>
    <n v="487983"/>
    <s v="POLAND PL"/>
  </r>
  <r>
    <s v="BKMILL"/>
    <n v="155674"/>
    <n v="215421"/>
    <s v="Forward"/>
    <x v="93"/>
    <s v="Sell Fwd"/>
    <s v="EUR"/>
    <n v="-50000"/>
    <s v="PLN"/>
    <n v="210700"/>
    <s v="2026-01-08"/>
    <n v="4.2140000000000004"/>
    <n v="0.23730000000000001"/>
    <n v="4.2104999999999997"/>
    <n v="1"/>
    <n v="175"/>
    <s v="POLAND PL"/>
  </r>
  <r>
    <s v="BKMILL"/>
    <n v="155675"/>
    <n v="891581"/>
    <s v="Spot"/>
    <x v="79"/>
    <s v="Buy"/>
    <s v="USD"/>
    <n v="85000"/>
    <s v="PLN"/>
    <n v="-306059.5"/>
    <s v="2026-01-12"/>
    <n v="3.6006999999999998"/>
    <n v="0.2777"/>
    <n v="3.6183999999999998"/>
    <n v="1"/>
    <n v="1504.5"/>
    <s v="POLAND PL"/>
  </r>
  <r>
    <s v="BKMILL"/>
    <n v="155687"/>
    <n v="215429"/>
    <s v="Forward"/>
    <x v="130"/>
    <s v="Buy Fwd"/>
    <s v="EUR"/>
    <n v="40000"/>
    <s v="PLN"/>
    <n v="167400"/>
    <s v="2026-01-08"/>
    <n v="4.1849999999999996"/>
    <n v="0.2389"/>
    <n v="4.2104999999999997"/>
    <n v="1"/>
    <n v="335820"/>
    <s v="POLAND PL"/>
  </r>
  <r>
    <s v="BKMILL"/>
    <n v="155693"/>
    <n v="891613"/>
    <s v="Spot"/>
    <x v="38"/>
    <s v="Sell"/>
    <s v="EUR"/>
    <n v="-1000000"/>
    <s v="PLN"/>
    <n v="4212570"/>
    <s v="2026-01-12"/>
    <n v="4.2126000000000001"/>
    <n v="0.2374"/>
    <n v="4.2126999999999999"/>
    <n v="1"/>
    <n v="-130"/>
    <s v="NETHERLANDS NL"/>
  </r>
  <r>
    <s v="BKMILL"/>
    <n v="155694"/>
    <n v="215433"/>
    <s v="Forward"/>
    <x v="330"/>
    <s v="Buy Fwd"/>
    <s v="EUR"/>
    <n v="5000"/>
    <s v="PLN"/>
    <n v="21050"/>
    <s v="2026-01-08"/>
    <n v="4.21"/>
    <n v="0.23749999999999999"/>
    <n v="4.2104999999999997"/>
    <n v="1"/>
    <n v="42102.5"/>
    <s v="POLAND PL"/>
  </r>
  <r>
    <s v="BKMILL"/>
    <n v="155695"/>
    <n v="215434"/>
    <s v="Forward"/>
    <x v="331"/>
    <s v="Buy Fwd"/>
    <s v="EUR"/>
    <n v="10000"/>
    <s v="PLN"/>
    <n v="41600"/>
    <s v="2026-01-08"/>
    <n v="4.16"/>
    <n v="0.2404"/>
    <n v="4.2104999999999997"/>
    <n v="1"/>
    <n v="83705"/>
    <s v="POLAND PL"/>
  </r>
  <r>
    <s v="BKMILL"/>
    <n v="155696"/>
    <n v="215436"/>
    <s v="Forward"/>
    <x v="132"/>
    <s v="Sell Fwd"/>
    <s v="USD"/>
    <n v="-20200"/>
    <s v="PLN"/>
    <n v="73138.14"/>
    <s v="2026-01-08"/>
    <n v="3.6208999999999998"/>
    <n v="0.2762"/>
    <n v="3.6034999999999999"/>
    <n v="1"/>
    <n v="347.44"/>
    <s v="POLAND PL"/>
  </r>
  <r>
    <s v="BKMILL"/>
    <n v="155698"/>
    <n v="215444"/>
    <s v="Forward"/>
    <x v="123"/>
    <s v="Sell Fwd"/>
    <s v="USD"/>
    <n v="-50000"/>
    <s v="PLN"/>
    <n v="180525"/>
    <s v="2026-01-08"/>
    <n v="3.6105"/>
    <n v="0.27700000000000002"/>
    <n v="3.6034999999999999"/>
    <n v="1"/>
    <n v="350"/>
    <s v="POLAND PL"/>
  </r>
  <r>
    <s v="BKMILL"/>
    <n v="155699"/>
    <n v="215445"/>
    <s v="Forward"/>
    <x v="332"/>
    <s v="Buy Fwd"/>
    <s v="EUR"/>
    <n v="58000"/>
    <s v="PLN"/>
    <n v="243600"/>
    <s v="2026-01-08"/>
    <n v="4.2008000000000001"/>
    <n v="0.23799999999999999"/>
    <n v="4.2104999999999997"/>
    <n v="1"/>
    <n v="487809"/>
    <s v="POLAND PL"/>
  </r>
  <r>
    <s v="BKMILL"/>
    <n v="155700"/>
    <n v="215446"/>
    <s v="Forward"/>
    <x v="333"/>
    <s v="Buy Fwd"/>
    <s v="EUR"/>
    <n v="30875.15"/>
    <s v="PLN"/>
    <n v="130055.41"/>
    <s v="2026-01-08"/>
    <n v="4.2042000000000002"/>
    <n v="0.2379"/>
    <n v="4.2104999999999997"/>
    <n v="1"/>
    <n v="260055.22907500001"/>
    <s v="POLAND PL"/>
  </r>
  <r>
    <s v="BKMILL"/>
    <n v="155701"/>
    <n v="215456"/>
    <s v="Forward"/>
    <x v="101"/>
    <s v="Buy Fwd"/>
    <s v="EUR"/>
    <n v="25000"/>
    <s v="PLN"/>
    <n v="105225"/>
    <s v="2026-01-09"/>
    <n v="4.2096"/>
    <n v="0.23760000000000001"/>
    <n v="4.2119"/>
    <n v="1"/>
    <n v="210522.5"/>
    <s v="POLAND PL"/>
  </r>
  <r>
    <s v="BKMILL"/>
    <n v="155702"/>
    <n v="215463"/>
    <s v="Forward"/>
    <x v="334"/>
    <s v="Sell Fwd"/>
    <s v="EUR"/>
    <n v="-7400"/>
    <s v="PLN"/>
    <n v="31931"/>
    <s v="2026-01-08"/>
    <n v="4.3150000000000004"/>
    <n v="0.23169999999999999"/>
    <n v="4.2104999999999997"/>
    <n v="1"/>
    <n v="773.3"/>
    <s v="POLAND PL"/>
  </r>
  <r>
    <s v="BKMILL"/>
    <n v="155703"/>
    <n v="215465"/>
    <s v="Forward"/>
    <x v="89"/>
    <s v="Sell Fwd"/>
    <s v="EUR"/>
    <n v="-30000"/>
    <s v="PLN"/>
    <n v="126501"/>
    <s v="2026-01-08"/>
    <n v="4.2173999999999996"/>
    <n v="0.23710000000000001"/>
    <n v="4.2104999999999997"/>
    <n v="1"/>
    <n v="186"/>
    <s v="POLAND PL"/>
  </r>
  <r>
    <s v="BKMILL"/>
    <n v="155704"/>
    <n v="891730"/>
    <s v="Spot"/>
    <x v="38"/>
    <s v="Sell"/>
    <s v="EUR"/>
    <n v="-1000000"/>
    <s v="PLN"/>
    <n v="4211250"/>
    <s v="2026-01-12"/>
    <n v="4.2111999999999998"/>
    <n v="0.23749999999999999"/>
    <n v="4.2126999999999999"/>
    <n v="1"/>
    <n v="-1450"/>
    <s v="NETHERLANDS NL"/>
  </r>
  <r>
    <s v="BKMILL"/>
    <n v="155705"/>
    <n v="891731"/>
    <s v="Spot"/>
    <x v="43"/>
    <s v="Sell"/>
    <s v="EUR"/>
    <n v="-500000"/>
    <s v="PLN"/>
    <n v="2105610"/>
    <s v="2026-01-12"/>
    <n v="4.2111999999999998"/>
    <n v="0.23749999999999999"/>
    <n v="4.2126999999999999"/>
    <n v="1"/>
    <n v="-740"/>
    <s v="FRANCE FR"/>
  </r>
  <r>
    <s v="BKMILL"/>
    <n v="155706"/>
    <n v="891732"/>
    <s v="Spot"/>
    <x v="41"/>
    <s v="Sell"/>
    <s v="EUR"/>
    <n v="-500000"/>
    <s v="PLN"/>
    <n v="2105650"/>
    <s v="2026-01-12"/>
    <n v="4.2112999999999996"/>
    <n v="0.23749999999999999"/>
    <n v="4.2126999999999999"/>
    <n v="1"/>
    <n v="-700"/>
    <s v="GERMANY DE"/>
  </r>
  <r>
    <s v="BKMILL"/>
    <n v="155707"/>
    <n v="891733"/>
    <s v="Spot"/>
    <x v="40"/>
    <s v="Sell"/>
    <s v="EUR"/>
    <n v="-500000"/>
    <s v="PLN"/>
    <n v="2105600"/>
    <s v="2026-01-12"/>
    <n v="4.2111999999999998"/>
    <n v="0.23749999999999999"/>
    <n v="4.2126999999999999"/>
    <n v="1"/>
    <n v="-750"/>
    <s v="UNITED STATES OF AMERICA US"/>
  </r>
  <r>
    <s v="BKMILL"/>
    <n v="155708"/>
    <n v="891747"/>
    <s v="Spot"/>
    <x v="51"/>
    <s v="Sell"/>
    <s v="EUR"/>
    <n v="-120000"/>
    <s v="PLN"/>
    <n v="505596"/>
    <s v="2026-01-12"/>
    <n v="4.2133000000000003"/>
    <n v="0.23730000000000001"/>
    <n v="4.2126999999999999"/>
    <n v="1"/>
    <n v="72"/>
    <s v="POLAND PL"/>
  </r>
  <r>
    <s v="BKMILL"/>
    <n v="155709"/>
    <n v="891760"/>
    <s v="Spot"/>
    <x v="270"/>
    <s v="Sell"/>
    <s v="EUR"/>
    <n v="-1000000"/>
    <s v="PLN"/>
    <n v="4210500"/>
    <s v="2026-01-12"/>
    <n v="4.2104999999999997"/>
    <n v="0.23749999999999999"/>
    <n v="4.2126999999999999"/>
    <n v="1"/>
    <n v="-2200"/>
    <s v="POLAND PL"/>
  </r>
  <r>
    <s v="BKMILL"/>
    <n v="155710"/>
    <n v="891761"/>
    <s v="Spot"/>
    <x v="41"/>
    <s v="Sell"/>
    <s v="EUR"/>
    <n v="-500000"/>
    <s v="PLN"/>
    <n v="2105200"/>
    <s v="2026-01-12"/>
    <n v="4.2103999999999999"/>
    <n v="0.23749999999999999"/>
    <n v="4.2126999999999999"/>
    <n v="1"/>
    <n v="-1150"/>
    <s v="GERMANY DE"/>
  </r>
  <r>
    <s v="BKMILL"/>
    <n v="155711"/>
    <n v="215478"/>
    <s v="Forward"/>
    <x v="335"/>
    <s v="Sell Fwd"/>
    <s v="EUR"/>
    <n v="-12000"/>
    <s v="PLN"/>
    <n v="50568"/>
    <s v="2026-01-08"/>
    <n v="4.2140000000000004"/>
    <n v="0.23730000000000001"/>
    <n v="4.2104999999999997"/>
    <n v="1"/>
    <n v="42"/>
    <s v="POLAND PL"/>
  </r>
  <r>
    <s v="BKMILL"/>
    <n v="155712"/>
    <n v="215479"/>
    <s v="Forward"/>
    <x v="210"/>
    <s v="Buy Fwd"/>
    <s v="EUR"/>
    <n v="20000"/>
    <s v="PLN"/>
    <n v="84100"/>
    <s v="2026-01-08"/>
    <n v="4.2050000000000001"/>
    <n v="0.23780000000000001"/>
    <n v="4.2104999999999997"/>
    <n v="1"/>
    <n v="168310"/>
    <s v="POLAND PL"/>
  </r>
  <r>
    <s v="BKMILL"/>
    <n v="155713"/>
    <n v="215481"/>
    <s v="Forward"/>
    <x v="98"/>
    <s v="Sell Fwd"/>
    <s v="EUR"/>
    <n v="-1500"/>
    <s v="USD"/>
    <n v="1783.5"/>
    <s v="2026-01-08"/>
    <n v="1.1893"/>
    <n v="0.84079999999999999"/>
    <n v="4.2104999999999997"/>
    <n v="3.6034999999999999"/>
    <n v="111.09225000000001"/>
    <s v="POLAND PL"/>
  </r>
  <r>
    <s v="BKMILL"/>
    <n v="155715"/>
    <n v="891801"/>
    <s v="Spot"/>
    <x v="43"/>
    <s v="Buy"/>
    <s v="EUR"/>
    <n v="100000"/>
    <s v="SEK"/>
    <n v="-1075057"/>
    <s v="2026-01-12"/>
    <n v="10.7506"/>
    <n v="9.2999999999999999E-2"/>
    <n v="4.2126999999999999"/>
    <n v="0.3921"/>
    <n v="-259.84969999999998"/>
    <s v="FRANCE FR"/>
  </r>
  <r>
    <s v="BKMILL"/>
    <n v="155716"/>
    <n v="215488"/>
    <s v="Forward"/>
    <x v="336"/>
    <s v="Buy Fwd"/>
    <s v="EUR"/>
    <n v="30000"/>
    <s v="PLN"/>
    <n v="125550"/>
    <s v="2026-01-08"/>
    <n v="4.1849999999999996"/>
    <n v="0.2389"/>
    <n v="4.2104999999999997"/>
    <n v="1"/>
    <n v="251865"/>
    <s v="POLAND PL"/>
  </r>
  <r>
    <s v="BKMILL"/>
    <n v="155717"/>
    <n v="891805"/>
    <s v="Spot"/>
    <x v="40"/>
    <s v="Buy"/>
    <s v="EUR"/>
    <n v="100000"/>
    <s v="CHF"/>
    <n v="-93102"/>
    <s v="2026-01-12"/>
    <n v="0.93100000000000005"/>
    <n v="1.0741000000000001"/>
    <n v="4.2126999999999999"/>
    <n v="4.5221999999999998"/>
    <n v="244.13560000000001"/>
    <s v="UNITED STATES OF AMERICA US"/>
  </r>
  <r>
    <s v="BKMILL"/>
    <n v="155719"/>
    <n v="891815"/>
    <s v="Spot"/>
    <x v="54"/>
    <s v="Buy"/>
    <s v="EUR"/>
    <n v="25000"/>
    <s v="PLN"/>
    <n v="-104925"/>
    <s v="2026-01-12"/>
    <n v="4.1970000000000001"/>
    <n v="0.23830000000000001"/>
    <n v="4.2126999999999999"/>
    <n v="1"/>
    <n v="392.5"/>
    <s v="POLAND PL"/>
  </r>
  <r>
    <s v="BKMILL"/>
    <n v="155720"/>
    <n v="215493"/>
    <s v="Forward"/>
    <x v="62"/>
    <s v="Sell Fwd"/>
    <s v="USD"/>
    <n v="-10000"/>
    <s v="PLN"/>
    <n v="36125"/>
    <s v="2026-01-08"/>
    <n v="3.6124999999999998"/>
    <n v="0.27679999999999999"/>
    <n v="3.6034999999999999"/>
    <n v="1"/>
    <n v="90"/>
    <s v="POLAND PL"/>
  </r>
  <r>
    <s v="BKMILL"/>
    <n v="155721"/>
    <n v="215495"/>
    <s v="Forward"/>
    <x v="337"/>
    <s v="Sell Fwd"/>
    <s v="EUR"/>
    <n v="-25000"/>
    <s v="PLN"/>
    <n v="105350"/>
    <s v="2026-01-08"/>
    <n v="4.2148000000000003"/>
    <n v="0.23730000000000001"/>
    <n v="4.2104999999999997"/>
    <n v="1"/>
    <n v="87.5"/>
    <s v="POLAND PL"/>
  </r>
  <r>
    <s v="BKMILL"/>
    <n v="155723"/>
    <n v="215508"/>
    <s v="Forward"/>
    <x v="338"/>
    <s v="Sell Fwd"/>
    <s v="EUR"/>
    <n v="-14543"/>
    <s v="PLN"/>
    <n v="61647.78"/>
    <s v="2026-01-08"/>
    <n v="4.2397"/>
    <n v="0.2359"/>
    <n v="4.2104999999999997"/>
    <n v="1"/>
    <n v="414.4785"/>
    <s v="POLAND PL"/>
  </r>
  <r>
    <s v="BKMILL"/>
    <n v="155724"/>
    <n v="215509"/>
    <s v="Forward"/>
    <x v="215"/>
    <s v="Sell Fwd"/>
    <s v="EUR"/>
    <n v="-1000"/>
    <s v="PLN"/>
    <n v="4221"/>
    <s v="2026-01-08"/>
    <n v="4.2217000000000002"/>
    <n v="0.2369"/>
    <n v="4.2104999999999997"/>
    <n v="1"/>
    <n v="10.5"/>
    <s v="POLAND PL"/>
  </r>
  <r>
    <s v="BKMILL"/>
    <n v="155725"/>
    <n v="215511"/>
    <s v="Forward"/>
    <x v="338"/>
    <s v="Sell Fwd"/>
    <s v="EUR"/>
    <n v="-3528"/>
    <s v="PLN"/>
    <n v="14955.19"/>
    <s v="2026-01-08"/>
    <n v="4.2397"/>
    <n v="0.2359"/>
    <n v="4.2104999999999997"/>
    <n v="1"/>
    <n v="100.54600000000001"/>
    <s v="POLAND PL"/>
  </r>
  <r>
    <s v="BKMILL"/>
    <n v="155726"/>
    <n v="215523"/>
    <s v="Forward"/>
    <x v="339"/>
    <s v="Buy Fwd"/>
    <s v="EUR"/>
    <n v="250000"/>
    <s v="PLN"/>
    <n v="1050250"/>
    <s v="2026-01-08"/>
    <n v="4.2009999999999996"/>
    <n v="0.23799999999999999"/>
    <n v="4.2104999999999997"/>
    <n v="1"/>
    <n v="2102875"/>
    <s v="POLAND PL"/>
  </r>
  <r>
    <s v="BKMILL"/>
    <n v="155727"/>
    <n v="215527"/>
    <s v="Forward"/>
    <x v="280"/>
    <s v="Buy Fwd"/>
    <s v="EUR"/>
    <n v="20000"/>
    <s v="PLN"/>
    <n v="83960"/>
    <s v="2026-01-08"/>
    <n v="4.1988000000000003"/>
    <n v="0.2382"/>
    <n v="4.2104999999999997"/>
    <n v="1"/>
    <n v="168170"/>
    <s v="POLAND PL"/>
  </r>
  <r>
    <s v="BKMILL"/>
    <n v="155728"/>
    <n v="215530"/>
    <s v="Forward"/>
    <x v="340"/>
    <s v="Buy Fwd"/>
    <s v="EUR"/>
    <n v="50000"/>
    <s v="PLN"/>
    <n v="209500"/>
    <s v="2026-01-08"/>
    <n v="4.1900000000000004"/>
    <n v="0.2387"/>
    <n v="4.2104999999999997"/>
    <n v="1"/>
    <n v="420025"/>
    <s v="POLAND PL"/>
  </r>
  <r>
    <s v="BKMILL"/>
    <n v="155729"/>
    <n v="215534"/>
    <s v="Forward"/>
    <x v="341"/>
    <s v="Buy Fwd"/>
    <s v="EUR"/>
    <n v="10800"/>
    <s v="PLN"/>
    <n v="45316.800000000003"/>
    <s v="2026-01-08"/>
    <n v="4.1967999999999996"/>
    <n v="0.23830000000000001"/>
    <n v="4.2104999999999997"/>
    <n v="1"/>
    <n v="90790.2"/>
    <s v="POLAND PL"/>
  </r>
  <r>
    <s v="BKMILL"/>
    <n v="155730"/>
    <n v="215543"/>
    <s v="Forward"/>
    <x v="342"/>
    <s v="Buy Fwd"/>
    <s v="EUR"/>
    <n v="35000"/>
    <s v="PLN"/>
    <n v="146825"/>
    <s v="2026-01-08"/>
    <n v="4.1950000000000003"/>
    <n v="0.2384"/>
    <n v="4.2104999999999997"/>
    <n v="1"/>
    <n v="294192.5"/>
    <s v="POLAND PL"/>
  </r>
  <r>
    <s v="BKMILL"/>
    <n v="155732"/>
    <n v="215545"/>
    <s v="Forward"/>
    <x v="76"/>
    <s v="Buy Fwd"/>
    <s v="EUR"/>
    <n v="48000"/>
    <s v="PLN"/>
    <n v="201120"/>
    <s v="2026-01-08"/>
    <n v="4.1900000000000004"/>
    <n v="0.2387"/>
    <n v="4.2104999999999997"/>
    <n v="1"/>
    <n v="403224"/>
    <s v="POLAND PL"/>
  </r>
  <r>
    <s v="BKMILL"/>
    <n v="155733"/>
    <n v="215546"/>
    <s v="Forward"/>
    <x v="315"/>
    <s v="Sell Fwd"/>
    <s v="EUR"/>
    <n v="-100000"/>
    <s v="PLN"/>
    <n v="421000"/>
    <s v="2026-01-08"/>
    <n v="4.2107000000000001"/>
    <n v="0.23749999999999999"/>
    <n v="4.2104999999999997"/>
    <n v="1"/>
    <n v="-50"/>
    <s v="POLAND PL"/>
  </r>
  <r>
    <s v="BKMILL"/>
    <n v="155734"/>
    <n v="215547"/>
    <s v="Forward"/>
    <x v="315"/>
    <s v="Sell Fwd"/>
    <s v="EUR"/>
    <n v="-100000"/>
    <s v="PLN"/>
    <n v="421000"/>
    <s v="2026-01-08"/>
    <n v="4.2107000000000001"/>
    <n v="0.23749999999999999"/>
    <n v="4.2104999999999997"/>
    <n v="1"/>
    <n v="-50"/>
    <s v="POLAND PL"/>
  </r>
  <r>
    <s v="BKMILL"/>
    <n v="155735"/>
    <n v="215550"/>
    <s v="Forward"/>
    <x v="343"/>
    <s v="Buy Fwd"/>
    <s v="EUR"/>
    <n v="75000"/>
    <s v="PLN"/>
    <n v="315232.5"/>
    <s v="2026-01-08"/>
    <n v="4.2031000000000001"/>
    <n v="0.2379"/>
    <n v="4.2104999999999997"/>
    <n v="1"/>
    <n v="631020"/>
    <s v="POLAND PL"/>
  </r>
  <r>
    <s v="BKMILL"/>
    <n v="155736"/>
    <n v="215552"/>
    <s v="Forward"/>
    <x v="344"/>
    <s v="Buy Fwd"/>
    <s v="EUR"/>
    <n v="50000"/>
    <s v="PLN"/>
    <n v="210250"/>
    <s v="2026-01-08"/>
    <n v="4.2050000000000001"/>
    <n v="0.23780000000000001"/>
    <n v="4.2104999999999997"/>
    <n v="1"/>
    <n v="420775"/>
    <s v="POLAND PL"/>
  </r>
  <r>
    <s v="BKMILL"/>
    <n v="155739"/>
    <n v="215564"/>
    <s v="Forward"/>
    <x v="107"/>
    <s v="Buy Fwd"/>
    <s v="USD"/>
    <n v="60000"/>
    <s v="PLN"/>
    <n v="215622"/>
    <s v="2026-01-08"/>
    <n v="3.5939000000000001"/>
    <n v="0.2782"/>
    <n v="3.6034999999999999"/>
    <n v="1"/>
    <n v="431832"/>
    <s v="POLAND PL"/>
  </r>
  <r>
    <s v="BKMILL"/>
    <n v="155740"/>
    <n v="215567"/>
    <s v="Forward"/>
    <x v="170"/>
    <s v="Buy Fwd"/>
    <s v="EUR"/>
    <n v="30000"/>
    <s v="PLN"/>
    <n v="126123"/>
    <s v="2026-01-08"/>
    <n v="4.2049000000000003"/>
    <n v="0.23780000000000001"/>
    <n v="4.2104999999999997"/>
    <n v="1"/>
    <n v="252438"/>
    <s v="POLAND PL"/>
  </r>
  <r>
    <s v="BKMILL"/>
    <n v="155741"/>
    <n v="215575"/>
    <s v="Forward"/>
    <x v="345"/>
    <s v="Sell Fwd"/>
    <s v="EUR"/>
    <n v="-40000"/>
    <s v="PLN"/>
    <n v="169000"/>
    <s v="2026-01-08"/>
    <n v="4.2249999999999996"/>
    <n v="0.23669999999999999"/>
    <n v="4.2104999999999997"/>
    <n v="1"/>
    <n v="580"/>
    <s v="POLAND PL"/>
  </r>
  <r>
    <s v="BKMILL"/>
    <n v="155742"/>
    <n v="215576"/>
    <s v="Forward"/>
    <x v="345"/>
    <s v="Sell Fwd"/>
    <s v="USD"/>
    <n v="-40000"/>
    <s v="PLN"/>
    <n v="145080"/>
    <s v="2026-01-08"/>
    <n v="3.6269999999999998"/>
    <n v="0.2757"/>
    <n v="3.6034999999999999"/>
    <n v="1"/>
    <n v="940"/>
    <s v="POLAND PL"/>
  </r>
  <r>
    <s v="BKMILL"/>
    <n v="155743"/>
    <n v="215581"/>
    <s v="Forward"/>
    <x v="248"/>
    <s v="Buy Fwd"/>
    <s v="SEK"/>
    <n v="93733.98"/>
    <s v="PLN"/>
    <n v="36256.300000000003"/>
    <s v="2026-01-08"/>
    <n v="0.38690000000000002"/>
    <n v="2.5846"/>
    <n v="0.39150000000000001"/>
    <n v="1"/>
    <n v="72953.153170000005"/>
    <s v="POLAND PL"/>
  </r>
  <r>
    <s v="BKMILL"/>
    <n v="155744"/>
    <n v="215586"/>
    <s v="Forward"/>
    <x v="162"/>
    <s v="Sell Fwd"/>
    <s v="USD"/>
    <n v="-20000"/>
    <s v="PLN"/>
    <n v="72140"/>
    <s v="2026-01-08"/>
    <n v="3.6070000000000002"/>
    <n v="0.2772"/>
    <n v="3.6034999999999999"/>
    <n v="1"/>
    <n v="70"/>
    <s v="POLAND PL"/>
  </r>
  <r>
    <s v="BKMILL"/>
    <n v="155745"/>
    <n v="215590"/>
    <s v="Forward"/>
    <x v="346"/>
    <s v="Buy Fwd"/>
    <s v="EUR"/>
    <n v="10000"/>
    <s v="PLN"/>
    <n v="41950"/>
    <s v="2026-01-08"/>
    <n v="4.1950000000000003"/>
    <n v="0.2384"/>
    <n v="4.2104999999999997"/>
    <n v="1"/>
    <n v="84055"/>
    <s v="POLAND PL"/>
  </r>
  <r>
    <s v="BKMILL"/>
    <n v="155748"/>
    <n v="892140"/>
    <s v="Spot"/>
    <x v="43"/>
    <s v="Sell"/>
    <s v="EUR"/>
    <n v="-100000"/>
    <s v="SEK"/>
    <n v="1076587"/>
    <s v="2026-01-12"/>
    <n v="10.7659"/>
    <n v="9.2899999999999996E-2"/>
    <n v="4.2126999999999999"/>
    <n v="0.3921"/>
    <n v="859.7627"/>
    <s v="FRANCE FR"/>
  </r>
  <r>
    <s v="BKMILL"/>
    <n v="155749"/>
    <n v="215598"/>
    <s v="Forward"/>
    <x v="347"/>
    <s v="Sell Fwd"/>
    <s v="EUR"/>
    <n v="-40000"/>
    <s v="PLN"/>
    <n v="169080"/>
    <s v="2026-01-08"/>
    <n v="4.2270000000000003"/>
    <n v="0.2366"/>
    <n v="4.2104999999999997"/>
    <n v="1"/>
    <n v="660"/>
    <s v="POLAND PL"/>
  </r>
  <r>
    <s v="BKMILL"/>
    <n v="155750"/>
    <n v="215605"/>
    <s v="Forward"/>
    <x v="348"/>
    <s v="Buy Fwd"/>
    <s v="EUR"/>
    <n v="26500"/>
    <s v="PLN"/>
    <n v="111247"/>
    <s v="2026-01-08"/>
    <n v="4.1988000000000003"/>
    <n v="0.2382"/>
    <n v="4.2104999999999997"/>
    <n v="1"/>
    <n v="222825.25"/>
    <s v="POLAND PL"/>
  </r>
  <r>
    <s v="BKMILL"/>
    <n v="155751"/>
    <n v="215606"/>
    <s v="Forward"/>
    <x v="164"/>
    <s v="Buy Fwd"/>
    <s v="EUR"/>
    <n v="50000"/>
    <s v="PLN"/>
    <n v="210225"/>
    <s v="2026-01-08"/>
    <n v="4.2053000000000003"/>
    <n v="0.23780000000000001"/>
    <n v="4.2104999999999997"/>
    <n v="1"/>
    <n v="420750"/>
    <s v="POLAND PL"/>
  </r>
  <r>
    <s v="BKMILL"/>
    <n v="155752"/>
    <n v="892223"/>
    <s v="Spot"/>
    <x v="51"/>
    <s v="Sell"/>
    <s v="EUR"/>
    <n v="-80000"/>
    <s v="PLN"/>
    <n v="337192"/>
    <s v="2026-01-12"/>
    <n v="4.2149000000000001"/>
    <n v="0.23730000000000001"/>
    <n v="4.2126999999999999"/>
    <n v="1"/>
    <n v="176"/>
    <s v="POLAND PL"/>
  </r>
  <r>
    <s v="BKMILL"/>
    <n v="155753"/>
    <n v="892224"/>
    <s v="Spot"/>
    <x v="39"/>
    <s v="Buy"/>
    <s v="EUR"/>
    <n v="1000000"/>
    <s v="PLN"/>
    <n v="-4212520"/>
    <s v="2026-01-12"/>
    <n v="4.2125000000000004"/>
    <n v="0.2374"/>
    <n v="4.2126999999999999"/>
    <n v="1"/>
    <n v="180"/>
    <s v="UNITED KINGDOM GB"/>
  </r>
  <r>
    <s v="BKMILL"/>
    <n v="155754"/>
    <n v="892225"/>
    <s v="Spot"/>
    <x v="40"/>
    <s v="Buy"/>
    <s v="EUR"/>
    <n v="500000"/>
    <s v="PLN"/>
    <n v="-2106200"/>
    <s v="2026-01-12"/>
    <n v="4.2123999999999997"/>
    <n v="0.2374"/>
    <n v="4.2126999999999999"/>
    <n v="1"/>
    <n v="150"/>
    <s v="UNITED STATES OF AMERICA US"/>
  </r>
  <r>
    <s v="BKMILL"/>
    <n v="155755"/>
    <n v="215623"/>
    <s v="Forward"/>
    <x v="61"/>
    <s v="Sell Fwd"/>
    <s v="EUR"/>
    <n v="-50000"/>
    <s v="USD"/>
    <n v="58315"/>
    <s v="2026-01-08"/>
    <n v="1.1666000000000001"/>
    <n v="0.85719999999999996"/>
    <n v="4.2104999999999997"/>
    <n v="3.6034999999999999"/>
    <n v="-386.89749999999998"/>
    <s v="POLAND PL"/>
  </r>
  <r>
    <s v="BKMILL"/>
    <n v="155756"/>
    <n v="215625"/>
    <s v="Forward"/>
    <x v="349"/>
    <s v="Sell Fwd"/>
    <s v="EUR"/>
    <n v="-1700000"/>
    <s v="PLN"/>
    <n v="7169750"/>
    <s v="2026-01-08"/>
    <n v="4.2175000000000002"/>
    <n v="0.23710000000000001"/>
    <n v="4.2104999999999997"/>
    <n v="1"/>
    <n v="11900"/>
    <s v="POLAND PL"/>
  </r>
  <r>
    <s v="BKMILL"/>
    <n v="155757"/>
    <n v="892242"/>
    <s v="Spot"/>
    <x v="47"/>
    <s v="Sell"/>
    <s v="EUR"/>
    <n v="-500000"/>
    <s v="PLN"/>
    <n v="2105755"/>
    <s v="2026-01-12"/>
    <n v="4.2115"/>
    <n v="0.2374"/>
    <n v="4.2126999999999999"/>
    <n v="1"/>
    <n v="-595"/>
    <s v="FRANCE FR"/>
  </r>
  <r>
    <s v="BKMILL"/>
    <n v="155758"/>
    <n v="215626"/>
    <s v="Forward"/>
    <x v="155"/>
    <s v="Sell Fwd"/>
    <s v="EUR"/>
    <n v="-200000"/>
    <s v="PLN"/>
    <n v="843360"/>
    <s v="2026-01-08"/>
    <n v="4.2176"/>
    <n v="0.23710000000000001"/>
    <n v="4.2104999999999997"/>
    <n v="1"/>
    <n v="1260"/>
    <s v="POLAND PL"/>
  </r>
  <r>
    <s v="BKMILL"/>
    <n v="155759"/>
    <n v="215628"/>
    <s v="Forward"/>
    <x v="160"/>
    <s v="Buy Fwd"/>
    <s v="EUR"/>
    <n v="11000"/>
    <s v="PLN"/>
    <n v="46200"/>
    <s v="2026-01-08"/>
    <n v="4.2008000000000001"/>
    <n v="0.23799999999999999"/>
    <n v="4.2104999999999997"/>
    <n v="1"/>
    <n v="92515.5"/>
    <s v="POLAND PL"/>
  </r>
  <r>
    <s v="BKMILL"/>
    <n v="155773"/>
    <n v="892274"/>
    <s v="Spot"/>
    <x v="50"/>
    <s v="Buy"/>
    <s v="NOK"/>
    <n v="1030000"/>
    <s v="PLN"/>
    <n v="-368019"/>
    <s v="2026-01-12"/>
    <n v="0.35730000000000001"/>
    <n v="2.7988"/>
    <n v="0.35849999999999999"/>
    <n v="1"/>
    <n v="1236"/>
    <s v="POLAND PL"/>
  </r>
  <r>
    <s v="BKMILL"/>
    <n v="155774"/>
    <n v="892278"/>
    <s v="Spot"/>
    <x v="47"/>
    <s v="Buy"/>
    <s v="EUR"/>
    <n v="100000"/>
    <s v="NOK"/>
    <n v="-1178620"/>
    <s v="2026-01-12"/>
    <n v="11.786199999999999"/>
    <n v="8.48E-2"/>
    <n v="4.2126999999999999"/>
    <n v="0.35849999999999999"/>
    <n v="-1265.27"/>
    <s v="FRANCE FR"/>
  </r>
  <r>
    <s v="BKMILL"/>
    <n v="155775"/>
    <n v="215636"/>
    <s v="Forward"/>
    <x v="292"/>
    <s v="Buy Fwd"/>
    <s v="EUR"/>
    <n v="9000"/>
    <s v="PLN"/>
    <n v="37350"/>
    <s v="2026-01-08"/>
    <n v="4.1504000000000003"/>
    <n v="0.2409"/>
    <n v="4.2104999999999997"/>
    <n v="1"/>
    <n v="75244.5"/>
    <s v="POLAND PL"/>
  </r>
  <r>
    <s v="BKMILL"/>
    <n v="155776"/>
    <n v="892282"/>
    <s v="Spot"/>
    <x v="50"/>
    <s v="Buy"/>
    <s v="DKK"/>
    <n v="500000"/>
    <s v="PLN"/>
    <n v="-281850"/>
    <s v="2026-01-12"/>
    <n v="0.56369999999999998"/>
    <n v="1.774"/>
    <n v="0.56379999999999997"/>
    <n v="1"/>
    <n v="50"/>
    <s v="POLAND PL"/>
  </r>
  <r>
    <s v="BKMILL"/>
    <n v="155777"/>
    <n v="892295"/>
    <s v="Spot"/>
    <x v="50"/>
    <s v="Buy"/>
    <s v="SEK"/>
    <n v="350000"/>
    <s v="PLN"/>
    <n v="-136885"/>
    <s v="2026-01-12"/>
    <n v="0.3911"/>
    <n v="2.5569000000000002"/>
    <n v="0.3921"/>
    <n v="1"/>
    <n v="350"/>
    <s v="POLAND PL"/>
  </r>
  <r>
    <s v="BKMILL"/>
    <n v="155778"/>
    <n v="215642"/>
    <s v="Forward"/>
    <x v="169"/>
    <s v="Buy Fwd"/>
    <s v="EUR"/>
    <n v="60000"/>
    <s v="PLN"/>
    <n v="252240"/>
    <s v="2026-01-08"/>
    <n v="4.2043999999999997"/>
    <n v="0.23780000000000001"/>
    <n v="4.2104999999999997"/>
    <n v="1"/>
    <n v="504870"/>
    <s v="POLAND PL"/>
  </r>
  <r>
    <s v="BKMILL"/>
    <n v="155779"/>
    <n v="215643"/>
    <s v="Forward"/>
    <x v="162"/>
    <s v="Buy Fwd"/>
    <s v="EUR"/>
    <n v="20000"/>
    <s v="PLN"/>
    <n v="84160"/>
    <s v="2026-01-08"/>
    <n v="4.2080000000000002"/>
    <n v="0.23760000000000001"/>
    <n v="4.2104999999999997"/>
    <n v="1"/>
    <n v="168370"/>
    <s v="POLAND PL"/>
  </r>
  <r>
    <s v="BKMILL"/>
    <n v="155784"/>
    <n v="215646"/>
    <s v="Forward"/>
    <x v="70"/>
    <s v="Buy Fwd"/>
    <s v="EUR"/>
    <n v="5000"/>
    <s v="PLN"/>
    <n v="21025"/>
    <s v="2026-01-08"/>
    <n v="4.2050000000000001"/>
    <n v="0.23780000000000001"/>
    <n v="4.2104999999999997"/>
    <n v="1"/>
    <n v="42077.5"/>
    <s v="POLAND PL"/>
  </r>
  <r>
    <s v="BKMILL"/>
    <n v="155790"/>
    <n v="892366"/>
    <s v="Spot"/>
    <x v="226"/>
    <s v="Buy"/>
    <s v="EUR"/>
    <n v="15000"/>
    <s v="PLN"/>
    <n v="-63159"/>
    <s v="2026-01-12"/>
    <n v="4.2106000000000003"/>
    <n v="0.23749999999999999"/>
    <n v="4.2126999999999999"/>
    <n v="1"/>
    <n v="31.5"/>
    <s v="POLAND PL"/>
  </r>
  <r>
    <s v="BKMILL"/>
    <n v="155792"/>
    <n v="892376"/>
    <s v="Spot"/>
    <x v="47"/>
    <s v="Sell"/>
    <s v="EUR"/>
    <n v="-500000"/>
    <s v="PLN"/>
    <n v="2106000"/>
    <s v="2026-01-12"/>
    <n v="4.2119999999999997"/>
    <n v="0.2374"/>
    <n v="4.2126999999999999"/>
    <n v="1"/>
    <n v="-350"/>
    <s v="FRANCE FR"/>
  </r>
  <r>
    <s v="BKMILL"/>
    <n v="155793"/>
    <n v="215653"/>
    <s v="Forward"/>
    <x v="350"/>
    <s v="Buy Fwd"/>
    <s v="EUR"/>
    <n v="87982.39"/>
    <s v="PLN"/>
    <n v="370053.93"/>
    <s v="2026-01-08"/>
    <n v="4.2060000000000004"/>
    <n v="0.23780000000000001"/>
    <n v="4.2104999999999997"/>
    <n v="1"/>
    <n v="740503.78309499996"/>
    <s v="POLAND PL"/>
  </r>
  <r>
    <s v="BKMILL"/>
    <n v="155794"/>
    <n v="892410"/>
    <s v="Spot"/>
    <x v="43"/>
    <s v="Sell"/>
    <s v="EUR"/>
    <n v="-1000000"/>
    <s v="PLN"/>
    <n v="4212560"/>
    <s v="2026-01-12"/>
    <n v="4.2126000000000001"/>
    <n v="0.2374"/>
    <n v="4.2126999999999999"/>
    <n v="1"/>
    <n v="-140"/>
    <s v="FRANCE FR"/>
  </r>
  <r>
    <s v="BKMILL"/>
    <n v="155795"/>
    <n v="215656"/>
    <s v="Forward"/>
    <x v="351"/>
    <s v="Sell Fwd"/>
    <s v="EUR"/>
    <n v="-23736.06"/>
    <s v="PLN"/>
    <n v="100000"/>
    <s v="2026-01-08"/>
    <n v="4.2229999999999999"/>
    <n v="0.23680000000000001"/>
    <n v="4.2104999999999997"/>
    <n v="1"/>
    <n v="59.319369999999999"/>
    <s v="POLAND PL"/>
  </r>
  <r>
    <s v="BKMILL"/>
    <n v="155796"/>
    <n v="892420"/>
    <s v="Spot"/>
    <x v="47"/>
    <s v="Sell"/>
    <s v="EUR"/>
    <n v="-500000"/>
    <s v="PLN"/>
    <n v="2106145"/>
    <s v="2026-01-12"/>
    <n v="4.2122999999999999"/>
    <n v="0.2374"/>
    <n v="4.2126999999999999"/>
    <n v="1"/>
    <n v="-205"/>
    <s v="FRANCE FR"/>
  </r>
  <r>
    <s v="BKMILL"/>
    <n v="155797"/>
    <n v="892421"/>
    <s v="Spot"/>
    <x v="40"/>
    <s v="Sell"/>
    <s v="EUR"/>
    <n v="-300000"/>
    <s v="CHF"/>
    <n v="279366"/>
    <s v="2026-01-12"/>
    <n v="0.93120000000000003"/>
    <n v="1.0739000000000001"/>
    <n v="4.2126999999999999"/>
    <n v="4.5221999999999998"/>
    <n v="-461.07479999999998"/>
    <s v="UNITED STATES OF AMERICA US"/>
  </r>
  <r>
    <s v="BKMILL"/>
    <n v="155798"/>
    <n v="892430"/>
    <s v="Spot"/>
    <x v="41"/>
    <s v="Buy"/>
    <s v="GBP"/>
    <n v="100000"/>
    <s v="PLN"/>
    <n v="-485320"/>
    <s v="2026-01-12"/>
    <n v="4.8532000000000002"/>
    <n v="0.20599999999999999"/>
    <n v="4.8525"/>
    <n v="1"/>
    <n v="-70"/>
    <s v="GERMANY DE"/>
  </r>
  <r>
    <s v="BKMILL"/>
    <n v="155800"/>
    <n v="892442"/>
    <s v="Spot"/>
    <x v="47"/>
    <s v="Buy"/>
    <s v="EUR"/>
    <n v="100000"/>
    <s v="NOK"/>
    <n v="-1178240"/>
    <s v="2026-01-12"/>
    <n v="11.782400000000001"/>
    <n v="8.4900000000000003E-2"/>
    <n v="4.2126999999999999"/>
    <n v="0.35849999999999999"/>
    <n v="-1129.04"/>
    <s v="FRANCE FR"/>
  </r>
  <r>
    <s v="BKMILL"/>
    <n v="155802"/>
    <n v="215663"/>
    <s v="Forward"/>
    <x v="307"/>
    <s v="Sell Fwd"/>
    <s v="EUR"/>
    <n v="-10000"/>
    <s v="PLN"/>
    <n v="42200"/>
    <s v="2026-01-08"/>
    <n v="4.22"/>
    <n v="0.23699999999999999"/>
    <n v="4.2104999999999997"/>
    <n v="1"/>
    <n v="95"/>
    <s v="POLAND PL"/>
  </r>
  <r>
    <s v="BKMILL"/>
    <n v="155804"/>
    <n v="215665"/>
    <s v="Forward"/>
    <x v="352"/>
    <s v="Buy Fwd"/>
    <s v="USD"/>
    <n v="80000"/>
    <s v="PLN"/>
    <n v="288960"/>
    <s v="2026-01-08"/>
    <n v="3.6120000000000001"/>
    <n v="0.27689999999999998"/>
    <n v="3.6034999999999999"/>
    <n v="1"/>
    <n v="577240"/>
    <s v="POLAND PL"/>
  </r>
  <r>
    <s v="BKMILL"/>
    <n v="155805"/>
    <n v="892499"/>
    <s v="Spot"/>
    <x v="47"/>
    <s v="Sell"/>
    <s v="EUR"/>
    <n v="-500000"/>
    <s v="PLN"/>
    <n v="2106550"/>
    <s v="2026-01-12"/>
    <n v="4.2130999999999998"/>
    <n v="0.2374"/>
    <n v="4.2126999999999999"/>
    <n v="1"/>
    <n v="200"/>
    <s v="FRANCE FR"/>
  </r>
  <r>
    <s v="BKMILL"/>
    <n v="155806"/>
    <n v="215667"/>
    <s v="Forward"/>
    <x v="190"/>
    <s v="Buy Fwd"/>
    <s v="EUR"/>
    <n v="100000"/>
    <s v="PLN"/>
    <n v="421120"/>
    <s v="2026-01-09"/>
    <n v="4.2118000000000002"/>
    <n v="0.2374"/>
    <n v="4.2119"/>
    <n v="1"/>
    <n v="842310"/>
    <s v="POLAND PL"/>
  </r>
  <r>
    <s v="BKMILL"/>
    <n v="155807"/>
    <n v="215668"/>
    <s v="Forward"/>
    <x v="353"/>
    <s v="Sell Fwd"/>
    <s v="EUR"/>
    <n v="-1000000"/>
    <s v="PLN"/>
    <n v="4220000"/>
    <s v="2026-01-07"/>
    <n v="4.2203999999999997"/>
    <n v="0.2369"/>
    <n v="4.2110000000000003"/>
    <n v="1"/>
    <n v="9000"/>
    <s v="POLAND PL"/>
  </r>
  <r>
    <s v="BKMILL"/>
    <n v="155808"/>
    <n v="892523"/>
    <s v="Spot"/>
    <x v="41"/>
    <s v="Sell"/>
    <s v="EUR"/>
    <n v="-500000"/>
    <s v="PLN"/>
    <n v="2106300"/>
    <s v="2026-01-12"/>
    <n v="4.2126000000000001"/>
    <n v="0.2374"/>
    <n v="4.2126999999999999"/>
    <n v="1"/>
    <n v="-50"/>
    <s v="GERMANY DE"/>
  </r>
  <r>
    <s v="BKMILL"/>
    <n v="155812"/>
    <n v="215680"/>
    <s v="Forward"/>
    <x v="256"/>
    <s v="Buy Fwd"/>
    <s v="EUR"/>
    <n v="100000"/>
    <s v="PLN"/>
    <n v="420200"/>
    <s v="2026-01-08"/>
    <n v="4.2027000000000001"/>
    <n v="0.2379"/>
    <n v="4.2104999999999997"/>
    <n v="1"/>
    <n v="841250"/>
    <s v="POLAND PL"/>
  </r>
  <r>
    <s v="BKMILL"/>
    <n v="155814"/>
    <n v="215681"/>
    <s v="Forward"/>
    <x v="354"/>
    <s v="Buy Fwd"/>
    <s v="EUR"/>
    <n v="40000"/>
    <s v="PLN"/>
    <n v="168080"/>
    <s v="2026-01-08"/>
    <n v="4.2027000000000001"/>
    <n v="0.2379"/>
    <n v="4.2104999999999997"/>
    <n v="1"/>
    <n v="336500"/>
    <s v="POLAND PL"/>
  </r>
  <r>
    <s v="BKMILL"/>
    <n v="155815"/>
    <n v="892559"/>
    <s v="Spot"/>
    <x v="226"/>
    <s v="Buy"/>
    <s v="EUR"/>
    <n v="15000"/>
    <s v="PLN"/>
    <n v="-63168"/>
    <s v="2026-01-12"/>
    <n v="4.2111999999999998"/>
    <n v="0.23749999999999999"/>
    <n v="4.2126999999999999"/>
    <n v="1"/>
    <n v="22.5"/>
    <s v="POLAND PL"/>
  </r>
  <r>
    <s v="BKMILL"/>
    <n v="155817"/>
    <n v="215683"/>
    <s v="Forward"/>
    <x v="101"/>
    <s v="Buy Fwd"/>
    <s v="EUR"/>
    <n v="5000"/>
    <s v="PLN"/>
    <n v="21054.5"/>
    <s v="2026-01-09"/>
    <n v="4.2115"/>
    <n v="0.2374"/>
    <n v="4.2119"/>
    <n v="1"/>
    <n v="42114"/>
    <s v="POLAND PL"/>
  </r>
  <r>
    <s v="BKMILL"/>
    <n v="155818"/>
    <n v="215684"/>
    <s v="Forward"/>
    <x v="101"/>
    <s v="Buy Fwd"/>
    <s v="EUR"/>
    <n v="5000"/>
    <s v="PLN"/>
    <n v="21052.5"/>
    <s v="2026-01-09"/>
    <n v="4.2111000000000001"/>
    <n v="0.23749999999999999"/>
    <n v="4.2119"/>
    <n v="1"/>
    <n v="42112"/>
    <s v="POLAND PL"/>
  </r>
  <r>
    <s v="BKMILL"/>
    <n v="155819"/>
    <n v="892572"/>
    <s v="Spot"/>
    <x v="41"/>
    <s v="Sell"/>
    <s v="EUR"/>
    <n v="-500000"/>
    <s v="PLN"/>
    <n v="2106750"/>
    <s v="2026-01-12"/>
    <n v="4.2134999999999998"/>
    <n v="0.23730000000000001"/>
    <n v="4.2126999999999999"/>
    <n v="1"/>
    <n v="400"/>
    <s v="GERMANY DE"/>
  </r>
  <r>
    <s v="BKMILL"/>
    <n v="155820"/>
    <n v="215686"/>
    <s v="Forward"/>
    <x v="355"/>
    <s v="Buy Fwd"/>
    <s v="EUR"/>
    <n v="3800"/>
    <s v="PLN"/>
    <n v="15979"/>
    <s v="2026-01-08"/>
    <n v="4.2050000000000001"/>
    <n v="0.23780000000000001"/>
    <n v="4.2104999999999997"/>
    <n v="1"/>
    <n v="31978.9"/>
    <s v="POLAND PL"/>
  </r>
  <r>
    <s v="BKMILL"/>
    <n v="155821"/>
    <n v="215687"/>
    <s v="Forward"/>
    <x v="36"/>
    <s v="Buy Fwd"/>
    <s v="EUR"/>
    <n v="8600"/>
    <s v="PLN"/>
    <n v="36219.68"/>
    <s v="2026-01-09"/>
    <n v="4.2122000000000002"/>
    <n v="0.2374"/>
    <n v="4.2119"/>
    <n v="1"/>
    <n v="72442.02"/>
    <s v="UNITED KINGDOM GB"/>
  </r>
  <r>
    <s v="BKMILL"/>
    <n v="155822"/>
    <n v="215688"/>
    <s v="Forward"/>
    <x v="118"/>
    <s v="Sell Fwd"/>
    <s v="EUR"/>
    <n v="-8600"/>
    <s v="PLN"/>
    <n v="36316.94"/>
    <s v="2026-01-09"/>
    <n v="4.2234999999999996"/>
    <n v="0.23680000000000001"/>
    <n v="4.2119"/>
    <n v="1"/>
    <n v="94.6"/>
    <s v="POLAND PL"/>
  </r>
  <r>
    <s v="BKMILL"/>
    <n v="155823"/>
    <n v="892585"/>
    <s v="Spot"/>
    <x v="36"/>
    <s v="Sell"/>
    <s v="EUR"/>
    <n v="-100107.06"/>
    <s v="PLN"/>
    <n v="421621.91"/>
    <s v="2026-01-12"/>
    <n v="4.2117000000000004"/>
    <n v="0.2374"/>
    <n v="4.2126999999999999"/>
    <n v="1"/>
    <n v="-99.101662000000005"/>
    <s v="UNITED KINGDOM GB"/>
  </r>
  <r>
    <s v="BKMILL"/>
    <n v="155824"/>
    <n v="892587"/>
    <s v="Spot"/>
    <x v="36"/>
    <s v="Sell"/>
    <s v="USD"/>
    <n v="-52679.58"/>
    <s v="PLN"/>
    <n v="190432.47"/>
    <s v="2026-01-12"/>
    <n v="3.6149"/>
    <n v="0.27660000000000001"/>
    <n v="3.6183999999999998"/>
    <n v="1"/>
    <n v="-183.322272"/>
    <s v="UNITED KINGDOM GB"/>
  </r>
  <r>
    <s v="BKMILL"/>
    <n v="155825"/>
    <n v="892588"/>
    <s v="Spot"/>
    <x v="36"/>
    <s v="Sell"/>
    <s v="EUR"/>
    <n v="-61715.29"/>
    <s v="PLN"/>
    <n v="259996.03"/>
    <s v="2026-01-12"/>
    <n v="4.2127999999999997"/>
    <n v="0.2374"/>
    <n v="4.2126999999999999"/>
    <n v="1"/>
    <n v="8.0278170000000006"/>
    <s v="UNITED KINGDOM GB"/>
  </r>
  <r>
    <s v="BKMILL"/>
    <n v="155826"/>
    <n v="892589"/>
    <s v="Spot"/>
    <x v="41"/>
    <s v="Buy"/>
    <s v="GBP"/>
    <n v="2166.11"/>
    <s v="PLN"/>
    <n v="-10516.9"/>
    <s v="2026-01-12"/>
    <n v="4.8552"/>
    <n v="0.20599999999999999"/>
    <n v="4.8525"/>
    <n v="1"/>
    <n v="-5.8512250000000003"/>
    <s v="GERMANY DE"/>
  </r>
  <r>
    <s v="BKMILL"/>
    <n v="155827"/>
    <n v="892590"/>
    <s v="Spot"/>
    <x v="41"/>
    <s v="Buy"/>
    <s v="CHF"/>
    <n v="527.30999999999995"/>
    <s v="PLN"/>
    <n v="-2384.9699999999998"/>
    <s v="2026-01-12"/>
    <n v="4.5228999999999999"/>
    <n v="0.22109999999999999"/>
    <n v="4.5221999999999998"/>
    <n v="1"/>
    <n v="-0.36871799999999999"/>
    <s v="GERMANY DE"/>
  </r>
  <r>
    <s v="BKMILL"/>
    <n v="155828"/>
    <n v="892595"/>
    <s v="Spot"/>
    <x v="40"/>
    <s v="Sell"/>
    <s v="EUR"/>
    <n v="-101735.42"/>
    <s v="PLN"/>
    <n v="428593.01"/>
    <s v="2026-01-12"/>
    <n v="4.2127999999999997"/>
    <n v="0.2374"/>
    <n v="4.2126999999999999"/>
    <n v="1"/>
    <n v="12.206166"/>
    <s v="UNITED STATES OF AMERICA US"/>
  </r>
  <r>
    <s v="BKMILL"/>
    <n v="155829"/>
    <n v="215689"/>
    <s v="Forward"/>
    <x v="40"/>
    <s v="Sell Fwd"/>
    <s v="EUR"/>
    <n v="-30000"/>
    <s v="PLN"/>
    <n v="126363.74"/>
    <s v="2026-01-09"/>
    <n v="4.2127999999999997"/>
    <n v="0.2374"/>
    <n v="4.2119"/>
    <n v="1"/>
    <n v="6.74"/>
    <s v="UNITED STATES OF AMERICA US"/>
  </r>
  <r>
    <s v="BKMILL"/>
    <n v="155830"/>
    <n v="215690"/>
    <s v="Forward"/>
    <x v="356"/>
    <s v="Buy Fwd"/>
    <s v="EUR"/>
    <n v="30000"/>
    <s v="PLN"/>
    <n v="126213"/>
    <s v="2026-01-09"/>
    <n v="4.2077999999999998"/>
    <n v="0.23769999999999999"/>
    <n v="4.2119"/>
    <n v="1"/>
    <n v="252570"/>
    <s v="POLAND PL"/>
  </r>
  <r>
    <s v="BKMILL"/>
    <n v="155831"/>
    <n v="892601"/>
    <s v="Spot"/>
    <x v="40"/>
    <s v="Sell"/>
    <s v="EUR"/>
    <n v="-100218.47"/>
    <s v="PLN"/>
    <n v="422083.11"/>
    <s v="2026-01-12"/>
    <n v="4.2115999999999998"/>
    <n v="0.2374"/>
    <n v="4.2126999999999999"/>
    <n v="1"/>
    <n v="-107.238569"/>
    <s v="UNITED STATES OF AMERICA US"/>
  </r>
  <r>
    <s v="BKMILL"/>
    <n v="155832"/>
    <n v="892602"/>
    <s v="Spot"/>
    <x v="40"/>
    <s v="Sell"/>
    <s v="CHF"/>
    <n v="-694.64"/>
    <s v="PLN"/>
    <n v="3140.57"/>
    <s v="2026-01-12"/>
    <n v="4.5210999999999997"/>
    <n v="0.22120000000000001"/>
    <n v="4.5221999999999998"/>
    <n v="1"/>
    <n v="-0.73100799999999999"/>
    <s v="UNITED STATES OF AMERICA US"/>
  </r>
  <r>
    <s v="BKMILL"/>
    <n v="155833"/>
    <n v="892603"/>
    <s v="Spot"/>
    <x v="40"/>
    <s v="Sell"/>
    <s v="EUR"/>
    <n v="-1749.43"/>
    <s v="PLN"/>
    <n v="7367.23"/>
    <s v="2026-01-12"/>
    <n v="4.2111999999999998"/>
    <n v="0.23749999999999999"/>
    <n v="4.2126999999999999"/>
    <n v="1"/>
    <n v="-2.5937610000000002"/>
    <s v="UNITED STATES OF AMERICA US"/>
  </r>
  <r>
    <s v="BKMILL"/>
    <n v="155834"/>
    <n v="892604"/>
    <s v="Spot"/>
    <x v="40"/>
    <s v="Sell"/>
    <s v="USD"/>
    <n v="-23354.15"/>
    <s v="PLN"/>
    <n v="84419.18"/>
    <s v="2026-01-12"/>
    <n v="3.6147"/>
    <n v="0.27660000000000001"/>
    <n v="3.6183999999999998"/>
    <n v="1"/>
    <n v="-85.47636"/>
    <s v="UNITED STATES OF AMERICA US"/>
  </r>
  <r>
    <s v="BKMILL"/>
    <n v="155835"/>
    <n v="892605"/>
    <s v="Spot"/>
    <x v="40"/>
    <s v="Sell"/>
    <s v="GBP"/>
    <n v="-56088.83"/>
    <s v="PLN"/>
    <n v="272283.23"/>
    <s v="2026-01-12"/>
    <n v="4.8544999999999998"/>
    <n v="0.20599999999999999"/>
    <n v="4.8525"/>
    <n v="1"/>
    <n v="112.18242499999999"/>
    <s v="UNITED STATES OF AMERICA US"/>
  </r>
  <r>
    <s v="BKMILL"/>
    <n v="155836"/>
    <n v="215691"/>
    <s v="Forward"/>
    <x v="42"/>
    <s v="Sell Fwd"/>
    <s v="EUR"/>
    <n v="-50000"/>
    <s v="PLN"/>
    <n v="210534.2"/>
    <s v="2026-01-09"/>
    <n v="4.2114000000000003"/>
    <n v="0.23749999999999999"/>
    <n v="4.2119"/>
    <n v="1"/>
    <n v="-60.8"/>
    <s v="SWITZERLAND CH"/>
  </r>
  <r>
    <s v="BKMILL"/>
    <n v="155837"/>
    <n v="215692"/>
    <s v="Forward"/>
    <x v="357"/>
    <s v="Buy Fwd"/>
    <s v="EUR"/>
    <n v="50000"/>
    <s v="PLN"/>
    <n v="210230"/>
    <s v="2026-01-09"/>
    <n v="4.2053000000000003"/>
    <n v="0.23780000000000001"/>
    <n v="4.2119"/>
    <n v="1"/>
    <n v="420825"/>
    <s v="POLAND PL"/>
  </r>
  <r>
    <s v="BKMILL"/>
    <n v="155838"/>
    <n v="892615"/>
    <s v="Spot"/>
    <x v="40"/>
    <s v="Sell"/>
    <s v="USD"/>
    <n v="-22037.52"/>
    <s v="PLN"/>
    <n v="79596.88"/>
    <s v="2026-01-13"/>
    <n v="3.6118999999999999"/>
    <n v="0.27689999999999998"/>
    <n v="3.6036999999999999"/>
    <n v="1"/>
    <n v="180.26917599999999"/>
    <s v="UNITED STATES OF AMERICA US"/>
  </r>
  <r>
    <s v="BKMILL"/>
    <n v="155839"/>
    <n v="892616"/>
    <s v="Spot"/>
    <x v="41"/>
    <s v="Buy"/>
    <s v="EUR"/>
    <n v="24442.959999999999"/>
    <s v="PLN"/>
    <n v="-102980.63"/>
    <s v="2026-01-13"/>
    <n v="4.2130999999999998"/>
    <n v="0.2374"/>
    <n v="4.2096999999999998"/>
    <n v="1"/>
    <n v="-83.101287999999997"/>
    <s v="GERMANY DE"/>
  </r>
  <r>
    <s v="BKMILL"/>
    <n v="155840"/>
    <n v="892617"/>
    <s v="Spot"/>
    <x v="40"/>
    <s v="Sell"/>
    <s v="CHF"/>
    <n v="-530"/>
    <s v="PLN"/>
    <n v="2395.71"/>
    <s v="2026-01-13"/>
    <n v="4.5202"/>
    <n v="0.22120000000000001"/>
    <n v="4.5212000000000003"/>
    <n v="1"/>
    <n v="-0.52600000000000002"/>
    <s v="UNITED STATES OF AMERICA US"/>
  </r>
  <r>
    <s v="BKMILL"/>
    <n v="155841"/>
    <n v="892622"/>
    <s v="Spot"/>
    <x v="40"/>
    <s v="Sell"/>
    <s v="GBP"/>
    <n v="-13508.33"/>
    <s v="PLN"/>
    <n v="65561.33"/>
    <s v="2026-01-13"/>
    <n v="4.8533999999999997"/>
    <n v="0.20599999999999999"/>
    <n v="4.8482000000000003"/>
    <n v="1"/>
    <n v="70.244494000000003"/>
    <s v="UNITED STATES OF AMERICA US"/>
  </r>
  <r>
    <s v="BKMILL"/>
    <n v="155842"/>
    <n v="215693"/>
    <s v="Forward"/>
    <x v="55"/>
    <s v="Buy Fwd"/>
    <s v="EUR"/>
    <n v="147633.60000000001"/>
    <s v="PLN"/>
    <n v="621981.98"/>
    <s v="2026-01-09"/>
    <n v="4.2137000000000002"/>
    <n v="0.23730000000000001"/>
    <n v="4.2119"/>
    <n v="1"/>
    <n v="1243799.9398399999"/>
    <s v="SPAIN ES"/>
  </r>
  <r>
    <s v="BKMILL"/>
    <n v="155843"/>
    <n v="892666"/>
    <s v="Spot"/>
    <x v="43"/>
    <s v="Sell"/>
    <s v="EUR"/>
    <n v="-25940.44"/>
    <s v="PLN"/>
    <n v="109262.69"/>
    <s v="2026-01-13"/>
    <n v="4.2121000000000004"/>
    <n v="0.2374"/>
    <n v="4.2096999999999998"/>
    <n v="1"/>
    <n v="61.219732"/>
    <s v="FRANCE FR"/>
  </r>
  <r>
    <s v="BKMILL"/>
    <n v="155844"/>
    <n v="892667"/>
    <s v="Spot"/>
    <x v="43"/>
    <s v="Sell"/>
    <s v="USD"/>
    <n v="-7403.12"/>
    <s v="PLN"/>
    <n v="26755.84"/>
    <s v="2026-01-13"/>
    <n v="3.6141000000000001"/>
    <n v="0.2767"/>
    <n v="3.6036999999999999"/>
    <n v="1"/>
    <n v="77.216455999999994"/>
    <s v="FRANCE FR"/>
  </r>
  <r>
    <s v="BKMILL"/>
    <n v="155845"/>
    <n v="892668"/>
    <s v="Spot"/>
    <x v="43"/>
    <s v="Sell"/>
    <s v="GBP"/>
    <n v="-2027.22"/>
    <s v="PLN"/>
    <n v="9843.09"/>
    <s v="2026-01-13"/>
    <n v="4.8555000000000001"/>
    <n v="0.20599999999999999"/>
    <n v="4.8482000000000003"/>
    <n v="1"/>
    <n v="14.721996000000001"/>
    <s v="FRANCE FR"/>
  </r>
  <r>
    <s v="BKMILL"/>
    <n v="155846"/>
    <n v="892669"/>
    <s v="Spot"/>
    <x v="43"/>
    <s v="Sell"/>
    <s v="CHF"/>
    <n v="-1099.6300000000001"/>
    <s v="PLN"/>
    <n v="4970.25"/>
    <s v="2026-01-13"/>
    <n v="4.5198999999999998"/>
    <n v="0.22120000000000001"/>
    <n v="4.5212000000000003"/>
    <n v="1"/>
    <n v="-1.3971560000000001"/>
    <s v="FRANCE FR"/>
  </r>
  <r>
    <s v="BKMILL"/>
    <n v="155847"/>
    <n v="215695"/>
    <s v="Forward"/>
    <x v="40"/>
    <s v="Sell Fwd"/>
    <s v="EUR"/>
    <n v="-20000"/>
    <s v="PLN"/>
    <n v="84209.81"/>
    <s v="2026-01-09"/>
    <n v="4.2117000000000004"/>
    <n v="0.2374"/>
    <n v="4.2119"/>
    <n v="1"/>
    <n v="-28.19"/>
    <s v="UNITED STATES OF AMERICA US"/>
  </r>
  <r>
    <s v="BKMILL"/>
    <n v="155848"/>
    <n v="215697"/>
    <s v="Forward"/>
    <x v="40"/>
    <s v="Sell Fwd"/>
    <s v="EUR"/>
    <n v="-4000"/>
    <s v="PLN"/>
    <n v="16843.349999999999"/>
    <s v="2026-01-09"/>
    <n v="4.2118000000000002"/>
    <n v="0.2374"/>
    <n v="4.2119"/>
    <n v="1"/>
    <n v="-4.25"/>
    <s v="UNITED STATES OF AMERICA US"/>
  </r>
  <r>
    <s v="BKMILL"/>
    <n v="155849"/>
    <n v="215699"/>
    <s v="Forward"/>
    <x v="55"/>
    <s v="Sell Fwd"/>
    <s v="EUR"/>
    <n v="-100000"/>
    <s v="PLN"/>
    <n v="421065.1"/>
    <s v="2026-01-09"/>
    <n v="4.2115"/>
    <n v="0.2374"/>
    <n v="4.2119"/>
    <n v="1"/>
    <n v="-124.9"/>
    <s v="SPAIN ES"/>
  </r>
  <r>
    <s v="BKMILL"/>
    <n v="155850"/>
    <n v="215702"/>
    <s v="Forward"/>
    <x v="55"/>
    <s v="Sell Fwd"/>
    <s v="EUR"/>
    <n v="-104000"/>
    <s v="PLN"/>
    <n v="437908.64"/>
    <s v="2026-01-09"/>
    <n v="4.2115"/>
    <n v="0.2374"/>
    <n v="4.2119"/>
    <n v="1"/>
    <n v="-128.96"/>
    <s v="SPAIN ES"/>
  </r>
  <r>
    <s v="BKMILL"/>
    <n v="155851"/>
    <n v="215704"/>
    <s v="Forward"/>
    <x v="41"/>
    <s v="Buy Fwd"/>
    <s v="EUR"/>
    <n v="2100"/>
    <s v="PLN"/>
    <n v="8845.74"/>
    <s v="2026-01-09"/>
    <n v="4.2129000000000003"/>
    <n v="0.2374"/>
    <n v="4.2119"/>
    <n v="1"/>
    <n v="17690.73"/>
    <s v="GERMANY DE"/>
  </r>
  <r>
    <s v="BKMILL"/>
    <n v="155852"/>
    <n v="215705"/>
    <s v="Forward"/>
    <x v="55"/>
    <s v="Sell Fwd"/>
    <s v="EUR"/>
    <n v="-20000"/>
    <s v="PLN"/>
    <n v="84214.24"/>
    <s v="2026-01-09"/>
    <n v="4.2115999999999998"/>
    <n v="0.2374"/>
    <n v="4.2119"/>
    <n v="1"/>
    <n v="-23.76"/>
    <s v="SPAIN ES"/>
  </r>
  <r>
    <s v="BKMILL"/>
    <n v="155853"/>
    <n v="215707"/>
    <s v="Forward"/>
    <x v="55"/>
    <s v="Sell Fwd"/>
    <s v="EUR"/>
    <n v="-11600"/>
    <s v="PLN"/>
    <n v="48843.8"/>
    <s v="2026-01-09"/>
    <n v="4.2115999999999998"/>
    <n v="0.2374"/>
    <n v="4.2119"/>
    <n v="1"/>
    <n v="-14.24"/>
    <s v="SPAIN ES"/>
  </r>
  <r>
    <s v="BKMILL"/>
    <n v="155854"/>
    <n v="215709"/>
    <s v="Forward"/>
    <x v="55"/>
    <s v="Sell Fwd"/>
    <s v="EUR"/>
    <n v="-1300"/>
    <s v="PLN"/>
    <n v="5473.83"/>
    <s v="2026-01-09"/>
    <n v="4.2115"/>
    <n v="0.2374"/>
    <n v="4.2119"/>
    <n v="1"/>
    <n v="-1.64"/>
    <s v="SPAIN ES"/>
  </r>
  <r>
    <s v="BKMILL"/>
    <n v="155855"/>
    <n v="215711"/>
    <s v="Forward"/>
    <x v="55"/>
    <s v="Buy Fwd"/>
    <s v="EUR"/>
    <n v="14223"/>
    <s v="PLN"/>
    <n v="59908.6"/>
    <s v="2026-01-09"/>
    <n v="4.2127999999999997"/>
    <n v="0.2374"/>
    <n v="4.2119"/>
    <n v="1"/>
    <n v="119814.4537"/>
    <s v="SPAIN ES"/>
  </r>
  <r>
    <s v="BKMILL"/>
    <n v="155856"/>
    <n v="215714"/>
    <s v="Forward"/>
    <x v="55"/>
    <s v="Sell Fwd"/>
    <s v="EUR"/>
    <n v="-1000"/>
    <s v="PLN"/>
    <n v="4210.6400000000003"/>
    <s v="2026-01-09"/>
    <n v="4.2115"/>
    <n v="0.2374"/>
    <n v="4.2119"/>
    <n v="1"/>
    <n v="-1.26"/>
    <s v="SPAIN ES"/>
  </r>
  <r>
    <s v="BKMILL"/>
    <n v="155857"/>
    <n v="215715"/>
    <s v="Forward"/>
    <x v="231"/>
    <s v="Buy Fwd"/>
    <s v="EUR"/>
    <n v="50000"/>
    <s v="PLN"/>
    <n v="210280"/>
    <s v="2026-01-09"/>
    <n v="4.2065000000000001"/>
    <n v="0.23769999999999999"/>
    <n v="4.2119"/>
    <n v="1"/>
    <n v="420875"/>
    <s v="POLAND PL"/>
  </r>
  <r>
    <s v="BKMILL"/>
    <n v="155858"/>
    <n v="215716"/>
    <s v="Forward"/>
    <x v="40"/>
    <s v="Sell Fwd"/>
    <s v="EUR"/>
    <n v="-50000"/>
    <s v="PLN"/>
    <n v="210530.72"/>
    <s v="2026-01-09"/>
    <n v="4.2115"/>
    <n v="0.2374"/>
    <n v="4.2119"/>
    <n v="1"/>
    <n v="-64.28"/>
    <s v="UNITED STATES OF AMERICA US"/>
  </r>
  <r>
    <s v="BKMILL"/>
    <n v="155859"/>
    <n v="215718"/>
    <s v="Forward"/>
    <x v="41"/>
    <s v="Sell Fwd"/>
    <s v="EUR"/>
    <n v="-33200"/>
    <s v="PLN"/>
    <n v="139791.63"/>
    <s v="2026-01-09"/>
    <n v="4.2115"/>
    <n v="0.2374"/>
    <n v="4.2119"/>
    <n v="1"/>
    <n v="-43.45"/>
    <s v="GERMANY DE"/>
  </r>
  <r>
    <s v="BKMILL"/>
    <n v="155860"/>
    <n v="892725"/>
    <s v="Spot"/>
    <x v="43"/>
    <s v="Buy"/>
    <s v="EUR"/>
    <n v="500000"/>
    <s v="USD"/>
    <n v="-582370"/>
    <s v="2026-01-13"/>
    <n v="1.1647000000000001"/>
    <n v="0.85860000000000003"/>
    <n v="4.2096999999999998"/>
    <n v="3.6036999999999999"/>
    <n v="6163.2309999999998"/>
    <s v="FRANCE FR"/>
  </r>
  <r>
    <s v="BKMILL"/>
    <n v="155861"/>
    <n v="215719"/>
    <s v="Forward"/>
    <x v="41"/>
    <s v="Buy Fwd"/>
    <s v="EUR"/>
    <n v="137403.17000000001"/>
    <s v="PLN"/>
    <n v="578720.72"/>
    <s v="2026-01-09"/>
    <n v="4.2126000000000001"/>
    <n v="0.2374"/>
    <n v="4.2119"/>
    <n v="1"/>
    <n v="1157449.131723"/>
    <s v="GERMANY DE"/>
  </r>
  <r>
    <s v="BKMILL"/>
    <n v="155862"/>
    <n v="215720"/>
    <s v="Forward"/>
    <x v="131"/>
    <s v="Sell Fwd"/>
    <s v="EUR"/>
    <n v="-137403.17000000001"/>
    <s v="PLN"/>
    <n v="579346.73"/>
    <s v="2026-01-09"/>
    <n v="4.2171000000000003"/>
    <n v="0.23710000000000001"/>
    <n v="4.2119"/>
    <n v="1"/>
    <n v="618.31827699999997"/>
    <s v="POLAND PL"/>
  </r>
  <r>
    <s v="BKMILL"/>
    <n v="155863"/>
    <n v="215721"/>
    <s v="Forward"/>
    <x v="40"/>
    <s v="Buy Fwd"/>
    <s v="EUR"/>
    <n v="13431.6"/>
    <s v="PLN"/>
    <n v="56581.08"/>
    <s v="2026-01-09"/>
    <n v="4.2133000000000003"/>
    <n v="0.23730000000000001"/>
    <n v="4.2119"/>
    <n v="1"/>
    <n v="113153.63604"/>
    <s v="UNITED STATES OF AMERICA US"/>
  </r>
  <r>
    <s v="BKMILL"/>
    <n v="155864"/>
    <n v="892734"/>
    <s v="Spot"/>
    <x v="43"/>
    <s v="Sell"/>
    <s v="EUR"/>
    <n v="-100333.09"/>
    <s v="PLN"/>
    <n v="422619.03"/>
    <s v="2026-01-13"/>
    <n v="4.2122000000000002"/>
    <n v="0.2374"/>
    <n v="4.2096999999999998"/>
    <n v="1"/>
    <n v="246.82102699999999"/>
    <s v="FRANCE FR"/>
  </r>
  <r>
    <s v="BKMILL"/>
    <n v="155865"/>
    <n v="215723"/>
    <s v="Forward"/>
    <x v="41"/>
    <s v="Sell Fwd"/>
    <s v="EUR"/>
    <n v="-6600"/>
    <s v="PLN"/>
    <n v="27790.02"/>
    <s v="2026-01-09"/>
    <n v="4.2115"/>
    <n v="0.2374"/>
    <n v="4.2119"/>
    <n v="1"/>
    <n v="-8.52"/>
    <s v="GERMANY DE"/>
  </r>
  <r>
    <s v="BKMILL"/>
    <n v="155866"/>
    <n v="215725"/>
    <s v="Forward"/>
    <x v="41"/>
    <s v="Sell Fwd"/>
    <s v="EUR"/>
    <n v="-3000"/>
    <s v="PLN"/>
    <n v="12631.83"/>
    <s v="2026-01-09"/>
    <n v="4.2115"/>
    <n v="0.2374"/>
    <n v="4.2119"/>
    <n v="1"/>
    <n v="-3.87"/>
    <s v="GERMANY DE"/>
  </r>
  <r>
    <s v="BKMILL"/>
    <n v="155867"/>
    <n v="892744"/>
    <s v="Spot"/>
    <x v="41"/>
    <s v="Sell"/>
    <s v="GBP"/>
    <n v="-5129.57"/>
    <s v="PLN"/>
    <n v="24895.86"/>
    <s v="2026-01-13"/>
    <n v="4.8533999999999997"/>
    <n v="0.20599999999999999"/>
    <n v="4.8482000000000003"/>
    <n v="1"/>
    <n v="26.678726000000001"/>
    <s v="GERMANY DE"/>
  </r>
  <r>
    <s v="BKMILL"/>
    <n v="155868"/>
    <n v="892745"/>
    <s v="Spot"/>
    <x v="43"/>
    <s v="Sell"/>
    <s v="USD"/>
    <n v="-62724.75"/>
    <s v="PLN"/>
    <n v="226859.74"/>
    <s v="2026-01-13"/>
    <n v="3.6168"/>
    <n v="0.27650000000000002"/>
    <n v="3.6036999999999999"/>
    <n v="1"/>
    <n v="818.55842500000006"/>
    <s v="FRANCE FR"/>
  </r>
  <r>
    <s v="BKMILL"/>
    <n v="155869"/>
    <n v="892746"/>
    <s v="Spot"/>
    <x v="43"/>
    <s v="Sell"/>
    <s v="EUR"/>
    <n v="-11297.92"/>
    <s v="PLN"/>
    <n v="47586.05"/>
    <s v="2026-01-13"/>
    <n v="4.2119"/>
    <n v="0.2374"/>
    <n v="4.2096999999999998"/>
    <n v="1"/>
    <n v="25.196176000000001"/>
    <s v="FRANCE FR"/>
  </r>
  <r>
    <s v="BKMILL"/>
    <n v="155870"/>
    <n v="215728"/>
    <s v="Forward"/>
    <x v="40"/>
    <s v="Buy Fwd"/>
    <s v="USD"/>
    <n v="6000"/>
    <s v="PLN"/>
    <n v="21702.6"/>
    <s v="2026-01-09"/>
    <n v="3.6171000000000002"/>
    <n v="0.27650000000000002"/>
    <n v="3.6070000000000002"/>
    <n v="1"/>
    <n v="43344.6"/>
    <s v="UNITED STATES OF AMERICA US"/>
  </r>
  <r>
    <s v="BKMILL"/>
    <n v="155871"/>
    <n v="215729"/>
    <s v="Forward"/>
    <x v="55"/>
    <s v="Sell Fwd"/>
    <s v="EUR"/>
    <n v="-200000"/>
    <s v="PLN"/>
    <n v="842165.6"/>
    <s v="2026-01-09"/>
    <n v="4.2121000000000004"/>
    <n v="0.2374"/>
    <n v="4.2119"/>
    <n v="1"/>
    <n v="-214.4"/>
    <s v="SPAIN ES"/>
  </r>
  <r>
    <s v="BKMILL"/>
    <n v="155872"/>
    <n v="215731"/>
    <s v="Forward"/>
    <x v="55"/>
    <s v="Sell Fwd"/>
    <s v="EUR"/>
    <n v="-200000"/>
    <s v="PLN"/>
    <n v="842101.6"/>
    <s v="2026-01-09"/>
    <n v="4.2117000000000004"/>
    <n v="0.2374"/>
    <n v="4.2119"/>
    <n v="1"/>
    <n v="-278.39999999999998"/>
    <s v="SPAIN ES"/>
  </r>
  <r>
    <s v="BKMILL"/>
    <n v="155873"/>
    <n v="215733"/>
    <s v="Forward"/>
    <x v="41"/>
    <s v="Sell Fwd"/>
    <s v="EUR"/>
    <n v="-60000"/>
    <s v="PLN"/>
    <n v="252601.16"/>
    <s v="2026-01-09"/>
    <n v="4.2108999999999996"/>
    <n v="0.23749999999999999"/>
    <n v="4.2119"/>
    <n v="1"/>
    <n v="-112.84"/>
    <s v="GERMANY DE"/>
  </r>
  <r>
    <s v="BKMILL"/>
    <n v="155874"/>
    <n v="215735"/>
    <s v="Forward"/>
    <x v="40"/>
    <s v="Buy Fwd"/>
    <s v="EUR"/>
    <n v="12226.89"/>
    <s v="PLN"/>
    <n v="51490.74"/>
    <s v="2026-01-09"/>
    <n v="4.2119999999999997"/>
    <n v="0.2374"/>
    <n v="4.2119"/>
    <n v="1"/>
    <n v="102989.177991"/>
    <s v="UNITED STATES OF AMERICA US"/>
  </r>
  <r>
    <s v="BKMILL"/>
    <n v="155875"/>
    <n v="215737"/>
    <s v="Forward"/>
    <x v="26"/>
    <s v="Sell Fwd"/>
    <s v="USD"/>
    <n v="-25000"/>
    <s v="PLN"/>
    <n v="90587.5"/>
    <s v="2026-01-09"/>
    <n v="3.6234999999999999"/>
    <n v="0.27600000000000002"/>
    <n v="3.6070000000000002"/>
    <n v="1"/>
    <n v="412.5"/>
    <s v="POLAND PL"/>
  </r>
  <r>
    <s v="BKMILL"/>
    <n v="155876"/>
    <n v="892816"/>
    <s v="Spot"/>
    <x v="358"/>
    <s v="Sell"/>
    <s v="EUR"/>
    <n v="-1000"/>
    <s v="PLN"/>
    <n v="4218.2"/>
    <s v="2026-01-13"/>
    <n v="4.2182000000000004"/>
    <n v="0.23710000000000001"/>
    <n v="4.2096999999999998"/>
    <n v="1"/>
    <n v="8.5"/>
    <s v="POLAND PL"/>
  </r>
  <r>
    <s v="BKMILL"/>
    <n v="155878"/>
    <n v="892827"/>
    <s v="Spot"/>
    <x v="44"/>
    <s v="Buy"/>
    <s v="EUR"/>
    <n v="1000000"/>
    <s v="PLN"/>
    <n v="-4212200"/>
    <s v="2026-01-13"/>
    <n v="4.2122000000000002"/>
    <n v="0.2374"/>
    <n v="4.2096999999999998"/>
    <n v="1"/>
    <n v="-2500"/>
    <s v="GERMANY DE"/>
  </r>
  <r>
    <s v="BKMILL"/>
    <n v="155879"/>
    <n v="215760"/>
    <s v="Forward"/>
    <x v="129"/>
    <s v="Buy Fwd"/>
    <s v="EUR"/>
    <n v="9800"/>
    <s v="USD"/>
    <n v="11401.32"/>
    <s v="2026-01-09"/>
    <n v="1.1637"/>
    <n v="0.85929999999999995"/>
    <n v="4.2119"/>
    <n v="3.6070000000000002"/>
    <n v="82401.181240000005"/>
    <s v="POLAND PL"/>
  </r>
  <r>
    <s v="BKMILL"/>
    <n v="155880"/>
    <n v="215761"/>
    <s v="Forward"/>
    <x v="359"/>
    <s v="Buy Fwd"/>
    <s v="EUR"/>
    <n v="70000"/>
    <s v="PLN"/>
    <n v="294000"/>
    <s v="2026-01-09"/>
    <n v="4.2008000000000001"/>
    <n v="0.23799999999999999"/>
    <n v="4.2119"/>
    <n v="1"/>
    <n v="588833"/>
    <s v="POLAND PL"/>
  </r>
  <r>
    <s v="BKMILL"/>
    <n v="155881"/>
    <n v="215762"/>
    <s v="Forward"/>
    <x v="61"/>
    <s v="Sell Fwd"/>
    <s v="EUR"/>
    <n v="-50000"/>
    <s v="USD"/>
    <n v="58240"/>
    <s v="2026-01-09"/>
    <n v="1.1651"/>
    <n v="0.85829999999999995"/>
    <n v="4.2119"/>
    <n v="3.6070000000000002"/>
    <n v="-523.32000000000005"/>
    <s v="POLAND PL"/>
  </r>
  <r>
    <s v="BKMILL"/>
    <n v="155882"/>
    <n v="215764"/>
    <s v="Forward"/>
    <x v="72"/>
    <s v="Buy Fwd"/>
    <s v="EUR"/>
    <n v="310000"/>
    <s v="PLN"/>
    <n v="1303860"/>
    <s v="2026-01-09"/>
    <n v="4.2068000000000003"/>
    <n v="0.23769999999999999"/>
    <n v="4.2119"/>
    <n v="1"/>
    <n v="2609549"/>
    <s v="POLAND PL"/>
  </r>
  <r>
    <s v="BKMILL"/>
    <n v="155883"/>
    <n v="215765"/>
    <s v="Forward"/>
    <x v="70"/>
    <s v="Buy Fwd"/>
    <s v="EUR"/>
    <n v="771.21"/>
    <s v="PLN"/>
    <n v="3241.4"/>
    <s v="2026-01-09"/>
    <n v="4.2030000000000003"/>
    <n v="0.2379"/>
    <n v="4.2119"/>
    <n v="1"/>
    <n v="6489.6593990000001"/>
    <s v="POLAND PL"/>
  </r>
  <r>
    <s v="BKMILL"/>
    <n v="155884"/>
    <n v="215766"/>
    <s v="Forward"/>
    <x v="360"/>
    <s v="Buy Fwd"/>
    <s v="EUR"/>
    <n v="20000"/>
    <s v="PLN"/>
    <n v="83900"/>
    <s v="2026-01-09"/>
    <n v="4.1950000000000003"/>
    <n v="0.2384"/>
    <n v="4.2119"/>
    <n v="1"/>
    <n v="168138"/>
    <s v="POLAND PL"/>
  </r>
  <r>
    <s v="BMILLBH"/>
    <n v="155886"/>
    <n v="215771"/>
    <s v="Forward"/>
    <x v="85"/>
    <s v="Buy Fwd"/>
    <s v="USD"/>
    <n v="5399.85"/>
    <s v="PLN"/>
    <n v="19569.060000000001"/>
    <s v="2026-01-09"/>
    <n v="3.6240000000000001"/>
    <n v="0.27589999999999998"/>
    <n v="3.6070000000000002"/>
    <n v="1"/>
    <n v="39046.318950000001"/>
    <s v="POLAND PL"/>
  </r>
  <r>
    <s v="BMILLBH"/>
    <n v="155889"/>
    <n v="215773"/>
    <s v="Forward"/>
    <x v="85"/>
    <s v="Sell Fwd"/>
    <s v="USD"/>
    <n v="-5399.85"/>
    <s v="PLN"/>
    <n v="19569.060000000001"/>
    <s v="2026-01-09"/>
    <n v="3.6240000000000001"/>
    <n v="0.27589999999999998"/>
    <n v="3.6070000000000002"/>
    <n v="1"/>
    <n v="91.801050000000004"/>
    <s v="POLAND PL"/>
  </r>
  <r>
    <s v="BKMILL"/>
    <n v="155890"/>
    <n v="892912"/>
    <s v="Spot"/>
    <x v="38"/>
    <s v="Sell"/>
    <s v="EUR"/>
    <n v="-1000000"/>
    <s v="PLN"/>
    <n v="4214180"/>
    <s v="2026-01-13"/>
    <n v="4.2141999999999999"/>
    <n v="0.23730000000000001"/>
    <n v="4.2096999999999998"/>
    <n v="1"/>
    <n v="4480"/>
    <s v="NETHERLANDS NL"/>
  </r>
  <r>
    <s v="BKMILL"/>
    <n v="155891"/>
    <n v="215781"/>
    <s v="Forward"/>
    <x v="231"/>
    <s v="Buy Fwd"/>
    <s v="EUR"/>
    <n v="100000"/>
    <s v="PLN"/>
    <n v="421070"/>
    <s v="2026-01-09"/>
    <n v="4.2115"/>
    <n v="0.2374"/>
    <n v="4.2119"/>
    <n v="1"/>
    <n v="842260"/>
    <s v="POLAND PL"/>
  </r>
  <r>
    <s v="BKMILL"/>
    <n v="155892"/>
    <n v="892916"/>
    <s v="Spot"/>
    <x v="40"/>
    <s v="Sell"/>
    <s v="EUR"/>
    <n v="-500000"/>
    <s v="PLN"/>
    <n v="2107350"/>
    <s v="2026-01-13"/>
    <n v="4.2146999999999997"/>
    <n v="0.23730000000000001"/>
    <n v="4.2096999999999998"/>
    <n v="1"/>
    <n v="2500"/>
    <s v="UNITED STATES OF AMERICA US"/>
  </r>
  <r>
    <s v="BKMILL"/>
    <n v="155893"/>
    <n v="215784"/>
    <s v="Forward"/>
    <x v="359"/>
    <s v="Buy Fwd"/>
    <s v="EUR"/>
    <n v="30000"/>
    <s v="PLN"/>
    <n v="126060"/>
    <s v="2026-01-09"/>
    <n v="4.2027999999999999"/>
    <n v="0.2379"/>
    <n v="4.2119"/>
    <n v="1"/>
    <n v="252417"/>
    <s v="POLAND PL"/>
  </r>
  <r>
    <s v="BKMILL"/>
    <n v="155894"/>
    <n v="215785"/>
    <s v="Forward"/>
    <x v="76"/>
    <s v="Buy Fwd"/>
    <s v="EUR"/>
    <n v="5000"/>
    <s v="PLN"/>
    <n v="21012.5"/>
    <s v="2026-01-09"/>
    <n v="4.2032999999999996"/>
    <n v="0.2379"/>
    <n v="4.2119"/>
    <n v="1"/>
    <n v="42072"/>
    <s v="POLAND PL"/>
  </r>
  <r>
    <s v="BKMILL"/>
    <n v="155895"/>
    <n v="215786"/>
    <s v="Forward"/>
    <x v="361"/>
    <s v="Sell Fwd"/>
    <s v="EUR"/>
    <n v="-775000"/>
    <s v="PLN"/>
    <n v="3270500"/>
    <s v="2026-01-09"/>
    <n v="4.22"/>
    <n v="0.23699999999999999"/>
    <n v="4.2119"/>
    <n v="1"/>
    <n v="6277.5"/>
    <s v="POLAND PL"/>
  </r>
  <r>
    <s v="BKMILL"/>
    <n v="155896"/>
    <n v="215789"/>
    <s v="Forward"/>
    <x v="362"/>
    <s v="Buy Fwd"/>
    <s v="EUR"/>
    <n v="350000"/>
    <s v="PLN"/>
    <n v="1463000"/>
    <s v="2026-01-09"/>
    <n v="4.18"/>
    <n v="0.2392"/>
    <n v="4.2119"/>
    <n v="1"/>
    <n v="2937165"/>
    <s v="POLAND PL"/>
  </r>
  <r>
    <s v="BKMILL"/>
    <n v="155898"/>
    <n v="215791"/>
    <s v="Forward"/>
    <x v="363"/>
    <s v="Sell Fwd"/>
    <s v="USD"/>
    <n v="-6150"/>
    <s v="PLN"/>
    <n v="22299.9"/>
    <s v="2026-01-09"/>
    <n v="3.6259999999999999"/>
    <n v="0.27579999999999999"/>
    <n v="3.6070000000000002"/>
    <n v="1"/>
    <n v="116.85"/>
    <s v="POLAND PL"/>
  </r>
  <r>
    <s v="BKMILL"/>
    <n v="155900"/>
    <n v="215798"/>
    <s v="Forward"/>
    <x v="84"/>
    <s v="Sell Fwd"/>
    <s v="USD"/>
    <n v="-5399.85"/>
    <s v="PLN"/>
    <n v="19569.060000000001"/>
    <s v="2026-01-09"/>
    <n v="3.6240000000000001"/>
    <n v="0.27589999999999998"/>
    <n v="3.6070000000000002"/>
    <n v="1"/>
    <n v="91.801050000000004"/>
    <s v="POLAND PL"/>
  </r>
  <r>
    <s v="BKMILL"/>
    <n v="155901"/>
    <n v="892978"/>
    <s v="Spot"/>
    <x v="44"/>
    <s v="Buy"/>
    <s v="EUR"/>
    <n v="500000"/>
    <s v="PLN"/>
    <n v="-2107450"/>
    <s v="2026-01-13"/>
    <n v="4.2149000000000001"/>
    <n v="0.23730000000000001"/>
    <n v="4.2096999999999998"/>
    <n v="1"/>
    <n v="-2600"/>
    <s v="GERMANY DE"/>
  </r>
  <r>
    <s v="BKMILL"/>
    <n v="155902"/>
    <n v="215800"/>
    <s v="Forward"/>
    <x v="96"/>
    <s v="Buy Fwd"/>
    <s v="EUR"/>
    <n v="150000"/>
    <s v="PLN"/>
    <n v="630750"/>
    <s v="2026-01-09"/>
    <n v="4.2058"/>
    <n v="0.23780000000000001"/>
    <n v="4.2119"/>
    <n v="1"/>
    <n v="1262535"/>
    <s v="POLAND PL"/>
  </r>
  <r>
    <s v="BKMILL"/>
    <n v="155903"/>
    <n v="215802"/>
    <s v="Forward"/>
    <x v="364"/>
    <s v="Buy Fwd"/>
    <s v="EUR"/>
    <n v="125837.88"/>
    <s v="PLN"/>
    <n v="525624.81999999995"/>
    <s v="2026-01-09"/>
    <n v="4.1769999999999996"/>
    <n v="0.2394"/>
    <n v="4.2119"/>
    <n v="1"/>
    <n v="1055641.386772"/>
    <s v="POLAND PL"/>
  </r>
  <r>
    <s v="BKMILL"/>
    <n v="155904"/>
    <n v="892995"/>
    <s v="Spot"/>
    <x v="41"/>
    <s v="Buy"/>
    <s v="USD"/>
    <n v="500000"/>
    <s v="PLN"/>
    <n v="-1810100"/>
    <s v="2026-01-13"/>
    <n v="3.6202000000000001"/>
    <n v="0.2762"/>
    <n v="3.6036999999999999"/>
    <n v="1"/>
    <n v="-8250"/>
    <s v="GERMANY DE"/>
  </r>
  <r>
    <s v="BKMILL"/>
    <n v="155905"/>
    <n v="215805"/>
    <s v="Forward"/>
    <x v="181"/>
    <s v="Sell Fwd"/>
    <s v="EUR"/>
    <n v="-50000"/>
    <s v="PLN"/>
    <n v="211250"/>
    <s v="2026-01-09"/>
    <n v="4.2249999999999996"/>
    <n v="0.23669999999999999"/>
    <n v="4.2119"/>
    <n v="1"/>
    <n v="655"/>
    <s v="POLAND PL"/>
  </r>
  <r>
    <s v="BKMILL"/>
    <n v="155906"/>
    <n v="215806"/>
    <s v="Forward"/>
    <x v="365"/>
    <s v="Buy Fwd"/>
    <s v="EUR"/>
    <n v="18000"/>
    <s v="PLN"/>
    <n v="75618"/>
    <s v="2026-01-09"/>
    <n v="4.2018000000000004"/>
    <n v="0.23799999999999999"/>
    <n v="4.2119"/>
    <n v="1"/>
    <n v="151432.20000000001"/>
    <s v="POLAND PL"/>
  </r>
  <r>
    <s v="BKMILL"/>
    <n v="155907"/>
    <n v="215812"/>
    <s v="Forward"/>
    <x v="145"/>
    <s v="Buy Fwd"/>
    <s v="GBP"/>
    <n v="5000"/>
    <s v="PLN"/>
    <n v="24220"/>
    <s v="2026-01-09"/>
    <n v="4.8440000000000003"/>
    <n v="0.2064"/>
    <n v="4.8471000000000002"/>
    <n v="1"/>
    <n v="48455.5"/>
    <s v="POLAND PL"/>
  </r>
  <r>
    <s v="BKMILL"/>
    <n v="155908"/>
    <n v="215814"/>
    <s v="Forward"/>
    <x v="145"/>
    <s v="Buy Fwd"/>
    <s v="EUR"/>
    <n v="35000"/>
    <s v="PLN"/>
    <n v="147140"/>
    <s v="2026-01-09"/>
    <n v="4.2047999999999996"/>
    <n v="0.23780000000000001"/>
    <n v="4.2119"/>
    <n v="1"/>
    <n v="294556.5"/>
    <s v="POLAND PL"/>
  </r>
  <r>
    <s v="BKMILL"/>
    <n v="155910"/>
    <n v="215817"/>
    <s v="Forward"/>
    <x v="288"/>
    <s v="Sell Fwd"/>
    <s v="EUR"/>
    <n v="-20000"/>
    <s v="PLN"/>
    <n v="84460"/>
    <s v="2026-01-09"/>
    <n v="4.2237999999999998"/>
    <n v="0.23680000000000001"/>
    <n v="4.2119"/>
    <n v="1"/>
    <n v="222"/>
    <s v="POLAND PL"/>
  </r>
  <r>
    <s v="BKMILL"/>
    <n v="155911"/>
    <n v="215820"/>
    <s v="Forward"/>
    <x v="155"/>
    <s v="Sell Fwd"/>
    <s v="USD"/>
    <n v="-91794.6"/>
    <s v="PLN"/>
    <n v="332838.03999999998"/>
    <s v="2026-01-09"/>
    <n v="3.6259000000000001"/>
    <n v="0.27579999999999999"/>
    <n v="3.6070000000000002"/>
    <n v="1"/>
    <n v="1734.9177999999999"/>
    <s v="POLAND PL"/>
  </r>
  <r>
    <s v="BKMILL"/>
    <n v="155912"/>
    <n v="215823"/>
    <s v="Forward"/>
    <x v="366"/>
    <s v="Sell Fwd"/>
    <s v="USD"/>
    <n v="-24480"/>
    <s v="PLN"/>
    <n v="88992.14"/>
    <s v="2026-01-09"/>
    <n v="3.6353"/>
    <n v="0.27510000000000001"/>
    <n v="3.6070000000000002"/>
    <n v="1"/>
    <n v="692.78"/>
    <s v="POLAND PL"/>
  </r>
  <r>
    <s v="BKMILL"/>
    <n v="155914"/>
    <n v="215828"/>
    <s v="Forward"/>
    <x v="367"/>
    <s v="Sell Fwd"/>
    <s v="EUR"/>
    <n v="-24000"/>
    <s v="PLN"/>
    <n v="101592"/>
    <s v="2026-01-09"/>
    <n v="4.2329999999999997"/>
    <n v="0.23619999999999999"/>
    <n v="4.2119"/>
    <n v="1"/>
    <n v="506.4"/>
    <s v="POLAND PL"/>
  </r>
  <r>
    <s v="BKMILL"/>
    <n v="155915"/>
    <n v="215830"/>
    <s v="Forward"/>
    <x v="28"/>
    <s v="Buy Fwd"/>
    <s v="EUR"/>
    <n v="160629"/>
    <s v="PLN"/>
    <n v="676248.09"/>
    <s v="2026-01-09"/>
    <n v="4.2107999999999999"/>
    <n v="0.23749999999999999"/>
    <n v="4.2119"/>
    <n v="1"/>
    <n v="1352801.3751000001"/>
    <s v="POLAND PL"/>
  </r>
  <r>
    <s v="BKMILL"/>
    <n v="155916"/>
    <n v="215831"/>
    <s v="Forward"/>
    <x v="368"/>
    <s v="Sell Fwd"/>
    <s v="EUR"/>
    <n v="-1500000"/>
    <s v="PLN"/>
    <n v="6328500"/>
    <s v="2026-01-09"/>
    <n v="4.2198000000000002"/>
    <n v="0.23699999999999999"/>
    <n v="4.2119"/>
    <n v="1"/>
    <n v="10650"/>
    <s v="POLAND PL"/>
  </r>
  <r>
    <s v="BKMILL"/>
    <n v="155917"/>
    <n v="215834"/>
    <s v="Forward"/>
    <x v="107"/>
    <s v="Buy Fwd"/>
    <s v="USD"/>
    <n v="300000"/>
    <s v="PLN"/>
    <n v="1083480"/>
    <s v="2026-01-09"/>
    <n v="3.6120999999999999"/>
    <n v="0.27679999999999999"/>
    <n v="3.6070000000000002"/>
    <n v="1"/>
    <n v="2165580"/>
    <s v="POLAND PL"/>
  </r>
  <r>
    <s v="BKMILL"/>
    <n v="155919"/>
    <n v="215837"/>
    <s v="Forward"/>
    <x v="64"/>
    <s v="Sell Fwd"/>
    <s v="EUR"/>
    <n v="-30000"/>
    <s v="PLN"/>
    <n v="126540"/>
    <s v="2026-01-09"/>
    <n v="4.218"/>
    <n v="0.23710000000000001"/>
    <n v="4.2119"/>
    <n v="1"/>
    <n v="183"/>
    <s v="POLAND PL"/>
  </r>
  <r>
    <s v="BKMILL"/>
    <n v="155920"/>
    <n v="893108"/>
    <s v="Spot"/>
    <x v="40"/>
    <s v="Sell"/>
    <s v="EUR"/>
    <n v="-100000"/>
    <s v="AUD"/>
    <n v="174248"/>
    <s v="2026-01-13"/>
    <n v="1.7424999999999999"/>
    <n v="0.57389999999999997"/>
    <n v="4.2096999999999998"/>
    <n v="2.4167000000000001"/>
    <n v="135.14160000000001"/>
    <s v="UNITED STATES OF AMERICA US"/>
  </r>
  <r>
    <s v="BKMILL"/>
    <n v="155921"/>
    <n v="215841"/>
    <s v="Forward"/>
    <x v="369"/>
    <s v="Buy Fwd"/>
    <s v="EUR"/>
    <n v="33000"/>
    <s v="PLN"/>
    <n v="138666"/>
    <s v="2026-01-09"/>
    <n v="4.202"/>
    <n v="0.23799999999999999"/>
    <n v="4.2119"/>
    <n v="1"/>
    <n v="277658.7"/>
    <s v="POLAND PL"/>
  </r>
  <r>
    <s v="BKMILL"/>
    <n v="155927"/>
    <n v="215848"/>
    <s v="Forward"/>
    <x v="370"/>
    <s v="Buy Fwd"/>
    <s v="EUR"/>
    <n v="140000"/>
    <s v="PLN"/>
    <n v="588840"/>
    <s v="2026-01-09"/>
    <n v="4.2060000000000004"/>
    <n v="0.23780000000000001"/>
    <n v="4.2119"/>
    <n v="1"/>
    <n v="1178506"/>
    <s v="POLAND PL"/>
  </r>
  <r>
    <s v="BKMILL"/>
    <n v="155931"/>
    <n v="215853"/>
    <s v="Forward"/>
    <x v="139"/>
    <s v="Buy Fwd"/>
    <s v="EUR"/>
    <n v="192327.2"/>
    <s v="PLN"/>
    <n v="808793.57"/>
    <s v="2026-01-09"/>
    <n v="4.2061999999999999"/>
    <n v="0.23769999999999999"/>
    <n v="4.2119"/>
    <n v="1"/>
    <n v="1618856.5036800001"/>
    <s v="POLAND PL"/>
  </r>
  <r>
    <s v="BKMILL"/>
    <n v="155932"/>
    <n v="893155"/>
    <s v="Spot"/>
    <x v="41"/>
    <s v="Sell"/>
    <s v="EUR"/>
    <n v="-500000"/>
    <s v="PLN"/>
    <n v="2106350"/>
    <s v="2026-01-13"/>
    <n v="4.2126999999999999"/>
    <n v="0.2374"/>
    <n v="4.2096999999999998"/>
    <n v="1"/>
    <n v="1500"/>
    <s v="GERMANY DE"/>
  </r>
  <r>
    <s v="BKMILL"/>
    <n v="155933"/>
    <n v="215855"/>
    <s v="Forward"/>
    <x v="186"/>
    <s v="Sell Fwd"/>
    <s v="EUR"/>
    <n v="-99903.02"/>
    <s v="USD"/>
    <n v="116327.08"/>
    <s v="2026-01-09"/>
    <n v="1.1654"/>
    <n v="0.85809999999999997"/>
    <n v="4.2119"/>
    <n v="3.6070000000000002"/>
    <n v="-1189.7523779999999"/>
    <s v="POLAND PL"/>
  </r>
  <r>
    <s v="BKMILL"/>
    <n v="155934"/>
    <n v="893163"/>
    <s v="Spot"/>
    <x v="56"/>
    <s v="Buy"/>
    <s v="EUR"/>
    <n v="50000"/>
    <s v="PLN"/>
    <n v="-210310"/>
    <s v="2026-01-13"/>
    <n v="4.2061999999999999"/>
    <n v="0.23769999999999999"/>
    <n v="4.2096999999999998"/>
    <n v="1"/>
    <n v="175"/>
    <s v="POLAND PL"/>
  </r>
  <r>
    <s v="BKMILL"/>
    <n v="155935"/>
    <n v="215856"/>
    <s v="Forward"/>
    <x v="139"/>
    <s v="Buy Fwd"/>
    <s v="EUR"/>
    <n v="73470"/>
    <s v="PLN"/>
    <n v="308956.03999999998"/>
    <s v="2026-01-09"/>
    <n v="4.2061000000000002"/>
    <n v="0.23769999999999999"/>
    <n v="4.2119"/>
    <n v="1"/>
    <n v="618404.33299999998"/>
    <s v="POLAND PL"/>
  </r>
  <r>
    <s v="BKMILL"/>
    <n v="155936"/>
    <n v="893167"/>
    <s v="Spot"/>
    <x v="56"/>
    <s v="Buy"/>
    <s v="EUR"/>
    <n v="20000"/>
    <s v="PLN"/>
    <n v="-84120"/>
    <s v="2026-01-13"/>
    <n v="4.2060000000000004"/>
    <n v="0.23780000000000001"/>
    <n v="4.2096999999999998"/>
    <n v="1"/>
    <n v="74"/>
    <s v="POLAND PL"/>
  </r>
  <r>
    <s v="BKMILL"/>
    <n v="155937"/>
    <n v="215857"/>
    <s v="Forward"/>
    <x v="139"/>
    <s v="Buy Fwd"/>
    <s v="EUR"/>
    <n v="72720"/>
    <s v="PLN"/>
    <n v="305794.87"/>
    <s v="2026-01-09"/>
    <n v="4.2060000000000004"/>
    <n v="0.23780000000000001"/>
    <n v="4.2119"/>
    <n v="1"/>
    <n v="612084.23800000001"/>
    <s v="POLAND PL"/>
  </r>
  <r>
    <s v="BKMILL"/>
    <n v="155939"/>
    <n v="893171"/>
    <s v="Spot"/>
    <x v="41"/>
    <s v="Sell"/>
    <s v="EUR"/>
    <n v="-500000"/>
    <s v="PLN"/>
    <n v="2106150"/>
    <s v="2026-01-13"/>
    <n v="4.2122999999999999"/>
    <n v="0.2374"/>
    <n v="4.2096999999999998"/>
    <n v="1"/>
    <n v="1300"/>
    <s v="GERMANY DE"/>
  </r>
  <r>
    <s v="BKMILL"/>
    <n v="155940"/>
    <n v="215860"/>
    <s v="Forward"/>
    <x v="32"/>
    <s v="Sell Fwd"/>
    <s v="EUR"/>
    <n v="-10000"/>
    <s v="PLN"/>
    <n v="42145"/>
    <s v="2026-01-09"/>
    <n v="4.2153999999999998"/>
    <n v="0.23719999999999999"/>
    <n v="4.2119"/>
    <n v="1"/>
    <n v="26"/>
    <s v="POLAND PL"/>
  </r>
  <r>
    <s v="BKMILL"/>
    <n v="155941"/>
    <n v="215861"/>
    <s v="Forward"/>
    <x v="32"/>
    <s v="Sell Fwd"/>
    <s v="EUR"/>
    <n v="-10000"/>
    <s v="PLN"/>
    <n v="42145"/>
    <s v="2026-01-09"/>
    <n v="4.2153999999999998"/>
    <n v="0.23719999999999999"/>
    <n v="4.2119"/>
    <n v="1"/>
    <n v="26"/>
    <s v="POLAND PL"/>
  </r>
  <r>
    <s v="BKMILL"/>
    <n v="155942"/>
    <n v="215862"/>
    <s v="Forward"/>
    <x v="371"/>
    <s v="Buy Fwd"/>
    <s v="EUR"/>
    <n v="8613.26"/>
    <s v="USD"/>
    <n v="9999.99"/>
    <s v="2026-01-09"/>
    <n v="1.1615"/>
    <n v="0.86099999999999999"/>
    <n v="4.2119"/>
    <n v="3.6070000000000002"/>
    <n v="72348.153724000003"/>
    <s v="POLAND PL"/>
  </r>
  <r>
    <s v="BKMILL"/>
    <n v="155943"/>
    <n v="215865"/>
    <s v="Forward"/>
    <x v="372"/>
    <s v="Sell Fwd"/>
    <s v="USD"/>
    <n v="-10000"/>
    <s v="PLN"/>
    <n v="36300"/>
    <s v="2026-01-09"/>
    <n v="3.6305000000000001"/>
    <n v="0.27539999999999998"/>
    <n v="3.6070000000000002"/>
    <n v="1"/>
    <n v="230"/>
    <s v="POLAND PL"/>
  </r>
  <r>
    <s v="BKMILL"/>
    <n v="155944"/>
    <n v="893197"/>
    <s v="Spot"/>
    <x v="41"/>
    <s v="Sell"/>
    <s v="EUR"/>
    <n v="-500000"/>
    <s v="PLN"/>
    <n v="2106200"/>
    <s v="2026-01-13"/>
    <n v="4.2123999999999997"/>
    <n v="0.2374"/>
    <n v="4.2096999999999998"/>
    <n v="1"/>
    <n v="1350"/>
    <s v="GERMANY DE"/>
  </r>
  <r>
    <s v="BKMILL"/>
    <n v="155946"/>
    <n v="215873"/>
    <s v="Forward"/>
    <x v="373"/>
    <s v="Sell Fwd"/>
    <s v="USD"/>
    <n v="-120000"/>
    <s v="PLN"/>
    <n v="434760"/>
    <s v="2026-01-09"/>
    <n v="3.6230000000000002"/>
    <n v="0.27600000000000002"/>
    <n v="3.6070000000000002"/>
    <n v="1"/>
    <n v="1920"/>
    <s v="POLAND PL"/>
  </r>
  <r>
    <s v="BKMILL"/>
    <n v="155947"/>
    <n v="215874"/>
    <s v="Forward"/>
    <x v="77"/>
    <s v="Buy Fwd"/>
    <s v="EUR"/>
    <n v="50000"/>
    <s v="PLN"/>
    <n v="210050"/>
    <s v="2026-01-09"/>
    <n v="4.2018000000000004"/>
    <n v="0.23799999999999999"/>
    <n v="4.2119"/>
    <n v="1"/>
    <n v="420645"/>
    <s v="POLAND PL"/>
  </r>
  <r>
    <s v="BKMILL"/>
    <n v="155948"/>
    <n v="893228"/>
    <s v="Spot"/>
    <x v="41"/>
    <s v="Sell"/>
    <s v="EUR"/>
    <n v="-500000"/>
    <s v="PLN"/>
    <n v="2106100"/>
    <s v="2026-01-13"/>
    <n v="4.2122000000000002"/>
    <n v="0.2374"/>
    <n v="4.2096999999999998"/>
    <n v="1"/>
    <n v="1250"/>
    <s v="GERMANY DE"/>
  </r>
  <r>
    <s v="BKMILL"/>
    <n v="155949"/>
    <n v="215876"/>
    <s v="Forward"/>
    <x v="74"/>
    <s v="Buy Fwd"/>
    <s v="EUR"/>
    <n v="100000"/>
    <s v="PLN"/>
    <n v="419500"/>
    <s v="2026-01-09"/>
    <n v="4.1950000000000003"/>
    <n v="0.2384"/>
    <n v="4.2119"/>
    <n v="1"/>
    <n v="840690"/>
    <s v="POLAND PL"/>
  </r>
  <r>
    <s v="BKMILL"/>
    <n v="155950"/>
    <n v="215877"/>
    <s v="Forward"/>
    <x v="374"/>
    <s v="Buy Fwd"/>
    <s v="EUR"/>
    <n v="39000"/>
    <s v="PLN"/>
    <n v="163878"/>
    <s v="2026-01-09"/>
    <n v="4.2027999999999999"/>
    <n v="0.2379"/>
    <n v="4.2119"/>
    <n v="1"/>
    <n v="328142.09999999998"/>
    <s v="POLAND PL"/>
  </r>
  <r>
    <s v="BKMILL"/>
    <n v="155951"/>
    <n v="215878"/>
    <s v="Forward"/>
    <x v="255"/>
    <s v="Buy Fwd"/>
    <s v="EUR"/>
    <n v="75500"/>
    <s v="PLN"/>
    <n v="317719.09999999998"/>
    <s v="2026-01-09"/>
    <n v="4.2091000000000003"/>
    <n v="0.23760000000000001"/>
    <n v="4.2119"/>
    <n v="1"/>
    <n v="635717.55000000005"/>
    <s v="POLAND PL"/>
  </r>
  <r>
    <s v="BKMILL"/>
    <n v="155952"/>
    <n v="215879"/>
    <s v="Forward"/>
    <x v="374"/>
    <s v="Buy Fwd"/>
    <s v="USD"/>
    <n v="39000"/>
    <s v="PLN"/>
    <n v="140634"/>
    <s v="2026-01-09"/>
    <n v="3.6061000000000001"/>
    <n v="0.27729999999999999"/>
    <n v="3.6070000000000002"/>
    <n v="1"/>
    <n v="281307"/>
    <s v="POLAND PL"/>
  </r>
  <r>
    <s v="BKMILL"/>
    <n v="155953"/>
    <n v="893245"/>
    <s v="Spot"/>
    <x v="38"/>
    <s v="Sell"/>
    <s v="EUR"/>
    <n v="-1000000"/>
    <s v="PLN"/>
    <n v="4212610"/>
    <s v="2026-01-13"/>
    <n v="4.2126000000000001"/>
    <n v="0.2374"/>
    <n v="4.2096999999999998"/>
    <n v="1"/>
    <n v="2910"/>
    <s v="NETHERLANDS NL"/>
  </r>
  <r>
    <s v="BKMILL"/>
    <n v="155954"/>
    <n v="893249"/>
    <s v="Spot"/>
    <x v="40"/>
    <s v="Buy"/>
    <s v="EUR"/>
    <n v="500000"/>
    <s v="USD"/>
    <n v="-582205"/>
    <s v="2026-01-13"/>
    <n v="1.1644000000000001"/>
    <n v="0.85880000000000001"/>
    <n v="4.2096999999999998"/>
    <n v="3.6036999999999999"/>
    <n v="6757.8415000000005"/>
    <s v="UNITED STATES OF AMERICA US"/>
  </r>
  <r>
    <s v="BKMILL"/>
    <n v="155955"/>
    <n v="215885"/>
    <s v="Forward"/>
    <x v="139"/>
    <s v="Buy Fwd"/>
    <s v="EUR"/>
    <n v="252745.60000000001"/>
    <s v="PLN"/>
    <n v="1062972.17"/>
    <s v="2026-01-09"/>
    <n v="4.2065999999999999"/>
    <n v="0.23769999999999999"/>
    <n v="4.2119"/>
    <n v="1"/>
    <n v="2127511.3626399999"/>
    <s v="POLAND PL"/>
  </r>
  <r>
    <s v="BKMILL"/>
    <n v="155956"/>
    <n v="215886"/>
    <s v="Forward"/>
    <x v="267"/>
    <s v="Buy Fwd"/>
    <s v="EUR"/>
    <n v="26000"/>
    <s v="PLN"/>
    <n v="108810"/>
    <s v="2026-01-09"/>
    <n v="4.1849999999999996"/>
    <n v="0.2389"/>
    <n v="4.2119"/>
    <n v="1"/>
    <n v="218319.4"/>
    <s v="POLAND PL"/>
  </r>
  <r>
    <s v="BKMILL"/>
    <n v="155960"/>
    <n v="215888"/>
    <s v="Forward"/>
    <x v="32"/>
    <s v="Sell Fwd"/>
    <s v="EUR"/>
    <n v="-10000"/>
    <s v="PLN"/>
    <n v="42149"/>
    <s v="2026-01-09"/>
    <n v="4.2157"/>
    <n v="0.23719999999999999"/>
    <n v="4.2119"/>
    <n v="1"/>
    <n v="30"/>
    <s v="POLAND PL"/>
  </r>
  <r>
    <s v="BKMILL"/>
    <n v="155961"/>
    <n v="215889"/>
    <s v="Forward"/>
    <x v="375"/>
    <s v="Buy Fwd"/>
    <s v="EUR"/>
    <n v="5700"/>
    <s v="PLN"/>
    <n v="23940"/>
    <s v="2026-01-09"/>
    <n v="4.2008000000000001"/>
    <n v="0.23799999999999999"/>
    <n v="4.2119"/>
    <n v="1"/>
    <n v="47947.83"/>
    <s v="POLAND PL"/>
  </r>
  <r>
    <s v="BKMILL"/>
    <n v="155963"/>
    <n v="215891"/>
    <s v="Forward"/>
    <x v="32"/>
    <s v="Sell Fwd"/>
    <s v="EUR"/>
    <n v="-10000"/>
    <s v="PLN"/>
    <n v="42150"/>
    <s v="2026-01-09"/>
    <n v="4.2157999999999998"/>
    <n v="0.23719999999999999"/>
    <n v="4.2119"/>
    <n v="1"/>
    <n v="31"/>
    <s v="POLAND PL"/>
  </r>
  <r>
    <s v="BKMILL"/>
    <n v="155964"/>
    <n v="215892"/>
    <s v="Forward"/>
    <x v="204"/>
    <s v="Buy Fwd"/>
    <s v="EUR"/>
    <n v="100000"/>
    <s v="PLN"/>
    <n v="420500"/>
    <s v="2026-01-09"/>
    <n v="4.2050000000000001"/>
    <n v="0.23780000000000001"/>
    <n v="4.2119"/>
    <n v="1"/>
    <n v="841690"/>
    <s v="POLAND PL"/>
  </r>
  <r>
    <s v="BKMILL"/>
    <n v="155965"/>
    <n v="215893"/>
    <s v="Forward"/>
    <x v="32"/>
    <s v="Sell Fwd"/>
    <s v="EUR"/>
    <n v="-10000"/>
    <s v="PLN"/>
    <n v="42154"/>
    <s v="2026-01-09"/>
    <n v="4.2161999999999997"/>
    <n v="0.23719999999999999"/>
    <n v="4.2119"/>
    <n v="1"/>
    <n v="35"/>
    <s v="POLAND PL"/>
  </r>
  <r>
    <s v="BKMILL"/>
    <n v="155967"/>
    <n v="215895"/>
    <s v="Forward"/>
    <x v="376"/>
    <s v="Buy Fwd"/>
    <s v="EUR"/>
    <n v="200000"/>
    <s v="PLN"/>
    <n v="840000"/>
    <s v="2026-01-09"/>
    <n v="4.2"/>
    <n v="0.23810000000000001"/>
    <n v="4.2119"/>
    <n v="1"/>
    <n v="1682380"/>
    <s v="POLAND PL"/>
  </r>
  <r>
    <s v="BKMILL"/>
    <n v="155969"/>
    <n v="215896"/>
    <s v="Forward"/>
    <x v="377"/>
    <s v="Buy Fwd"/>
    <s v="EUR"/>
    <n v="315000"/>
    <s v="PLN"/>
    <n v="1326150"/>
    <s v="2026-01-09"/>
    <n v="4.21"/>
    <n v="0.23749999999999999"/>
    <n v="4.2119"/>
    <n v="1"/>
    <n v="2652898.5"/>
    <s v="POLAND PL"/>
  </r>
  <r>
    <s v="BKMILL"/>
    <n v="155970"/>
    <n v="215898"/>
    <s v="Forward"/>
    <x v="206"/>
    <s v="Buy Fwd"/>
    <s v="EUR"/>
    <n v="50000"/>
    <s v="PLN"/>
    <n v="209000"/>
    <s v="2026-01-09"/>
    <n v="4.18"/>
    <n v="0.2392"/>
    <n v="4.2119"/>
    <n v="1"/>
    <n v="419595"/>
    <s v="POLAND PL"/>
  </r>
  <r>
    <s v="BKMILL"/>
    <n v="155973"/>
    <n v="893316"/>
    <s v="Spot"/>
    <x v="47"/>
    <s v="Sell"/>
    <s v="USD"/>
    <n v="-1000000"/>
    <s v="PLN"/>
    <n v="3618800"/>
    <s v="2026-01-13"/>
    <n v="3.6187999999999998"/>
    <n v="0.27629999999999999"/>
    <n v="3.6036999999999999"/>
    <n v="1"/>
    <n v="15100"/>
    <s v="FRANCE FR"/>
  </r>
  <r>
    <s v="BKMILL"/>
    <n v="155975"/>
    <n v="215911"/>
    <s v="Forward"/>
    <x v="32"/>
    <s v="Sell Fwd"/>
    <s v="EUR"/>
    <n v="-10000"/>
    <s v="PLN"/>
    <n v="42156"/>
    <s v="2026-01-09"/>
    <n v="4.2164000000000001"/>
    <n v="0.23719999999999999"/>
    <n v="4.2119"/>
    <n v="1"/>
    <n v="37"/>
    <s v="POLAND PL"/>
  </r>
  <r>
    <s v="BKMILL"/>
    <n v="155976"/>
    <n v="893348"/>
    <s v="Spot"/>
    <x v="41"/>
    <s v="Sell"/>
    <s v="EUR"/>
    <n v="-500000"/>
    <s v="PLN"/>
    <n v="2106750"/>
    <s v="2026-01-13"/>
    <n v="4.2134999999999998"/>
    <n v="0.23730000000000001"/>
    <n v="4.2096999999999998"/>
    <n v="1"/>
    <n v="1900"/>
    <s v="GERMANY DE"/>
  </r>
  <r>
    <s v="BKMILL"/>
    <n v="155977"/>
    <n v="215912"/>
    <s v="Forward"/>
    <x v="378"/>
    <s v="Buy Fwd"/>
    <s v="EUR"/>
    <n v="100000"/>
    <s v="PLN"/>
    <n v="417800"/>
    <s v="2026-01-09"/>
    <n v="4.1779999999999999"/>
    <n v="0.23930000000000001"/>
    <n v="4.2119"/>
    <n v="1"/>
    <n v="838990"/>
    <s v="POLAND PL"/>
  </r>
  <r>
    <s v="BKMILL"/>
    <n v="155979"/>
    <n v="215913"/>
    <s v="Forward"/>
    <x v="378"/>
    <s v="Buy Fwd"/>
    <s v="CHF"/>
    <n v="21550"/>
    <s v="PLN"/>
    <n v="96867.25"/>
    <s v="2026-01-09"/>
    <n v="4.4950000000000001"/>
    <n v="0.2225"/>
    <n v="4.5228000000000002"/>
    <n v="1"/>
    <n v="194333.59"/>
    <s v="POLAND PL"/>
  </r>
  <r>
    <s v="BKMILL"/>
    <n v="155986"/>
    <n v="215926"/>
    <s v="Forward"/>
    <x v="379"/>
    <s v="Buy Fwd"/>
    <s v="EUR"/>
    <n v="25000"/>
    <s v="PLN"/>
    <n v="105000"/>
    <s v="2026-01-09"/>
    <n v="4.2008000000000001"/>
    <n v="0.23799999999999999"/>
    <n v="4.2119"/>
    <n v="1"/>
    <n v="210297.5"/>
    <s v="POLAND PL"/>
  </r>
  <r>
    <s v="BKMILL"/>
    <n v="155988"/>
    <n v="215927"/>
    <s v="Forward"/>
    <x v="380"/>
    <s v="Sell Fwd"/>
    <s v="USD"/>
    <n v="-64500"/>
    <s v="PLN"/>
    <n v="233748"/>
    <s v="2026-01-09"/>
    <n v="3.6240000000000001"/>
    <n v="0.27589999999999998"/>
    <n v="3.6070000000000002"/>
    <n v="1"/>
    <n v="1096.5"/>
    <s v="POLAND PL"/>
  </r>
  <r>
    <s v="BKMILL"/>
    <n v="155991"/>
    <n v="893403"/>
    <s v="Spot"/>
    <x v="41"/>
    <s v="Sell"/>
    <s v="EUR"/>
    <n v="-500000"/>
    <s v="PLN"/>
    <n v="2106150"/>
    <s v="2026-01-13"/>
    <n v="4.2122999999999999"/>
    <n v="0.2374"/>
    <n v="4.2096999999999998"/>
    <n v="1"/>
    <n v="1300"/>
    <s v="GERMANY DE"/>
  </r>
  <r>
    <s v="BKMILL"/>
    <n v="155992"/>
    <n v="893407"/>
    <s v="Spot"/>
    <x v="38"/>
    <s v="Sell"/>
    <s v="EUR"/>
    <n v="-1000000"/>
    <s v="PLN"/>
    <n v="4212400"/>
    <s v="2026-01-13"/>
    <n v="4.2123999999999997"/>
    <n v="0.2374"/>
    <n v="4.2096999999999998"/>
    <n v="1"/>
    <n v="2700"/>
    <s v="NETHERLANDS NL"/>
  </r>
  <r>
    <s v="BKMILL"/>
    <n v="155993"/>
    <n v="215929"/>
    <s v="Forward"/>
    <x v="128"/>
    <s v="Buy Fwd"/>
    <s v="EUR"/>
    <n v="398879.34"/>
    <s v="PLN"/>
    <n v="1680000"/>
    <s v="2026-01-09"/>
    <n v="4.2104999999999997"/>
    <n v="0.23749999999999999"/>
    <n v="4.2119"/>
    <n v="1"/>
    <n v="3360039.8921460002"/>
    <s v="POLAND PL"/>
  </r>
  <r>
    <s v="BKMILL"/>
    <n v="155995"/>
    <n v="215932"/>
    <s v="Forward"/>
    <x v="381"/>
    <s v="Buy Fwd"/>
    <s v="EUR"/>
    <n v="200000"/>
    <s v="PLN"/>
    <n v="842100"/>
    <s v="2026-01-09"/>
    <n v="4.2104999999999997"/>
    <n v="0.23749999999999999"/>
    <n v="4.2119"/>
    <n v="1"/>
    <n v="1684480"/>
    <s v="POLAND PL"/>
  </r>
  <r>
    <s v="BKMILL"/>
    <n v="155997"/>
    <n v="893424"/>
    <s v="Spot"/>
    <x v="44"/>
    <s v="Buy"/>
    <s v="USD"/>
    <n v="1000000"/>
    <s v="PLN"/>
    <n v="-3617270"/>
    <s v="2026-01-13"/>
    <n v="3.6173000000000002"/>
    <n v="0.27650000000000002"/>
    <n v="3.6036999999999999"/>
    <n v="1"/>
    <n v="-13570"/>
    <s v="GERMANY DE"/>
  </r>
  <r>
    <s v="BKMILL"/>
    <n v="155998"/>
    <n v="215935"/>
    <s v="Forward"/>
    <x v="382"/>
    <s v="Sell Fwd"/>
    <s v="USD"/>
    <n v="-956000"/>
    <s v="PLN"/>
    <n v="3459764"/>
    <s v="2026-01-09"/>
    <n v="3.6190000000000002"/>
    <n v="0.27629999999999999"/>
    <n v="3.6070000000000002"/>
    <n v="1"/>
    <n v="11472"/>
    <s v="POLAND PL"/>
  </r>
  <r>
    <s v="BKMILL"/>
    <n v="156000"/>
    <n v="215937"/>
    <s v="Forward"/>
    <x v="170"/>
    <s v="Buy Fwd"/>
    <s v="EUR"/>
    <n v="50000"/>
    <s v="PLN"/>
    <n v="210380"/>
    <s v="2026-01-09"/>
    <n v="4.2084999999999999"/>
    <n v="0.23760000000000001"/>
    <n v="4.2119"/>
    <n v="1"/>
    <n v="420975"/>
    <s v="POLAND PL"/>
  </r>
  <r>
    <s v="BKMILL"/>
    <n v="156001"/>
    <n v="215939"/>
    <s v="Forward"/>
    <x v="32"/>
    <s v="Sell Fwd"/>
    <s v="EUR"/>
    <n v="-10000"/>
    <s v="PLN"/>
    <n v="42136"/>
    <s v="2026-01-09"/>
    <n v="4.2144000000000004"/>
    <n v="0.23730000000000001"/>
    <n v="4.2119"/>
    <n v="1"/>
    <n v="17"/>
    <s v="POLAND PL"/>
  </r>
  <r>
    <s v="BKMILL"/>
    <n v="156003"/>
    <n v="215941"/>
    <s v="Forward"/>
    <x v="130"/>
    <s v="Buy Fwd"/>
    <s v="EUR"/>
    <n v="30000"/>
    <s v="PLN"/>
    <n v="125760"/>
    <s v="2026-01-09"/>
    <n v="4.1920000000000002"/>
    <n v="0.23849999999999999"/>
    <n v="4.2119"/>
    <n v="1"/>
    <n v="252117"/>
    <s v="POLAND PL"/>
  </r>
  <r>
    <s v="BKMILL"/>
    <n v="156004"/>
    <n v="215942"/>
    <s v="Forward"/>
    <x v="383"/>
    <s v="Sell Fwd"/>
    <s v="EUR"/>
    <n v="-142000"/>
    <s v="PLN"/>
    <n v="599098"/>
    <s v="2026-01-09"/>
    <n v="4.2190000000000003"/>
    <n v="0.23699999999999999"/>
    <n v="4.2119"/>
    <n v="1"/>
    <n v="1008.2"/>
    <s v="POLAND PL"/>
  </r>
  <r>
    <s v="BKMILL"/>
    <n v="156005"/>
    <n v="215943"/>
    <s v="Forward"/>
    <x v="384"/>
    <s v="Sell Fwd"/>
    <s v="EUR"/>
    <n v="-85000"/>
    <s v="PLN"/>
    <n v="358190"/>
    <s v="2026-01-09"/>
    <n v="4.2140000000000004"/>
    <n v="0.23730000000000001"/>
    <n v="4.2119"/>
    <n v="1"/>
    <n v="178.5"/>
    <s v="POLAND PL"/>
  </r>
  <r>
    <s v="BKMILL"/>
    <n v="156006"/>
    <n v="215944"/>
    <s v="Forward"/>
    <x v="385"/>
    <s v="Sell Fwd"/>
    <s v="EUR"/>
    <n v="-30000"/>
    <s v="PLN"/>
    <n v="126750"/>
    <s v="2026-01-09"/>
    <n v="4.2257999999999996"/>
    <n v="0.2366"/>
    <n v="4.2119"/>
    <n v="1"/>
    <n v="393"/>
    <s v="POLAND PL"/>
  </r>
  <r>
    <s v="BKMILL"/>
    <n v="156007"/>
    <n v="215945"/>
    <s v="Forward"/>
    <x v="267"/>
    <s v="Buy Fwd"/>
    <s v="EUR"/>
    <n v="2061.5"/>
    <s v="USD"/>
    <n v="2400"/>
    <s v="2026-01-09"/>
    <n v="1.151"/>
    <n v="0.86880000000000002"/>
    <n v="4.2119"/>
    <n v="3.6070000000000002"/>
    <n v="17339.631850000002"/>
    <s v="POLAND PL"/>
  </r>
  <r>
    <s v="BKMILL"/>
    <n v="156008"/>
    <n v="893476"/>
    <s v="Spot"/>
    <x v="40"/>
    <s v="Buy"/>
    <s v="EUR"/>
    <n v="150000"/>
    <s v="GBP"/>
    <n v="-130264.5"/>
    <s v="2026-01-13"/>
    <n v="0.86839999999999995"/>
    <n v="1.1515"/>
    <n v="4.2096999999999998"/>
    <n v="4.8482000000000003"/>
    <n v="-93.3489"/>
    <s v="UNITED STATES OF AMERICA US"/>
  </r>
  <r>
    <s v="BKMILL"/>
    <n v="156009"/>
    <n v="215948"/>
    <s v="Forward"/>
    <x v="123"/>
    <s v="Sell Fwd"/>
    <s v="USD"/>
    <n v="-62000"/>
    <s v="PLN"/>
    <n v="224514.4"/>
    <s v="2026-01-09"/>
    <n v="3.6212"/>
    <n v="0.2762"/>
    <n v="3.6070000000000002"/>
    <n v="1"/>
    <n v="880.4"/>
    <s v="POLAND PL"/>
  </r>
  <r>
    <s v="BKMILL"/>
    <n v="156010"/>
    <n v="215949"/>
    <s v="Forward"/>
    <x v="127"/>
    <s v="Buy Fwd"/>
    <s v="EUR"/>
    <n v="35000"/>
    <s v="PLN"/>
    <n v="147234.5"/>
    <s v="2026-01-09"/>
    <n v="4.2076000000000002"/>
    <n v="0.23769999999999999"/>
    <n v="4.2119"/>
    <n v="1"/>
    <n v="294651"/>
    <s v="POLAND PL"/>
  </r>
  <r>
    <s v="BKMILL"/>
    <n v="156012"/>
    <n v="215952"/>
    <s v="Forward"/>
    <x v="133"/>
    <s v="Buy Fwd"/>
    <s v="EUR"/>
    <n v="50000"/>
    <s v="PLN"/>
    <n v="210350"/>
    <s v="2026-01-09"/>
    <n v="4.2077999999999998"/>
    <n v="0.23769999999999999"/>
    <n v="4.2119"/>
    <n v="1"/>
    <n v="420945"/>
    <s v="POLAND PL"/>
  </r>
  <r>
    <s v="BKMILL"/>
    <n v="156014"/>
    <n v="215955"/>
    <s v="Forward"/>
    <x v="216"/>
    <s v="Buy Fwd"/>
    <s v="EUR"/>
    <n v="80000"/>
    <s v="USD"/>
    <n v="92960"/>
    <s v="2026-01-09"/>
    <n v="1.1619999999999999"/>
    <n v="0.86060000000000003"/>
    <n v="4.2119"/>
    <n v="3.6070000000000002"/>
    <n v="672258.72"/>
    <s v="POLAND PL"/>
  </r>
  <r>
    <s v="BKMILL"/>
    <n v="156015"/>
    <n v="215958"/>
    <s v="Forward"/>
    <x v="386"/>
    <s v="Buy Fwd"/>
    <s v="EUR"/>
    <n v="245000"/>
    <s v="PLN"/>
    <n v="1030225"/>
    <s v="2026-01-09"/>
    <n v="4.2050000000000001"/>
    <n v="0.23780000000000001"/>
    <n v="4.2119"/>
    <n v="1"/>
    <n v="2062140.5"/>
    <s v="POLAND PL"/>
  </r>
  <r>
    <s v="BKMILL"/>
    <n v="156016"/>
    <n v="215959"/>
    <s v="Forward"/>
    <x v="387"/>
    <s v="Buy Fwd"/>
    <s v="EUR"/>
    <n v="5000"/>
    <s v="PLN"/>
    <n v="21030"/>
    <s v="2026-01-09"/>
    <n v="4.2060000000000004"/>
    <n v="0.23780000000000001"/>
    <n v="4.2119"/>
    <n v="1"/>
    <n v="42089.5"/>
    <s v="POLAND PL"/>
  </r>
  <r>
    <s v="BKMILL"/>
    <n v="156017"/>
    <n v="215960"/>
    <s v="Forward"/>
    <x v="131"/>
    <s v="Sell Fwd"/>
    <s v="USD"/>
    <n v="-5724"/>
    <s v="PLN"/>
    <n v="20722.02"/>
    <s v="2026-01-09"/>
    <n v="3.6202999999999999"/>
    <n v="0.2762"/>
    <n v="3.6070000000000002"/>
    <n v="1"/>
    <n v="75.552000000000007"/>
    <s v="POLAND PL"/>
  </r>
  <r>
    <s v="BKMILL"/>
    <n v="156018"/>
    <n v="893529"/>
    <s v="Spot"/>
    <x v="38"/>
    <s v="Sell"/>
    <s v="EUR"/>
    <n v="-1000000"/>
    <s v="PLN"/>
    <n v="4211080"/>
    <s v="2026-01-13"/>
    <n v="4.2111000000000001"/>
    <n v="0.23749999999999999"/>
    <n v="4.2096999999999998"/>
    <n v="1"/>
    <n v="1380"/>
    <s v="NETHERLANDS NL"/>
  </r>
  <r>
    <s v="BKMILL"/>
    <n v="156023"/>
    <n v="893550"/>
    <s v="Spot"/>
    <x v="44"/>
    <s v="Sell"/>
    <s v="EUR"/>
    <n v="-1000000"/>
    <s v="PLN"/>
    <n v="4210770"/>
    <s v="2026-01-13"/>
    <n v="4.2107999999999999"/>
    <n v="0.23749999999999999"/>
    <n v="4.2096999999999998"/>
    <n v="1"/>
    <n v="1070"/>
    <s v="GERMANY DE"/>
  </r>
  <r>
    <s v="BKMILL"/>
    <n v="156024"/>
    <n v="893551"/>
    <s v="Spot"/>
    <x v="41"/>
    <s v="Sell"/>
    <s v="EUR"/>
    <n v="-500000"/>
    <s v="PLN"/>
    <n v="2105350"/>
    <s v="2026-01-13"/>
    <n v="4.2107000000000001"/>
    <n v="0.23749999999999999"/>
    <n v="4.2096999999999998"/>
    <n v="1"/>
    <n v="500"/>
    <s v="GERMANY DE"/>
  </r>
  <r>
    <s v="BKMILL"/>
    <n v="156025"/>
    <n v="215971"/>
    <s v="Forward"/>
    <x v="32"/>
    <s v="Sell Fwd"/>
    <s v="EUR"/>
    <n v="-10000"/>
    <s v="PLN"/>
    <n v="42130"/>
    <s v="2026-01-09"/>
    <n v="4.2138"/>
    <n v="0.23730000000000001"/>
    <n v="4.2119"/>
    <n v="1"/>
    <n v="11"/>
    <s v="POLAND PL"/>
  </r>
  <r>
    <s v="BKMILL"/>
    <n v="156026"/>
    <n v="893558"/>
    <s v="Spot"/>
    <x v="40"/>
    <s v="Sell"/>
    <s v="EUR"/>
    <n v="-500000"/>
    <s v="USD"/>
    <n v="582260"/>
    <s v="2026-01-13"/>
    <n v="1.1645000000000001"/>
    <n v="0.85870000000000002"/>
    <n v="4.2096999999999998"/>
    <n v="3.6036999999999999"/>
    <n v="-6559.6379999999999"/>
    <s v="UNITED STATES OF AMERICA US"/>
  </r>
  <r>
    <s v="BKMILL"/>
    <n v="156027"/>
    <n v="215973"/>
    <s v="Forward"/>
    <x v="70"/>
    <s v="Buy Fwd"/>
    <s v="EUR"/>
    <n v="19500"/>
    <s v="PLN"/>
    <n v="81958.5"/>
    <s v="2026-01-09"/>
    <n v="4.2030000000000003"/>
    <n v="0.2379"/>
    <n v="4.2119"/>
    <n v="1"/>
    <n v="164090.54999999999"/>
    <s v="POLAND PL"/>
  </r>
  <r>
    <s v="BKMILL"/>
    <n v="156030"/>
    <n v="215978"/>
    <s v="Forward"/>
    <x v="123"/>
    <s v="Sell Fwd"/>
    <s v="USD"/>
    <n v="-100000"/>
    <s v="PLN"/>
    <n v="362050"/>
    <s v="2026-01-09"/>
    <n v="3.6206"/>
    <n v="0.2762"/>
    <n v="3.6070000000000002"/>
    <n v="1"/>
    <n v="1350"/>
    <s v="POLAND PL"/>
  </r>
  <r>
    <s v="BKMILL"/>
    <n v="156031"/>
    <n v="893590"/>
    <s v="Spot"/>
    <x v="41"/>
    <s v="Buy"/>
    <s v="USD"/>
    <n v="500000"/>
    <s v="PLN"/>
    <n v="-1808200"/>
    <s v="2026-01-13"/>
    <n v="3.6164000000000001"/>
    <n v="0.27650000000000002"/>
    <n v="3.6036999999999999"/>
    <n v="1"/>
    <n v="-6350"/>
    <s v="GERMANY DE"/>
  </r>
  <r>
    <s v="BKMILL"/>
    <n v="156041"/>
    <n v="215982"/>
    <s v="Forward"/>
    <x v="349"/>
    <s v="Sell Fwd"/>
    <s v="USD"/>
    <n v="-250000"/>
    <s v="PLN"/>
    <n v="905250"/>
    <s v="2026-01-09"/>
    <n v="3.621"/>
    <n v="0.2762"/>
    <n v="3.6070000000000002"/>
    <n v="1"/>
    <n v="3500"/>
    <s v="POLAND PL"/>
  </r>
  <r>
    <s v="BKMILL"/>
    <n v="156042"/>
    <n v="215983"/>
    <s v="Forward"/>
    <x v="169"/>
    <s v="Buy Fwd"/>
    <s v="EUR"/>
    <n v="200000"/>
    <s v="PLN"/>
    <n v="841000"/>
    <s v="2026-01-09"/>
    <n v="4.2058"/>
    <n v="0.23780000000000001"/>
    <n v="4.2119"/>
    <n v="1"/>
    <n v="1683380"/>
    <s v="POLAND PL"/>
  </r>
  <r>
    <s v="BKMILL"/>
    <n v="156043"/>
    <n v="215990"/>
    <s v="Forward"/>
    <x v="119"/>
    <s v="Buy Fwd"/>
    <s v="EUR"/>
    <n v="23000"/>
    <s v="PLN"/>
    <n v="96365.4"/>
    <s v="2026-01-09"/>
    <n v="4.1905999999999999"/>
    <n v="0.23860000000000001"/>
    <n v="4.2119"/>
    <n v="1"/>
    <n v="193239.1"/>
    <s v="POLAND PL"/>
  </r>
  <r>
    <s v="BKMILL"/>
    <n v="156044"/>
    <n v="215991"/>
    <s v="Forward"/>
    <x v="160"/>
    <s v="Buy Fwd"/>
    <s v="EUR"/>
    <n v="100000"/>
    <s v="PLN"/>
    <n v="420000"/>
    <s v="2026-01-09"/>
    <n v="4.2008000000000001"/>
    <n v="0.23799999999999999"/>
    <n v="4.2119"/>
    <n v="1"/>
    <n v="841190"/>
    <s v="POLAND PL"/>
  </r>
  <r>
    <s v="BKMILL"/>
    <n v="156045"/>
    <n v="893634"/>
    <s v="Spot"/>
    <x v="101"/>
    <s v="Buy"/>
    <s v="EUR"/>
    <n v="25000"/>
    <s v="PLN"/>
    <n v="-105270"/>
    <s v="2026-01-13"/>
    <n v="4.2107999999999999"/>
    <n v="0.23749999999999999"/>
    <n v="4.2096999999999998"/>
    <n v="1"/>
    <n v="-27.5"/>
    <s v="POLAND PL"/>
  </r>
  <r>
    <s v="BKMILL"/>
    <n v="156054"/>
    <n v="216005"/>
    <s v="Forward"/>
    <x v="123"/>
    <s v="Sell Fwd"/>
    <s v="USD"/>
    <n v="-100000"/>
    <s v="PLN"/>
    <n v="362200"/>
    <s v="2026-01-09"/>
    <n v="3.6221000000000001"/>
    <n v="0.27610000000000001"/>
    <n v="3.6070000000000002"/>
    <n v="1"/>
    <n v="1500"/>
    <s v="POLAND PL"/>
  </r>
  <r>
    <s v="BKMILL"/>
    <n v="156055"/>
    <n v="216006"/>
    <s v="Forward"/>
    <x v="164"/>
    <s v="Buy Fwd"/>
    <s v="EUR"/>
    <n v="10000"/>
    <s v="PLN"/>
    <n v="42076"/>
    <s v="2026-01-09"/>
    <n v="4.2084999999999999"/>
    <n v="0.23760000000000001"/>
    <n v="4.2119"/>
    <n v="1"/>
    <n v="84195"/>
    <s v="POLAND PL"/>
  </r>
  <r>
    <s v="BKMILL"/>
    <n v="156056"/>
    <n v="893679"/>
    <s v="Spot"/>
    <x v="44"/>
    <s v="Sell"/>
    <s v="EUR"/>
    <n v="-1000000"/>
    <s v="PLN"/>
    <n v="4213040"/>
    <s v="2026-01-13"/>
    <n v="4.2130000000000001"/>
    <n v="0.2374"/>
    <n v="4.2096999999999998"/>
    <n v="1"/>
    <n v="3340"/>
    <s v="GERMANY DE"/>
  </r>
  <r>
    <s v="BKMILL"/>
    <n v="156058"/>
    <n v="216009"/>
    <s v="Forward"/>
    <x v="388"/>
    <s v="Buy Fwd"/>
    <s v="EUR"/>
    <n v="100000"/>
    <s v="PLN"/>
    <n v="421000"/>
    <s v="2026-01-09"/>
    <n v="4.21"/>
    <n v="0.23749999999999999"/>
    <n v="4.2119"/>
    <n v="1"/>
    <n v="842190"/>
    <s v="POLAND PL"/>
  </r>
  <r>
    <s v="BKMILL"/>
    <n v="156059"/>
    <n v="216010"/>
    <s v="Forward"/>
    <x v="389"/>
    <s v="Buy Fwd"/>
    <s v="EUR"/>
    <n v="40000"/>
    <s v="PLN"/>
    <n v="167780"/>
    <s v="2026-01-09"/>
    <n v="4.1952999999999996"/>
    <n v="0.2384"/>
    <n v="4.2119"/>
    <n v="1"/>
    <n v="336256"/>
    <s v="POLAND PL"/>
  </r>
  <r>
    <s v="BKMILL"/>
    <n v="156060"/>
    <n v="216012"/>
    <s v="Forward"/>
    <x v="388"/>
    <s v="Buy Fwd"/>
    <s v="EUR"/>
    <n v="57603.69"/>
    <s v="GBP"/>
    <n v="50000"/>
    <s v="2026-01-09"/>
    <n v="0.86399999999999999"/>
    <n v="1.1574"/>
    <n v="4.2119"/>
    <n v="4.8471000000000002"/>
    <n v="484975.98191099998"/>
    <s v="POLAND PL"/>
  </r>
  <r>
    <s v="BKMILL"/>
    <n v="156061"/>
    <n v="216015"/>
    <s v="Forward"/>
    <x v="390"/>
    <s v="Sell Fwd"/>
    <s v="USD"/>
    <n v="-50000"/>
    <s v="PLN"/>
    <n v="181250"/>
    <s v="2026-01-09"/>
    <n v="3.625"/>
    <n v="0.27589999999999998"/>
    <n v="3.6070000000000002"/>
    <n v="1"/>
    <n v="900"/>
    <s v="POLAND PL"/>
  </r>
  <r>
    <s v="BKMILL"/>
    <n v="156062"/>
    <n v="893737"/>
    <s v="Spot"/>
    <x v="41"/>
    <s v="Buy"/>
    <s v="USD"/>
    <n v="500000"/>
    <s v="PLN"/>
    <n v="-1809150"/>
    <s v="2026-01-13"/>
    <n v="3.6183000000000001"/>
    <n v="0.27639999999999998"/>
    <n v="3.6036999999999999"/>
    <n v="1"/>
    <n v="-7300"/>
    <s v="GERMANY DE"/>
  </r>
  <r>
    <s v="BKMILL"/>
    <n v="156063"/>
    <n v="216031"/>
    <s v="Forward"/>
    <x v="8"/>
    <s v="Sell Fwd"/>
    <s v="EUR"/>
    <n v="-100000"/>
    <s v="PLN"/>
    <n v="422200"/>
    <s v="2026-01-20"/>
    <n v="4.22"/>
    <n v="0.23699999999999999"/>
    <n v="4.2230999999999996"/>
    <n v="1"/>
    <n v="-110"/>
    <s v="POLAND PL"/>
  </r>
  <r>
    <s v="BKMILL"/>
    <n v="156064"/>
    <n v="893764"/>
    <s v="Spot"/>
    <x v="43"/>
    <s v="Sell"/>
    <s v="USD"/>
    <n v="-200000"/>
    <s v="NOK"/>
    <n v="2022876"/>
    <s v="2026-01-13"/>
    <n v="10.1144"/>
    <n v="9.8900000000000002E-2"/>
    <n v="3.6036999999999999"/>
    <n v="0.3579"/>
    <n v="3247.3204000000001"/>
    <s v="FRANCE FR"/>
  </r>
  <r>
    <s v="BKMILL"/>
    <n v="156065"/>
    <n v="216039"/>
    <s v="Forward"/>
    <x v="280"/>
    <s v="Buy Fwd"/>
    <s v="EUR"/>
    <n v="20000"/>
    <s v="PLN"/>
    <n v="84060"/>
    <s v="2026-01-09"/>
    <n v="4.2035999999999998"/>
    <n v="0.2379"/>
    <n v="4.2119"/>
    <n v="1"/>
    <n v="168298"/>
    <s v="POLAND PL"/>
  </r>
  <r>
    <s v="BKMILL"/>
    <n v="156070"/>
    <n v="216047"/>
    <s v="Forward"/>
    <x v="70"/>
    <s v="Buy Fwd"/>
    <s v="EUR"/>
    <n v="54742.96"/>
    <s v="PLN"/>
    <n v="230303.63"/>
    <s v="2026-01-09"/>
    <n v="4.2069999999999999"/>
    <n v="0.23769999999999999"/>
    <n v="4.2119"/>
    <n v="1"/>
    <n v="460875.50322399999"/>
    <s v="POLAND PL"/>
  </r>
  <r>
    <s v="BKMILL"/>
    <n v="156071"/>
    <n v="216051"/>
    <s v="Forward"/>
    <x v="70"/>
    <s v="Buy Fwd"/>
    <s v="GBP"/>
    <n v="8947.2800000000007"/>
    <s v="PLN"/>
    <n v="43403.26"/>
    <s v="2026-01-09"/>
    <n v="4.851"/>
    <n v="0.20610000000000001"/>
    <n v="4.8471000000000002"/>
    <n v="1"/>
    <n v="86771.620888000005"/>
    <s v="POLAND PL"/>
  </r>
  <r>
    <s v="BKMILL"/>
    <n v="156072"/>
    <n v="893817"/>
    <s v="Spot"/>
    <x v="47"/>
    <s v="Sell"/>
    <s v="EUR"/>
    <n v="-500000"/>
    <s v="PLN"/>
    <n v="2106800"/>
    <s v="2026-01-13"/>
    <n v="4.2135999999999996"/>
    <n v="0.23730000000000001"/>
    <n v="4.2096999999999998"/>
    <n v="1"/>
    <n v="1950"/>
    <s v="FRANCE FR"/>
  </r>
  <r>
    <s v="BKMILL"/>
    <n v="156074"/>
    <n v="893842"/>
    <s v="Spot"/>
    <x v="40"/>
    <s v="Sell"/>
    <s v="USD"/>
    <n v="-500000"/>
    <s v="PLN"/>
    <n v="1809700"/>
    <s v="2026-01-13"/>
    <n v="3.6194000000000002"/>
    <n v="0.27629999999999999"/>
    <n v="3.6036999999999999"/>
    <n v="1"/>
    <n v="7850"/>
    <s v="UNITED STATES OF AMERICA US"/>
  </r>
  <r>
    <s v="BKMILL"/>
    <n v="156076"/>
    <n v="216064"/>
    <s v="Forward"/>
    <x v="127"/>
    <s v="Buy Fwd"/>
    <s v="EUR"/>
    <n v="3000"/>
    <s v="PLN"/>
    <n v="12613.8"/>
    <s v="2026-01-09"/>
    <n v="4.2054999999999998"/>
    <n v="0.23780000000000001"/>
    <n v="4.2119"/>
    <n v="1"/>
    <n v="25249.5"/>
    <s v="POLAND PL"/>
  </r>
  <r>
    <s v="BKMILL"/>
    <n v="156078"/>
    <n v="216065"/>
    <s v="Forward"/>
    <x v="391"/>
    <s v="Buy Fwd"/>
    <s v="EUR"/>
    <n v="23896.35"/>
    <s v="USD"/>
    <n v="27851.200000000001"/>
    <s v="2026-01-09"/>
    <n v="1.1639999999999999"/>
    <n v="0.85909999999999997"/>
    <n v="4.2119"/>
    <n v="3.6070000000000002"/>
    <n v="201108.314965"/>
    <s v="POLAND PL"/>
  </r>
  <r>
    <s v="BKMILL"/>
    <n v="156079"/>
    <n v="893865"/>
    <s v="Spot"/>
    <x v="43"/>
    <s v="Buy"/>
    <s v="EUR"/>
    <n v="200000"/>
    <s v="USD"/>
    <n v="-233040"/>
    <s v="2026-01-13"/>
    <n v="1.1652"/>
    <n v="0.85819999999999996"/>
    <n v="4.2096999999999998"/>
    <n v="3.6036999999999999"/>
    <n v="2133.752"/>
    <s v="FRANCE FR"/>
  </r>
  <r>
    <s v="BKMILL"/>
    <n v="156080"/>
    <n v="893869"/>
    <s v="Spot"/>
    <x v="41"/>
    <s v="Buy"/>
    <s v="EUR"/>
    <n v="500000"/>
    <s v="PLN"/>
    <n v="-2105600"/>
    <s v="2026-01-13"/>
    <n v="4.2111999999999998"/>
    <n v="0.23749999999999999"/>
    <n v="4.2096999999999998"/>
    <n v="1"/>
    <n v="-750"/>
    <s v="GERMANY DE"/>
  </r>
  <r>
    <s v="BKMILL"/>
    <n v="156086"/>
    <n v="893916"/>
    <s v="Spot"/>
    <x v="40"/>
    <s v="Buy"/>
    <s v="EUR"/>
    <n v="500000"/>
    <s v="PLN"/>
    <n v="-2104900"/>
    <s v="2026-01-13"/>
    <n v="4.2098000000000004"/>
    <n v="0.23749999999999999"/>
    <n v="4.2096999999999998"/>
    <n v="1"/>
    <n v="-50"/>
    <s v="UNITED STATES OF AMERICA US"/>
  </r>
  <r>
    <s v="BKMILL"/>
    <n v="156088"/>
    <n v="893926"/>
    <s v="Spot"/>
    <x v="40"/>
    <s v="Sell"/>
    <s v="EUR"/>
    <n v="-200000"/>
    <s v="CNY"/>
    <n v="1625752"/>
    <s v="2026-01-13"/>
    <n v="8.1288"/>
    <n v="0.123"/>
    <n v="4.2096999999999998"/>
    <n v="0.51680000000000004"/>
    <n v="-1751.3664000000001"/>
    <s v="UNITED STATES OF AMERICA US"/>
  </r>
  <r>
    <s v="BKMILL"/>
    <n v="156089"/>
    <n v="893947"/>
    <s v="Spot"/>
    <x v="50"/>
    <s v="Buy"/>
    <s v="SEK"/>
    <n v="860000"/>
    <s v="PLN"/>
    <n v="-337378"/>
    <s v="2026-01-13"/>
    <n v="0.39229999999999998"/>
    <n v="2.5491000000000001"/>
    <n v="0.39279999999999998"/>
    <n v="1"/>
    <n v="430"/>
    <s v="POLAND PL"/>
  </r>
  <r>
    <s v="BKMILL"/>
    <n v="156090"/>
    <n v="893951"/>
    <s v="Spot"/>
    <x v="43"/>
    <s v="Buy"/>
    <s v="EUR"/>
    <n v="100000"/>
    <s v="SEK"/>
    <n v="-1073647"/>
    <s v="2026-01-13"/>
    <n v="10.736499999999999"/>
    <n v="9.3100000000000002E-2"/>
    <n v="4.2096999999999998"/>
    <n v="0.39279999999999998"/>
    <n v="-758.54160000000002"/>
    <s v="FRANCE FR"/>
  </r>
  <r>
    <s v="BKMILL"/>
    <n v="156091"/>
    <n v="893952"/>
    <s v="Spot"/>
    <x v="50"/>
    <s v="Buy"/>
    <s v="NOK"/>
    <n v="1020000"/>
    <s v="PLN"/>
    <n v="-365058"/>
    <s v="2026-01-13"/>
    <n v="0.3579"/>
    <n v="2.7940999999999998"/>
    <n v="0.3579"/>
    <n v="1"/>
    <n v="0"/>
    <s v="POLAND PL"/>
  </r>
  <r>
    <s v="BKMILL"/>
    <n v="156092"/>
    <n v="893953"/>
    <s v="Spot"/>
    <x v="40"/>
    <s v="Sell"/>
    <s v="EUR"/>
    <n v="-200000"/>
    <s v="CNY"/>
    <n v="1624878"/>
    <s v="2026-01-13"/>
    <n v="8.1243999999999996"/>
    <n v="0.1231"/>
    <n v="4.2096999999999998"/>
    <n v="0.51680000000000004"/>
    <n v="-2203.0495999999998"/>
    <s v="UNITED STATES OF AMERICA US"/>
  </r>
  <r>
    <s v="BKMILL"/>
    <n v="156094"/>
    <n v="893957"/>
    <s v="Spot"/>
    <x v="47"/>
    <s v="Buy"/>
    <s v="EUR"/>
    <n v="100000"/>
    <s v="NOK"/>
    <n v="-1176560"/>
    <s v="2026-01-13"/>
    <n v="11.765599999999999"/>
    <n v="8.5000000000000006E-2"/>
    <n v="4.2096999999999998"/>
    <n v="0.3579"/>
    <n v="-120.824"/>
    <s v="FRANCE FR"/>
  </r>
  <r>
    <s v="BKMILL"/>
    <n v="156097"/>
    <n v="216089"/>
    <s v="Forward"/>
    <x v="139"/>
    <s v="Buy Fwd"/>
    <s v="EUR"/>
    <n v="64655.78"/>
    <s v="PLN"/>
    <n v="271806.43"/>
    <s v="2026-01-09"/>
    <n v="4.2047999999999996"/>
    <n v="0.23780000000000001"/>
    <n v="4.2119"/>
    <n v="1"/>
    <n v="544130.10978199996"/>
    <s v="POLAND PL"/>
  </r>
  <r>
    <s v="BKMILL"/>
    <n v="156100"/>
    <n v="893993"/>
    <s v="Spot"/>
    <x v="40"/>
    <s v="Sell"/>
    <s v="EUR"/>
    <n v="-500000"/>
    <s v="PLN"/>
    <n v="2106400"/>
    <s v="2026-01-13"/>
    <n v="4.2127999999999997"/>
    <n v="0.2374"/>
    <n v="4.2096999999999998"/>
    <n v="1"/>
    <n v="1550"/>
    <s v="UNITED STATES OF AMERICA US"/>
  </r>
  <r>
    <s v="BKMILL"/>
    <n v="156101"/>
    <n v="894007"/>
    <s v="Spot"/>
    <x v="38"/>
    <s v="Sell"/>
    <s v="EUR"/>
    <n v="-500000"/>
    <s v="PLN"/>
    <n v="2106320"/>
    <s v="2026-01-13"/>
    <n v="4.2126000000000001"/>
    <n v="0.2374"/>
    <n v="4.2096999999999998"/>
    <n v="1"/>
    <n v="1470"/>
    <s v="NETHERLANDS NL"/>
  </r>
  <r>
    <s v="BKMILL"/>
    <n v="156104"/>
    <n v="216093"/>
    <s v="Forward"/>
    <x v="392"/>
    <s v="Buy Fwd"/>
    <s v="EUR"/>
    <n v="25500"/>
    <s v="PLN"/>
    <n v="107100"/>
    <s v="2026-01-09"/>
    <n v="4.2004999999999999"/>
    <n v="0.23810000000000001"/>
    <n v="4.2119"/>
    <n v="1"/>
    <n v="214503.45"/>
    <s v="POLAND PL"/>
  </r>
  <r>
    <s v="BKMILL"/>
    <n v="156105"/>
    <n v="216094"/>
    <s v="Forward"/>
    <x v="393"/>
    <s v="Buy Fwd"/>
    <s v="EUR"/>
    <n v="591707.55000000005"/>
    <s v="PLN"/>
    <n v="2488130.25"/>
    <s v="2026-01-09"/>
    <n v="4.2058"/>
    <n v="0.23780000000000001"/>
    <n v="4.2119"/>
    <n v="1"/>
    <n v="4980343.2798450002"/>
    <s v="POLAND PL"/>
  </r>
  <r>
    <s v="BKMILL"/>
    <n v="156106"/>
    <n v="216096"/>
    <s v="Forward"/>
    <x v="169"/>
    <s v="Buy Fwd"/>
    <s v="EUR"/>
    <n v="30000"/>
    <s v="PLN"/>
    <n v="126150"/>
    <s v="2026-01-09"/>
    <n v="4.2058"/>
    <n v="0.23780000000000001"/>
    <n v="4.2119"/>
    <n v="1"/>
    <n v="252507"/>
    <s v="POLAND PL"/>
  </r>
  <r>
    <s v="BKMILL"/>
    <n v="156107"/>
    <n v="894035"/>
    <s v="Spot"/>
    <x v="38"/>
    <s v="Sell"/>
    <s v="EUR"/>
    <n v="-1000000"/>
    <s v="PLN"/>
    <n v="4212560"/>
    <s v="2026-01-13"/>
    <n v="4.2126000000000001"/>
    <n v="0.2374"/>
    <n v="4.2096999999999998"/>
    <n v="1"/>
    <n v="2860"/>
    <s v="NETHERLANDS NL"/>
  </r>
  <r>
    <s v="BKMILL"/>
    <n v="156111"/>
    <n v="216102"/>
    <s v="Forward"/>
    <x v="188"/>
    <s v="Buy Fwd"/>
    <s v="USD"/>
    <n v="70000"/>
    <s v="PLN"/>
    <n v="253288"/>
    <s v="2026-01-09"/>
    <n v="3.6185"/>
    <n v="0.27639999999999998"/>
    <n v="3.6070000000000002"/>
    <n v="1"/>
    <n v="505778"/>
    <s v="POLAND PL"/>
  </r>
  <r>
    <s v="BKMILL"/>
    <n v="156112"/>
    <n v="894057"/>
    <s v="Spot"/>
    <x v="44"/>
    <s v="Buy"/>
    <s v="EUR"/>
    <n v="1000000"/>
    <s v="PLN"/>
    <n v="-4213000"/>
    <s v="2026-01-13"/>
    <n v="4.2130000000000001"/>
    <n v="0.2374"/>
    <n v="4.2096999999999998"/>
    <n v="1"/>
    <n v="-3300"/>
    <s v="GERMANY DE"/>
  </r>
  <r>
    <s v="BKMILL"/>
    <n v="156113"/>
    <n v="216107"/>
    <s v="Forward"/>
    <x v="168"/>
    <s v="Buy Fwd"/>
    <s v="EUR"/>
    <n v="100000"/>
    <s v="PLN"/>
    <n v="420970"/>
    <s v="2026-01-12"/>
    <n v="4.2099000000000002"/>
    <n v="0.23749999999999999"/>
    <n v="4.2126999999999999"/>
    <n v="1"/>
    <n v="842240"/>
    <s v="POLAND PL"/>
  </r>
  <r>
    <s v="BKMILL"/>
    <n v="156114"/>
    <n v="894071"/>
    <s v="Spot"/>
    <x v="39"/>
    <s v="Buy"/>
    <s v="USD"/>
    <n v="500000"/>
    <s v="PLN"/>
    <n v="-1810895"/>
    <s v="2026-01-13"/>
    <n v="3.6217999999999999"/>
    <n v="0.27610000000000001"/>
    <n v="3.6036999999999999"/>
    <n v="1"/>
    <n v="-9045"/>
    <s v="UNITED KINGDOM GB"/>
  </r>
  <r>
    <s v="BKMILL"/>
    <n v="156115"/>
    <n v="894072"/>
    <s v="Spot"/>
    <x v="43"/>
    <s v="Buy"/>
    <s v="USD"/>
    <n v="500000"/>
    <s v="PLN"/>
    <n v="-1810465"/>
    <s v="2026-01-13"/>
    <n v="3.6208999999999998"/>
    <n v="0.2762"/>
    <n v="3.6036999999999999"/>
    <n v="1"/>
    <n v="-8615"/>
    <s v="FRANCE FR"/>
  </r>
  <r>
    <s v="BKMILL"/>
    <n v="156116"/>
    <n v="216111"/>
    <s v="Forward"/>
    <x v="178"/>
    <s v="Buy Fwd"/>
    <s v="EUR"/>
    <n v="20000"/>
    <s v="PLN"/>
    <n v="84154"/>
    <s v="2026-01-12"/>
    <n v="4.2079000000000004"/>
    <n v="0.23760000000000001"/>
    <n v="4.2126999999999999"/>
    <n v="1"/>
    <n v="168408"/>
    <s v="POLAND PL"/>
  </r>
  <r>
    <s v="BKMILL"/>
    <n v="156117"/>
    <n v="894089"/>
    <s v="Spot"/>
    <x v="47"/>
    <s v="Sell"/>
    <s v="EUR"/>
    <n v="-500000"/>
    <s v="PLN"/>
    <n v="2106400"/>
    <s v="2026-01-13"/>
    <n v="4.2127999999999997"/>
    <n v="0.2374"/>
    <n v="4.2096999999999998"/>
    <n v="1"/>
    <n v="1550"/>
    <s v="FRANCE FR"/>
  </r>
  <r>
    <s v="BKMILL"/>
    <n v="156118"/>
    <n v="216113"/>
    <s v="Forward"/>
    <x v="394"/>
    <s v="Buy Fwd"/>
    <s v="EUR"/>
    <n v="20000"/>
    <s v="PLN"/>
    <n v="84100"/>
    <s v="2026-01-09"/>
    <n v="4.2058"/>
    <n v="0.23780000000000001"/>
    <n v="4.2119"/>
    <n v="1"/>
    <n v="168338"/>
    <s v="POLAND PL"/>
  </r>
  <r>
    <s v="BKMILL"/>
    <n v="156119"/>
    <n v="894096"/>
    <s v="Spot"/>
    <x v="44"/>
    <s v="Buy"/>
    <s v="USD"/>
    <n v="500000"/>
    <s v="PLN"/>
    <n v="-1812480"/>
    <s v="2026-01-13"/>
    <n v="3.625"/>
    <n v="0.27589999999999998"/>
    <n v="3.6036999999999999"/>
    <n v="1"/>
    <n v="-10630"/>
    <s v="GERMANY DE"/>
  </r>
  <r>
    <s v="BKMILL"/>
    <n v="156122"/>
    <n v="216115"/>
    <s v="Forward"/>
    <x v="74"/>
    <s v="Buy Fwd"/>
    <s v="EUR"/>
    <n v="250000"/>
    <s v="PLN"/>
    <n v="1049000"/>
    <s v="2026-01-09"/>
    <n v="4.1959999999999997"/>
    <n v="0.23830000000000001"/>
    <n v="4.2119"/>
    <n v="1"/>
    <n v="2101975"/>
    <s v="POLAND PL"/>
  </r>
  <r>
    <s v="BKMILL"/>
    <n v="156123"/>
    <n v="894159"/>
    <s v="Spot"/>
    <x v="38"/>
    <s v="Sell"/>
    <s v="EUR"/>
    <n v="-500000"/>
    <s v="PLN"/>
    <n v="2105520"/>
    <s v="2026-01-13"/>
    <n v="4.2110000000000003"/>
    <n v="0.23749999999999999"/>
    <n v="4.2096999999999998"/>
    <n v="1"/>
    <n v="670"/>
    <s v="NETHERLANDS NL"/>
  </r>
  <r>
    <s v="BKMILL"/>
    <n v="156128"/>
    <n v="216125"/>
    <s v="Forward"/>
    <x v="223"/>
    <s v="Buy Fwd"/>
    <s v="EUR"/>
    <n v="12000"/>
    <s v="PLN"/>
    <n v="50412"/>
    <s v="2026-01-09"/>
    <n v="4.2009999999999996"/>
    <n v="0.23799999999999999"/>
    <n v="4.2119"/>
    <n v="1"/>
    <n v="100954.8"/>
    <s v="POLAND PL"/>
  </r>
  <r>
    <s v="BKMILL"/>
    <n v="156129"/>
    <n v="894204"/>
    <s v="Spot"/>
    <x v="42"/>
    <s v="Sell"/>
    <s v="EUR"/>
    <n v="-30000"/>
    <s v="PLN"/>
    <n v="126342.9"/>
    <s v="2026-01-13"/>
    <n v="4.2114000000000003"/>
    <n v="0.2374"/>
    <n v="4.2096999999999998"/>
    <n v="1"/>
    <n v="51.9"/>
    <s v="SWITZERLAND CH"/>
  </r>
  <r>
    <s v="BKMILL"/>
    <n v="156130"/>
    <n v="894205"/>
    <s v="Spot"/>
    <x v="395"/>
    <s v="Buy"/>
    <s v="EUR"/>
    <n v="30000"/>
    <s v="PLN"/>
    <n v="-125778"/>
    <s v="2026-01-13"/>
    <n v="4.1925999999999997"/>
    <n v="0.23849999999999999"/>
    <n v="4.2096999999999998"/>
    <n v="1"/>
    <n v="513"/>
    <s v="POLAND PL"/>
  </r>
  <r>
    <s v="BKMILL"/>
    <n v="156131"/>
    <n v="894206"/>
    <s v="Spot"/>
    <x v="40"/>
    <s v="Sell"/>
    <s v="EUR"/>
    <n v="-82227"/>
    <s v="PLN"/>
    <n v="346319.57"/>
    <s v="2026-01-13"/>
    <n v="4.2118000000000002"/>
    <n v="0.2374"/>
    <n v="4.2096999999999998"/>
    <n v="1"/>
    <n v="168.56809999999999"/>
    <s v="UNITED STATES OF AMERICA US"/>
  </r>
  <r>
    <s v="BKMILL"/>
    <n v="156132"/>
    <n v="894207"/>
    <s v="Spot"/>
    <x v="41"/>
    <s v="Buy"/>
    <s v="GBP"/>
    <n v="5970.53"/>
    <s v="PLN"/>
    <n v="-28990.51"/>
    <s v="2026-01-13"/>
    <n v="4.8555999999999999"/>
    <n v="0.2059"/>
    <n v="4.8482000000000003"/>
    <n v="1"/>
    <n v="-44.186453999999998"/>
    <s v="GERMANY DE"/>
  </r>
  <r>
    <s v="BKMILL"/>
    <n v="156133"/>
    <n v="894208"/>
    <s v="Spot"/>
    <x v="40"/>
    <s v="Sell"/>
    <s v="USD"/>
    <n v="-33209.19"/>
    <s v="PLN"/>
    <n v="120242.84"/>
    <s v="2026-01-13"/>
    <n v="3.6208"/>
    <n v="0.2762"/>
    <n v="3.6036999999999999"/>
    <n v="1"/>
    <n v="566.88199699999996"/>
    <s v="UNITED STATES OF AMERICA US"/>
  </r>
  <r>
    <s v="BKMILL"/>
    <n v="156134"/>
    <n v="894209"/>
    <s v="Spot"/>
    <x v="40"/>
    <s v="Sell"/>
    <s v="CHF"/>
    <n v="-1730.02"/>
    <s v="PLN"/>
    <n v="7817.44"/>
    <s v="2026-01-13"/>
    <n v="4.5186999999999999"/>
    <n v="0.2213"/>
    <n v="4.5212000000000003"/>
    <n v="1"/>
    <n v="-4.3264240000000003"/>
    <s v="UNITED STATES OF AMERICA US"/>
  </r>
  <r>
    <s v="BKMILL"/>
    <n v="156135"/>
    <n v="894214"/>
    <s v="Spot"/>
    <x v="40"/>
    <s v="Sell"/>
    <s v="EUR"/>
    <n v="-113661.73"/>
    <s v="PLN"/>
    <n v="478851.19"/>
    <s v="2026-01-13"/>
    <n v="4.2130000000000001"/>
    <n v="0.2374"/>
    <n v="4.2096999999999998"/>
    <n v="1"/>
    <n v="369.40521899999999"/>
    <s v="UNITED STATES OF AMERICA US"/>
  </r>
  <r>
    <s v="BKMILL"/>
    <n v="156136"/>
    <n v="894216"/>
    <s v="Spot"/>
    <x v="41"/>
    <s v="Sell"/>
    <s v="EUR"/>
    <n v="-80658.05"/>
    <s v="PLN"/>
    <n v="339763.97"/>
    <s v="2026-01-13"/>
    <n v="4.2123999999999997"/>
    <n v="0.2374"/>
    <n v="4.2096999999999998"/>
    <n v="1"/>
    <n v="217.776915"/>
    <s v="GERMANY DE"/>
  </r>
  <r>
    <s v="BKMILL"/>
    <n v="156137"/>
    <n v="894217"/>
    <s v="Spot"/>
    <x v="40"/>
    <s v="Buy"/>
    <s v="GBP"/>
    <n v="3245.77"/>
    <s v="PLN"/>
    <n v="-15757.89"/>
    <s v="2026-01-13"/>
    <n v="4.8548999999999998"/>
    <n v="0.20599999999999999"/>
    <n v="4.8482000000000003"/>
    <n v="1"/>
    <n v="-21.747886000000001"/>
    <s v="UNITED STATES OF AMERICA US"/>
  </r>
  <r>
    <s v="BKMILL"/>
    <n v="156138"/>
    <n v="894218"/>
    <s v="Spot"/>
    <x v="40"/>
    <s v="Buy"/>
    <s v="CHF"/>
    <n v="9714.82"/>
    <s v="PLN"/>
    <n v="-43921.96"/>
    <s v="2026-01-13"/>
    <n v="4.5210999999999997"/>
    <n v="0.22120000000000001"/>
    <n v="4.5212000000000003"/>
    <n v="1"/>
    <n v="0.68418400000000001"/>
    <s v="UNITED STATES OF AMERICA US"/>
  </r>
  <r>
    <s v="BKMILL"/>
    <n v="156139"/>
    <n v="894219"/>
    <s v="Spot"/>
    <x v="42"/>
    <s v="Buy"/>
    <s v="USD"/>
    <n v="19874.22"/>
    <s v="PLN"/>
    <n v="-71967.13"/>
    <s v="2026-01-13"/>
    <n v="3.6211000000000002"/>
    <n v="0.2762"/>
    <n v="3.6036999999999999"/>
    <n v="1"/>
    <n v="-346.40338600000001"/>
    <s v="SWITZERLAND CH"/>
  </r>
  <r>
    <s v="BKMILL"/>
    <n v="156140"/>
    <n v="894224"/>
    <s v="Spot"/>
    <x v="40"/>
    <s v="Sell"/>
    <s v="EUR"/>
    <n v="-42213.54"/>
    <s v="PLN"/>
    <n v="177759.53"/>
    <s v="2026-01-13"/>
    <n v="4.2110000000000003"/>
    <n v="0.23749999999999999"/>
    <n v="4.2096999999999998"/>
    <n v="1"/>
    <n v="53.190662000000003"/>
    <s v="UNITED STATES OF AMERICA US"/>
  </r>
  <r>
    <s v="BKMILL"/>
    <n v="156141"/>
    <n v="894225"/>
    <s v="Spot"/>
    <x v="40"/>
    <s v="Sell"/>
    <s v="USD"/>
    <n v="-5760.43"/>
    <s v="PLN"/>
    <n v="20848.439999999999"/>
    <s v="2026-01-13"/>
    <n v="3.6193"/>
    <n v="0.27629999999999999"/>
    <n v="3.6036999999999999"/>
    <n v="1"/>
    <n v="89.578408999999994"/>
    <s v="UNITED STATES OF AMERICA US"/>
  </r>
  <r>
    <s v="BKMILL"/>
    <n v="156142"/>
    <n v="894226"/>
    <s v="Spot"/>
    <x v="40"/>
    <s v="Sell"/>
    <s v="GBP"/>
    <n v="-1054.4000000000001"/>
    <s v="PLN"/>
    <n v="5116.05"/>
    <s v="2026-01-13"/>
    <n v="4.8521000000000001"/>
    <n v="0.20610000000000001"/>
    <n v="4.8482000000000003"/>
    <n v="1"/>
    <n v="4.10792"/>
    <s v="UNITED STATES OF AMERICA US"/>
  </r>
  <r>
    <s v="BKMILL"/>
    <n v="156143"/>
    <n v="894231"/>
    <s v="Spot"/>
    <x v="40"/>
    <s v="Sell"/>
    <s v="EUR"/>
    <n v="-100026.7"/>
    <s v="PLN"/>
    <n v="421050.39"/>
    <s v="2026-01-14"/>
    <n v="4.2093999999999996"/>
    <n v="0.23760000000000001"/>
    <n v="4.2115999999999998"/>
    <n v="1"/>
    <n v="-222.05972"/>
    <s v="UNITED STATES OF AMERICA US"/>
  </r>
  <r>
    <s v="BKMILL"/>
    <n v="156144"/>
    <n v="894232"/>
    <s v="Spot"/>
    <x v="40"/>
    <s v="Sell"/>
    <s v="EUR"/>
    <n v="-100578.45"/>
    <s v="PLN"/>
    <n v="423372.92"/>
    <s v="2026-01-14"/>
    <n v="4.2093999999999996"/>
    <n v="0.23760000000000001"/>
    <n v="4.2115999999999998"/>
    <n v="1"/>
    <n v="-223.28002000000001"/>
    <s v="UNITED STATES OF AMERICA US"/>
  </r>
  <r>
    <s v="BKMILL"/>
    <n v="156145"/>
    <n v="894233"/>
    <s v="Spot"/>
    <x v="41"/>
    <s v="Sell"/>
    <s v="USD"/>
    <n v="-149306.26"/>
    <s v="PLN"/>
    <n v="540100.46"/>
    <s v="2026-01-14"/>
    <n v="3.6173999999999999"/>
    <n v="0.27639999999999998"/>
    <n v="3.6082999999999998"/>
    <n v="1"/>
    <n v="1358.6820419999999"/>
    <s v="GERMANY DE"/>
  </r>
  <r>
    <s v="BKMILL"/>
    <n v="156146"/>
    <n v="894234"/>
    <s v="Spot"/>
    <x v="40"/>
    <s v="Sell"/>
    <s v="EUR"/>
    <n v="-100805.77"/>
    <s v="PLN"/>
    <n v="424329.79"/>
    <s v="2026-01-14"/>
    <n v="4.2093999999999996"/>
    <n v="0.23760000000000001"/>
    <n v="4.2115999999999998"/>
    <n v="1"/>
    <n v="-223.790932"/>
    <s v="UNITED STATES OF AMERICA US"/>
  </r>
  <r>
    <s v="BKMILL"/>
    <n v="156147"/>
    <n v="894235"/>
    <s v="Spot"/>
    <x v="40"/>
    <s v="Sell"/>
    <s v="EUR"/>
    <n v="-100144.54"/>
    <s v="PLN"/>
    <n v="421546.42"/>
    <s v="2026-01-14"/>
    <n v="4.2093999999999996"/>
    <n v="0.23760000000000001"/>
    <n v="4.2115999999999998"/>
    <n v="1"/>
    <n v="-222.32466400000001"/>
    <s v="UNITED STATES OF AMERICA US"/>
  </r>
  <r>
    <s v="BKMILL"/>
    <n v="156148"/>
    <n v="894236"/>
    <s v="Spot"/>
    <x v="40"/>
    <s v="Sell"/>
    <s v="EUR"/>
    <n v="-100511.42"/>
    <s v="PLN"/>
    <n v="423090.76"/>
    <s v="2026-01-14"/>
    <n v="4.2093999999999996"/>
    <n v="0.23760000000000001"/>
    <n v="4.2115999999999998"/>
    <n v="1"/>
    <n v="-223.136472"/>
    <s v="UNITED STATES OF AMERICA US"/>
  </r>
  <r>
    <s v="BKMILL"/>
    <n v="156149"/>
    <n v="894237"/>
    <s v="Spot"/>
    <x v="40"/>
    <s v="Sell"/>
    <s v="EUR"/>
    <n v="-101915.15"/>
    <s v="PLN"/>
    <n v="428999.59"/>
    <s v="2026-01-14"/>
    <n v="4.2093999999999996"/>
    <n v="0.23760000000000001"/>
    <n v="4.2115999999999998"/>
    <n v="1"/>
    <n v="-226.25574"/>
    <s v="UNITED STATES OF AMERICA US"/>
  </r>
  <r>
    <s v="BKMILL"/>
    <n v="156150"/>
    <n v="894238"/>
    <s v="Spot"/>
    <x v="40"/>
    <s v="Sell"/>
    <s v="EUR"/>
    <n v="-100758.8"/>
    <s v="PLN"/>
    <n v="424132.08"/>
    <s v="2026-01-14"/>
    <n v="4.2093999999999996"/>
    <n v="0.23760000000000001"/>
    <n v="4.2115999999999998"/>
    <n v="1"/>
    <n v="-223.68208000000001"/>
    <s v="UNITED STATES OF AMERICA US"/>
  </r>
  <r>
    <s v="BKMILL"/>
    <n v="156151"/>
    <n v="894239"/>
    <s v="Spot"/>
    <x v="40"/>
    <s v="Sell"/>
    <s v="EUR"/>
    <n v="-102716.06"/>
    <s v="PLN"/>
    <n v="432370.93"/>
    <s v="2026-01-14"/>
    <n v="4.2093999999999996"/>
    <n v="0.23760000000000001"/>
    <n v="4.2115999999999998"/>
    <n v="1"/>
    <n v="-228.02829600000001"/>
    <s v="UNITED STATES OF AMERICA US"/>
  </r>
  <r>
    <s v="BKMILL"/>
    <n v="156152"/>
    <n v="894240"/>
    <s v="Spot"/>
    <x v="40"/>
    <s v="Sell"/>
    <s v="EUR"/>
    <n v="-100118.86"/>
    <s v="PLN"/>
    <n v="421438.33"/>
    <s v="2026-01-14"/>
    <n v="4.2093999999999996"/>
    <n v="0.23760000000000001"/>
    <n v="4.2115999999999998"/>
    <n v="1"/>
    <n v="-222.26077599999999"/>
    <s v="UNITED STATES OF AMERICA US"/>
  </r>
  <r>
    <s v="BKMILL"/>
    <n v="156153"/>
    <n v="894241"/>
    <s v="Spot"/>
    <x v="40"/>
    <s v="Sell"/>
    <s v="EUR"/>
    <n v="-100109.67"/>
    <s v="PLN"/>
    <n v="421399.64"/>
    <s v="2026-01-14"/>
    <n v="4.2093999999999996"/>
    <n v="0.23760000000000001"/>
    <n v="4.2115999999999998"/>
    <n v="1"/>
    <n v="-222.246172"/>
    <s v="UNITED STATES OF AMERICA US"/>
  </r>
  <r>
    <s v="BKMILL"/>
    <n v="156154"/>
    <n v="894242"/>
    <s v="Spot"/>
    <x v="40"/>
    <s v="Sell"/>
    <s v="EUR"/>
    <n v="-143373.53"/>
    <s v="PLN"/>
    <n v="603513.67000000004"/>
    <s v="2026-01-14"/>
    <n v="4.2093999999999996"/>
    <n v="0.23760000000000001"/>
    <n v="4.2115999999999998"/>
    <n v="1"/>
    <n v="-318.288948"/>
    <s v="UNITED STATES OF AMERICA US"/>
  </r>
  <r>
    <s v="BKMILL"/>
    <n v="156155"/>
    <n v="894243"/>
    <s v="Spot"/>
    <x v="40"/>
    <s v="Sell"/>
    <s v="EUR"/>
    <n v="-100080.62"/>
    <s v="PLN"/>
    <n v="421277.36"/>
    <s v="2026-01-14"/>
    <n v="4.2093999999999996"/>
    <n v="0.23760000000000001"/>
    <n v="4.2115999999999998"/>
    <n v="1"/>
    <n v="-222.179192"/>
    <s v="UNITED STATES OF AMERICA US"/>
  </r>
  <r>
    <s v="BKMILL"/>
    <n v="156156"/>
    <n v="894244"/>
    <s v="Spot"/>
    <x v="41"/>
    <s v="Sell"/>
    <s v="USD"/>
    <n v="-358.52"/>
    <s v="PLN"/>
    <n v="1296.9100000000001"/>
    <s v="2026-01-14"/>
    <n v="3.6173999999999999"/>
    <n v="0.27639999999999998"/>
    <n v="3.6082999999999998"/>
    <n v="1"/>
    <n v="3.2622840000000002"/>
    <s v="GERMANY DE"/>
  </r>
  <r>
    <s v="BKMILL"/>
    <n v="156157"/>
    <n v="894245"/>
    <s v="Spot"/>
    <x v="40"/>
    <s v="Sell"/>
    <s v="EUR"/>
    <n v="-10776.86"/>
    <s v="PLN"/>
    <n v="45363.9"/>
    <s v="2026-01-14"/>
    <n v="4.2093999999999996"/>
    <n v="0.23760000000000001"/>
    <n v="4.2115999999999998"/>
    <n v="1"/>
    <n v="-23.923576000000001"/>
    <s v="UNITED STATES OF AMERICA US"/>
  </r>
  <r>
    <s v="BKMILL"/>
    <n v="156158"/>
    <n v="894246"/>
    <s v="Spot"/>
    <x v="40"/>
    <s v="Sell"/>
    <s v="EUR"/>
    <n v="-104246.34"/>
    <s v="PLN"/>
    <n v="438812.46"/>
    <s v="2026-01-14"/>
    <n v="4.2093999999999996"/>
    <n v="0.23760000000000001"/>
    <n v="4.2115999999999998"/>
    <n v="1"/>
    <n v="-231.425544"/>
    <s v="UNITED STATES OF AMERICA US"/>
  </r>
  <r>
    <s v="BKMILL"/>
    <n v="156159"/>
    <n v="894247"/>
    <s v="Spot"/>
    <x v="41"/>
    <s v="Sell"/>
    <s v="GBP"/>
    <n v="-45982.01"/>
    <s v="PLN"/>
    <n v="222792.03"/>
    <s v="2026-01-14"/>
    <n v="4.8452000000000002"/>
    <n v="0.2064"/>
    <n v="4.8643999999999998"/>
    <n v="1"/>
    <n v="-882.85944400000005"/>
    <s v="GERMANY DE"/>
  </r>
  <r>
    <s v="BKMILL"/>
    <n v="156160"/>
    <n v="894248"/>
    <s v="Spot"/>
    <x v="40"/>
    <s v="Sell"/>
    <s v="EUR"/>
    <n v="-101389.46"/>
    <s v="PLN"/>
    <n v="426786.77"/>
    <s v="2026-01-14"/>
    <n v="4.2093999999999996"/>
    <n v="0.23760000000000001"/>
    <n v="4.2115999999999998"/>
    <n v="1"/>
    <n v="-225.079736"/>
    <s v="UNITED STATES OF AMERICA US"/>
  </r>
  <r>
    <s v="BKMILL"/>
    <n v="156161"/>
    <n v="894249"/>
    <s v="Spot"/>
    <x v="40"/>
    <s v="Buy"/>
    <s v="CHF"/>
    <n v="8150.62"/>
    <s v="PLN"/>
    <n v="-36882.449999999997"/>
    <s v="2026-01-14"/>
    <n v="4.5251000000000001"/>
    <n v="0.221"/>
    <n v="4.5235000000000003"/>
    <n v="1"/>
    <n v="-13.120430000000001"/>
    <s v="UNITED STATES OF AMERICA US"/>
  </r>
  <r>
    <s v="BKMILL"/>
    <n v="156162"/>
    <n v="894250"/>
    <s v="Spot"/>
    <x v="41"/>
    <s v="Sell"/>
    <s v="USD"/>
    <n v="-113448.66"/>
    <s v="PLN"/>
    <n v="410389.18"/>
    <s v="2026-01-14"/>
    <n v="3.6173999999999999"/>
    <n v="0.27639999999999998"/>
    <n v="3.6082999999999998"/>
    <n v="1"/>
    <n v="1032.380122"/>
    <s v="GERMANY DE"/>
  </r>
  <r>
    <s v="BKMILL"/>
    <n v="156163"/>
    <n v="894251"/>
    <s v="Spot"/>
    <x v="41"/>
    <s v="Sell"/>
    <s v="USD"/>
    <n v="-2575.5700000000002"/>
    <s v="PLN"/>
    <n v="9316.8700000000008"/>
    <s v="2026-01-14"/>
    <n v="3.6173999999999999"/>
    <n v="0.27639999999999998"/>
    <n v="3.6082999999999998"/>
    <n v="1"/>
    <n v="23.440769"/>
    <s v="GERMANY DE"/>
  </r>
  <r>
    <s v="BKMILL"/>
    <n v="156164"/>
    <n v="894252"/>
    <s v="Spot"/>
    <x v="40"/>
    <s v="Sell"/>
    <s v="EUR"/>
    <n v="-99997.6"/>
    <s v="PLN"/>
    <n v="420927.9"/>
    <s v="2026-01-14"/>
    <n v="4.2093999999999996"/>
    <n v="0.23760000000000001"/>
    <n v="4.2115999999999998"/>
    <n v="1"/>
    <n v="-221.99216000000001"/>
    <s v="UNITED STATES OF AMERICA US"/>
  </r>
  <r>
    <s v="BKMILL"/>
    <n v="156165"/>
    <n v="894321"/>
    <s v="Spot"/>
    <x v="43"/>
    <s v="Sell"/>
    <s v="EUR"/>
    <n v="-10511.07"/>
    <s v="PLN"/>
    <n v="44270"/>
    <s v="2026-01-14"/>
    <n v="4.2118000000000002"/>
    <n v="0.2374"/>
    <n v="4.2115999999999998"/>
    <n v="1"/>
    <n v="1.577588"/>
    <s v="FRANCE FR"/>
  </r>
  <r>
    <s v="BKMILL"/>
    <n v="156166"/>
    <n v="894322"/>
    <s v="Spot"/>
    <x v="43"/>
    <s v="Sell"/>
    <s v="USD"/>
    <n v="-6794.68"/>
    <s v="PLN"/>
    <n v="24551.96"/>
    <s v="2026-01-14"/>
    <n v="3.6133999999999999"/>
    <n v="0.2767"/>
    <n v="3.6082999999999998"/>
    <n v="1"/>
    <n v="34.716155999999998"/>
    <s v="FRANCE FR"/>
  </r>
  <r>
    <s v="BKMILL"/>
    <n v="156167"/>
    <n v="894323"/>
    <s v="Spot"/>
    <x v="42"/>
    <s v="Buy"/>
    <s v="CHF"/>
    <n v="905.08"/>
    <s v="PLN"/>
    <n v="-4094.77"/>
    <s v="2026-01-14"/>
    <n v="4.5242000000000004"/>
    <n v="0.221"/>
    <n v="4.5235000000000003"/>
    <n v="1"/>
    <n v="-0.64061999999999997"/>
    <s v="SWITZERLAND CH"/>
  </r>
  <r>
    <s v="BKMILL"/>
    <n v="156168"/>
    <n v="216129"/>
    <s v="Forward"/>
    <x v="40"/>
    <s v="Sell Fwd"/>
    <s v="EUR"/>
    <n v="-10000"/>
    <s v="PLN"/>
    <n v="42106.32"/>
    <s v="2026-01-12"/>
    <n v="4.2112999999999996"/>
    <n v="0.23749999999999999"/>
    <n v="4.2126999999999999"/>
    <n v="1"/>
    <n v="-20.68"/>
    <s v="UNITED STATES OF AMERICA US"/>
  </r>
  <r>
    <s v="BKMILL"/>
    <n v="156169"/>
    <n v="216131"/>
    <s v="Forward"/>
    <x v="40"/>
    <s v="Sell Fwd"/>
    <s v="EUR"/>
    <n v="-30390"/>
    <s v="PLN"/>
    <n v="127964.85"/>
    <s v="2026-01-12"/>
    <n v="4.2114000000000003"/>
    <n v="0.23749999999999999"/>
    <n v="4.2126999999999999"/>
    <n v="1"/>
    <n v="-59.103000000000002"/>
    <s v="UNITED STATES OF AMERICA US"/>
  </r>
  <r>
    <s v="BKMILL"/>
    <n v="156170"/>
    <n v="216133"/>
    <s v="Forward"/>
    <x v="40"/>
    <s v="Sell Fwd"/>
    <s v="EUR"/>
    <n v="-2000"/>
    <s v="PLN"/>
    <n v="8422.82"/>
    <s v="2026-01-12"/>
    <n v="4.2119"/>
    <n v="0.2374"/>
    <n v="4.2126999999999999"/>
    <n v="1"/>
    <n v="-2.58"/>
    <s v="UNITED STATES OF AMERICA US"/>
  </r>
  <r>
    <s v="BKMILL"/>
    <n v="156171"/>
    <n v="216135"/>
    <s v="Forward"/>
    <x v="40"/>
    <s v="Buy Fwd"/>
    <s v="EUR"/>
    <n v="1100"/>
    <s v="PLN"/>
    <n v="4634.01"/>
    <s v="2026-01-12"/>
    <n v="4.2131999999999996"/>
    <n v="0.2374"/>
    <n v="4.2126999999999999"/>
    <n v="1"/>
    <n v="9267.98"/>
    <s v="UNITED STATES OF AMERICA US"/>
  </r>
  <r>
    <s v="BKMILL"/>
    <n v="156172"/>
    <n v="216138"/>
    <s v="Forward"/>
    <x v="40"/>
    <s v="Buy Fwd"/>
    <s v="EUR"/>
    <n v="1500"/>
    <s v="PLN"/>
    <n v="6318.88"/>
    <s v="2026-01-12"/>
    <n v="4.2130000000000001"/>
    <n v="0.2374"/>
    <n v="4.2126999999999999"/>
    <n v="1"/>
    <n v="12637.93"/>
    <s v="UNITED STATES OF AMERICA US"/>
  </r>
  <r>
    <s v="BKMILL"/>
    <n v="156173"/>
    <n v="216139"/>
    <s v="Forward"/>
    <x v="40"/>
    <s v="Buy Fwd"/>
    <s v="EUR"/>
    <n v="10000"/>
    <s v="PLN"/>
    <n v="42111.4"/>
    <s v="2026-01-12"/>
    <n v="4.2115999999999998"/>
    <n v="0.2374"/>
    <n v="4.2126999999999999"/>
    <n v="1"/>
    <n v="84238.399999999994"/>
    <s v="UNITED STATES OF AMERICA US"/>
  </r>
  <r>
    <s v="BKMILL"/>
    <n v="156174"/>
    <n v="894351"/>
    <s v="Spot"/>
    <x v="43"/>
    <s v="Buy"/>
    <s v="USD"/>
    <n v="400000"/>
    <s v="PLN"/>
    <n v="-1443000"/>
    <s v="2026-01-14"/>
    <n v="3.6074999999999999"/>
    <n v="0.2772"/>
    <n v="3.6082999999999998"/>
    <n v="1"/>
    <n v="320"/>
    <s v="FRANCE FR"/>
  </r>
  <r>
    <s v="BKMILL"/>
    <n v="156175"/>
    <n v="216142"/>
    <s v="Forward"/>
    <x v="40"/>
    <s v="Sell Fwd"/>
    <s v="EUR"/>
    <n v="-28251.56"/>
    <s v="PLN"/>
    <n v="118945.62"/>
    <s v="2026-01-12"/>
    <n v="4.2107000000000001"/>
    <n v="0.23749999999999999"/>
    <n v="4.2126999999999999"/>
    <n v="1"/>
    <n v="-69.726811999999995"/>
    <s v="UNITED STATES OF AMERICA US"/>
  </r>
  <r>
    <s v="BKMILL"/>
    <n v="156176"/>
    <n v="216143"/>
    <s v="Forward"/>
    <x v="40"/>
    <s v="Sell Fwd"/>
    <s v="EUR"/>
    <n v="-18000"/>
    <s v="PLN"/>
    <n v="75780.39"/>
    <s v="2026-01-12"/>
    <n v="4.2104999999999997"/>
    <n v="0.23749999999999999"/>
    <n v="4.2126999999999999"/>
    <n v="1"/>
    <n v="-48.21"/>
    <s v="UNITED STATES OF AMERICA US"/>
  </r>
  <r>
    <s v="BKMILL"/>
    <n v="156177"/>
    <n v="894360"/>
    <s v="Spot"/>
    <x v="42"/>
    <s v="Sell"/>
    <s v="USD"/>
    <n v="-48044.21"/>
    <s v="PLN"/>
    <n v="173257.99"/>
    <s v="2026-01-14"/>
    <n v="3.6061999999999999"/>
    <n v="0.27729999999999999"/>
    <n v="3.6082999999999998"/>
    <n v="1"/>
    <n v="-99.932942999999995"/>
    <s v="SWITZERLAND CH"/>
  </r>
  <r>
    <s v="BKMILL"/>
    <n v="156178"/>
    <n v="894361"/>
    <s v="Spot"/>
    <x v="40"/>
    <s v="Buy"/>
    <s v="CHF"/>
    <n v="6218.04"/>
    <s v="PLN"/>
    <n v="-28135.51"/>
    <s v="2026-01-14"/>
    <n v="4.5247999999999999"/>
    <n v="0.221"/>
    <n v="4.5235000000000003"/>
    <n v="1"/>
    <n v="-8.2060600000000008"/>
    <s v="UNITED STATES OF AMERICA US"/>
  </r>
  <r>
    <s v="BKMILL"/>
    <n v="156179"/>
    <n v="894362"/>
    <s v="Spot"/>
    <x v="42"/>
    <s v="Sell"/>
    <s v="EUR"/>
    <n v="-45316.57"/>
    <s v="PLN"/>
    <n v="190818.56"/>
    <s v="2026-01-14"/>
    <n v="4.2107999999999999"/>
    <n v="0.23749999999999999"/>
    <n v="4.2115999999999998"/>
    <n v="1"/>
    <n v="-36.706212000000001"/>
    <s v="SWITZERLAND CH"/>
  </r>
  <r>
    <s v="BKMILL"/>
    <n v="156180"/>
    <n v="216145"/>
    <s v="Forward"/>
    <x v="40"/>
    <s v="Sell Fwd"/>
    <s v="EUR"/>
    <n v="-16901.78"/>
    <s v="PLN"/>
    <n v="71153.149999999994"/>
    <s v="2026-01-12"/>
    <n v="4.2103000000000002"/>
    <n v="0.23749999999999999"/>
    <n v="4.2126999999999999"/>
    <n v="1"/>
    <n v="-48.978605999999999"/>
    <s v="UNITED STATES OF AMERICA US"/>
  </r>
  <r>
    <s v="BKMILL"/>
    <n v="156181"/>
    <n v="216148"/>
    <s v="Forward"/>
    <x v="40"/>
    <s v="Sell Fwd"/>
    <s v="EUR"/>
    <n v="-100000"/>
    <s v="PLN"/>
    <n v="420983.2"/>
    <s v="2026-01-12"/>
    <n v="4.2103000000000002"/>
    <n v="0.23749999999999999"/>
    <n v="4.2126999999999999"/>
    <n v="1"/>
    <n v="-286.8"/>
    <s v="UNITED STATES OF AMERICA US"/>
  </r>
  <r>
    <s v="BKMILL"/>
    <n v="156182"/>
    <n v="894371"/>
    <s v="Spot"/>
    <x v="38"/>
    <s v="Sell"/>
    <s v="USD"/>
    <n v="-1000000"/>
    <s v="PLN"/>
    <n v="3605410"/>
    <s v="2026-01-14"/>
    <n v="3.6053999999999999"/>
    <n v="0.27739999999999998"/>
    <n v="3.6082999999999998"/>
    <n v="1"/>
    <n v="-2890"/>
    <s v="NETHERLANDS NL"/>
  </r>
  <r>
    <s v="BKMILL"/>
    <n v="156183"/>
    <n v="216150"/>
    <s v="Forward"/>
    <x v="41"/>
    <s v="Sell Fwd"/>
    <s v="EUR"/>
    <n v="-71249.539999999994"/>
    <s v="USD"/>
    <n v="83221.600000000006"/>
    <s v="2026-01-12"/>
    <n v="1.1679999999999999"/>
    <n v="0.85609999999999997"/>
    <n v="4.2126999999999999"/>
    <n v="3.6183999999999998"/>
    <n v="976.10028199999999"/>
    <s v="GERMANY DE"/>
  </r>
  <r>
    <s v="BKMILL"/>
    <n v="156184"/>
    <n v="216152"/>
    <s v="Forward"/>
    <x v="36"/>
    <s v="Buy Fwd"/>
    <s v="GBP"/>
    <n v="4000"/>
    <s v="PLN"/>
    <n v="19393.490000000002"/>
    <s v="2026-01-12"/>
    <n v="4.8483999999999998"/>
    <n v="0.20630000000000001"/>
    <n v="4.8525"/>
    <n v="1"/>
    <n v="38803.49"/>
    <s v="UNITED KINGDOM GB"/>
  </r>
  <r>
    <s v="BKMILL"/>
    <n v="156185"/>
    <n v="216154"/>
    <s v="Forward"/>
    <x v="55"/>
    <s v="Buy Fwd"/>
    <s v="EUR"/>
    <n v="93693.6"/>
    <s v="PLN"/>
    <n v="394655.62"/>
    <s v="2026-01-12"/>
    <n v="4.2122000000000002"/>
    <n v="0.2374"/>
    <n v="4.2126999999999999"/>
    <n v="1"/>
    <n v="789358.64872000006"/>
    <s v="SPAIN ES"/>
  </r>
  <r>
    <s v="BKMILL"/>
    <n v="156186"/>
    <n v="216156"/>
    <s v="Forward"/>
    <x v="36"/>
    <s v="Buy Fwd"/>
    <s v="EUR"/>
    <n v="10000"/>
    <s v="PLN"/>
    <n v="42119.1"/>
    <s v="2026-01-12"/>
    <n v="4.2122999999999999"/>
    <n v="0.2374"/>
    <n v="4.2126999999999999"/>
    <n v="1"/>
    <n v="84246.1"/>
    <s v="UNITED KINGDOM GB"/>
  </r>
  <r>
    <s v="BKMILL"/>
    <n v="156187"/>
    <n v="894399"/>
    <s v="Spot"/>
    <x v="40"/>
    <s v="Buy"/>
    <s v="EUR"/>
    <n v="100000"/>
    <s v="CHF"/>
    <n v="-93054"/>
    <s v="2026-01-14"/>
    <n v="0.93049999999999999"/>
    <n v="1.0746"/>
    <n v="4.2115999999999998"/>
    <n v="4.5235000000000003"/>
    <n v="230.23099999999999"/>
    <s v="UNITED STATES OF AMERICA US"/>
  </r>
  <r>
    <s v="BKMILL"/>
    <n v="156188"/>
    <n v="216160"/>
    <s v="Forward"/>
    <x v="396"/>
    <s v="Sell Fwd"/>
    <s v="EUR"/>
    <n v="-10000"/>
    <s v="PLN"/>
    <n v="42210"/>
    <s v="2026-01-12"/>
    <n v="4.2210000000000001"/>
    <n v="0.2369"/>
    <n v="4.2126999999999999"/>
    <n v="1"/>
    <n v="83"/>
    <s v="POLAND PL"/>
  </r>
  <r>
    <s v="BKMILL"/>
    <n v="156189"/>
    <n v="894421"/>
    <s v="Spot"/>
    <x v="40"/>
    <s v="Sell"/>
    <s v="EUR"/>
    <n v="-500000"/>
    <s v="USD"/>
    <n v="583850"/>
    <s v="2026-01-14"/>
    <n v="1.1677"/>
    <n v="0.85640000000000005"/>
    <n v="4.2115999999999998"/>
    <n v="3.6082999999999998"/>
    <n v="905.95500000000004"/>
    <s v="UNITED STATES OF AMERICA US"/>
  </r>
  <r>
    <s v="BKMILL"/>
    <n v="156190"/>
    <n v="894425"/>
    <s v="Spot"/>
    <x v="43"/>
    <s v="Sell"/>
    <s v="EUR"/>
    <n v="-200000"/>
    <s v="USD"/>
    <n v="233544"/>
    <s v="2026-01-14"/>
    <n v="1.1677"/>
    <n v="0.85640000000000005"/>
    <n v="4.2115999999999998"/>
    <n v="3.6082999999999998"/>
    <n v="376.8152"/>
    <s v="FRANCE FR"/>
  </r>
  <r>
    <s v="BKMILL"/>
    <n v="156191"/>
    <n v="894439"/>
    <s v="Spot"/>
    <x v="40"/>
    <s v="Sell"/>
    <s v="EUR"/>
    <n v="-100000"/>
    <s v="CAD"/>
    <n v="162051"/>
    <s v="2026-01-14"/>
    <n v="1.6205000000000001"/>
    <n v="0.61709999999999998"/>
    <n v="4.2115999999999998"/>
    <n v="2.6006"/>
    <n v="269.8306"/>
    <s v="UNITED STATES OF AMERICA US"/>
  </r>
  <r>
    <s v="BKMILL"/>
    <n v="156192"/>
    <n v="894440"/>
    <s v="Spot"/>
    <x v="41"/>
    <s v="Sell"/>
    <s v="EUR"/>
    <n v="-500000"/>
    <s v="PLN"/>
    <n v="2105200"/>
    <s v="2026-01-14"/>
    <n v="4.2103999999999999"/>
    <n v="0.23749999999999999"/>
    <n v="4.2115999999999998"/>
    <n v="1"/>
    <n v="-600"/>
    <s v="GERMANY DE"/>
  </r>
  <r>
    <s v="BKMILL"/>
    <n v="156193"/>
    <n v="216178"/>
    <s v="Forward"/>
    <x v="397"/>
    <s v="Sell Fwd"/>
    <s v="EUR"/>
    <n v="-8200"/>
    <s v="PLN"/>
    <n v="34710.6"/>
    <s v="2026-01-12"/>
    <n v="4.2329999999999997"/>
    <n v="0.23619999999999999"/>
    <n v="4.2126999999999999"/>
    <n v="1"/>
    <n v="166.46"/>
    <s v="POLAND PL"/>
  </r>
  <r>
    <s v="BKMILL"/>
    <n v="156194"/>
    <n v="894482"/>
    <s v="Spot"/>
    <x v="398"/>
    <s v="Buy"/>
    <s v="USD"/>
    <n v="40000"/>
    <s v="PLN"/>
    <n v="-143644"/>
    <s v="2026-01-14"/>
    <n v="3.5911"/>
    <n v="0.27850000000000003"/>
    <n v="3.6082999999999998"/>
    <n v="1"/>
    <n v="688"/>
    <s v="POLAND PL"/>
  </r>
  <r>
    <s v="BKMILL"/>
    <n v="156195"/>
    <n v="894492"/>
    <s v="Spot"/>
    <x v="44"/>
    <s v="Buy"/>
    <s v="EUR"/>
    <n v="500000"/>
    <s v="PLN"/>
    <n v="-2104375"/>
    <s v="2026-01-14"/>
    <n v="4.2088000000000001"/>
    <n v="0.23760000000000001"/>
    <n v="4.2115999999999998"/>
    <n v="1"/>
    <n v="1425"/>
    <s v="GERMANY DE"/>
  </r>
  <r>
    <s v="BKMILL"/>
    <n v="156196"/>
    <n v="216182"/>
    <s v="Forward"/>
    <x v="399"/>
    <s v="Buy Fwd"/>
    <s v="EUR"/>
    <n v="190000"/>
    <s v="PLN"/>
    <n v="797620"/>
    <s v="2026-01-12"/>
    <n v="4.1985000000000001"/>
    <n v="0.2382"/>
    <n v="4.2126999999999999"/>
    <n v="1"/>
    <n v="1598033"/>
    <s v="POLAND PL"/>
  </r>
  <r>
    <s v="BKMILL"/>
    <n v="156197"/>
    <n v="894524"/>
    <s v="Spot"/>
    <x v="40"/>
    <s v="Buy"/>
    <s v="EUR"/>
    <n v="100000"/>
    <s v="CHF"/>
    <n v="-93066"/>
    <s v="2026-01-14"/>
    <n v="0.93069999999999997"/>
    <n v="1.0745"/>
    <n v="4.2115999999999998"/>
    <n v="4.5235000000000003"/>
    <n v="175.94900000000001"/>
    <s v="UNITED STATES OF AMERICA US"/>
  </r>
  <r>
    <s v="BKMILL"/>
    <n v="156198"/>
    <n v="216191"/>
    <s v="Forward"/>
    <x v="132"/>
    <s v="Buy Fwd"/>
    <s v="USD"/>
    <n v="80119.67"/>
    <s v="PLN"/>
    <n v="287597.57"/>
    <s v="2026-01-12"/>
    <n v="3.59"/>
    <n v="0.27860000000000001"/>
    <n v="3.6183999999999998"/>
    <n v="1"/>
    <n v="577502.58392799995"/>
    <s v="POLAND PL"/>
  </r>
  <r>
    <s v="BKMILL"/>
    <n v="156199"/>
    <n v="894556"/>
    <s v="Spot"/>
    <x v="41"/>
    <s v="Sell"/>
    <s v="EUR"/>
    <n v="-500000"/>
    <s v="PLN"/>
    <n v="2104150"/>
    <s v="2026-01-14"/>
    <n v="4.2083000000000004"/>
    <n v="0.23760000000000001"/>
    <n v="4.2115999999999998"/>
    <n v="1"/>
    <n v="-1650"/>
    <s v="GERMANY DE"/>
  </r>
  <r>
    <s v="BKMILL"/>
    <n v="156200"/>
    <n v="216200"/>
    <s v="Forward"/>
    <x v="97"/>
    <s v="Sell Fwd"/>
    <s v="USD"/>
    <n v="-400000"/>
    <s v="PLN"/>
    <n v="1443680"/>
    <s v="2026-01-19"/>
    <n v="3.609"/>
    <n v="0.27710000000000001"/>
    <n v="3.6345999999999998"/>
    <n v="1"/>
    <n v="-10160"/>
    <s v="POLAND PL"/>
  </r>
  <r>
    <s v="BKMILL"/>
    <n v="156202"/>
    <n v="216202"/>
    <s v="Forward"/>
    <x v="64"/>
    <s v="Sell Fwd"/>
    <s v="EUR"/>
    <n v="-65000"/>
    <s v="PLN"/>
    <n v="273845"/>
    <s v="2026-01-12"/>
    <n v="4.2130000000000001"/>
    <n v="0.2374"/>
    <n v="4.2126999999999999"/>
    <n v="1"/>
    <n v="19.5"/>
    <s v="POLAND PL"/>
  </r>
  <r>
    <s v="BKMILL"/>
    <n v="156203"/>
    <n v="894592"/>
    <s v="Spot"/>
    <x v="41"/>
    <s v="Sell"/>
    <s v="EUR"/>
    <n v="-500000"/>
    <s v="PLN"/>
    <n v="2104000"/>
    <s v="2026-01-14"/>
    <n v="4.2080000000000002"/>
    <n v="0.23760000000000001"/>
    <n v="4.2115999999999998"/>
    <n v="1"/>
    <n v="-1800"/>
    <s v="GERMANY DE"/>
  </r>
  <r>
    <s v="BKMILL"/>
    <n v="156204"/>
    <n v="216211"/>
    <s v="Forward"/>
    <x v="46"/>
    <s v="Buy Fwd"/>
    <s v="EUR"/>
    <n v="2400"/>
    <s v="PLN"/>
    <n v="10085.76"/>
    <s v="2026-01-13"/>
    <n v="4.2026000000000003"/>
    <n v="0.2379"/>
    <n v="4.2096999999999998"/>
    <n v="1"/>
    <n v="20189.04"/>
    <s v="POLAND PL"/>
  </r>
  <r>
    <s v="BKMILL"/>
    <n v="156205"/>
    <n v="216212"/>
    <s v="Forward"/>
    <x v="400"/>
    <s v="Buy Fwd"/>
    <s v="USD"/>
    <n v="300000"/>
    <s v="PLN"/>
    <n v="1079910"/>
    <s v="2026-01-12"/>
    <n v="3.5996999999999999"/>
    <n v="0.27779999999999999"/>
    <n v="3.6183999999999998"/>
    <n v="1"/>
    <n v="2165430"/>
    <s v="POLAND PL"/>
  </r>
  <r>
    <s v="BKMILL"/>
    <n v="156206"/>
    <n v="216213"/>
    <s v="Forward"/>
    <x v="70"/>
    <s v="Buy Fwd"/>
    <s v="EUR"/>
    <n v="17055.830000000002"/>
    <s v="PLN"/>
    <n v="71651.539999999994"/>
    <s v="2026-01-12"/>
    <n v="4.2009999999999996"/>
    <n v="0.23799999999999999"/>
    <n v="4.2126999999999999"/>
    <n v="1"/>
    <n v="143502.635041"/>
    <s v="POLAND PL"/>
  </r>
  <r>
    <s v="BKMILL"/>
    <n v="156207"/>
    <n v="216216"/>
    <s v="Forward"/>
    <x v="331"/>
    <s v="Buy Fwd"/>
    <s v="EUR"/>
    <n v="5000"/>
    <s v="PLN"/>
    <n v="20750"/>
    <s v="2026-01-12"/>
    <n v="4.1500000000000004"/>
    <n v="0.24099999999999999"/>
    <n v="4.2126999999999999"/>
    <n v="1"/>
    <n v="41813.5"/>
    <s v="POLAND PL"/>
  </r>
  <r>
    <s v="BKMILL"/>
    <n v="156208"/>
    <n v="216225"/>
    <s v="Forward"/>
    <x v="259"/>
    <s v="Buy Fwd"/>
    <s v="EUR"/>
    <n v="5000"/>
    <s v="PLN"/>
    <n v="21015"/>
    <s v="2026-01-12"/>
    <n v="4.2030000000000003"/>
    <n v="0.2379"/>
    <n v="4.2126999999999999"/>
    <n v="1"/>
    <n v="42078.5"/>
    <s v="POLAND PL"/>
  </r>
  <r>
    <s v="BKMILL"/>
    <n v="156209"/>
    <n v="894661"/>
    <s v="Spot"/>
    <x v="41"/>
    <s v="Buy"/>
    <s v="USD"/>
    <n v="500000"/>
    <s v="PLN"/>
    <n v="-1800750"/>
    <s v="2026-01-14"/>
    <n v="3.6015000000000001"/>
    <n v="0.2777"/>
    <n v="3.6082999999999998"/>
    <n v="1"/>
    <n v="3400"/>
    <s v="GERMANY DE"/>
  </r>
  <r>
    <s v="BKMILL"/>
    <n v="156210"/>
    <n v="216239"/>
    <s v="Forward"/>
    <x v="317"/>
    <s v="Buy Fwd"/>
    <s v="EUR"/>
    <n v="145000"/>
    <s v="PLN"/>
    <n v="609391.5"/>
    <s v="2026-01-12"/>
    <n v="4.2031999999999998"/>
    <n v="0.2379"/>
    <n v="4.2126999999999999"/>
    <n v="1"/>
    <n v="1220233"/>
    <s v="POLAND PL"/>
  </r>
  <r>
    <s v="BKMILL"/>
    <n v="156211"/>
    <n v="216241"/>
    <s v="Forward"/>
    <x v="401"/>
    <s v="Buy Fwd"/>
    <s v="EUR"/>
    <n v="40000"/>
    <s v="PLN"/>
    <n v="168000"/>
    <s v="2026-01-12"/>
    <n v="4.2004999999999999"/>
    <n v="0.23810000000000001"/>
    <n v="4.2126999999999999"/>
    <n v="1"/>
    <n v="336508"/>
    <s v="POLAND PL"/>
  </r>
  <r>
    <s v="BKMILL"/>
    <n v="156212"/>
    <n v="894698"/>
    <s v="Spot"/>
    <x v="38"/>
    <s v="Sell"/>
    <s v="EUR"/>
    <n v="-500000"/>
    <s v="PLN"/>
    <n v="2104270"/>
    <s v="2026-01-14"/>
    <n v="4.2084999999999999"/>
    <n v="0.23760000000000001"/>
    <n v="4.2115999999999998"/>
    <n v="1"/>
    <n v="-1530"/>
    <s v="NETHERLANDS NL"/>
  </r>
  <r>
    <s v="BKMILL"/>
    <n v="156213"/>
    <n v="894718"/>
    <s v="Spot"/>
    <x v="40"/>
    <s v="Sell"/>
    <s v="EUR"/>
    <n v="-100000"/>
    <s v="GBP"/>
    <n v="86844"/>
    <s v="2026-01-14"/>
    <n v="0.86839999999999995"/>
    <n v="1.1515"/>
    <n v="4.2115999999999998"/>
    <n v="4.8643999999999998"/>
    <n v="1283.9536000000001"/>
    <s v="UNITED STATES OF AMERICA US"/>
  </r>
  <r>
    <s v="BKMILL"/>
    <n v="156214"/>
    <n v="216251"/>
    <s v="Forward"/>
    <x v="390"/>
    <s v="Sell Fwd"/>
    <s v="USD"/>
    <n v="-100000"/>
    <s v="PLN"/>
    <n v="360500"/>
    <s v="2026-01-12"/>
    <n v="3.605"/>
    <n v="0.27739999999999998"/>
    <n v="3.6183999999999998"/>
    <n v="1"/>
    <n v="-1340"/>
    <s v="POLAND PL"/>
  </r>
  <r>
    <s v="BKMILL"/>
    <n v="156215"/>
    <n v="216255"/>
    <s v="Forward"/>
    <x v="347"/>
    <s v="Sell Fwd"/>
    <s v="EUR"/>
    <n v="-30000"/>
    <s v="PLN"/>
    <n v="126810"/>
    <s v="2026-01-12"/>
    <n v="4.2270000000000003"/>
    <n v="0.2366"/>
    <n v="4.2126999999999999"/>
    <n v="1"/>
    <n v="429"/>
    <s v="POLAND PL"/>
  </r>
  <r>
    <s v="BKMILL"/>
    <n v="156217"/>
    <n v="216257"/>
    <s v="Forward"/>
    <x v="32"/>
    <s v="Sell Fwd"/>
    <s v="EUR"/>
    <n v="-10000"/>
    <s v="PLN"/>
    <n v="42111"/>
    <s v="2026-01-12"/>
    <n v="4.2115"/>
    <n v="0.2374"/>
    <n v="4.2126999999999999"/>
    <n v="1"/>
    <n v="-16"/>
    <s v="POLAND PL"/>
  </r>
  <r>
    <s v="BKMILL"/>
    <n v="156218"/>
    <n v="894749"/>
    <s v="Spot"/>
    <x v="43"/>
    <s v="Sell"/>
    <s v="EUR"/>
    <n v="-500000"/>
    <s v="PLN"/>
    <n v="2104350"/>
    <s v="2026-01-14"/>
    <n v="4.2087000000000003"/>
    <n v="0.23760000000000001"/>
    <n v="4.2115999999999998"/>
    <n v="1"/>
    <n v="-1450"/>
    <s v="FRANCE FR"/>
  </r>
  <r>
    <s v="BKMILL"/>
    <n v="156220"/>
    <n v="216261"/>
    <s v="Forward"/>
    <x v="139"/>
    <s v="Buy Fwd"/>
    <s v="EUR"/>
    <n v="44599.95"/>
    <s v="PLN"/>
    <n v="187395.61"/>
    <s v="2026-01-12"/>
    <n v="4.2022000000000004"/>
    <n v="0.23799999999999999"/>
    <n v="4.2126999999999999"/>
    <n v="1"/>
    <n v="375281.819365"/>
    <s v="POLAND PL"/>
  </r>
  <r>
    <s v="BKMILL"/>
    <n v="156221"/>
    <n v="216265"/>
    <s v="Forward"/>
    <x v="402"/>
    <s v="Sell Fwd"/>
    <s v="EUR"/>
    <n v="-10000"/>
    <s v="PLN"/>
    <n v="43100"/>
    <s v="2026-01-12"/>
    <n v="4.3099999999999996"/>
    <n v="0.23200000000000001"/>
    <n v="4.2126999999999999"/>
    <n v="1"/>
    <n v="973"/>
    <s v="POLAND PL"/>
  </r>
  <r>
    <s v="BKMILL"/>
    <n v="156223"/>
    <n v="216273"/>
    <s v="Forward"/>
    <x v="291"/>
    <s v="Sell Fwd"/>
    <s v="EUR"/>
    <n v="-20000"/>
    <s v="PLN"/>
    <n v="84360"/>
    <s v="2026-01-12"/>
    <n v="4.2183999999999999"/>
    <n v="0.23710000000000001"/>
    <n v="4.2126999999999999"/>
    <n v="1"/>
    <n v="106"/>
    <s v="POLAND PL"/>
  </r>
  <r>
    <s v="BKMILL"/>
    <n v="156224"/>
    <n v="216274"/>
    <s v="Forward"/>
    <x v="403"/>
    <s v="Buy Fwd"/>
    <s v="EUR"/>
    <n v="9000"/>
    <s v="PLN"/>
    <n v="37755"/>
    <s v="2026-01-12"/>
    <n v="4.1954000000000002"/>
    <n v="0.2384"/>
    <n v="4.2126999999999999"/>
    <n v="1"/>
    <n v="75669.3"/>
    <s v="POLAND PL"/>
  </r>
  <r>
    <s v="BKMILL"/>
    <n v="156225"/>
    <n v="894805"/>
    <s v="Spot"/>
    <x v="42"/>
    <s v="Buy"/>
    <s v="EUR"/>
    <n v="1000000"/>
    <s v="PLN"/>
    <n v="-4209480"/>
    <s v="2026-01-14"/>
    <n v="4.2095000000000002"/>
    <n v="0.23760000000000001"/>
    <n v="4.2115999999999998"/>
    <n v="1"/>
    <n v="2120"/>
    <s v="SWITZERLAND CH"/>
  </r>
  <r>
    <s v="BKMILL"/>
    <n v="156226"/>
    <n v="894806"/>
    <s v="Spot"/>
    <x v="40"/>
    <s v="Buy"/>
    <s v="EUR"/>
    <n v="500000"/>
    <s v="PLN"/>
    <n v="-2104750"/>
    <s v="2026-01-14"/>
    <n v="4.2095000000000002"/>
    <n v="0.23760000000000001"/>
    <n v="4.2115999999999998"/>
    <n v="1"/>
    <n v="1050"/>
    <s v="UNITED STATES OF AMERICA US"/>
  </r>
  <r>
    <s v="BKMILL"/>
    <n v="156227"/>
    <n v="216279"/>
    <s v="Forward"/>
    <x v="82"/>
    <s v="Sell Fwd"/>
    <s v="EUR"/>
    <n v="-10000"/>
    <s v="PLN"/>
    <n v="42159"/>
    <s v="2026-01-12"/>
    <n v="4.2163000000000004"/>
    <n v="0.23719999999999999"/>
    <n v="4.2126999999999999"/>
    <n v="1"/>
    <n v="32"/>
    <s v="POLAND PL"/>
  </r>
  <r>
    <s v="BKMILL"/>
    <n v="156228"/>
    <n v="216281"/>
    <s v="Forward"/>
    <x v="82"/>
    <s v="Sell Fwd"/>
    <s v="EUR"/>
    <n v="-11761"/>
    <s v="PLN"/>
    <n v="49584.38"/>
    <s v="2026-01-13"/>
    <n v="4.2161999999999997"/>
    <n v="0.23719999999999999"/>
    <n v="4.2096999999999998"/>
    <n v="1"/>
    <n v="74.098299999999995"/>
    <s v="POLAND PL"/>
  </r>
  <r>
    <s v="BKMILL"/>
    <n v="156232"/>
    <n v="894848"/>
    <s v="Spot"/>
    <x v="43"/>
    <s v="Buy"/>
    <s v="EUR"/>
    <n v="400000"/>
    <s v="USD"/>
    <n v="-467080"/>
    <s v="2026-01-14"/>
    <n v="1.1677"/>
    <n v="0.85640000000000005"/>
    <n v="4.2115999999999998"/>
    <n v="3.6082999999999998"/>
    <n v="-724.76400000000001"/>
    <s v="FRANCE FR"/>
  </r>
  <r>
    <s v="BKMILL"/>
    <n v="156233"/>
    <n v="216294"/>
    <s v="Forward"/>
    <x v="90"/>
    <s v="Sell Fwd"/>
    <s v="EUR"/>
    <n v="-18000"/>
    <s v="PLN"/>
    <n v="75996"/>
    <s v="2026-01-12"/>
    <n v="4.2220000000000004"/>
    <n v="0.2369"/>
    <n v="4.2126999999999999"/>
    <n v="1"/>
    <n v="167.4"/>
    <s v="POLAND PL"/>
  </r>
  <r>
    <s v="BKMILL"/>
    <n v="156234"/>
    <n v="894877"/>
    <s v="Spot"/>
    <x v="40"/>
    <s v="Sell"/>
    <s v="GBP"/>
    <n v="-100000"/>
    <s v="PLN"/>
    <n v="484980"/>
    <s v="2026-01-14"/>
    <n v="4.8498000000000001"/>
    <n v="0.20619999999999999"/>
    <n v="4.8643999999999998"/>
    <n v="1"/>
    <n v="-1460"/>
    <s v="UNITED STATES OF AMERICA US"/>
  </r>
  <r>
    <s v="BKMILL"/>
    <n v="156235"/>
    <n v="894878"/>
    <s v="Spot"/>
    <x v="41"/>
    <s v="Sell"/>
    <s v="GBP"/>
    <n v="-100000"/>
    <s v="PLN"/>
    <n v="485050"/>
    <s v="2026-01-14"/>
    <n v="4.8505000000000003"/>
    <n v="0.20619999999999999"/>
    <n v="4.8643999999999998"/>
    <n v="1"/>
    <n v="-1390"/>
    <s v="GERMANY DE"/>
  </r>
  <r>
    <s v="BKMILL"/>
    <n v="156236"/>
    <n v="894882"/>
    <s v="Spot"/>
    <x v="404"/>
    <s v="Buy"/>
    <s v="EUR"/>
    <n v="1000000"/>
    <s v="PLN"/>
    <n v="-4210640"/>
    <s v="2026-01-14"/>
    <n v="4.2106000000000003"/>
    <n v="0.23749999999999999"/>
    <n v="4.2115999999999998"/>
    <n v="1"/>
    <n v="960"/>
    <s v="ITALY IT"/>
  </r>
  <r>
    <s v="BKMILL"/>
    <n v="156237"/>
    <n v="894883"/>
    <s v="Spot"/>
    <x v="404"/>
    <s v="Buy"/>
    <s v="EUR"/>
    <n v="1000000"/>
    <s v="PLN"/>
    <n v="-4210640"/>
    <s v="2026-01-14"/>
    <n v="4.2106000000000003"/>
    <n v="0.23749999999999999"/>
    <n v="4.2115999999999998"/>
    <n v="1"/>
    <n v="960"/>
    <s v="ITALY IT"/>
  </r>
  <r>
    <s v="BKMILL"/>
    <n v="156238"/>
    <n v="216298"/>
    <s v="Forward"/>
    <x v="402"/>
    <s v="Sell Fwd"/>
    <s v="EUR"/>
    <n v="-2000000"/>
    <s v="PLN"/>
    <n v="8500000"/>
    <s v="2026-01-12"/>
    <n v="4.25"/>
    <n v="0.23530000000000001"/>
    <n v="4.2126999999999999"/>
    <n v="1"/>
    <n v="74600"/>
    <s v="POLAND PL"/>
  </r>
  <r>
    <s v="BKMILL"/>
    <n v="156240"/>
    <n v="216300"/>
    <s v="Forward"/>
    <x v="253"/>
    <s v="Sell Fwd"/>
    <s v="DKK"/>
    <n v="-250000"/>
    <s v="PLN"/>
    <n v="141325"/>
    <s v="2026-01-12"/>
    <n v="0.56520000000000004"/>
    <n v="1.7693000000000001"/>
    <n v="0.56379999999999997"/>
    <n v="1"/>
    <n v="375"/>
    <s v="POLAND PL"/>
  </r>
  <r>
    <s v="BKMILL"/>
    <n v="156241"/>
    <n v="894906"/>
    <s v="Spot"/>
    <x v="42"/>
    <s v="Buy"/>
    <s v="USD"/>
    <n v="1000000"/>
    <s v="PLN"/>
    <n v="-3605300"/>
    <s v="2026-01-14"/>
    <n v="3.6053000000000002"/>
    <n v="0.27739999999999998"/>
    <n v="3.6082999999999998"/>
    <n v="1"/>
    <n v="3000"/>
    <s v="SWITZERLAND CH"/>
  </r>
  <r>
    <s v="BKMILL"/>
    <n v="156242"/>
    <n v="894910"/>
    <s v="Spot"/>
    <x v="44"/>
    <s v="Sell"/>
    <s v="EUR"/>
    <n v="-500000"/>
    <s v="PLN"/>
    <n v="2105150"/>
    <s v="2026-01-14"/>
    <n v="4.2103000000000002"/>
    <n v="0.23749999999999999"/>
    <n v="4.2115999999999998"/>
    <n v="1"/>
    <n v="-650"/>
    <s v="GERMANY DE"/>
  </r>
  <r>
    <s v="BKMILL"/>
    <n v="156244"/>
    <n v="216308"/>
    <s v="Forward"/>
    <x v="89"/>
    <s v="Sell Fwd"/>
    <s v="EUR"/>
    <n v="-1000"/>
    <s v="PLN"/>
    <n v="4215.6000000000004"/>
    <s v="2026-01-12"/>
    <n v="4.2160000000000002"/>
    <n v="0.23719999999999999"/>
    <n v="4.2126999999999999"/>
    <n v="1"/>
    <n v="2.9"/>
    <s v="POLAND PL"/>
  </r>
  <r>
    <s v="BKMILL"/>
    <n v="156245"/>
    <n v="216316"/>
    <s v="Forward"/>
    <x v="405"/>
    <s v="Buy Fwd"/>
    <s v="EUR"/>
    <n v="10000"/>
    <s v="PLN"/>
    <n v="41970"/>
    <s v="2026-01-12"/>
    <n v="4.1974999999999998"/>
    <n v="0.2382"/>
    <n v="4.2126999999999999"/>
    <n v="1"/>
    <n v="84097"/>
    <s v="POLAND PL"/>
  </r>
  <r>
    <s v="BKMILL"/>
    <n v="156246"/>
    <n v="216319"/>
    <s v="Forward"/>
    <x v="74"/>
    <s v="Buy Fwd"/>
    <s v="EUR"/>
    <n v="260000"/>
    <s v="PLN"/>
    <n v="1090700"/>
    <s v="2026-01-12"/>
    <n v="4.1950000000000003"/>
    <n v="0.2384"/>
    <n v="4.2126999999999999"/>
    <n v="1"/>
    <n v="2186002"/>
    <s v="POLAND PL"/>
  </r>
  <r>
    <s v="BKMILL"/>
    <n v="156249"/>
    <n v="216322"/>
    <s v="Forward"/>
    <x v="406"/>
    <s v="Sell Fwd"/>
    <s v="EUR"/>
    <n v="-12800"/>
    <s v="PLN"/>
    <n v="54252.800000000003"/>
    <s v="2026-01-12"/>
    <n v="4.2389999999999999"/>
    <n v="0.2359"/>
    <n v="4.2126999999999999"/>
    <n v="1"/>
    <n v="330.24"/>
    <s v="POLAND PL"/>
  </r>
  <r>
    <s v="BKMILL"/>
    <n v="156250"/>
    <n v="894978"/>
    <s v="Spot"/>
    <x v="43"/>
    <s v="Sell"/>
    <s v="EUR"/>
    <n v="-500000"/>
    <s v="PLN"/>
    <n v="2105625"/>
    <s v="2026-01-14"/>
    <n v="4.2111999999999998"/>
    <n v="0.23749999999999999"/>
    <n v="4.2115999999999998"/>
    <n v="1"/>
    <n v="-175"/>
    <s v="FRANCE FR"/>
  </r>
  <r>
    <s v="BKMILL"/>
    <n v="156251"/>
    <n v="216324"/>
    <s v="Forward"/>
    <x v="406"/>
    <s v="Sell Fwd"/>
    <s v="CZK"/>
    <n v="-12452"/>
    <s v="PLN"/>
    <n v="2184.08"/>
    <s v="2026-01-12"/>
    <n v="0.1754"/>
    <n v="5.7012999999999998"/>
    <n v="0.17319999999999999"/>
    <n v="1"/>
    <n v="27.393599999999999"/>
    <s v="POLAND PL"/>
  </r>
  <r>
    <s v="BKMILL"/>
    <n v="156252"/>
    <n v="216329"/>
    <s v="Forward"/>
    <x v="193"/>
    <s v="Sell Fwd"/>
    <s v="EUR"/>
    <n v="-200000"/>
    <s v="PLN"/>
    <n v="843200"/>
    <s v="2026-01-12"/>
    <n v="4.2164000000000001"/>
    <n v="0.23719999999999999"/>
    <n v="4.2126999999999999"/>
    <n v="1"/>
    <n v="660"/>
    <s v="POLAND PL"/>
  </r>
  <r>
    <s v="BKMILL"/>
    <n v="156253"/>
    <n v="216331"/>
    <s v="Forward"/>
    <x v="193"/>
    <s v="Sell Fwd"/>
    <s v="CHF"/>
    <n v="-50000"/>
    <s v="PLN"/>
    <n v="226350"/>
    <s v="2026-01-12"/>
    <n v="4.5279999999999996"/>
    <n v="0.2208"/>
    <n v="4.5221999999999998"/>
    <n v="1"/>
    <n v="240"/>
    <s v="POLAND PL"/>
  </r>
  <r>
    <s v="BKMILL"/>
    <n v="156254"/>
    <n v="895018"/>
    <s v="Spot"/>
    <x v="40"/>
    <s v="Sell"/>
    <s v="EUR"/>
    <n v="-100000"/>
    <s v="CHF"/>
    <n v="93135"/>
    <s v="2026-01-14"/>
    <n v="0.93140000000000001"/>
    <n v="1.0737000000000001"/>
    <n v="4.2115999999999998"/>
    <n v="4.5235000000000003"/>
    <n v="136.17250000000001"/>
    <s v="UNITED STATES OF AMERICA US"/>
  </r>
  <r>
    <s v="BKMILL"/>
    <n v="156255"/>
    <n v="216334"/>
    <s v="Forward"/>
    <x v="70"/>
    <s v="Buy Fwd"/>
    <s v="EUR"/>
    <n v="59481.42"/>
    <s v="PLN"/>
    <n v="250000.41"/>
    <s v="2026-01-12"/>
    <n v="4.2030000000000003"/>
    <n v="0.2379"/>
    <n v="4.2126999999999999"/>
    <n v="1"/>
    <n v="500577.78803400003"/>
    <s v="POLAND PL"/>
  </r>
  <r>
    <s v="BKMILL"/>
    <n v="156256"/>
    <n v="895043"/>
    <s v="Spot"/>
    <x v="41"/>
    <s v="Sell"/>
    <s v="EUR"/>
    <n v="-500000"/>
    <s v="PLN"/>
    <n v="2105150"/>
    <s v="2026-01-14"/>
    <n v="4.2103000000000002"/>
    <n v="0.23749999999999999"/>
    <n v="4.2115999999999998"/>
    <n v="1"/>
    <n v="-650"/>
    <s v="GERMANY DE"/>
  </r>
  <r>
    <s v="BKMILL"/>
    <n v="156257"/>
    <n v="216345"/>
    <s v="Forward"/>
    <x v="272"/>
    <s v="Buy Fwd"/>
    <s v="EUR"/>
    <n v="30000"/>
    <s v="PLN"/>
    <n v="126045"/>
    <s v="2026-01-12"/>
    <n v="4.2015000000000002"/>
    <n v="0.23799999999999999"/>
    <n v="4.2126999999999999"/>
    <n v="1"/>
    <n v="252426"/>
    <s v="POLAND PL"/>
  </r>
  <r>
    <s v="BKMILL"/>
    <n v="156259"/>
    <n v="216353"/>
    <s v="Forward"/>
    <x v="138"/>
    <s v="Buy Fwd"/>
    <s v="EUR"/>
    <n v="25000"/>
    <s v="PLN"/>
    <n v="105125"/>
    <s v="2026-01-12"/>
    <n v="4.2050000000000001"/>
    <n v="0.23780000000000001"/>
    <n v="4.2126999999999999"/>
    <n v="1"/>
    <n v="210442.5"/>
    <s v="POLAND PL"/>
  </r>
  <r>
    <s v="BKMILL"/>
    <n v="156260"/>
    <n v="216354"/>
    <s v="Forward"/>
    <x v="76"/>
    <s v="Buy Fwd"/>
    <s v="EUR"/>
    <n v="5000"/>
    <s v="PLN"/>
    <n v="20975"/>
    <s v="2026-01-12"/>
    <n v="4.1950000000000003"/>
    <n v="0.2384"/>
    <n v="4.2126999999999999"/>
    <n v="1"/>
    <n v="42038.5"/>
    <s v="POLAND PL"/>
  </r>
  <r>
    <s v="BKMILL"/>
    <n v="156261"/>
    <n v="216359"/>
    <s v="Forward"/>
    <x v="103"/>
    <s v="Sell Fwd"/>
    <s v="EUR"/>
    <n v="-38411.85"/>
    <s v="PLN"/>
    <n v="162059.6"/>
    <s v="2026-01-12"/>
    <n v="4.2190000000000003"/>
    <n v="0.23699999999999999"/>
    <n v="4.2126999999999999"/>
    <n v="1"/>
    <n v="241.999505"/>
    <s v="POLAND PL"/>
  </r>
  <r>
    <s v="BKMILL"/>
    <n v="156264"/>
    <n v="216370"/>
    <s v="Forward"/>
    <x v="407"/>
    <s v="Sell Fwd"/>
    <s v="EUR"/>
    <n v="-30000"/>
    <s v="PLN"/>
    <n v="128850"/>
    <s v="2026-01-12"/>
    <n v="4.2949999999999999"/>
    <n v="0.23280000000000001"/>
    <n v="4.2126999999999999"/>
    <n v="1"/>
    <n v="2469"/>
    <s v="POLAND PL"/>
  </r>
  <r>
    <s v="BKMILL"/>
    <n v="156265"/>
    <n v="216371"/>
    <s v="Forward"/>
    <x v="190"/>
    <s v="Buy Fwd"/>
    <s v="EUR"/>
    <n v="100000"/>
    <s v="PLN"/>
    <n v="420750"/>
    <s v="2026-01-12"/>
    <n v="4.2080000000000002"/>
    <n v="0.23760000000000001"/>
    <n v="4.2126999999999999"/>
    <n v="1"/>
    <n v="842020"/>
    <s v="POLAND PL"/>
  </r>
  <r>
    <s v="BKMILL"/>
    <n v="156266"/>
    <n v="216373"/>
    <s v="Forward"/>
    <x v="123"/>
    <s v="Sell Fwd"/>
    <s v="USD"/>
    <n v="-50000"/>
    <s v="PLN"/>
    <n v="180450"/>
    <s v="2026-01-12"/>
    <n v="3.609"/>
    <n v="0.27710000000000001"/>
    <n v="3.6183999999999998"/>
    <n v="1"/>
    <n v="-470"/>
    <s v="POLAND PL"/>
  </r>
  <r>
    <s v="BKMILL"/>
    <n v="156267"/>
    <n v="216375"/>
    <s v="Forward"/>
    <x v="225"/>
    <s v="Sell Fwd"/>
    <s v="EUR"/>
    <n v="-21658.2"/>
    <s v="PLN"/>
    <n v="91505.9"/>
    <s v="2026-01-12"/>
    <n v="4.2249999999999996"/>
    <n v="0.23669999999999999"/>
    <n v="4.2126999999999999"/>
    <n v="1"/>
    <n v="266.40086000000002"/>
    <s v="POLAND PL"/>
  </r>
  <r>
    <s v="BKMILL"/>
    <n v="156268"/>
    <n v="216378"/>
    <s v="Forward"/>
    <x v="215"/>
    <s v="Sell Fwd"/>
    <s v="EUR"/>
    <n v="-1000"/>
    <s v="PLN"/>
    <n v="4223"/>
    <s v="2026-01-12"/>
    <n v="4.2229999999999999"/>
    <n v="0.23680000000000001"/>
    <n v="4.2126999999999999"/>
    <n v="1"/>
    <n v="10.3"/>
    <s v="POLAND PL"/>
  </r>
  <r>
    <s v="BKMILL"/>
    <n v="156269"/>
    <n v="216379"/>
    <s v="Forward"/>
    <x v="338"/>
    <s v="Sell Fwd"/>
    <s v="EUR"/>
    <n v="-235386.91"/>
    <s v="PLN"/>
    <n v="992508.91"/>
    <s v="2026-01-12"/>
    <n v="4.2169999999999996"/>
    <n v="0.23710000000000001"/>
    <n v="4.2126999999999999"/>
    <n v="1"/>
    <n v="894.474243"/>
    <s v="POLAND PL"/>
  </r>
  <r>
    <s v="BKMILL"/>
    <n v="156270"/>
    <n v="216381"/>
    <s v="Forward"/>
    <x v="288"/>
    <s v="Buy Fwd"/>
    <s v="EUR"/>
    <n v="62000"/>
    <s v="PLN"/>
    <n v="260524"/>
    <s v="2026-01-12"/>
    <n v="4.2024999999999997"/>
    <n v="0.23799999999999999"/>
    <n v="4.2126999999999999"/>
    <n v="1"/>
    <n v="521711.4"/>
    <s v="POLAND PL"/>
  </r>
  <r>
    <s v="BKMILL"/>
    <n v="156271"/>
    <n v="216385"/>
    <s v="Forward"/>
    <x v="277"/>
    <s v="Buy Fwd"/>
    <s v="EUR"/>
    <n v="100000"/>
    <s v="PLN"/>
    <n v="420100"/>
    <s v="2026-01-12"/>
    <n v="4.2009999999999996"/>
    <n v="0.23799999999999999"/>
    <n v="4.2126999999999999"/>
    <n v="1"/>
    <n v="841370"/>
    <s v="POLAND PL"/>
  </r>
  <r>
    <s v="BKMILL"/>
    <n v="156273"/>
    <n v="216391"/>
    <s v="Forward"/>
    <x v="122"/>
    <s v="Buy Fwd"/>
    <s v="EUR"/>
    <n v="10000"/>
    <s v="PLN"/>
    <n v="42020"/>
    <s v="2026-01-12"/>
    <n v="4.202"/>
    <n v="0.23799999999999999"/>
    <n v="4.2126999999999999"/>
    <n v="1"/>
    <n v="84147"/>
    <s v="POLAND PL"/>
  </r>
  <r>
    <s v="BKMILL"/>
    <n v="156275"/>
    <n v="895207"/>
    <s v="Spot"/>
    <x v="41"/>
    <s v="Sell"/>
    <s v="EUR"/>
    <n v="-500000"/>
    <s v="PLN"/>
    <n v="2104650"/>
    <s v="2026-01-14"/>
    <n v="4.2092999999999998"/>
    <n v="0.23760000000000001"/>
    <n v="4.2115999999999998"/>
    <n v="1"/>
    <n v="-1150"/>
    <s v="GERMANY DE"/>
  </r>
  <r>
    <s v="BKMILL"/>
    <n v="156276"/>
    <n v="216396"/>
    <s v="Forward"/>
    <x v="408"/>
    <s v="Sell Fwd"/>
    <s v="USD"/>
    <n v="-100000"/>
    <s v="PLN"/>
    <n v="361400"/>
    <s v="2026-01-12"/>
    <n v="3.6141999999999999"/>
    <n v="0.2767"/>
    <n v="3.6183999999999998"/>
    <n v="1"/>
    <n v="-440"/>
    <s v="POLAND PL"/>
  </r>
  <r>
    <s v="BKMILL"/>
    <n v="156279"/>
    <n v="216398"/>
    <s v="Forward"/>
    <x v="132"/>
    <s v="Sell Fwd"/>
    <s v="EUR"/>
    <n v="-200000"/>
    <s v="PLN"/>
    <n v="843880"/>
    <s v="2026-01-12"/>
    <n v="4.2198000000000002"/>
    <n v="0.23699999999999999"/>
    <n v="4.2126999999999999"/>
    <n v="1"/>
    <n v="1340"/>
    <s v="POLAND PL"/>
  </r>
  <r>
    <s v="BKMILL"/>
    <n v="156280"/>
    <n v="895235"/>
    <s v="Spot"/>
    <x v="41"/>
    <s v="Sell"/>
    <s v="GBP"/>
    <n v="-200000"/>
    <s v="PLN"/>
    <n v="970340"/>
    <s v="2026-01-14"/>
    <n v="4.8517000000000001"/>
    <n v="0.20610000000000001"/>
    <n v="4.8643999999999998"/>
    <n v="1"/>
    <n v="-2540"/>
    <s v="GERMANY DE"/>
  </r>
  <r>
    <s v="BKMILL"/>
    <n v="156281"/>
    <n v="895236"/>
    <s v="Spot"/>
    <x v="44"/>
    <s v="Buy"/>
    <s v="EUR"/>
    <n v="500000"/>
    <s v="PLN"/>
    <n v="-2104550"/>
    <s v="2026-01-14"/>
    <n v="4.2091000000000003"/>
    <n v="0.23760000000000001"/>
    <n v="4.2115999999999998"/>
    <n v="1"/>
    <n v="1250"/>
    <s v="GERMANY DE"/>
  </r>
  <r>
    <s v="BKMILL"/>
    <n v="156283"/>
    <n v="216405"/>
    <s v="Forward"/>
    <x v="114"/>
    <s v="Sell Fwd"/>
    <s v="EUR"/>
    <n v="-80000"/>
    <s v="PLN"/>
    <n v="337360"/>
    <s v="2026-01-12"/>
    <n v="4.2169999999999996"/>
    <n v="0.23710000000000001"/>
    <n v="4.2126999999999999"/>
    <n v="1"/>
    <n v="344"/>
    <s v="POLAND PL"/>
  </r>
  <r>
    <s v="BKMILL"/>
    <n v="156285"/>
    <n v="216406"/>
    <s v="Forward"/>
    <x v="131"/>
    <s v="Sell Fwd"/>
    <s v="EUR"/>
    <n v="-200000"/>
    <s v="PLN"/>
    <n v="842400"/>
    <s v="2026-01-15"/>
    <n v="4.2118000000000002"/>
    <n v="0.2374"/>
    <n v="4.2110000000000003"/>
    <n v="1"/>
    <n v="200"/>
    <s v="POLAND PL"/>
  </r>
  <r>
    <s v="BKMILL"/>
    <n v="156286"/>
    <n v="895261"/>
    <s v="Spot"/>
    <x v="38"/>
    <s v="Buy"/>
    <s v="USD"/>
    <n v="500000"/>
    <s v="PLN"/>
    <n v="-1800575"/>
    <s v="2026-01-14"/>
    <n v="3.6012"/>
    <n v="0.2777"/>
    <n v="3.6082999999999998"/>
    <n v="1"/>
    <n v="3575"/>
    <s v="NETHERLANDS NL"/>
  </r>
  <r>
    <s v="BKMILL"/>
    <n v="156287"/>
    <n v="216408"/>
    <s v="Forward"/>
    <x v="131"/>
    <s v="Sell Fwd"/>
    <s v="EUR"/>
    <n v="-200000"/>
    <s v="PLN"/>
    <n v="843360"/>
    <s v="2026-01-29"/>
    <n v="4.2119"/>
    <n v="0.2374"/>
    <n v="4.2008999999999999"/>
    <n v="1"/>
    <n v="3180"/>
    <s v="POLAND PL"/>
  </r>
  <r>
    <s v="BKMILL"/>
    <n v="156288"/>
    <n v="895268"/>
    <s v="Spot"/>
    <x v="41"/>
    <s v="Buy"/>
    <s v="EUR"/>
    <n v="500000"/>
    <s v="PLN"/>
    <n v="-2104400"/>
    <s v="2026-01-14"/>
    <n v="4.2088000000000001"/>
    <n v="0.23760000000000001"/>
    <n v="4.2115999999999998"/>
    <n v="1"/>
    <n v="1400"/>
    <s v="GERMANY DE"/>
  </r>
  <r>
    <s v="BKMILL"/>
    <n v="156291"/>
    <n v="895275"/>
    <s v="Spot"/>
    <x v="47"/>
    <s v="Buy"/>
    <s v="EUR"/>
    <n v="2000000"/>
    <s v="PLN"/>
    <n v="-8417000"/>
    <s v="2026-01-14"/>
    <n v="4.2084999999999999"/>
    <n v="0.23760000000000001"/>
    <n v="4.2115999999999998"/>
    <n v="1"/>
    <n v="6200"/>
    <s v="FRANCE FR"/>
  </r>
  <r>
    <s v="BKMILL"/>
    <n v="156292"/>
    <n v="895276"/>
    <s v="Spot"/>
    <x v="38"/>
    <s v="Buy"/>
    <s v="EUR"/>
    <n v="1000000"/>
    <s v="PLN"/>
    <n v="-4208450"/>
    <s v="2026-01-14"/>
    <n v="4.2084999999999999"/>
    <n v="0.23760000000000001"/>
    <n v="4.2115999999999998"/>
    <n v="1"/>
    <n v="3150"/>
    <s v="NETHERLANDS NL"/>
  </r>
  <r>
    <s v="BKMILL"/>
    <n v="156293"/>
    <n v="895280"/>
    <s v="Spot"/>
    <x v="38"/>
    <s v="Buy"/>
    <s v="EUR"/>
    <n v="1000000"/>
    <s v="PLN"/>
    <n v="-4208500"/>
    <s v="2026-01-14"/>
    <n v="4.2084999999999999"/>
    <n v="0.23760000000000001"/>
    <n v="4.2115999999999998"/>
    <n v="1"/>
    <n v="3100"/>
    <s v="NETHERLANDS NL"/>
  </r>
  <r>
    <s v="BKMILL"/>
    <n v="156294"/>
    <n v="216412"/>
    <s v="Forward"/>
    <x v="12"/>
    <s v="Sell Fwd"/>
    <s v="EUR"/>
    <n v="-3000000"/>
    <s v="PLN"/>
    <n v="12630900"/>
    <s v="2026-01-12"/>
    <n v="4.2103000000000002"/>
    <n v="0.23749999999999999"/>
    <n v="4.2126999999999999"/>
    <n v="1"/>
    <n v="-7200"/>
    <s v="POLAND PL"/>
  </r>
  <r>
    <s v="BKMILL"/>
    <n v="156305"/>
    <n v="895319"/>
    <s v="Spot"/>
    <x v="40"/>
    <s v="Sell"/>
    <s v="USD"/>
    <n v="-150000"/>
    <s v="JPY"/>
    <n v="23676300"/>
    <s v="2026-01-14"/>
    <n v="157.84200000000001"/>
    <n v="6.3E-3"/>
    <n v="3.6082999999999998"/>
    <n v="2.2709999999999999"/>
    <n v="53227632.299999997"/>
    <s v="UNITED STATES OF AMERICA US"/>
  </r>
  <r>
    <s v="BKMILL"/>
    <n v="156306"/>
    <n v="895323"/>
    <s v="Spot"/>
    <x v="40"/>
    <s v="Sell"/>
    <s v="EUR"/>
    <n v="-300000"/>
    <s v="GBP"/>
    <n v="260244"/>
    <s v="2026-01-14"/>
    <n v="0.86750000000000005"/>
    <n v="1.1528"/>
    <n v="4.2115999999999998"/>
    <n v="4.8643999999999998"/>
    <n v="2450.9135999999999"/>
    <s v="UNITED STATES OF AMERICA US"/>
  </r>
  <r>
    <s v="BKMILL"/>
    <n v="156307"/>
    <n v="895324"/>
    <s v="Spot"/>
    <x v="40"/>
    <s v="Buy"/>
    <s v="USD"/>
    <n v="500000"/>
    <s v="PLN"/>
    <n v="-1801350"/>
    <s v="2026-01-14"/>
    <n v="3.6027"/>
    <n v="0.27760000000000001"/>
    <n v="3.6082999999999998"/>
    <n v="1"/>
    <n v="2800"/>
    <s v="UNITED STATES OF AMERICA US"/>
  </r>
  <r>
    <s v="BKMILL"/>
    <n v="156309"/>
    <n v="895340"/>
    <s v="Spot"/>
    <x v="56"/>
    <s v="Buy"/>
    <s v="EUR"/>
    <n v="20000"/>
    <s v="PLN"/>
    <n v="-84060"/>
    <s v="2026-01-14"/>
    <n v="4.2030000000000003"/>
    <n v="0.2379"/>
    <n v="4.2115999999999998"/>
    <n v="1"/>
    <n v="172"/>
    <s v="POLAND PL"/>
  </r>
  <r>
    <s v="BKMILL"/>
    <n v="156310"/>
    <n v="895341"/>
    <s v="Spot"/>
    <x v="56"/>
    <s v="Buy"/>
    <s v="EUR"/>
    <n v="20000"/>
    <s v="PLN"/>
    <n v="-84060"/>
    <s v="2026-01-14"/>
    <n v="4.2030000000000003"/>
    <n v="0.2379"/>
    <n v="4.2115999999999998"/>
    <n v="1"/>
    <n v="172"/>
    <s v="POLAND PL"/>
  </r>
  <r>
    <s v="BKMILL"/>
    <n v="156311"/>
    <n v="895342"/>
    <s v="Spot"/>
    <x v="56"/>
    <s v="Buy"/>
    <s v="EUR"/>
    <n v="20000"/>
    <s v="PLN"/>
    <n v="-84060"/>
    <s v="2026-01-14"/>
    <n v="4.2030000000000003"/>
    <n v="0.2379"/>
    <n v="4.2115999999999998"/>
    <n v="1"/>
    <n v="172"/>
    <s v="POLAND PL"/>
  </r>
  <r>
    <s v="BKMILL"/>
    <n v="156312"/>
    <n v="895343"/>
    <s v="Spot"/>
    <x v="56"/>
    <s v="Buy"/>
    <s v="EUR"/>
    <n v="20000"/>
    <s v="PLN"/>
    <n v="-84058"/>
    <s v="2026-01-14"/>
    <n v="4.2028999999999996"/>
    <n v="0.2379"/>
    <n v="4.2115999999999998"/>
    <n v="1"/>
    <n v="174"/>
    <s v="POLAND PL"/>
  </r>
  <r>
    <s v="BKMILL"/>
    <n v="156313"/>
    <n v="216428"/>
    <s v="Forward"/>
    <x v="78"/>
    <s v="Buy Fwd"/>
    <s v="EUR"/>
    <n v="20000"/>
    <s v="PLN"/>
    <n v="84040"/>
    <s v="2026-01-12"/>
    <n v="4.202"/>
    <n v="0.23799999999999999"/>
    <n v="4.2126999999999999"/>
    <n v="1"/>
    <n v="168294"/>
    <s v="POLAND PL"/>
  </r>
  <r>
    <s v="BKMILL"/>
    <n v="156315"/>
    <n v="895356"/>
    <s v="Spot"/>
    <x v="40"/>
    <s v="Sell"/>
    <s v="EUR"/>
    <n v="-500000"/>
    <s v="PLN"/>
    <n v="2105050"/>
    <s v="2026-01-14"/>
    <n v="4.2100999999999997"/>
    <n v="0.23749999999999999"/>
    <n v="4.2115999999999998"/>
    <n v="1"/>
    <n v="-750"/>
    <s v="UNITED STATES OF AMERICA US"/>
  </r>
  <r>
    <s v="BKMILL"/>
    <n v="156316"/>
    <n v="216433"/>
    <s v="Forward"/>
    <x v="101"/>
    <s v="Buy Fwd"/>
    <s v="EUR"/>
    <n v="25000"/>
    <s v="PLN"/>
    <n v="105192.5"/>
    <s v="2026-01-13"/>
    <n v="4.2079000000000004"/>
    <n v="0.23760000000000001"/>
    <n v="4.2096999999999998"/>
    <n v="1"/>
    <n v="210435"/>
    <s v="POLAND PL"/>
  </r>
  <r>
    <s v="BKMILL"/>
    <n v="156317"/>
    <n v="216435"/>
    <s v="Forward"/>
    <x v="409"/>
    <s v="Buy Fwd"/>
    <s v="EUR"/>
    <n v="10000"/>
    <s v="PLN"/>
    <n v="41960"/>
    <s v="2026-01-12"/>
    <n v="4.1963999999999997"/>
    <n v="0.23830000000000001"/>
    <n v="4.2126999999999999"/>
    <n v="1"/>
    <n v="84087"/>
    <s v="POLAND PL"/>
  </r>
  <r>
    <s v="BKMILL"/>
    <n v="156318"/>
    <n v="216437"/>
    <s v="Forward"/>
    <x v="180"/>
    <s v="Sell Fwd"/>
    <s v="USD"/>
    <n v="-5000"/>
    <s v="PLN"/>
    <n v="18009.5"/>
    <s v="2026-01-12"/>
    <n v="3.6019000000000001"/>
    <n v="0.27760000000000001"/>
    <n v="3.6183999999999998"/>
    <n v="1"/>
    <n v="-82.5"/>
    <s v="POLAND PL"/>
  </r>
  <r>
    <s v="BKMILL"/>
    <n v="156319"/>
    <n v="216443"/>
    <s v="Forward"/>
    <x v="410"/>
    <s v="Sell Fwd"/>
    <s v="USD"/>
    <n v="-27500"/>
    <s v="PLN"/>
    <n v="99247.5"/>
    <s v="2026-01-12"/>
    <n v="3.609"/>
    <n v="0.27710000000000001"/>
    <n v="3.6183999999999998"/>
    <n v="1"/>
    <n v="-258.5"/>
    <s v="POLAND PL"/>
  </r>
  <r>
    <s v="BKMILL"/>
    <n v="156322"/>
    <n v="216448"/>
    <s v="Forward"/>
    <x v="411"/>
    <s v="Sell Fwd"/>
    <s v="USD"/>
    <n v="-6500"/>
    <s v="PLN"/>
    <n v="23435.1"/>
    <s v="2026-01-13"/>
    <n v="3.6053999999999999"/>
    <n v="0.27739999999999998"/>
    <n v="3.6036999999999999"/>
    <n v="1"/>
    <n v="11.05"/>
    <s v="POLAND PL"/>
  </r>
  <r>
    <s v="BKMILL"/>
    <n v="156323"/>
    <n v="216451"/>
    <s v="Forward"/>
    <x v="412"/>
    <s v="Sell Fwd"/>
    <s v="GBP"/>
    <n v="-185000"/>
    <s v="PLN"/>
    <n v="900173"/>
    <s v="2026-01-12"/>
    <n v="4.8651999999999997"/>
    <n v="0.20549999999999999"/>
    <n v="4.8525"/>
    <n v="1"/>
    <n v="2460.5"/>
    <s v="POLAND PL"/>
  </r>
  <r>
    <s v="BKMILL"/>
    <n v="156324"/>
    <n v="895432"/>
    <s v="Spot"/>
    <x v="41"/>
    <s v="Buy"/>
    <s v="GBP"/>
    <n v="200000"/>
    <s v="PLN"/>
    <n v="-970980"/>
    <s v="2026-01-14"/>
    <n v="4.8548999999999998"/>
    <n v="0.20599999999999999"/>
    <n v="4.8643999999999998"/>
    <n v="1"/>
    <n v="1900"/>
    <s v="GERMANY DE"/>
  </r>
  <r>
    <s v="BKMILL"/>
    <n v="156325"/>
    <n v="895433"/>
    <s v="Spot"/>
    <x v="41"/>
    <s v="Buy"/>
    <s v="GBP"/>
    <n v="200000"/>
    <s v="PLN"/>
    <n v="-970940"/>
    <s v="2026-01-14"/>
    <n v="4.8547000000000002"/>
    <n v="0.20599999999999999"/>
    <n v="4.8643999999999998"/>
    <n v="1"/>
    <n v="1940"/>
    <s v="GERMANY DE"/>
  </r>
  <r>
    <s v="BKMILL"/>
    <n v="156326"/>
    <n v="216457"/>
    <s v="Forward"/>
    <x v="101"/>
    <s v="Buy Fwd"/>
    <s v="EUR"/>
    <n v="25000"/>
    <s v="PLN"/>
    <n v="105205"/>
    <s v="2026-01-13"/>
    <n v="4.2084000000000001"/>
    <n v="0.23760000000000001"/>
    <n v="4.2096999999999998"/>
    <n v="1"/>
    <n v="210447.5"/>
    <s v="POLAND PL"/>
  </r>
  <r>
    <s v="BKMILL"/>
    <n v="156327"/>
    <n v="895448"/>
    <s v="Spot"/>
    <x v="40"/>
    <s v="Buy"/>
    <s v="EUR"/>
    <n v="300000"/>
    <s v="GBP"/>
    <n v="-260271"/>
    <s v="2026-01-14"/>
    <n v="0.86760000000000004"/>
    <n v="1.1526000000000001"/>
    <n v="4.2115999999999998"/>
    <n v="4.8643999999999998"/>
    <n v="-2582.2523999999999"/>
    <s v="UNITED STATES OF AMERICA US"/>
  </r>
  <r>
    <s v="BKMILL"/>
    <n v="156328"/>
    <n v="895455"/>
    <s v="Spot"/>
    <x v="41"/>
    <s v="Sell"/>
    <s v="EUR"/>
    <n v="-500000"/>
    <s v="PLN"/>
    <n v="2105650"/>
    <s v="2026-01-14"/>
    <n v="4.2112999999999996"/>
    <n v="0.23749999999999999"/>
    <n v="4.2115999999999998"/>
    <n v="1"/>
    <n v="-150"/>
    <s v="GERMANY DE"/>
  </r>
  <r>
    <s v="BKMILL"/>
    <n v="156329"/>
    <n v="895456"/>
    <s v="Spot"/>
    <x v="44"/>
    <s v="Sell"/>
    <s v="EUR"/>
    <n v="-500000"/>
    <s v="PLN"/>
    <n v="2105670"/>
    <s v="2026-01-14"/>
    <n v="4.2112999999999996"/>
    <n v="0.23749999999999999"/>
    <n v="4.2115999999999998"/>
    <n v="1"/>
    <n v="-130"/>
    <s v="GERMANY DE"/>
  </r>
  <r>
    <s v="BKMILL"/>
    <n v="156330"/>
    <n v="216462"/>
    <s v="Forward"/>
    <x v="307"/>
    <s v="Sell Fwd"/>
    <s v="EUR"/>
    <n v="-18500"/>
    <s v="PLN"/>
    <n v="78051.5"/>
    <s v="2026-01-12"/>
    <n v="4.2190000000000003"/>
    <n v="0.23699999999999999"/>
    <n v="4.2126999999999999"/>
    <n v="1"/>
    <n v="116.55"/>
    <s v="POLAND PL"/>
  </r>
  <r>
    <s v="BKMILL"/>
    <n v="156331"/>
    <n v="216463"/>
    <s v="Forward"/>
    <x v="160"/>
    <s v="Buy Fwd"/>
    <s v="EUR"/>
    <n v="600000"/>
    <s v="PLN"/>
    <n v="2521200"/>
    <s v="2026-01-12"/>
    <n v="4.2023999999999999"/>
    <n v="0.23799999999999999"/>
    <n v="4.2126999999999999"/>
    <n v="1"/>
    <n v="5048820"/>
    <s v="POLAND PL"/>
  </r>
  <r>
    <s v="BKMILL"/>
    <n v="156332"/>
    <n v="895466"/>
    <s v="Spot"/>
    <x v="50"/>
    <s v="Buy"/>
    <s v="NOK"/>
    <n v="430000"/>
    <s v="PLN"/>
    <n v="-154026"/>
    <s v="2026-01-14"/>
    <n v="0.35820000000000002"/>
    <n v="2.7917000000000001"/>
    <n v="0.35809999999999997"/>
    <n v="1"/>
    <n v="-43"/>
    <s v="POLAND PL"/>
  </r>
  <r>
    <s v="BKMILL"/>
    <n v="156333"/>
    <n v="895470"/>
    <s v="Spot"/>
    <x v="50"/>
    <s v="Buy"/>
    <s v="SEK"/>
    <n v="290000"/>
    <s v="PLN"/>
    <n v="-114057"/>
    <s v="2026-01-14"/>
    <n v="0.39329999999999998"/>
    <n v="2.5426000000000002"/>
    <n v="0.39319999999999999"/>
    <n v="1"/>
    <n v="-29"/>
    <s v="POLAND PL"/>
  </r>
  <r>
    <s v="BKMILL"/>
    <n v="156334"/>
    <n v="895480"/>
    <s v="Spot"/>
    <x v="47"/>
    <s v="Buy"/>
    <s v="EUR"/>
    <n v="500000"/>
    <s v="PLN"/>
    <n v="-2105880"/>
    <s v="2026-01-14"/>
    <n v="4.2118000000000002"/>
    <n v="0.2374"/>
    <n v="4.2115999999999998"/>
    <n v="1"/>
    <n v="-80"/>
    <s v="FRANCE FR"/>
  </r>
  <r>
    <s v="BKMILL"/>
    <n v="156335"/>
    <n v="216470"/>
    <s v="Forward"/>
    <x v="151"/>
    <s v="Sell Fwd"/>
    <s v="EUR"/>
    <n v="-355170.7"/>
    <s v="PLN"/>
    <n v="1500951.38"/>
    <s v="2026-01-12"/>
    <n v="4.226"/>
    <n v="0.2366"/>
    <n v="4.2126999999999999"/>
    <n v="1"/>
    <n v="4723.7721099999999"/>
    <s v="POLAND PL"/>
  </r>
  <r>
    <s v="BKMILL"/>
    <n v="156336"/>
    <n v="895535"/>
    <s v="Spot"/>
    <x v="54"/>
    <s v="Buy"/>
    <s v="EUR"/>
    <n v="26000"/>
    <s v="PLN"/>
    <n v="-109155.8"/>
    <s v="2026-01-14"/>
    <n v="4.1982999999999997"/>
    <n v="0.2382"/>
    <n v="4.2115999999999998"/>
    <n v="1"/>
    <n v="345.8"/>
    <s v="POLAND PL"/>
  </r>
  <r>
    <s v="BKMILL"/>
    <n v="156337"/>
    <n v="895559"/>
    <s v="Spot"/>
    <x v="39"/>
    <s v="Sell"/>
    <s v="EUR"/>
    <n v="-500000"/>
    <s v="PLN"/>
    <n v="2105805"/>
    <s v="2026-01-14"/>
    <n v="4.2115999999999998"/>
    <n v="0.2374"/>
    <n v="4.2115999999999998"/>
    <n v="1"/>
    <n v="5"/>
    <s v="UNITED KINGDOM GB"/>
  </r>
  <r>
    <s v="BKMILL"/>
    <n v="156338"/>
    <n v="216474"/>
    <s v="Forward"/>
    <x v="362"/>
    <s v="Buy Fwd"/>
    <s v="EUR"/>
    <n v="180000"/>
    <s v="PLN"/>
    <n v="752400"/>
    <s v="2026-01-12"/>
    <n v="4.18"/>
    <n v="0.2392"/>
    <n v="4.2126999999999999"/>
    <n v="1"/>
    <n v="1510686"/>
    <s v="POLAND PL"/>
  </r>
  <r>
    <s v="BKMILL"/>
    <n v="156339"/>
    <n v="216476"/>
    <s v="Forward"/>
    <x v="219"/>
    <s v="Sell Fwd"/>
    <s v="USD"/>
    <n v="-3000"/>
    <s v="PLN"/>
    <n v="10833"/>
    <s v="2026-01-12"/>
    <n v="3.6110000000000002"/>
    <n v="0.27689999999999998"/>
    <n v="3.6183999999999998"/>
    <n v="1"/>
    <n v="-22.2"/>
    <s v="POLAND PL"/>
  </r>
  <r>
    <s v="BKMILL"/>
    <n v="156343"/>
    <n v="895572"/>
    <s v="Spot"/>
    <x v="39"/>
    <s v="Sell"/>
    <s v="EUR"/>
    <n v="-500000"/>
    <s v="PLN"/>
    <n v="2106390"/>
    <s v="2026-01-14"/>
    <n v="4.2127999999999997"/>
    <n v="0.2374"/>
    <n v="4.2115999999999998"/>
    <n v="1"/>
    <n v="590"/>
    <s v="UNITED KINGDOM GB"/>
  </r>
  <r>
    <s v="BKMILL"/>
    <n v="156344"/>
    <n v="216478"/>
    <s v="Forward"/>
    <x v="151"/>
    <s v="Sell Fwd"/>
    <s v="EUR"/>
    <n v="-47606.22"/>
    <s v="PLN"/>
    <n v="201183.89"/>
    <s v="2026-01-12"/>
    <n v="4.226"/>
    <n v="0.2366"/>
    <n v="4.2126999999999999"/>
    <n v="1"/>
    <n v="633.16700600000001"/>
    <s v="POLAND PL"/>
  </r>
  <r>
    <s v="BKMILL"/>
    <n v="156349"/>
    <n v="895609"/>
    <s v="Spot"/>
    <x v="41"/>
    <s v="Sell"/>
    <s v="EUR"/>
    <n v="-500000"/>
    <s v="PLN"/>
    <n v="2106450"/>
    <s v="2026-01-14"/>
    <n v="4.2129000000000003"/>
    <n v="0.2374"/>
    <n v="4.2115999999999998"/>
    <n v="1"/>
    <n v="650"/>
    <s v="GERMANY DE"/>
  </r>
  <r>
    <s v="BKMILL"/>
    <n v="156350"/>
    <n v="895630"/>
    <s v="Spot"/>
    <x v="45"/>
    <s v="Sell"/>
    <s v="EUR"/>
    <n v="-1000000"/>
    <s v="CHF"/>
    <n v="931390"/>
    <s v="2026-01-14"/>
    <n v="0.93140000000000001"/>
    <n v="1.0737000000000001"/>
    <n v="4.2115999999999998"/>
    <n v="4.5235000000000003"/>
    <n v="1542.665"/>
    <s v="SWITZERLAND CH"/>
  </r>
  <r>
    <s v="BKMILL"/>
    <n v="156351"/>
    <n v="895631"/>
    <s v="Spot"/>
    <x v="40"/>
    <s v="Sell"/>
    <s v="EUR"/>
    <n v="-200000"/>
    <s v="CHF"/>
    <n v="186282"/>
    <s v="2026-01-14"/>
    <n v="0.93140000000000001"/>
    <n v="1.0736000000000001"/>
    <n v="4.2115999999999998"/>
    <n v="4.5235000000000003"/>
    <n v="326.62700000000001"/>
    <s v="UNITED STATES OF AMERICA US"/>
  </r>
  <r>
    <s v="BKMILL"/>
    <n v="156353"/>
    <n v="895651"/>
    <s v="Spot"/>
    <x v="39"/>
    <s v="Buy"/>
    <s v="EUR"/>
    <n v="1000000"/>
    <s v="PLN"/>
    <n v="-4213190"/>
    <s v="2026-01-14"/>
    <n v="4.2131999999999996"/>
    <n v="0.23730000000000001"/>
    <n v="4.2115999999999998"/>
    <n v="1"/>
    <n v="-1590"/>
    <s v="UNITED KINGDOM GB"/>
  </r>
  <r>
    <s v="BKMILL"/>
    <n v="156356"/>
    <n v="895667"/>
    <s v="Spot"/>
    <x v="41"/>
    <s v="Buy"/>
    <s v="GBP"/>
    <n v="100000"/>
    <s v="PLN"/>
    <n v="-486050"/>
    <s v="2026-01-14"/>
    <n v="4.8605"/>
    <n v="0.20569999999999999"/>
    <n v="4.8643999999999998"/>
    <n v="1"/>
    <n v="390"/>
    <s v="GERMANY DE"/>
  </r>
  <r>
    <s v="BKMILL"/>
    <n v="156359"/>
    <n v="895691"/>
    <s v="Spot"/>
    <x v="47"/>
    <s v="Buy"/>
    <s v="EUR"/>
    <n v="150000"/>
    <s v="NOK"/>
    <n v="-1763475"/>
    <s v="2026-01-14"/>
    <n v="11.756500000000001"/>
    <n v="8.5099999999999995E-2"/>
    <n v="4.2115999999999998"/>
    <n v="0.35809999999999997"/>
    <n v="239.60249999999999"/>
    <s v="FRANCE FR"/>
  </r>
  <r>
    <s v="BKMILL"/>
    <n v="156361"/>
    <n v="895700"/>
    <s v="Spot"/>
    <x v="43"/>
    <s v="Sell"/>
    <s v="EUR"/>
    <n v="-250000"/>
    <s v="CZK"/>
    <n v="6074325"/>
    <s v="2026-01-14"/>
    <n v="24.2973"/>
    <n v="4.1200000000000001E-2"/>
    <n v="4.2115999999999998"/>
    <n v="0.17349999999999999"/>
    <n v="995.38750000000005"/>
    <s v="FRANCE FR"/>
  </r>
  <r>
    <s v="BKMILL"/>
    <n v="156363"/>
    <n v="895716"/>
    <s v="Spot"/>
    <x v="413"/>
    <s v="Buy"/>
    <s v="EUR"/>
    <n v="1700"/>
    <s v="PLN"/>
    <n v="-7138.13"/>
    <s v="2026-01-14"/>
    <n v="4.1989000000000001"/>
    <n v="0.2382"/>
    <n v="4.2115999999999998"/>
    <n v="1"/>
    <n v="21.59"/>
    <s v="POLAND PL"/>
  </r>
  <r>
    <s v="BKMILL"/>
    <n v="156367"/>
    <n v="895730"/>
    <s v="Spot"/>
    <x v="41"/>
    <s v="Sell"/>
    <s v="GBP"/>
    <n v="-500000"/>
    <s v="PLN"/>
    <n v="2429150"/>
    <s v="2026-01-14"/>
    <n v="4.8582999999999998"/>
    <n v="0.20580000000000001"/>
    <n v="4.8643999999999998"/>
    <n v="1"/>
    <n v="-3050"/>
    <s v="GERMANY DE"/>
  </r>
  <r>
    <s v="BKMILL"/>
    <n v="156368"/>
    <n v="895731"/>
    <s v="Spot"/>
    <x v="43"/>
    <s v="Sell"/>
    <s v="GBP"/>
    <n v="-100000"/>
    <s v="PLN"/>
    <n v="485800"/>
    <s v="2026-01-14"/>
    <n v="4.8579999999999997"/>
    <n v="0.20580000000000001"/>
    <n v="4.8643999999999998"/>
    <n v="1"/>
    <n v="-640"/>
    <s v="FRANCE FR"/>
  </r>
  <r>
    <s v="BKMILL"/>
    <n v="156369"/>
    <n v="895732"/>
    <s v="Spot"/>
    <x v="44"/>
    <s v="Buy"/>
    <s v="EUR"/>
    <n v="500000"/>
    <s v="PLN"/>
    <n v="-2106000"/>
    <s v="2026-01-14"/>
    <n v="4.2119999999999997"/>
    <n v="0.2374"/>
    <n v="4.2115999999999998"/>
    <n v="1"/>
    <n v="-200"/>
    <s v="GERMANY DE"/>
  </r>
  <r>
    <s v="BKMILL"/>
    <n v="156370"/>
    <n v="216507"/>
    <s v="Forward"/>
    <x v="212"/>
    <s v="Buy Fwd"/>
    <s v="GBP"/>
    <n v="599997.93999999994"/>
    <s v="PLN"/>
    <n v="2911190"/>
    <s v="2026-01-12"/>
    <n v="4.8520000000000003"/>
    <n v="0.20610000000000001"/>
    <n v="4.8525"/>
    <n v="1"/>
    <n v="5822680.00385"/>
    <s v="UNITED KINGDOM GB"/>
  </r>
  <r>
    <s v="BKMILL"/>
    <n v="156371"/>
    <n v="216508"/>
    <s v="Forward"/>
    <x v="414"/>
    <s v="Sell Fwd"/>
    <s v="EUR"/>
    <n v="-100000"/>
    <s v="PLN"/>
    <n v="421800"/>
    <s v="2026-01-12"/>
    <n v="4.2183999999999999"/>
    <n v="0.23710000000000001"/>
    <n v="4.2126999999999999"/>
    <n v="1"/>
    <n v="530"/>
    <s v="POLAND PL"/>
  </r>
  <r>
    <s v="BKMILL"/>
    <n v="156373"/>
    <n v="216509"/>
    <s v="Forward"/>
    <x v="415"/>
    <s v="Sell Fwd"/>
    <s v="USD"/>
    <n v="-55107.83"/>
    <s v="PLN"/>
    <n v="199005.4"/>
    <s v="2026-01-13"/>
    <n v="3.6112000000000002"/>
    <n v="0.27689999999999998"/>
    <n v="3.6036999999999999"/>
    <n v="1"/>
    <n v="413.31302899999997"/>
    <s v="POLAND PL"/>
  </r>
  <r>
    <s v="BKMILL"/>
    <n v="156374"/>
    <n v="216511"/>
    <s v="Forward"/>
    <x v="414"/>
    <s v="Sell Fwd"/>
    <s v="GBP"/>
    <n v="-1000"/>
    <s v="PLN"/>
    <n v="4865"/>
    <s v="2026-01-12"/>
    <n v="4.8650000000000002"/>
    <n v="0.20549999999999999"/>
    <n v="4.8525"/>
    <n v="1"/>
    <n v="12.5"/>
    <s v="POLAND PL"/>
  </r>
  <r>
    <s v="BKMILL"/>
    <n v="156375"/>
    <n v="895754"/>
    <s v="Spot"/>
    <x v="41"/>
    <s v="Sell"/>
    <s v="EUR"/>
    <n v="-500000"/>
    <s v="PLN"/>
    <n v="2105650"/>
    <s v="2026-01-14"/>
    <n v="4.2112999999999996"/>
    <n v="0.23749999999999999"/>
    <n v="4.2115999999999998"/>
    <n v="1"/>
    <n v="-150"/>
    <s v="GERMANY DE"/>
  </r>
  <r>
    <s v="BKMILL"/>
    <n v="156376"/>
    <n v="216515"/>
    <s v="Forward"/>
    <x v="139"/>
    <s v="Buy Fwd"/>
    <s v="EUR"/>
    <n v="90000"/>
    <s v="PLN"/>
    <n v="378369"/>
    <s v="2026-01-12"/>
    <n v="4.2046000000000001"/>
    <n v="0.23780000000000001"/>
    <n v="4.2126999999999999"/>
    <n v="1"/>
    <n v="757512"/>
    <s v="POLAND PL"/>
  </r>
  <r>
    <s v="BKMILL"/>
    <n v="156377"/>
    <n v="895764"/>
    <s v="Spot"/>
    <x v="40"/>
    <s v="Sell"/>
    <s v="EUR"/>
    <n v="-1000000"/>
    <s v="PLN"/>
    <n v="4211100"/>
    <s v="2026-01-14"/>
    <n v="4.2111000000000001"/>
    <n v="0.23749999999999999"/>
    <n v="4.2115999999999998"/>
    <n v="1"/>
    <n v="-500"/>
    <s v="UNITED STATES OF AMERICA US"/>
  </r>
  <r>
    <s v="BKMILL"/>
    <n v="156378"/>
    <n v="216517"/>
    <s v="Forward"/>
    <x v="416"/>
    <s v="Buy Fwd"/>
    <s v="EUR"/>
    <n v="2000000"/>
    <s v="PLN"/>
    <n v="8414000"/>
    <s v="2026-01-12"/>
    <n v="4.2074999999999996"/>
    <n v="0.23769999999999999"/>
    <n v="4.2126999999999999"/>
    <n v="1"/>
    <n v="16839400"/>
    <s v="POLAND PL"/>
  </r>
  <r>
    <s v="BKMILL"/>
    <n v="156379"/>
    <n v="895768"/>
    <s v="Spot"/>
    <x v="47"/>
    <s v="Sell"/>
    <s v="EUR"/>
    <n v="-500000"/>
    <s v="PLN"/>
    <n v="2105490"/>
    <s v="2026-01-14"/>
    <n v="4.2110000000000003"/>
    <n v="0.23749999999999999"/>
    <n v="4.2115999999999998"/>
    <n v="1"/>
    <n v="-310"/>
    <s v="FRANCE FR"/>
  </r>
  <r>
    <s v="BKMILL"/>
    <n v="156380"/>
    <n v="895769"/>
    <s v="Spot"/>
    <x v="40"/>
    <s v="Sell"/>
    <s v="EUR"/>
    <n v="-500000"/>
    <s v="PLN"/>
    <n v="2105450"/>
    <s v="2026-01-14"/>
    <n v="4.2108999999999996"/>
    <n v="0.23749999999999999"/>
    <n v="4.2115999999999998"/>
    <n v="1"/>
    <n v="-350"/>
    <s v="UNITED STATES OF AMERICA US"/>
  </r>
  <r>
    <s v="BKMILL"/>
    <n v="156381"/>
    <n v="216518"/>
    <s v="Forward"/>
    <x v="417"/>
    <s v="Buy Fwd"/>
    <s v="EUR"/>
    <n v="700000"/>
    <s v="PLN"/>
    <n v="2945600"/>
    <s v="2026-01-12"/>
    <n v="4.2080000000000002"/>
    <n v="0.23760000000000001"/>
    <n v="4.2126999999999999"/>
    <n v="1"/>
    <n v="5894490"/>
    <s v="POLAND PL"/>
  </r>
  <r>
    <s v="BKMILL"/>
    <n v="156382"/>
    <n v="895779"/>
    <s v="Spot"/>
    <x v="40"/>
    <s v="Sell"/>
    <s v="EUR"/>
    <n v="-500000"/>
    <s v="PLN"/>
    <n v="2105250"/>
    <s v="2026-01-14"/>
    <n v="4.2104999999999997"/>
    <n v="0.23749999999999999"/>
    <n v="4.2115999999999998"/>
    <n v="1"/>
    <n v="-550"/>
    <s v="UNITED STATES OF AMERICA US"/>
  </r>
  <r>
    <s v="BKMILL"/>
    <n v="156384"/>
    <n v="895790"/>
    <s v="Spot"/>
    <x v="36"/>
    <s v="Buy"/>
    <s v="CHF"/>
    <n v="3584.18"/>
    <s v="PLN"/>
    <n v="-16224.01"/>
    <s v="2026-01-14"/>
    <n v="4.5266000000000002"/>
    <n v="0.22090000000000001"/>
    <n v="4.5235000000000003"/>
    <n v="1"/>
    <n v="-10.971769999999999"/>
    <s v="UNITED KINGDOM GB"/>
  </r>
  <r>
    <s v="BKMILL"/>
    <n v="156385"/>
    <n v="895791"/>
    <s v="Spot"/>
    <x v="40"/>
    <s v="Sell"/>
    <s v="EUR"/>
    <n v="-94862.01"/>
    <s v="PLN"/>
    <n v="399495.23"/>
    <s v="2026-01-14"/>
    <n v="4.2112999999999996"/>
    <n v="0.23749999999999999"/>
    <n v="4.2115999999999998"/>
    <n v="1"/>
    <n v="-25.611315999999999"/>
    <s v="UNITED STATES OF AMERICA US"/>
  </r>
  <r>
    <s v="BKMILL"/>
    <n v="156386"/>
    <n v="895792"/>
    <s v="Spot"/>
    <x v="36"/>
    <s v="Sell"/>
    <s v="USD"/>
    <n v="-12947.77"/>
    <s v="PLN"/>
    <n v="46720.22"/>
    <s v="2026-01-14"/>
    <n v="3.6084000000000001"/>
    <n v="0.27710000000000001"/>
    <n v="3.6082999999999998"/>
    <n v="1"/>
    <n v="0.78150900000000001"/>
    <s v="UNITED KINGDOM GB"/>
  </r>
  <r>
    <s v="BKMILL"/>
    <n v="156387"/>
    <n v="895793"/>
    <s v="Spot"/>
    <x v="36"/>
    <s v="Sell"/>
    <s v="GBP"/>
    <n v="-7670.99"/>
    <s v="PLN"/>
    <n v="37264.370000000003"/>
    <s v="2026-01-14"/>
    <n v="4.8578000000000001"/>
    <n v="0.2059"/>
    <n v="4.8643999999999998"/>
    <n v="1"/>
    <n v="-50.393756000000003"/>
    <s v="UNITED KINGDOM GB"/>
  </r>
  <r>
    <s v="BKMILL"/>
    <n v="156388"/>
    <n v="895798"/>
    <s v="Spot"/>
    <x v="40"/>
    <s v="Sell"/>
    <s v="EUR"/>
    <n v="-102821.64"/>
    <s v="PLN"/>
    <n v="432927.43"/>
    <s v="2026-01-14"/>
    <n v="4.2104999999999997"/>
    <n v="0.23749999999999999"/>
    <n v="4.2115999999999998"/>
    <n v="1"/>
    <n v="-116.189024"/>
    <s v="UNITED STATES OF AMERICA US"/>
  </r>
  <r>
    <s v="BKMILL"/>
    <n v="156389"/>
    <n v="216523"/>
    <s v="Forward"/>
    <x v="41"/>
    <s v="Sell Fwd"/>
    <s v="EUR"/>
    <n v="-10000"/>
    <s v="PLN"/>
    <n v="42095.64"/>
    <s v="2026-01-13"/>
    <n v="4.2098000000000004"/>
    <n v="0.23749999999999999"/>
    <n v="4.2096999999999998"/>
    <n v="1"/>
    <n v="-1.36"/>
    <s v="GERMANY DE"/>
  </r>
  <r>
    <s v="BKMILL"/>
    <n v="156390"/>
    <n v="216524"/>
    <s v="Forward"/>
    <x v="418"/>
    <s v="Buy Fwd"/>
    <s v="EUR"/>
    <n v="10000"/>
    <s v="PLN"/>
    <n v="41952"/>
    <s v="2026-01-13"/>
    <n v="4.1955"/>
    <n v="0.2384"/>
    <n v="4.2096999999999998"/>
    <n v="1"/>
    <n v="84049"/>
    <s v="POLAND PL"/>
  </r>
  <r>
    <s v="BKMILL"/>
    <n v="156391"/>
    <n v="895804"/>
    <s v="Spot"/>
    <x v="41"/>
    <s v="Sell"/>
    <s v="EUR"/>
    <n v="-100042.35"/>
    <s v="PLN"/>
    <n v="421138.28"/>
    <s v="2026-01-14"/>
    <n v="4.2096"/>
    <n v="0.23760000000000001"/>
    <n v="4.2115999999999998"/>
    <n v="1"/>
    <n v="-200.08125999999999"/>
    <s v="GERMANY DE"/>
  </r>
  <r>
    <s v="BKMILL"/>
    <n v="156392"/>
    <n v="216525"/>
    <s v="Forward"/>
    <x v="40"/>
    <s v="Sell Fwd"/>
    <s v="EUR"/>
    <n v="-1467.3"/>
    <s v="PLN"/>
    <n v="6176.53"/>
    <s v="2026-01-13"/>
    <n v="4.2096999999999998"/>
    <n v="0.23749999999999999"/>
    <n v="4.2096999999999998"/>
    <n v="1"/>
    <n v="-0.36281000000000002"/>
    <s v="UNITED STATES OF AMERICA US"/>
  </r>
  <r>
    <s v="BKMILL"/>
    <n v="156393"/>
    <n v="216526"/>
    <s v="Forward"/>
    <x v="419"/>
    <s v="Buy Fwd"/>
    <s v="EUR"/>
    <n v="1467.3"/>
    <s v="PLN"/>
    <n v="6155.47"/>
    <s v="2026-01-13"/>
    <n v="4.1952999999999996"/>
    <n v="0.2384"/>
    <n v="4.2096999999999998"/>
    <n v="1"/>
    <n v="12332.362810000001"/>
    <s v="POLAND PL"/>
  </r>
  <r>
    <s v="BKMILL"/>
    <n v="156394"/>
    <n v="895810"/>
    <s v="Spot"/>
    <x v="40"/>
    <s v="Sell"/>
    <s v="GBP"/>
    <n v="-2789.01"/>
    <s v="PLN"/>
    <n v="13545.11"/>
    <s v="2026-01-14"/>
    <n v="4.8566000000000003"/>
    <n v="0.2059"/>
    <n v="4.8643999999999998"/>
    <n v="1"/>
    <n v="-21.750243999999999"/>
    <s v="UNITED STATES OF AMERICA US"/>
  </r>
  <r>
    <s v="BKMILL"/>
    <n v="156395"/>
    <n v="895811"/>
    <s v="Spot"/>
    <x v="40"/>
    <s v="Buy"/>
    <s v="CHF"/>
    <n v="6614.08"/>
    <s v="PLN"/>
    <n v="-29936.85"/>
    <s v="2026-01-14"/>
    <n v="4.5262000000000002"/>
    <n v="0.22090000000000001"/>
    <n v="4.5235000000000003"/>
    <n v="1"/>
    <n v="-18.05912"/>
    <s v="UNITED STATES OF AMERICA US"/>
  </r>
  <r>
    <s v="BKMILL"/>
    <n v="156396"/>
    <n v="895812"/>
    <s v="Spot"/>
    <x v="40"/>
    <s v="Sell"/>
    <s v="EUR"/>
    <n v="-61008.01"/>
    <s v="PLN"/>
    <n v="256832.74"/>
    <s v="2026-01-14"/>
    <n v="4.2098000000000004"/>
    <n v="0.23749999999999999"/>
    <n v="4.2115999999999998"/>
    <n v="1"/>
    <n v="-108.594916"/>
    <s v="UNITED STATES OF AMERICA US"/>
  </r>
  <r>
    <s v="BKMILL"/>
    <n v="156397"/>
    <n v="895816"/>
    <s v="Spot"/>
    <x v="41"/>
    <s v="Sell"/>
    <s v="GBP"/>
    <n v="-35984.800000000003"/>
    <s v="PLN"/>
    <n v="174724.2"/>
    <s v="2026-01-15"/>
    <n v="4.8555000000000001"/>
    <n v="0.20599999999999999"/>
    <n v="4.8631000000000002"/>
    <n v="1"/>
    <n v="-273.48088000000001"/>
    <s v="GERMANY DE"/>
  </r>
  <r>
    <s v="BKMILL"/>
    <n v="156398"/>
    <n v="895817"/>
    <s v="Spot"/>
    <x v="41"/>
    <s v="Buy"/>
    <s v="EUR"/>
    <n v="28894.67"/>
    <s v="PLN"/>
    <n v="-121727.47"/>
    <s v="2026-01-15"/>
    <n v="4.2127999999999997"/>
    <n v="0.2374"/>
    <n v="4.2110000000000003"/>
    <n v="1"/>
    <n v="-52.014629999999997"/>
    <s v="GERMANY DE"/>
  </r>
  <r>
    <s v="BKMILL"/>
    <n v="156399"/>
    <n v="895818"/>
    <s v="Spot"/>
    <x v="41"/>
    <s v="Sell"/>
    <s v="CHF"/>
    <n v="-1117.8599999999999"/>
    <s v="PLN"/>
    <n v="5053.96"/>
    <s v="2026-01-15"/>
    <n v="4.5210999999999997"/>
    <n v="0.22120000000000001"/>
    <n v="4.5058999999999996"/>
    <n v="1"/>
    <n v="16.994626"/>
    <s v="GERMANY DE"/>
  </r>
  <r>
    <s v="BKMILL"/>
    <n v="156400"/>
    <n v="895819"/>
    <s v="Spot"/>
    <x v="41"/>
    <s v="Sell"/>
    <s v="USD"/>
    <n v="-75195.05"/>
    <s v="PLN"/>
    <n v="271311.26"/>
    <s v="2026-01-15"/>
    <n v="3.6080999999999999"/>
    <n v="0.2772"/>
    <n v="3.6139999999999999"/>
    <n v="1"/>
    <n v="-443.65069999999997"/>
    <s v="GERMANY DE"/>
  </r>
  <r>
    <s v="BKMILL"/>
    <n v="156401"/>
    <n v="895858"/>
    <s v="Spot"/>
    <x v="43"/>
    <s v="Sell"/>
    <s v="EUR"/>
    <n v="-47821.98"/>
    <s v="PLN"/>
    <n v="201406.57"/>
    <s v="2026-01-15"/>
    <n v="4.2115999999999998"/>
    <n v="0.2374"/>
    <n v="4.2110000000000003"/>
    <n v="1"/>
    <n v="28.212219999999999"/>
    <s v="FRANCE FR"/>
  </r>
  <r>
    <s v="BKMILL"/>
    <n v="156402"/>
    <n v="895859"/>
    <s v="Spot"/>
    <x v="41"/>
    <s v="Sell"/>
    <s v="GBP"/>
    <n v="-755.38"/>
    <s v="PLN"/>
    <n v="3674.39"/>
    <s v="2026-01-15"/>
    <n v="4.8643000000000001"/>
    <n v="0.2056"/>
    <n v="4.8631000000000002"/>
    <n v="1"/>
    <n v="0.90152200000000005"/>
    <s v="GERMANY DE"/>
  </r>
  <r>
    <s v="BKMILL"/>
    <n v="156403"/>
    <n v="895860"/>
    <s v="Spot"/>
    <x v="43"/>
    <s v="Sell"/>
    <s v="USD"/>
    <n v="-4721.17"/>
    <s v="PLN"/>
    <n v="17044.419999999998"/>
    <s v="2026-01-15"/>
    <n v="3.6101999999999999"/>
    <n v="0.27700000000000002"/>
    <n v="3.6139999999999999"/>
    <n v="1"/>
    <n v="-17.888380000000002"/>
    <s v="FRANCE FR"/>
  </r>
  <r>
    <s v="BKMILL"/>
    <n v="156404"/>
    <n v="895861"/>
    <s v="Spot"/>
    <x v="41"/>
    <s v="Sell"/>
    <s v="CHF"/>
    <n v="-389.99"/>
    <s v="PLN"/>
    <n v="1766.03"/>
    <s v="2026-01-15"/>
    <n v="4.5284000000000004"/>
    <n v="0.2208"/>
    <n v="4.5058999999999996"/>
    <n v="1"/>
    <n v="8.7740589999999994"/>
    <s v="GERMANY DE"/>
  </r>
  <r>
    <s v="BKMILL"/>
    <n v="156405"/>
    <n v="216527"/>
    <s v="Forward"/>
    <x v="55"/>
    <s v="Buy Fwd"/>
    <s v="EUR"/>
    <n v="4500"/>
    <s v="PLN"/>
    <n v="18953.86"/>
    <s v="2026-01-13"/>
    <n v="4.2122999999999999"/>
    <n v="0.2374"/>
    <n v="4.2096999999999998"/>
    <n v="1"/>
    <n v="37897.51"/>
    <s v="SPAIN ES"/>
  </r>
  <r>
    <s v="BKMILL"/>
    <n v="156406"/>
    <n v="216529"/>
    <s v="Forward"/>
    <x v="40"/>
    <s v="Buy Fwd"/>
    <s v="USD"/>
    <n v="15973"/>
    <s v="PLN"/>
    <n v="57738.76"/>
    <s v="2026-01-13"/>
    <n v="3.6147999999999998"/>
    <n v="0.27660000000000001"/>
    <n v="3.6036999999999999"/>
    <n v="1"/>
    <n v="115300.66009999999"/>
    <s v="UNITED STATES OF AMERICA US"/>
  </r>
  <r>
    <s v="BKMILL"/>
    <n v="156407"/>
    <n v="216532"/>
    <s v="Forward"/>
    <x v="55"/>
    <s v="Buy Fwd"/>
    <s v="EUR"/>
    <n v="25920"/>
    <s v="PLN"/>
    <n v="109181.99"/>
    <s v="2026-01-13"/>
    <n v="4.2126000000000001"/>
    <n v="0.2374"/>
    <n v="4.2096999999999998"/>
    <n v="1"/>
    <n v="218297.41399999999"/>
    <s v="SPAIN ES"/>
  </r>
  <r>
    <s v="BKMILL"/>
    <n v="156408"/>
    <n v="216533"/>
    <s v="Forward"/>
    <x v="40"/>
    <s v="Buy Fwd"/>
    <s v="EUR"/>
    <n v="1500"/>
    <s v="PLN"/>
    <n v="6319.05"/>
    <s v="2026-01-13"/>
    <n v="4.2130999999999998"/>
    <n v="0.2374"/>
    <n v="4.2096999999999998"/>
    <n v="1"/>
    <n v="12633.6"/>
    <s v="UNITED STATES OF AMERICA US"/>
  </r>
  <r>
    <s v="BKMILL"/>
    <n v="156409"/>
    <n v="216536"/>
    <s v="Forward"/>
    <x v="40"/>
    <s v="Buy Fwd"/>
    <s v="EUR"/>
    <n v="7800"/>
    <s v="PLN"/>
    <n v="32856.239999999998"/>
    <s v="2026-01-13"/>
    <n v="4.2127999999999997"/>
    <n v="0.2374"/>
    <n v="4.2096999999999998"/>
    <n v="1"/>
    <n v="65691.899999999994"/>
    <s v="UNITED STATES OF AMERICA US"/>
  </r>
  <r>
    <s v="BKMILL"/>
    <n v="156410"/>
    <n v="216537"/>
    <s v="Forward"/>
    <x v="41"/>
    <s v="Buy Fwd"/>
    <s v="EUR"/>
    <n v="33727.58"/>
    <s v="PLN"/>
    <n v="142081.85"/>
    <s v="2026-01-13"/>
    <n v="4.2130000000000001"/>
    <n v="0.2374"/>
    <n v="4.2096999999999998"/>
    <n v="1"/>
    <n v="284064.84352599998"/>
    <s v="GERMANY DE"/>
  </r>
  <r>
    <s v="BKMILL"/>
    <n v="156411"/>
    <n v="216540"/>
    <s v="Forward"/>
    <x v="55"/>
    <s v="Buy Fwd"/>
    <s v="EUR"/>
    <n v="1010"/>
    <s v="PLN"/>
    <n v="4254.55"/>
    <s v="2026-01-13"/>
    <n v="4.2127999999999997"/>
    <n v="0.2374"/>
    <n v="4.2096999999999998"/>
    <n v="1"/>
    <n v="8506.3469999999998"/>
    <s v="SPAIN ES"/>
  </r>
  <r>
    <s v="BKMILL"/>
    <n v="156412"/>
    <n v="895894"/>
    <s v="Spot"/>
    <x v="40"/>
    <s v="Buy"/>
    <s v="EUR"/>
    <n v="100000"/>
    <s v="AUD"/>
    <n v="-173896"/>
    <s v="2026-01-15"/>
    <n v="1.7390000000000001"/>
    <n v="0.57509999999999994"/>
    <n v="4.2110000000000003"/>
    <n v="2.4198"/>
    <n v="306.45920000000001"/>
    <s v="UNITED STATES OF AMERICA US"/>
  </r>
  <r>
    <s v="BKMILL"/>
    <n v="156413"/>
    <n v="895895"/>
    <s v="Spot"/>
    <x v="41"/>
    <s v="Sell"/>
    <s v="EUR"/>
    <n v="-100154.53"/>
    <s v="PLN"/>
    <n v="421880.93"/>
    <s v="2026-01-15"/>
    <n v="4.2122999999999999"/>
    <n v="0.2374"/>
    <n v="4.2110000000000003"/>
    <n v="1"/>
    <n v="130.20417"/>
    <s v="GERMANY DE"/>
  </r>
  <r>
    <s v="BKMILL"/>
    <n v="156414"/>
    <n v="895896"/>
    <s v="Spot"/>
    <x v="42"/>
    <s v="Buy"/>
    <s v="USD"/>
    <n v="35953.54"/>
    <s v="PLN"/>
    <n v="-129931.42"/>
    <s v="2026-01-15"/>
    <n v="3.6139000000000001"/>
    <n v="0.2767"/>
    <n v="3.6139999999999999"/>
    <n v="1"/>
    <n v="4.6735600000000002"/>
    <s v="SWITZERLAND CH"/>
  </r>
  <r>
    <s v="BKMILL"/>
    <n v="156415"/>
    <n v="895897"/>
    <s v="Spot"/>
    <x v="41"/>
    <s v="Sell"/>
    <s v="CHF"/>
    <n v="-1497.93"/>
    <s v="PLN"/>
    <n v="6783.68"/>
    <s v="2026-01-15"/>
    <n v="4.5286999999999997"/>
    <n v="0.2208"/>
    <n v="4.5058999999999996"/>
    <n v="1"/>
    <n v="34.157212999999999"/>
    <s v="GERMANY DE"/>
  </r>
  <r>
    <s v="BKMILL"/>
    <n v="156416"/>
    <n v="895898"/>
    <s v="Spot"/>
    <x v="41"/>
    <s v="Sell"/>
    <s v="GBP"/>
    <n v="-19051.810000000001"/>
    <s v="PLN"/>
    <n v="92704.2"/>
    <s v="2026-01-15"/>
    <n v="4.8658999999999999"/>
    <n v="0.20549999999999999"/>
    <n v="4.8631000000000002"/>
    <n v="1"/>
    <n v="53.342789000000003"/>
    <s v="GERMANY DE"/>
  </r>
  <r>
    <s v="BKMILL"/>
    <n v="156417"/>
    <n v="216541"/>
    <s v="Forward"/>
    <x v="36"/>
    <s v="Buy Fwd"/>
    <s v="EUR"/>
    <n v="12285"/>
    <s v="PLN"/>
    <n v="51749.62"/>
    <s v="2026-01-13"/>
    <n v="4.2127999999999997"/>
    <n v="0.2374"/>
    <n v="4.2096999999999998"/>
    <n v="1"/>
    <n v="103465.78449999999"/>
    <s v="UNITED KINGDOM GB"/>
  </r>
  <r>
    <s v="BKMILL"/>
    <n v="156418"/>
    <n v="216543"/>
    <s v="Forward"/>
    <x v="36"/>
    <s v="Buy Fwd"/>
    <s v="USD"/>
    <n v="17000"/>
    <s v="PLN"/>
    <n v="61427.44"/>
    <s v="2026-01-13"/>
    <n v="3.6133999999999999"/>
    <n v="0.2767"/>
    <n v="3.6036999999999999"/>
    <n v="1"/>
    <n v="122690.34"/>
    <s v="UNITED KINGDOM GB"/>
  </r>
  <r>
    <s v="BKMILL"/>
    <n v="156419"/>
    <n v="216545"/>
    <s v="Forward"/>
    <x v="36"/>
    <s v="Sell Fwd"/>
    <s v="EUR"/>
    <n v="-14900"/>
    <s v="PLN"/>
    <n v="62759.13"/>
    <s v="2026-01-13"/>
    <n v="4.2125000000000004"/>
    <n v="0.2374"/>
    <n v="4.2096999999999998"/>
    <n v="1"/>
    <n v="34.6"/>
    <s v="UNITED KINGDOM GB"/>
  </r>
  <r>
    <s v="BKMILL"/>
    <n v="156420"/>
    <n v="216547"/>
    <s v="Forward"/>
    <x v="36"/>
    <s v="Sell Fwd"/>
    <s v="EUR"/>
    <n v="-2000"/>
    <s v="PLN"/>
    <n v="8424.5400000000009"/>
    <s v="2026-01-13"/>
    <n v="4.2126999999999999"/>
    <n v="0.2374"/>
    <n v="4.2096999999999998"/>
    <n v="1"/>
    <n v="5.14"/>
    <s v="UNITED KINGDOM GB"/>
  </r>
  <r>
    <s v="BKMILL"/>
    <n v="156421"/>
    <n v="216549"/>
    <s v="Forward"/>
    <x v="36"/>
    <s v="Buy Fwd"/>
    <s v="SEK"/>
    <n v="15000"/>
    <s v="PLN"/>
    <n v="5904.89"/>
    <s v="2026-01-13"/>
    <n v="0.39369999999999999"/>
    <n v="2.54"/>
    <n v="0.39279999999999998"/>
    <n v="1"/>
    <n v="11796.89"/>
    <s v="UNITED KINGDOM GB"/>
  </r>
  <r>
    <s v="BKMILL"/>
    <n v="156422"/>
    <n v="895932"/>
    <s v="Spot"/>
    <x v="44"/>
    <s v="Buy"/>
    <s v="EUR"/>
    <n v="1000000"/>
    <s v="PLN"/>
    <n v="-4212600"/>
    <s v="2026-01-15"/>
    <n v="4.2126000000000001"/>
    <n v="0.2374"/>
    <n v="4.2110000000000003"/>
    <n v="1"/>
    <n v="-1600"/>
    <s v="GERMANY DE"/>
  </r>
  <r>
    <s v="BKMILL"/>
    <n v="156423"/>
    <n v="216557"/>
    <s v="Forward"/>
    <x v="26"/>
    <s v="Sell Fwd"/>
    <s v="USD"/>
    <n v="-25000"/>
    <s v="PLN"/>
    <n v="90447.5"/>
    <s v="2026-01-13"/>
    <n v="3.6179000000000001"/>
    <n v="0.27639999999999998"/>
    <n v="3.6036999999999999"/>
    <n v="1"/>
    <n v="355"/>
    <s v="POLAND PL"/>
  </r>
  <r>
    <s v="BKMILL"/>
    <n v="156424"/>
    <n v="216560"/>
    <s v="Forward"/>
    <x v="68"/>
    <s v="Sell Fwd"/>
    <s v="EUR"/>
    <n v="-273000"/>
    <s v="PLN"/>
    <n v="1150640.3999999999"/>
    <s v="2026-01-13"/>
    <n v="4.2152000000000003"/>
    <n v="0.23719999999999999"/>
    <n v="4.2096999999999998"/>
    <n v="1"/>
    <n v="1392.3"/>
    <s v="POLAND PL"/>
  </r>
  <r>
    <s v="BKMILL"/>
    <n v="156425"/>
    <n v="895957"/>
    <s v="Spot"/>
    <x v="43"/>
    <s v="Buy"/>
    <s v="EUR"/>
    <n v="200000"/>
    <s v="USD"/>
    <n v="-233226"/>
    <s v="2026-01-15"/>
    <n v="1.1660999999999999"/>
    <n v="0.85750000000000004"/>
    <n v="4.2110000000000003"/>
    <n v="3.6139999999999999"/>
    <n v="-678.76400000000001"/>
    <s v="FRANCE FR"/>
  </r>
  <r>
    <s v="BKMILL"/>
    <n v="156426"/>
    <n v="216563"/>
    <s v="Forward"/>
    <x v="255"/>
    <s v="Buy Fwd"/>
    <s v="EUR"/>
    <n v="11623"/>
    <s v="USD"/>
    <n v="13540.8"/>
    <s v="2026-01-13"/>
    <n v="1.1652"/>
    <n v="0.85819999999999996"/>
    <n v="4.2096999999999998"/>
    <n v="3.6036999999999999"/>
    <n v="97726.324059999999"/>
    <s v="POLAND PL"/>
  </r>
  <r>
    <s v="BKMILL"/>
    <n v="156427"/>
    <n v="895974"/>
    <s v="Spot"/>
    <x v="44"/>
    <s v="Buy"/>
    <s v="EUR"/>
    <n v="500000"/>
    <s v="PLN"/>
    <n v="-2105900"/>
    <s v="2026-01-15"/>
    <n v="4.2118000000000002"/>
    <n v="0.2374"/>
    <n v="4.2110000000000003"/>
    <n v="1"/>
    <n v="-400"/>
    <s v="GERMANY DE"/>
  </r>
  <r>
    <s v="BKMILL"/>
    <n v="156428"/>
    <n v="896000"/>
    <s v="Spot"/>
    <x v="41"/>
    <s v="Buy"/>
    <s v="EUR"/>
    <n v="100000"/>
    <s v="USD"/>
    <n v="-116657"/>
    <s v="2026-01-15"/>
    <n v="1.1666000000000001"/>
    <n v="0.85719999999999996"/>
    <n v="4.2110000000000003"/>
    <n v="3.6139999999999999"/>
    <n v="-498.39800000000002"/>
    <s v="GERMANY DE"/>
  </r>
  <r>
    <s v="BKMILL"/>
    <n v="156429"/>
    <n v="216572"/>
    <s v="Forward"/>
    <x v="420"/>
    <s v="Buy Fwd"/>
    <s v="EUR"/>
    <n v="10000"/>
    <s v="PLN"/>
    <n v="41854"/>
    <s v="2026-01-13"/>
    <n v="4.1858000000000004"/>
    <n v="0.2389"/>
    <n v="4.2096999999999998"/>
    <n v="1"/>
    <n v="83951"/>
    <s v="POLAND PL"/>
  </r>
  <r>
    <s v="BKMILL"/>
    <n v="156430"/>
    <n v="896009"/>
    <s v="Spot"/>
    <x v="47"/>
    <s v="Buy"/>
    <s v="EUR"/>
    <n v="300000"/>
    <s v="USD"/>
    <n v="-350010"/>
    <s v="2026-01-15"/>
    <n v="1.1667000000000001"/>
    <n v="0.85709999999999997"/>
    <n v="4.2110000000000003"/>
    <n v="3.6139999999999999"/>
    <n v="-1636.14"/>
    <s v="FRANCE FR"/>
  </r>
  <r>
    <s v="BKMILL"/>
    <n v="156431"/>
    <n v="216574"/>
    <s v="Forward"/>
    <x v="161"/>
    <s v="Sell Fwd"/>
    <s v="EUR"/>
    <n v="-5000"/>
    <s v="PLN"/>
    <n v="21130"/>
    <s v="2026-01-13"/>
    <n v="4.226"/>
    <n v="0.2366"/>
    <n v="4.2096999999999998"/>
    <n v="1"/>
    <n v="81.5"/>
    <s v="POLAND PL"/>
  </r>
  <r>
    <s v="BKMILL"/>
    <n v="156432"/>
    <n v="216575"/>
    <s v="Forward"/>
    <x v="161"/>
    <s v="Sell Fwd"/>
    <s v="USD"/>
    <n v="-10000"/>
    <s v="PLN"/>
    <n v="36250"/>
    <s v="2026-01-13"/>
    <n v="3.625"/>
    <n v="0.27589999999999998"/>
    <n v="3.6036999999999999"/>
    <n v="1"/>
    <n v="213"/>
    <s v="POLAND PL"/>
  </r>
  <r>
    <s v="BKMILL"/>
    <n v="156433"/>
    <n v="896024"/>
    <s v="Spot"/>
    <x v="43"/>
    <s v="Buy"/>
    <s v="EUR"/>
    <n v="100000"/>
    <s v="DKK"/>
    <n v="-747232"/>
    <s v="2026-01-15"/>
    <n v="7.4722999999999997"/>
    <n v="0.1338"/>
    <n v="4.2110000000000003"/>
    <n v="0.5635"/>
    <n v="34.768000000000001"/>
    <s v="FRANCE FR"/>
  </r>
  <r>
    <s v="BKMILL"/>
    <n v="156434"/>
    <n v="896037"/>
    <s v="Spot"/>
    <x v="41"/>
    <s v="Buy"/>
    <s v="EUR"/>
    <n v="500000"/>
    <s v="PLN"/>
    <n v="-2106750"/>
    <s v="2026-01-15"/>
    <n v="4.2134999999999998"/>
    <n v="0.23730000000000001"/>
    <n v="4.2110000000000003"/>
    <n v="1"/>
    <n v="-1250"/>
    <s v="GERMANY DE"/>
  </r>
  <r>
    <s v="BKMILL"/>
    <n v="156435"/>
    <n v="216583"/>
    <s v="Forward"/>
    <x v="90"/>
    <s v="Sell Fwd"/>
    <s v="EUR"/>
    <n v="-20000"/>
    <s v="PLN"/>
    <n v="84500"/>
    <s v="2026-01-13"/>
    <n v="4.2249999999999996"/>
    <n v="0.23669999999999999"/>
    <n v="4.2096999999999998"/>
    <n v="1"/>
    <n v="306"/>
    <s v="POLAND PL"/>
  </r>
  <r>
    <s v="BKMILL"/>
    <n v="156436"/>
    <n v="216586"/>
    <s v="Forward"/>
    <x v="121"/>
    <s v="Buy Fwd"/>
    <s v="EUR"/>
    <n v="100000"/>
    <s v="PLN"/>
    <n v="419700"/>
    <s v="2026-01-13"/>
    <n v="4.1970000000000001"/>
    <n v="0.23830000000000001"/>
    <n v="4.2096999999999998"/>
    <n v="1"/>
    <n v="840670"/>
    <s v="POLAND PL"/>
  </r>
  <r>
    <s v="BKMILL"/>
    <n v="156437"/>
    <n v="216589"/>
    <s v="Forward"/>
    <x v="275"/>
    <s v="Sell Fwd"/>
    <s v="EUR"/>
    <n v="-52000"/>
    <s v="PLN"/>
    <n v="219700"/>
    <s v="2026-01-13"/>
    <n v="4.2253999999999996"/>
    <n v="0.23669999999999999"/>
    <n v="4.2096999999999998"/>
    <n v="1"/>
    <n v="795.6"/>
    <s v="POLAND PL"/>
  </r>
  <r>
    <s v="BKMILL"/>
    <n v="156438"/>
    <n v="896075"/>
    <s v="Spot"/>
    <x v="41"/>
    <s v="Buy"/>
    <s v="EUR"/>
    <n v="500000"/>
    <s v="PLN"/>
    <n v="-2107050"/>
    <s v="2026-01-15"/>
    <n v="4.2141000000000002"/>
    <n v="0.23730000000000001"/>
    <n v="4.2110000000000003"/>
    <n v="1"/>
    <n v="-1550"/>
    <s v="GERMANY DE"/>
  </r>
  <r>
    <s v="BKMILL"/>
    <n v="156440"/>
    <n v="896079"/>
    <s v="Spot"/>
    <x v="38"/>
    <s v="Sell"/>
    <s v="EUR"/>
    <n v="-1000000"/>
    <s v="PLN"/>
    <n v="4213560"/>
    <s v="2026-01-15"/>
    <n v="4.2135999999999996"/>
    <n v="0.23730000000000001"/>
    <n v="4.2110000000000003"/>
    <n v="1"/>
    <n v="2560"/>
    <s v="NETHERLANDS NL"/>
  </r>
  <r>
    <s v="BKMILL"/>
    <n v="156441"/>
    <n v="896080"/>
    <s v="Spot"/>
    <x v="421"/>
    <s v="Buy"/>
    <s v="EUR"/>
    <n v="2766.78"/>
    <s v="GBP"/>
    <n v="-2393.8200000000002"/>
    <s v="2026-01-15"/>
    <n v="0.86519999999999997"/>
    <n v="1.1557999999999999"/>
    <n v="4.2110000000000003"/>
    <n v="4.8631000000000002"/>
    <n v="9.5245379999999997"/>
    <s v="POLAND PL"/>
  </r>
  <r>
    <s v="BKMILL"/>
    <n v="156442"/>
    <n v="896097"/>
    <s v="Spot"/>
    <x v="101"/>
    <s v="Buy"/>
    <s v="EUR"/>
    <n v="25000"/>
    <s v="PLN"/>
    <n v="-105285"/>
    <s v="2026-01-15"/>
    <n v="4.2114000000000003"/>
    <n v="0.23749999999999999"/>
    <n v="4.2110000000000003"/>
    <n v="1"/>
    <n v="-10"/>
    <s v="POLAND PL"/>
  </r>
  <r>
    <s v="BKMILL"/>
    <n v="156443"/>
    <n v="896104"/>
    <s v="Spot"/>
    <x v="43"/>
    <s v="Buy"/>
    <s v="EUR"/>
    <n v="200000"/>
    <s v="USD"/>
    <n v="-233266"/>
    <s v="2026-01-15"/>
    <n v="1.1662999999999999"/>
    <n v="0.85740000000000005"/>
    <n v="4.2110000000000003"/>
    <n v="3.6139999999999999"/>
    <n v="-823.32399999999996"/>
    <s v="FRANCE FR"/>
  </r>
  <r>
    <s v="BKMILL"/>
    <n v="156444"/>
    <n v="216597"/>
    <s v="Forward"/>
    <x v="323"/>
    <s v="Buy Fwd"/>
    <s v="EUR"/>
    <n v="25000"/>
    <s v="PLN"/>
    <n v="102750"/>
    <s v="2026-01-13"/>
    <n v="4.1100000000000003"/>
    <n v="0.24329999999999999"/>
    <n v="4.2096999999999998"/>
    <n v="1"/>
    <n v="207992.5"/>
    <s v="POLAND PL"/>
  </r>
  <r>
    <s v="BKMILL"/>
    <n v="156445"/>
    <n v="896108"/>
    <s v="Spot"/>
    <x v="101"/>
    <s v="Buy"/>
    <s v="EUR"/>
    <n v="25000"/>
    <s v="PLN"/>
    <n v="-105277.5"/>
    <s v="2026-01-15"/>
    <n v="4.2111000000000001"/>
    <n v="0.23749999999999999"/>
    <n v="4.2110000000000003"/>
    <n v="1"/>
    <n v="-2.5"/>
    <s v="POLAND PL"/>
  </r>
  <r>
    <s v="BKMILL"/>
    <n v="156447"/>
    <n v="216602"/>
    <s v="Forward"/>
    <x v="264"/>
    <s v="Buy Fwd"/>
    <s v="EUR"/>
    <n v="8800"/>
    <s v="PLN"/>
    <n v="36960"/>
    <s v="2026-01-13"/>
    <n v="4.2004000000000001"/>
    <n v="0.23810000000000001"/>
    <n v="4.2096999999999998"/>
    <n v="1"/>
    <n v="74005.36"/>
    <s v="POLAND PL"/>
  </r>
  <r>
    <s v="BKMILL"/>
    <n v="156448"/>
    <n v="216603"/>
    <s v="Forward"/>
    <x v="74"/>
    <s v="Buy Fwd"/>
    <s v="EUR"/>
    <n v="200000"/>
    <s v="PLN"/>
    <n v="839200"/>
    <s v="2026-01-13"/>
    <n v="4.1959999999999997"/>
    <n v="0.23830000000000001"/>
    <n v="4.2096999999999998"/>
    <n v="1"/>
    <n v="1681140"/>
    <s v="POLAND PL"/>
  </r>
  <r>
    <s v="BKMILL"/>
    <n v="156449"/>
    <n v="896128"/>
    <s v="Spot"/>
    <x v="41"/>
    <s v="Buy"/>
    <s v="EUR"/>
    <n v="100000"/>
    <s v="USD"/>
    <n v="-116646"/>
    <s v="2026-01-15"/>
    <n v="1.1665000000000001"/>
    <n v="0.85729999999999995"/>
    <n v="4.2110000000000003"/>
    <n v="3.6139999999999999"/>
    <n v="-458.64400000000001"/>
    <s v="GERMANY DE"/>
  </r>
  <r>
    <s v="BKMILL"/>
    <n v="156450"/>
    <n v="216606"/>
    <s v="Forward"/>
    <x v="73"/>
    <s v="Sell Fwd"/>
    <s v="EUR"/>
    <n v="-110000"/>
    <s v="PLN"/>
    <n v="463650"/>
    <s v="2026-01-13"/>
    <n v="4.2149999999999999"/>
    <n v="0.23719999999999999"/>
    <n v="4.2096999999999998"/>
    <n v="1"/>
    <n v="583"/>
    <s v="POLAND PL"/>
  </r>
  <r>
    <s v="BKMILL"/>
    <n v="156451"/>
    <n v="216607"/>
    <s v="Forward"/>
    <x v="243"/>
    <s v="Sell Fwd"/>
    <s v="USD"/>
    <n v="-10500"/>
    <s v="PLN"/>
    <n v="37947"/>
    <s v="2026-01-13"/>
    <n v="3.6139999999999999"/>
    <n v="0.2767"/>
    <n v="3.6036999999999999"/>
    <n v="1"/>
    <n v="108.15"/>
    <s v="POLAND PL"/>
  </r>
  <r>
    <s v="BKMILL"/>
    <n v="156452"/>
    <n v="896145"/>
    <s v="Spot"/>
    <x v="41"/>
    <s v="Buy"/>
    <s v="EUR"/>
    <n v="500000"/>
    <s v="PLN"/>
    <n v="-2106300"/>
    <s v="2026-01-15"/>
    <n v="4.2126000000000001"/>
    <n v="0.2374"/>
    <n v="4.2110000000000003"/>
    <n v="1"/>
    <n v="-800"/>
    <s v="GERMANY DE"/>
  </r>
  <r>
    <s v="BKMILL"/>
    <n v="156454"/>
    <n v="216611"/>
    <s v="Forward"/>
    <x v="422"/>
    <s v="Buy Fwd"/>
    <s v="USD"/>
    <n v="136497.46"/>
    <s v="PLN"/>
    <n v="491336.26"/>
    <s v="2026-01-13"/>
    <n v="3.6"/>
    <n v="0.27779999999999999"/>
    <n v="3.6036999999999999"/>
    <n v="1"/>
    <n v="983232.156602"/>
    <s v="POLAND PL"/>
  </r>
  <r>
    <s v="BKMILL"/>
    <n v="156455"/>
    <n v="896159"/>
    <s v="Spot"/>
    <x v="43"/>
    <s v="Sell"/>
    <s v="EUR"/>
    <n v="-1000000"/>
    <s v="PLN"/>
    <n v="4212170"/>
    <s v="2026-01-15"/>
    <n v="4.2122000000000002"/>
    <n v="0.2374"/>
    <n v="4.2110000000000003"/>
    <n v="1"/>
    <n v="1170"/>
    <s v="FRANCE FR"/>
  </r>
  <r>
    <s v="BKMILL"/>
    <n v="156456"/>
    <n v="896163"/>
    <s v="Spot"/>
    <x v="41"/>
    <s v="Buy"/>
    <s v="EUR"/>
    <n v="100000"/>
    <s v="USD"/>
    <n v="-116703"/>
    <s v="2026-01-15"/>
    <n v="1.167"/>
    <n v="0.8569"/>
    <n v="4.2110000000000003"/>
    <n v="3.6139999999999999"/>
    <n v="-664.64200000000005"/>
    <s v="GERMANY DE"/>
  </r>
  <r>
    <s v="BKMILL"/>
    <n v="156457"/>
    <n v="896167"/>
    <s v="Spot"/>
    <x v="101"/>
    <s v="Buy"/>
    <s v="EUR"/>
    <n v="25000"/>
    <s v="PLN"/>
    <n v="-105250"/>
    <s v="2026-01-15"/>
    <n v="4.21"/>
    <n v="0.23749999999999999"/>
    <n v="4.2110000000000003"/>
    <n v="1"/>
    <n v="25"/>
    <s v="POLAND PL"/>
  </r>
  <r>
    <s v="BKMILL"/>
    <n v="156458"/>
    <n v="896168"/>
    <s v="Spot"/>
    <x v="44"/>
    <s v="Buy"/>
    <s v="EUR"/>
    <n v="1000000"/>
    <s v="PLN"/>
    <n v="-4213100"/>
    <s v="2026-01-15"/>
    <n v="4.2130999999999998"/>
    <n v="0.2374"/>
    <n v="4.2110000000000003"/>
    <n v="1"/>
    <n v="-2100"/>
    <s v="GERMANY DE"/>
  </r>
  <r>
    <s v="BKMILL"/>
    <n v="156459"/>
    <n v="216617"/>
    <s v="Forward"/>
    <x v="423"/>
    <s v="Sell Fwd"/>
    <s v="EUR"/>
    <n v="-50000"/>
    <s v="PLN"/>
    <n v="215750"/>
    <s v="2026-01-13"/>
    <n v="4.3150000000000004"/>
    <n v="0.23169999999999999"/>
    <n v="4.2096999999999998"/>
    <n v="1"/>
    <n v="5265"/>
    <s v="POLAND PL"/>
  </r>
  <r>
    <s v="BKMILL"/>
    <n v="156460"/>
    <n v="896182"/>
    <s v="Spot"/>
    <x v="41"/>
    <s v="Buy"/>
    <s v="USD"/>
    <n v="1000000"/>
    <s v="PLN"/>
    <n v="-3611100"/>
    <s v="2026-01-15"/>
    <n v="3.6111"/>
    <n v="0.27689999999999998"/>
    <n v="3.6139999999999999"/>
    <n v="1"/>
    <n v="2900"/>
    <s v="GERMANY DE"/>
  </r>
  <r>
    <s v="BKMILL"/>
    <n v="156461"/>
    <n v="896183"/>
    <s v="Spot"/>
    <x v="44"/>
    <s v="Buy"/>
    <s v="USD"/>
    <n v="1000000"/>
    <s v="PLN"/>
    <n v="-3611130"/>
    <s v="2026-01-15"/>
    <n v="3.6111"/>
    <n v="0.27689999999999998"/>
    <n v="3.6139999999999999"/>
    <n v="1"/>
    <n v="2870"/>
    <s v="GERMANY DE"/>
  </r>
  <r>
    <s v="BKMILL"/>
    <n v="156462"/>
    <n v="896187"/>
    <s v="Spot"/>
    <x v="41"/>
    <s v="Sell"/>
    <s v="USD"/>
    <n v="-3000000"/>
    <s v="PLN"/>
    <n v="10833000"/>
    <s v="2026-01-15"/>
    <n v="3.6110000000000002"/>
    <n v="0.27689999999999998"/>
    <n v="3.6139999999999999"/>
    <n v="1"/>
    <n v="-9000"/>
    <s v="GERMANY DE"/>
  </r>
  <r>
    <s v="BKMILL"/>
    <n v="156463"/>
    <n v="896188"/>
    <s v="Spot"/>
    <x v="41"/>
    <s v="Sell"/>
    <s v="USD"/>
    <n v="-1000000"/>
    <s v="PLN"/>
    <n v="3611000"/>
    <s v="2026-01-15"/>
    <n v="3.6110000000000002"/>
    <n v="0.27689999999999998"/>
    <n v="3.6139999999999999"/>
    <n v="1"/>
    <n v="-3000"/>
    <s v="GERMANY DE"/>
  </r>
  <r>
    <s v="BKMILL"/>
    <n v="156464"/>
    <n v="896189"/>
    <s v="Spot"/>
    <x v="41"/>
    <s v="Sell"/>
    <s v="USD"/>
    <n v="-500000"/>
    <s v="PLN"/>
    <n v="1805500"/>
    <s v="2026-01-15"/>
    <n v="3.6110000000000002"/>
    <n v="0.27689999999999998"/>
    <n v="3.6139999999999999"/>
    <n v="1"/>
    <n v="-1500"/>
    <s v="GERMANY DE"/>
  </r>
  <r>
    <s v="BKMILL"/>
    <n v="156465"/>
    <n v="216621"/>
    <s v="Forward"/>
    <x v="89"/>
    <s v="Sell Fwd"/>
    <s v="EUR"/>
    <n v="-5000"/>
    <s v="PLN"/>
    <n v="21090"/>
    <s v="2026-01-13"/>
    <n v="4.2183999999999999"/>
    <n v="0.23710000000000001"/>
    <n v="4.2096999999999998"/>
    <n v="1"/>
    <n v="41.5"/>
    <s v="POLAND PL"/>
  </r>
  <r>
    <s v="BKMILL"/>
    <n v="156466"/>
    <n v="896199"/>
    <s v="Spot"/>
    <x v="6"/>
    <s v="Buy"/>
    <s v="USD"/>
    <n v="2500000"/>
    <s v="PLN"/>
    <n v="-9023750"/>
    <s v="2026-01-15"/>
    <n v="3.6095000000000002"/>
    <n v="0.27700000000000002"/>
    <n v="3.6139999999999999"/>
    <n v="1"/>
    <n v="11250"/>
    <s v="POLAND PL"/>
  </r>
  <r>
    <s v="BKMILL"/>
    <n v="156474"/>
    <n v="216624"/>
    <s v="Forward"/>
    <x v="139"/>
    <s v="Buy Fwd"/>
    <s v="EUR"/>
    <n v="91794.15"/>
    <s v="PLN"/>
    <n v="386095.37"/>
    <s v="2026-01-27"/>
    <n v="4.2058999999999997"/>
    <n v="0.23780000000000001"/>
    <n v="4.2118000000000002"/>
    <n v="1"/>
    <n v="772713.97097000002"/>
    <s v="POLAND PL"/>
  </r>
  <r>
    <s v="BKMILL"/>
    <n v="156475"/>
    <n v="216625"/>
    <s v="Forward"/>
    <x v="149"/>
    <s v="Sell Fwd"/>
    <s v="EUR"/>
    <n v="-50000"/>
    <s v="PLN"/>
    <n v="210800"/>
    <s v="2026-01-13"/>
    <n v="4.2164000000000001"/>
    <n v="0.23719999999999999"/>
    <n v="4.2096999999999998"/>
    <n v="1"/>
    <n v="315"/>
    <s v="POLAND PL"/>
  </r>
  <r>
    <s v="BKMILL"/>
    <n v="156476"/>
    <n v="216634"/>
    <s v="Forward"/>
    <x v="424"/>
    <s v="Sell Fwd"/>
    <s v="EUR"/>
    <n v="-10000"/>
    <s v="PLN"/>
    <n v="42330"/>
    <s v="2026-01-13"/>
    <n v="4.2329999999999997"/>
    <n v="0.23619999999999999"/>
    <n v="4.2096999999999998"/>
    <n v="1"/>
    <n v="233"/>
    <s v="POLAND PL"/>
  </r>
  <r>
    <s v="BKMILL"/>
    <n v="156477"/>
    <n v="216636"/>
    <s v="Forward"/>
    <x v="425"/>
    <s v="Buy Fwd"/>
    <s v="EUR"/>
    <n v="6000"/>
    <s v="PLN"/>
    <n v="25200"/>
    <s v="2026-01-13"/>
    <n v="4.2"/>
    <n v="0.23810000000000001"/>
    <n v="4.2096999999999998"/>
    <n v="1"/>
    <n v="50458.2"/>
    <s v="POLAND PL"/>
  </r>
  <r>
    <s v="BKMILL"/>
    <n v="156478"/>
    <n v="896252"/>
    <s v="Spot"/>
    <x v="47"/>
    <s v="Sell"/>
    <s v="EUR"/>
    <n v="-1000000"/>
    <s v="PLN"/>
    <n v="4212200"/>
    <s v="2026-01-15"/>
    <n v="4.2122000000000002"/>
    <n v="0.2374"/>
    <n v="4.2110000000000003"/>
    <n v="1"/>
    <n v="1200"/>
    <s v="FRANCE FR"/>
  </r>
  <r>
    <s v="BKMILL"/>
    <n v="156479"/>
    <n v="896253"/>
    <s v="Spot"/>
    <x v="47"/>
    <s v="Sell"/>
    <s v="EUR"/>
    <n v="-1000000"/>
    <s v="PLN"/>
    <n v="4212200"/>
    <s v="2026-01-15"/>
    <n v="4.2122000000000002"/>
    <n v="0.2374"/>
    <n v="4.2110000000000003"/>
    <n v="1"/>
    <n v="1200"/>
    <s v="FRANCE FR"/>
  </r>
  <r>
    <s v="BKMILL"/>
    <n v="156481"/>
    <n v="896266"/>
    <s v="Spot"/>
    <x v="38"/>
    <s v="Sell"/>
    <s v="EUR"/>
    <n v="-1000000"/>
    <s v="PLN"/>
    <n v="4211020"/>
    <s v="2026-01-15"/>
    <n v="4.2110000000000003"/>
    <n v="0.23749999999999999"/>
    <n v="4.2110000000000003"/>
    <n v="1"/>
    <n v="20"/>
    <s v="NETHERLANDS NL"/>
  </r>
  <r>
    <s v="BKMILL"/>
    <n v="156482"/>
    <n v="896267"/>
    <s v="Spot"/>
    <x v="41"/>
    <s v="Sell"/>
    <s v="EUR"/>
    <n v="-1000000"/>
    <s v="PLN"/>
    <n v="4211100"/>
    <s v="2026-01-15"/>
    <n v="4.2111000000000001"/>
    <n v="0.23749999999999999"/>
    <n v="4.2110000000000003"/>
    <n v="1"/>
    <n v="100"/>
    <s v="GERMANY DE"/>
  </r>
  <r>
    <s v="BKMILL"/>
    <n v="156487"/>
    <n v="216652"/>
    <s v="Forward"/>
    <x v="288"/>
    <s v="Buy Fwd"/>
    <s v="EUR"/>
    <n v="20000"/>
    <s v="PLN"/>
    <n v="84060"/>
    <s v="2026-01-13"/>
    <n v="4.2034000000000002"/>
    <n v="0.2379"/>
    <n v="4.2096999999999998"/>
    <n v="1"/>
    <n v="168254"/>
    <s v="POLAND PL"/>
  </r>
  <r>
    <s v="BKMILL"/>
    <n v="156488"/>
    <n v="216653"/>
    <s v="Forward"/>
    <x v="426"/>
    <s v="Buy Fwd"/>
    <s v="EUR"/>
    <n v="7000"/>
    <s v="PLN"/>
    <n v="29421"/>
    <s v="2026-01-13"/>
    <n v="4.2034000000000002"/>
    <n v="0.2379"/>
    <n v="4.2096999999999998"/>
    <n v="1"/>
    <n v="58888.9"/>
    <s v="POLAND PL"/>
  </r>
  <r>
    <s v="BKMILL"/>
    <n v="156489"/>
    <n v="216654"/>
    <s v="Forward"/>
    <x v="139"/>
    <s v="Buy Fwd"/>
    <s v="EUR"/>
    <n v="108572.25"/>
    <s v="PLN"/>
    <n v="456470.31"/>
    <s v="2026-01-13"/>
    <n v="4.2046999999999999"/>
    <n v="0.23780000000000001"/>
    <n v="4.2096999999999998"/>
    <n v="1"/>
    <n v="913526.91082500003"/>
    <s v="POLAND PL"/>
  </r>
  <r>
    <s v="BKMILL"/>
    <n v="156491"/>
    <n v="216655"/>
    <s v="Forward"/>
    <x v="427"/>
    <s v="Buy Fwd"/>
    <s v="EUR"/>
    <n v="50000"/>
    <s v="PLN"/>
    <n v="210000"/>
    <s v="2026-01-13"/>
    <n v="4.2"/>
    <n v="0.23810000000000001"/>
    <n v="4.2096999999999998"/>
    <n v="1"/>
    <n v="420485"/>
    <s v="POLAND PL"/>
  </r>
  <r>
    <s v="BKMILL"/>
    <n v="156492"/>
    <n v="216656"/>
    <s v="Forward"/>
    <x v="427"/>
    <s v="Buy Fwd"/>
    <s v="USD"/>
    <n v="100000"/>
    <s v="PLN"/>
    <n v="359600"/>
    <s v="2026-01-13"/>
    <n v="3.5960000000000001"/>
    <n v="0.27810000000000001"/>
    <n v="3.6036999999999999"/>
    <n v="1"/>
    <n v="719970"/>
    <s v="POLAND PL"/>
  </r>
  <r>
    <s v="BKMILL"/>
    <n v="156494"/>
    <n v="216659"/>
    <s v="Forward"/>
    <x v="347"/>
    <s v="Sell Fwd"/>
    <s v="EUR"/>
    <n v="-20000"/>
    <s v="PLN"/>
    <n v="84580"/>
    <s v="2026-01-13"/>
    <n v="4.2290000000000001"/>
    <n v="0.23649999999999999"/>
    <n v="4.2096999999999998"/>
    <n v="1"/>
    <n v="386"/>
    <s v="POLAND PL"/>
  </r>
  <r>
    <s v="BKMILL"/>
    <n v="156495"/>
    <n v="216661"/>
    <s v="Forward"/>
    <x v="139"/>
    <s v="Buy Fwd"/>
    <s v="EUR"/>
    <n v="155794.35999999999"/>
    <s v="PLN"/>
    <n v="655068.55000000005"/>
    <s v="2026-01-13"/>
    <n v="4.2050999999999998"/>
    <n v="0.23780000000000001"/>
    <n v="4.2096999999999998"/>
    <n v="1"/>
    <n v="1310916.0672919999"/>
    <s v="POLAND PL"/>
  </r>
  <r>
    <s v="BKMILL"/>
    <n v="156496"/>
    <n v="896329"/>
    <s v="Spot"/>
    <x v="40"/>
    <s v="Sell"/>
    <s v="EUR"/>
    <n v="-500000"/>
    <s v="PLN"/>
    <n v="2105950"/>
    <s v="2026-01-15"/>
    <n v="4.2119"/>
    <n v="0.2374"/>
    <n v="4.2110000000000003"/>
    <n v="1"/>
    <n v="450"/>
    <s v="UNITED STATES OF AMERICA US"/>
  </r>
  <r>
    <s v="BKMILL"/>
    <n v="156497"/>
    <n v="216667"/>
    <s v="Forward"/>
    <x v="301"/>
    <s v="Buy Fwd"/>
    <s v="USD"/>
    <n v="50000"/>
    <s v="PLN"/>
    <n v="176000"/>
    <s v="2026-01-13"/>
    <n v="3.52"/>
    <n v="0.28410000000000002"/>
    <n v="3.6036999999999999"/>
    <n v="1"/>
    <n v="356185"/>
    <s v="POLAND PL"/>
  </r>
  <r>
    <s v="BKMILL"/>
    <n v="156498"/>
    <n v="216670"/>
    <s v="Forward"/>
    <x v="428"/>
    <s v="Buy Fwd"/>
    <s v="PLN"/>
    <n v="450000"/>
    <s v="GBP"/>
    <n v="92313.37"/>
    <s v="2026-01-13"/>
    <n v="4.8752000000000004"/>
    <n v="0.2051"/>
    <n v="1"/>
    <n v="4.8482000000000003"/>
    <n v="897553.68043399998"/>
    <s v="POLAND PL"/>
  </r>
  <r>
    <s v="BKMILL"/>
    <n v="156500"/>
    <n v="216677"/>
    <s v="Forward"/>
    <x v="32"/>
    <s v="Sell Fwd"/>
    <s v="EUR"/>
    <n v="-10000"/>
    <s v="PLN"/>
    <n v="42125"/>
    <s v="2026-01-13"/>
    <n v="4.2129000000000003"/>
    <n v="0.2374"/>
    <n v="4.2096999999999998"/>
    <n v="1"/>
    <n v="28"/>
    <s v="POLAND PL"/>
  </r>
  <r>
    <s v="BKMILL"/>
    <n v="156501"/>
    <n v="216678"/>
    <s v="Forward"/>
    <x v="32"/>
    <s v="Sell Fwd"/>
    <s v="EUR"/>
    <n v="-10000"/>
    <s v="PLN"/>
    <n v="42125"/>
    <s v="2026-01-13"/>
    <n v="4.2129000000000003"/>
    <n v="0.2374"/>
    <n v="4.2096999999999998"/>
    <n v="1"/>
    <n v="28"/>
    <s v="POLAND PL"/>
  </r>
  <r>
    <s v="BKMILL"/>
    <n v="156502"/>
    <n v="216680"/>
    <s v="Forward"/>
    <x v="32"/>
    <s v="Sell Fwd"/>
    <s v="EUR"/>
    <n v="-10000"/>
    <s v="PLN"/>
    <n v="42127"/>
    <s v="2026-01-14"/>
    <n v="4.2129000000000003"/>
    <n v="0.2374"/>
    <n v="4.2115999999999998"/>
    <n v="1"/>
    <n v="11"/>
    <s v="POLAND PL"/>
  </r>
  <r>
    <s v="BKMILL"/>
    <n v="156503"/>
    <n v="216681"/>
    <s v="Forward"/>
    <x v="32"/>
    <s v="Sell Fwd"/>
    <s v="EUR"/>
    <n v="-10000"/>
    <s v="PLN"/>
    <n v="42127"/>
    <s v="2026-01-14"/>
    <n v="4.2129000000000003"/>
    <n v="0.2374"/>
    <n v="4.2115999999999998"/>
    <n v="1"/>
    <n v="11"/>
    <s v="POLAND PL"/>
  </r>
  <r>
    <s v="BKMILL"/>
    <n v="156504"/>
    <n v="216682"/>
    <s v="Forward"/>
    <x v="429"/>
    <s v="Sell Fwd"/>
    <s v="USD"/>
    <n v="-280000"/>
    <s v="PLN"/>
    <n v="1011080"/>
    <s v="2026-01-13"/>
    <n v="3.6110000000000002"/>
    <n v="0.27689999999999998"/>
    <n v="3.6036999999999999"/>
    <n v="1"/>
    <n v="2044"/>
    <s v="POLAND PL"/>
  </r>
  <r>
    <s v="BKMILL"/>
    <n v="156506"/>
    <n v="216684"/>
    <s v="Forward"/>
    <x v="32"/>
    <s v="Sell Fwd"/>
    <s v="EUR"/>
    <n v="-10000"/>
    <s v="PLN"/>
    <n v="42125"/>
    <s v="2026-01-14"/>
    <n v="4.2126999999999999"/>
    <n v="0.2374"/>
    <n v="4.2115999999999998"/>
    <n v="1"/>
    <n v="9"/>
    <s v="POLAND PL"/>
  </r>
  <r>
    <s v="BKMILL"/>
    <n v="156507"/>
    <n v="216685"/>
    <s v="Forward"/>
    <x v="32"/>
    <s v="Sell Fwd"/>
    <s v="EUR"/>
    <n v="-10000"/>
    <s v="PLN"/>
    <n v="42125"/>
    <s v="2026-01-14"/>
    <n v="4.2126999999999999"/>
    <n v="0.2374"/>
    <n v="4.2115999999999998"/>
    <n v="1"/>
    <n v="9"/>
    <s v="POLAND PL"/>
  </r>
  <r>
    <s v="BKMILL"/>
    <n v="156508"/>
    <n v="216687"/>
    <s v="Forward"/>
    <x v="32"/>
    <s v="Sell Fwd"/>
    <s v="EUR"/>
    <n v="-10000"/>
    <s v="PLN"/>
    <n v="42125"/>
    <s v="2026-01-14"/>
    <n v="4.2126999999999999"/>
    <n v="0.2374"/>
    <n v="4.2115999999999998"/>
    <n v="1"/>
    <n v="9"/>
    <s v="POLAND PL"/>
  </r>
  <r>
    <s v="BKMILL"/>
    <n v="156509"/>
    <n v="216690"/>
    <s v="Forward"/>
    <x v="32"/>
    <s v="Sell Fwd"/>
    <s v="EUR"/>
    <n v="-10000"/>
    <s v="PLN"/>
    <n v="42125"/>
    <s v="2026-01-14"/>
    <n v="4.2126999999999999"/>
    <n v="0.2374"/>
    <n v="4.2115999999999998"/>
    <n v="1"/>
    <n v="9"/>
    <s v="POLAND PL"/>
  </r>
  <r>
    <s v="BKMILL"/>
    <n v="156510"/>
    <n v="896424"/>
    <s v="Spot"/>
    <x v="32"/>
    <s v="Sell"/>
    <s v="EUR"/>
    <n v="-10000"/>
    <s v="PLN"/>
    <n v="42127"/>
    <s v="2026-01-15"/>
    <n v="4.2126999999999999"/>
    <n v="0.2374"/>
    <n v="4.2110000000000003"/>
    <n v="1"/>
    <n v="17"/>
    <s v="POLAND PL"/>
  </r>
  <r>
    <s v="BKMILL"/>
    <n v="156511"/>
    <n v="896425"/>
    <s v="Spot"/>
    <x v="32"/>
    <s v="Sell"/>
    <s v="EUR"/>
    <n v="-10000"/>
    <s v="PLN"/>
    <n v="42127"/>
    <s v="2026-01-15"/>
    <n v="4.2126999999999999"/>
    <n v="0.2374"/>
    <n v="4.2110000000000003"/>
    <n v="1"/>
    <n v="17"/>
    <s v="POLAND PL"/>
  </r>
  <r>
    <s v="BKMILL"/>
    <n v="156512"/>
    <n v="216691"/>
    <s v="Forward"/>
    <x v="305"/>
    <s v="Sell Fwd"/>
    <s v="EUR"/>
    <n v="-100000"/>
    <s v="PLN"/>
    <n v="421250"/>
    <s v="2026-01-13"/>
    <n v="4.2129000000000003"/>
    <n v="0.2374"/>
    <n v="4.2096999999999998"/>
    <n v="1"/>
    <n v="280"/>
    <s v="POLAND PL"/>
  </r>
  <r>
    <s v="BKMILL"/>
    <n v="156514"/>
    <n v="216699"/>
    <s v="Forward"/>
    <x v="68"/>
    <s v="Sell Fwd"/>
    <s v="EUR"/>
    <n v="-118000"/>
    <s v="PLN"/>
    <n v="496886.2"/>
    <s v="2026-01-13"/>
    <n v="4.2112999999999996"/>
    <n v="0.23749999999999999"/>
    <n v="4.2096999999999998"/>
    <n v="1"/>
    <n v="141.6"/>
    <s v="POLAND PL"/>
  </r>
  <r>
    <s v="BKMILL"/>
    <n v="156517"/>
    <n v="216704"/>
    <s v="Forward"/>
    <x v="340"/>
    <s v="Buy Fwd"/>
    <s v="EUR"/>
    <n v="30000"/>
    <s v="PLN"/>
    <n v="125700"/>
    <s v="2026-01-13"/>
    <n v="4.1900000000000004"/>
    <n v="0.2387"/>
    <n v="4.2096999999999998"/>
    <n v="1"/>
    <n v="251991"/>
    <s v="POLAND PL"/>
  </r>
  <r>
    <s v="BKMILL"/>
    <n v="156518"/>
    <n v="896483"/>
    <s v="Spot"/>
    <x v="40"/>
    <s v="Sell"/>
    <s v="EUR"/>
    <n v="-300000"/>
    <s v="GBP"/>
    <n v="259794"/>
    <s v="2026-01-15"/>
    <n v="0.86599999999999999"/>
    <n v="1.1548"/>
    <n v="4.2110000000000003"/>
    <n v="4.8631000000000002"/>
    <n v="104.20140000000001"/>
    <s v="UNITED STATES OF AMERICA US"/>
  </r>
  <r>
    <s v="BKMILL"/>
    <n v="156519"/>
    <n v="896484"/>
    <s v="Spot"/>
    <x v="41"/>
    <s v="Buy"/>
    <s v="EUR"/>
    <n v="200000"/>
    <s v="GBP"/>
    <n v="-173204"/>
    <s v="2026-01-15"/>
    <n v="0.86599999999999999"/>
    <n v="1.1547000000000001"/>
    <n v="4.2110000000000003"/>
    <n v="4.8631000000000002"/>
    <n v="-108.3724"/>
    <s v="GERMANY DE"/>
  </r>
  <r>
    <s v="BKMILL"/>
    <n v="156520"/>
    <n v="896488"/>
    <s v="Spot"/>
    <x v="41"/>
    <s v="Buy"/>
    <s v="EUR"/>
    <n v="500000"/>
    <s v="PLN"/>
    <n v="-2105400"/>
    <s v="2026-01-15"/>
    <n v="4.2107999999999999"/>
    <n v="0.23749999999999999"/>
    <n v="4.2110000000000003"/>
    <n v="1"/>
    <n v="100"/>
    <s v="GERMANY DE"/>
  </r>
  <r>
    <s v="BKMILL"/>
    <n v="156521"/>
    <n v="896501"/>
    <s v="Spot"/>
    <x v="101"/>
    <s v="Buy"/>
    <s v="EUR"/>
    <n v="25000"/>
    <s v="PLN"/>
    <n v="-105190"/>
    <s v="2026-01-15"/>
    <n v="4.2076000000000002"/>
    <n v="0.23769999999999999"/>
    <n v="4.2110000000000003"/>
    <n v="1"/>
    <n v="85"/>
    <s v="POLAND PL"/>
  </r>
  <r>
    <s v="BKMILL"/>
    <n v="156522"/>
    <n v="216716"/>
    <s v="Forward"/>
    <x v="32"/>
    <s v="Sell Fwd"/>
    <s v="EUR"/>
    <n v="-10000"/>
    <s v="PLN"/>
    <n v="42126"/>
    <s v="2026-01-13"/>
    <n v="4.2130000000000001"/>
    <n v="0.2374"/>
    <n v="4.2096999999999998"/>
    <n v="1"/>
    <n v="29"/>
    <s v="POLAND PL"/>
  </r>
  <r>
    <s v="BKMILL"/>
    <n v="156523"/>
    <n v="216720"/>
    <s v="Forward"/>
    <x v="430"/>
    <s v="Sell Fwd"/>
    <s v="EUR"/>
    <n v="-45000"/>
    <s v="PLN"/>
    <n v="189720"/>
    <s v="2026-01-13"/>
    <n v="4.2160000000000002"/>
    <n v="0.23719999999999999"/>
    <n v="4.2096999999999998"/>
    <n v="1"/>
    <n v="283.5"/>
    <s v="POLAND PL"/>
  </r>
  <r>
    <s v="BKMILL"/>
    <n v="156524"/>
    <n v="216725"/>
    <s v="Forward"/>
    <x v="431"/>
    <s v="Buy Fwd"/>
    <s v="EUR"/>
    <n v="185688.78"/>
    <s v="PLN"/>
    <n v="780264.25"/>
    <s v="2026-01-13"/>
    <n v="4.202"/>
    <n v="0.23799999999999999"/>
    <n v="4.2096999999999998"/>
    <n v="1"/>
    <n v="1561958.3071659999"/>
    <s v="POLAND PL"/>
  </r>
  <r>
    <s v="BKMILL"/>
    <n v="156525"/>
    <n v="216726"/>
    <s v="Forward"/>
    <x v="432"/>
    <s v="Sell Fwd"/>
    <s v="EUR"/>
    <n v="-8580"/>
    <s v="PLN"/>
    <n v="36199.019999999997"/>
    <s v="2026-01-13"/>
    <n v="4.2190000000000003"/>
    <n v="0.23699999999999999"/>
    <n v="4.2096999999999998"/>
    <n v="1"/>
    <n v="79.793999999999997"/>
    <s v="POLAND PL"/>
  </r>
  <r>
    <s v="BKMILL"/>
    <n v="156526"/>
    <n v="216727"/>
    <s v="Forward"/>
    <x v="8"/>
    <s v="Sell Fwd"/>
    <s v="EUR"/>
    <n v="-30000"/>
    <s v="PLN"/>
    <n v="126480"/>
    <s v="2026-01-13"/>
    <n v="4.2160000000000002"/>
    <n v="0.23719999999999999"/>
    <n v="4.2096999999999998"/>
    <n v="1"/>
    <n v="189"/>
    <s v="POLAND PL"/>
  </r>
  <r>
    <s v="BKMILL"/>
    <n v="156527"/>
    <n v="896569"/>
    <s v="Spot"/>
    <x v="43"/>
    <s v="Buy"/>
    <s v="EUR"/>
    <n v="100000"/>
    <s v="NOK"/>
    <n v="-1175892"/>
    <s v="2026-01-15"/>
    <n v="11.758900000000001"/>
    <n v="8.5000000000000006E-2"/>
    <n v="4.2110000000000003"/>
    <n v="0.35849999999999999"/>
    <n v="-457.28199999999998"/>
    <s v="FRANCE FR"/>
  </r>
  <r>
    <s v="BKMILL"/>
    <n v="156528"/>
    <n v="896582"/>
    <s v="Spot"/>
    <x v="40"/>
    <s v="Buy"/>
    <s v="EUR"/>
    <n v="100000"/>
    <s v="GBP"/>
    <n v="-86607"/>
    <s v="2026-01-15"/>
    <n v="0.86609999999999998"/>
    <n v="1.1546000000000001"/>
    <n v="4.2110000000000003"/>
    <n v="4.8631000000000002"/>
    <n v="-78.5017"/>
    <s v="UNITED STATES OF AMERICA US"/>
  </r>
  <r>
    <s v="BKMILL"/>
    <n v="156530"/>
    <n v="896597"/>
    <s v="Spot"/>
    <x v="41"/>
    <s v="Buy"/>
    <s v="USD"/>
    <n v="500000"/>
    <s v="PLN"/>
    <n v="-1804650"/>
    <s v="2026-01-15"/>
    <n v="3.6093000000000002"/>
    <n v="0.27710000000000001"/>
    <n v="3.6139999999999999"/>
    <n v="1"/>
    <n v="2350"/>
    <s v="GERMANY DE"/>
  </r>
  <r>
    <s v="BKMILL"/>
    <n v="156531"/>
    <n v="216744"/>
    <s v="Forward"/>
    <x v="433"/>
    <s v="Sell Fwd"/>
    <s v="EUR"/>
    <n v="-23741.69"/>
    <s v="PLN"/>
    <n v="100000"/>
    <s v="2026-01-13"/>
    <n v="4.3150000000000004"/>
    <n v="0.23169999999999999"/>
    <n v="4.2096999999999998"/>
    <n v="1"/>
    <n v="54.607607000000002"/>
    <s v="POLAND PL"/>
  </r>
  <r>
    <s v="BKMILL"/>
    <n v="156532"/>
    <n v="216746"/>
    <s v="Forward"/>
    <x v="164"/>
    <s v="Buy Fwd"/>
    <s v="EUR"/>
    <n v="4000"/>
    <s v="PLN"/>
    <n v="16824"/>
    <s v="2026-01-13"/>
    <n v="4.2064000000000004"/>
    <n v="0.23769999999999999"/>
    <n v="4.2096999999999998"/>
    <n v="1"/>
    <n v="33662.800000000003"/>
    <s v="POLAND PL"/>
  </r>
  <r>
    <s v="BKMILL"/>
    <n v="156540"/>
    <n v="216747"/>
    <s v="Forward"/>
    <x v="434"/>
    <s v="Buy Fwd"/>
    <s v="EUR"/>
    <n v="140000"/>
    <s v="PLN"/>
    <n v="588000"/>
    <s v="2026-01-13"/>
    <n v="4.2004999999999999"/>
    <n v="0.23810000000000001"/>
    <n v="4.2096999999999998"/>
    <n v="1"/>
    <n v="1177358"/>
    <s v="POLAND PL"/>
  </r>
  <r>
    <s v="BKMILL"/>
    <n v="156541"/>
    <n v="216749"/>
    <s v="Forward"/>
    <x v="435"/>
    <s v="Sell Fwd"/>
    <s v="EUR"/>
    <n v="-200000"/>
    <s v="PLN"/>
    <n v="844400"/>
    <s v="2026-01-13"/>
    <n v="4.2225000000000001"/>
    <n v="0.23680000000000001"/>
    <n v="4.2096999999999998"/>
    <n v="1"/>
    <n v="2460"/>
    <s v="POLAND PL"/>
  </r>
  <r>
    <s v="BKMILL"/>
    <n v="156542"/>
    <n v="216751"/>
    <s v="Forward"/>
    <x v="436"/>
    <s v="Buy Fwd"/>
    <s v="EUR"/>
    <n v="200000"/>
    <s v="PLN"/>
    <n v="841000"/>
    <s v="2026-01-13"/>
    <n v="4.2054"/>
    <n v="0.23780000000000001"/>
    <n v="4.2096999999999998"/>
    <n v="1"/>
    <n v="1682940"/>
    <s v="POLAND PL"/>
  </r>
  <r>
    <s v="BKMILL"/>
    <n v="156545"/>
    <n v="216755"/>
    <s v="Forward"/>
    <x v="139"/>
    <s v="Buy Fwd"/>
    <s v="EUR"/>
    <n v="60000"/>
    <s v="PLN"/>
    <n v="252252"/>
    <s v="2026-01-29"/>
    <n v="4.2042000000000002"/>
    <n v="0.2379"/>
    <n v="4.2008999999999999"/>
    <n v="1"/>
    <n v="504306"/>
    <s v="POLAND PL"/>
  </r>
  <r>
    <s v="BKMILL"/>
    <n v="156547"/>
    <n v="216759"/>
    <s v="Forward"/>
    <x v="63"/>
    <s v="Sell Fwd"/>
    <s v="EUR"/>
    <n v="-5000"/>
    <s v="PLN"/>
    <n v="21080.5"/>
    <s v="2026-01-13"/>
    <n v="4.2164999999999999"/>
    <n v="0.23719999999999999"/>
    <n v="4.2096999999999998"/>
    <n v="1"/>
    <n v="32"/>
    <s v="POLAND PL"/>
  </r>
  <r>
    <s v="BKMILL"/>
    <n v="156548"/>
    <n v="216760"/>
    <s v="Forward"/>
    <x v="139"/>
    <s v="Buy Fwd"/>
    <s v="EUR"/>
    <n v="50000"/>
    <s v="PLN"/>
    <n v="210215"/>
    <s v="2026-01-30"/>
    <n v="4.2041000000000004"/>
    <n v="0.2379"/>
    <n v="4.2072000000000003"/>
    <n v="1"/>
    <n v="420575"/>
    <s v="POLAND PL"/>
  </r>
  <r>
    <s v="BKMILL"/>
    <n v="156550"/>
    <n v="896667"/>
    <s v="Spot"/>
    <x v="41"/>
    <s v="Sell"/>
    <s v="EUR"/>
    <n v="-500000"/>
    <s v="PLN"/>
    <n v="2105400"/>
    <s v="2026-01-15"/>
    <n v="4.2107999999999999"/>
    <n v="0.23749999999999999"/>
    <n v="4.2110000000000003"/>
    <n v="1"/>
    <n v="-100"/>
    <s v="GERMANY DE"/>
  </r>
  <r>
    <s v="BKMILL"/>
    <n v="156551"/>
    <n v="216762"/>
    <s v="Forward"/>
    <x v="437"/>
    <s v="Sell Fwd"/>
    <s v="EUR"/>
    <n v="-60000"/>
    <s v="PLN"/>
    <n v="253140"/>
    <s v="2026-01-13"/>
    <n v="4.2190000000000003"/>
    <n v="0.23699999999999999"/>
    <n v="4.2096999999999998"/>
    <n v="1"/>
    <n v="558"/>
    <s v="POLAND PL"/>
  </r>
  <r>
    <s v="BKMILL"/>
    <n v="156553"/>
    <n v="216767"/>
    <s v="Forward"/>
    <x v="139"/>
    <s v="Buy Fwd"/>
    <s v="EUR"/>
    <n v="104677.35"/>
    <s v="PLN"/>
    <n v="440021.71"/>
    <s v="2026-01-13"/>
    <n v="4.2039999999999997"/>
    <n v="0.2379"/>
    <n v="4.2096999999999998"/>
    <n v="1"/>
    <n v="880681.95029499999"/>
    <s v="POLAND PL"/>
  </r>
  <r>
    <s v="BKMILL"/>
    <n v="156554"/>
    <n v="216771"/>
    <s v="Forward"/>
    <x v="123"/>
    <s v="Sell Fwd"/>
    <s v="USD"/>
    <n v="-50000"/>
    <s v="PLN"/>
    <n v="180660"/>
    <s v="2026-01-13"/>
    <n v="3.6132"/>
    <n v="0.27679999999999999"/>
    <n v="3.6036999999999999"/>
    <n v="1"/>
    <n v="475"/>
    <s v="POLAND PL"/>
  </r>
  <r>
    <s v="BKMILL"/>
    <n v="156558"/>
    <n v="216775"/>
    <s v="Forward"/>
    <x v="374"/>
    <s v="Buy Fwd"/>
    <s v="USD"/>
    <n v="21000"/>
    <s v="PLN"/>
    <n v="75537"/>
    <s v="2026-01-13"/>
    <n v="3.597"/>
    <n v="0.27800000000000002"/>
    <n v="3.6036999999999999"/>
    <n v="1"/>
    <n v="151214.70000000001"/>
    <s v="POLAND PL"/>
  </r>
  <r>
    <s v="BKMILL"/>
    <n v="156560"/>
    <n v="216776"/>
    <s v="Forward"/>
    <x v="374"/>
    <s v="Buy Fwd"/>
    <s v="CAD"/>
    <n v="79000"/>
    <s v="PLN"/>
    <n v="204452"/>
    <s v="2026-01-13"/>
    <n v="2.5880000000000001"/>
    <n v="0.38640000000000002"/>
    <n v="2.5962999999999998"/>
    <n v="1"/>
    <n v="409559.7"/>
    <s v="POLAND PL"/>
  </r>
  <r>
    <s v="BKMILL"/>
    <n v="156561"/>
    <n v="896719"/>
    <s v="Spot"/>
    <x v="235"/>
    <s v="Sell"/>
    <s v="EUR"/>
    <n v="-5000"/>
    <s v="PLN"/>
    <n v="21087.5"/>
    <s v="2026-01-15"/>
    <n v="4.2175000000000002"/>
    <n v="0.23710000000000001"/>
    <n v="4.2110000000000003"/>
    <n v="1"/>
    <n v="32.5"/>
    <s v="POLAND PL"/>
  </r>
  <r>
    <s v="BKMILL"/>
    <n v="156562"/>
    <n v="216780"/>
    <s v="Forward"/>
    <x v="155"/>
    <s v="Sell Fwd"/>
    <s v="EUR"/>
    <n v="-100000"/>
    <s v="PLN"/>
    <n v="421550"/>
    <s v="2026-01-13"/>
    <n v="4.2159000000000004"/>
    <n v="0.23719999999999999"/>
    <n v="4.2096999999999998"/>
    <n v="1"/>
    <n v="580"/>
    <s v="POLAND PL"/>
  </r>
  <r>
    <s v="BKMILL"/>
    <n v="156563"/>
    <n v="216782"/>
    <s v="Forward"/>
    <x v="297"/>
    <s v="Buy Fwd"/>
    <s v="EUR"/>
    <n v="70000"/>
    <s v="PLN"/>
    <n v="294070"/>
    <s v="2026-01-13"/>
    <n v="4.2009999999999996"/>
    <n v="0.23799999999999999"/>
    <n v="4.2096999999999998"/>
    <n v="1"/>
    <n v="588749"/>
    <s v="POLAND PL"/>
  </r>
  <r>
    <s v="BKMILL"/>
    <n v="156564"/>
    <n v="216784"/>
    <s v="Forward"/>
    <x v="438"/>
    <s v="Sell Fwd"/>
    <s v="EUR"/>
    <n v="-10500"/>
    <s v="PLN"/>
    <n v="44257.5"/>
    <s v="2026-01-13"/>
    <n v="4.2149999999999999"/>
    <n v="0.23719999999999999"/>
    <n v="4.2096999999999998"/>
    <n v="1"/>
    <n v="55.65"/>
    <s v="POLAND PL"/>
  </r>
  <r>
    <s v="BKMILL"/>
    <n v="156565"/>
    <n v="216786"/>
    <s v="Forward"/>
    <x v="439"/>
    <s v="Buy Fwd"/>
    <s v="EUR"/>
    <n v="21297.05"/>
    <s v="PLN"/>
    <n v="89671.25"/>
    <s v="2026-01-13"/>
    <n v="4.1755000000000004"/>
    <n v="0.23949999999999999"/>
    <n v="4.2096999999999998"/>
    <n v="1"/>
    <n v="179325.44138500001"/>
    <s v="POLAND PL"/>
  </r>
  <r>
    <s v="BKMILL"/>
    <n v="156566"/>
    <n v="216787"/>
    <s v="Forward"/>
    <x v="439"/>
    <s v="Buy Fwd"/>
    <s v="EUR"/>
    <n v="9002.26"/>
    <s v="PLN"/>
    <n v="37904"/>
    <s v="2026-01-13"/>
    <n v="4.1755000000000004"/>
    <n v="0.23949999999999999"/>
    <n v="4.2096999999999998"/>
    <n v="1"/>
    <n v="75800.813922000001"/>
    <s v="POLAND PL"/>
  </r>
  <r>
    <s v="BKMILL"/>
    <n v="156567"/>
    <n v="216789"/>
    <s v="Forward"/>
    <x v="439"/>
    <s v="Buy Fwd"/>
    <s v="EUR"/>
    <n v="5883.79"/>
    <s v="PLN"/>
    <n v="24773.68"/>
    <s v="2026-01-13"/>
    <n v="4.1755000000000004"/>
    <n v="0.23949999999999999"/>
    <n v="4.2096999999999998"/>
    <n v="1"/>
    <n v="49542.670763000002"/>
    <s v="POLAND PL"/>
  </r>
  <r>
    <s v="BKMILL"/>
    <n v="156568"/>
    <n v="216791"/>
    <s v="Forward"/>
    <x v="439"/>
    <s v="Buy Fwd"/>
    <s v="EUR"/>
    <n v="3900.22"/>
    <s v="PLN"/>
    <n v="16421.87"/>
    <s v="2026-01-13"/>
    <n v="4.1755000000000004"/>
    <n v="0.23949999999999999"/>
    <n v="4.2096999999999998"/>
    <n v="1"/>
    <n v="32840.626133999998"/>
    <s v="POLAND PL"/>
  </r>
  <r>
    <s v="BKMILL"/>
    <n v="156569"/>
    <n v="216792"/>
    <s v="Forward"/>
    <x v="439"/>
    <s v="Buy Fwd"/>
    <s v="EUR"/>
    <n v="2171.36"/>
    <s v="PLN"/>
    <n v="9142.52"/>
    <s v="2026-01-13"/>
    <n v="4.1755000000000004"/>
    <n v="0.23949999999999999"/>
    <n v="4.2096999999999998"/>
    <n v="1"/>
    <n v="18283.294192000001"/>
    <s v="POLAND PL"/>
  </r>
  <r>
    <s v="BKMILL"/>
    <n v="156570"/>
    <n v="216793"/>
    <s v="Forward"/>
    <x v="439"/>
    <s v="Buy Fwd"/>
    <s v="EUR"/>
    <n v="1171.45"/>
    <s v="PLN"/>
    <n v="4932.3999999999996"/>
    <s v="2026-01-13"/>
    <n v="4.1755000000000004"/>
    <n v="0.23949999999999999"/>
    <n v="4.2096999999999998"/>
    <n v="1"/>
    <n v="9863.8530649999993"/>
    <s v="POLAND PL"/>
  </r>
  <r>
    <s v="BKMILL"/>
    <n v="156571"/>
    <n v="216797"/>
    <s v="Forward"/>
    <x v="349"/>
    <s v="Sell Fwd"/>
    <s v="SEK"/>
    <n v="-214000"/>
    <s v="PLN"/>
    <n v="84465.8"/>
    <s v="2026-01-13"/>
    <n v="0.3947"/>
    <n v="2.5335999999999999"/>
    <n v="0.39279999999999998"/>
    <n v="1"/>
    <n v="406.6"/>
    <s v="POLAND PL"/>
  </r>
  <r>
    <s v="BKMILL"/>
    <n v="156572"/>
    <n v="896795"/>
    <s v="Spot"/>
    <x v="42"/>
    <s v="Sell"/>
    <s v="EUR"/>
    <n v="-500000"/>
    <s v="PLN"/>
    <n v="2105755"/>
    <s v="2026-01-15"/>
    <n v="4.2115"/>
    <n v="0.2374"/>
    <n v="4.2110000000000003"/>
    <n v="1"/>
    <n v="255"/>
    <s v="SWITZERLAND CH"/>
  </r>
  <r>
    <s v="BKMILL"/>
    <n v="156573"/>
    <n v="896806"/>
    <s v="Spot"/>
    <x v="43"/>
    <s v="Buy"/>
    <s v="EUR"/>
    <n v="100000"/>
    <s v="CZK"/>
    <n v="-2425690"/>
    <s v="2026-01-15"/>
    <n v="24.256900000000002"/>
    <n v="4.1200000000000001E-2"/>
    <n v="4.2110000000000003"/>
    <n v="0.1739"/>
    <n v="-727.49099999999999"/>
    <s v="FRANCE FR"/>
  </r>
  <r>
    <s v="BKMILL"/>
    <n v="156574"/>
    <n v="896816"/>
    <s v="Spot"/>
    <x v="40"/>
    <s v="Buy"/>
    <s v="EUR"/>
    <n v="100000"/>
    <s v="CAD"/>
    <n v="-161758"/>
    <s v="2026-01-15"/>
    <n v="1.6175999999999999"/>
    <n v="0.61819999999999997"/>
    <n v="4.2110000000000003"/>
    <n v="2.6015999999999999"/>
    <n v="270.38720000000001"/>
    <s v="UNITED STATES OF AMERICA US"/>
  </r>
  <r>
    <s v="BKMILL"/>
    <n v="156575"/>
    <n v="216803"/>
    <s v="Forward"/>
    <x v="249"/>
    <s v="Sell Fwd"/>
    <s v="EUR"/>
    <n v="-23668.639999999999"/>
    <s v="PLN"/>
    <n v="100000"/>
    <s v="2026-01-13"/>
    <n v="4.2255000000000003"/>
    <n v="0.23669999999999999"/>
    <n v="4.2096999999999998"/>
    <n v="1"/>
    <n v="362.126192"/>
    <s v="POLAND PL"/>
  </r>
  <r>
    <s v="BKMILL"/>
    <n v="156576"/>
    <n v="896835"/>
    <s v="Spot"/>
    <x v="41"/>
    <s v="Sell"/>
    <s v="EUR"/>
    <n v="-500000"/>
    <s v="PLN"/>
    <n v="2105650"/>
    <s v="2026-01-15"/>
    <n v="4.2112999999999996"/>
    <n v="0.23749999999999999"/>
    <n v="4.2110000000000003"/>
    <n v="1"/>
    <n v="150"/>
    <s v="GERMANY DE"/>
  </r>
  <r>
    <s v="BKMILL"/>
    <n v="156577"/>
    <n v="216809"/>
    <s v="Forward"/>
    <x v="440"/>
    <s v="Buy Fwd"/>
    <s v="EUR"/>
    <n v="252890.59"/>
    <s v="PLN"/>
    <n v="1061128.92"/>
    <s v="2026-01-13"/>
    <n v="4.1959999999999997"/>
    <n v="0.23830000000000001"/>
    <n v="4.2096999999999998"/>
    <n v="1"/>
    <n v="2125722.4367229999"/>
    <s v="POLAND PL"/>
  </r>
  <r>
    <s v="BKMILL"/>
    <n v="156578"/>
    <n v="896842"/>
    <s v="Spot"/>
    <x v="101"/>
    <s v="Buy"/>
    <s v="EUR"/>
    <n v="25000"/>
    <s v="PLN"/>
    <n v="-105217.5"/>
    <s v="2026-01-15"/>
    <n v="4.2087000000000003"/>
    <n v="0.23760000000000001"/>
    <n v="4.2110000000000003"/>
    <n v="1"/>
    <n v="57.5"/>
    <s v="POLAND PL"/>
  </r>
  <r>
    <s v="BKMILL"/>
    <n v="156580"/>
    <n v="896849"/>
    <s v="Spot"/>
    <x v="44"/>
    <s v="Buy"/>
    <s v="EUR"/>
    <n v="1000000"/>
    <s v="PLN"/>
    <n v="-4210900"/>
    <s v="2026-01-15"/>
    <n v="4.2108999999999996"/>
    <n v="0.23749999999999999"/>
    <n v="4.2110000000000003"/>
    <n v="1"/>
    <n v="100"/>
    <s v="GERMANY DE"/>
  </r>
  <r>
    <s v="BKMILL"/>
    <n v="156581"/>
    <n v="896851"/>
    <s v="Spot"/>
    <x v="40"/>
    <s v="Buy"/>
    <s v="EUR"/>
    <n v="500000"/>
    <s v="PLN"/>
    <n v="-2105550"/>
    <s v="2026-01-15"/>
    <n v="4.2111000000000001"/>
    <n v="0.23749999999999999"/>
    <n v="4.2110000000000003"/>
    <n v="1"/>
    <n v="-50"/>
    <s v="UNITED STATES OF AMERICA US"/>
  </r>
  <r>
    <s v="BKMILL"/>
    <n v="156584"/>
    <n v="896868"/>
    <s v="Spot"/>
    <x v="41"/>
    <s v="Sell"/>
    <s v="EUR"/>
    <n v="-1000000"/>
    <s v="PLN"/>
    <n v="4210100"/>
    <s v="2026-01-15"/>
    <n v="4.2100999999999997"/>
    <n v="0.23749999999999999"/>
    <n v="4.2110000000000003"/>
    <n v="1"/>
    <n v="-900"/>
    <s v="GERMANY DE"/>
  </r>
  <r>
    <s v="BKMILL"/>
    <n v="156585"/>
    <n v="896875"/>
    <s v="Spot"/>
    <x v="40"/>
    <s v="Buy"/>
    <s v="EUR"/>
    <n v="100000"/>
    <s v="GBP"/>
    <n v="-86594"/>
    <s v="2026-01-15"/>
    <n v="0.8659"/>
    <n v="1.1548"/>
    <n v="4.2110000000000003"/>
    <n v="4.8631000000000002"/>
    <n v="-15.2814"/>
    <s v="UNITED STATES OF AMERICA US"/>
  </r>
  <r>
    <s v="BKMILL"/>
    <n v="156586"/>
    <n v="896876"/>
    <s v="Spot"/>
    <x v="40"/>
    <s v="Sell"/>
    <s v="EUR"/>
    <n v="-500000"/>
    <s v="PLN"/>
    <n v="2104850"/>
    <s v="2026-01-15"/>
    <n v="4.2096999999999998"/>
    <n v="0.23749999999999999"/>
    <n v="4.2110000000000003"/>
    <n v="1"/>
    <n v="-650"/>
    <s v="UNITED STATES OF AMERICA US"/>
  </r>
  <r>
    <s v="BKMILL"/>
    <n v="156587"/>
    <n v="896877"/>
    <s v="Spot"/>
    <x v="41"/>
    <s v="Sell"/>
    <s v="EUR"/>
    <n v="-500000"/>
    <s v="PLN"/>
    <n v="2104850"/>
    <s v="2026-01-15"/>
    <n v="4.2096999999999998"/>
    <n v="0.23749999999999999"/>
    <n v="4.2110000000000003"/>
    <n v="1"/>
    <n v="-650"/>
    <s v="GERMANY DE"/>
  </r>
  <r>
    <s v="BKMILL"/>
    <n v="156588"/>
    <n v="896881"/>
    <s v="Spot"/>
    <x v="44"/>
    <s v="Buy"/>
    <s v="EUR"/>
    <n v="500000"/>
    <s v="PLN"/>
    <n v="-2104950"/>
    <s v="2026-01-15"/>
    <n v="4.2099000000000002"/>
    <n v="0.23749999999999999"/>
    <n v="4.2110000000000003"/>
    <n v="1"/>
    <n v="550"/>
    <s v="GERMANY DE"/>
  </r>
  <r>
    <s v="BKMILL"/>
    <n v="156589"/>
    <n v="216819"/>
    <s v="Forward"/>
    <x v="7"/>
    <s v="Buy Fwd"/>
    <s v="EUR"/>
    <n v="250000"/>
    <s v="PLN"/>
    <n v="1050650"/>
    <s v="2026-01-13"/>
    <n v="4.2030000000000003"/>
    <n v="0.2379"/>
    <n v="4.2096999999999998"/>
    <n v="1"/>
    <n v="2103075"/>
    <s v="POLAND PL"/>
  </r>
  <r>
    <s v="BKMILL"/>
    <n v="156590"/>
    <n v="216820"/>
    <s v="Forward"/>
    <x v="353"/>
    <s v="Sell Fwd"/>
    <s v="EUR"/>
    <n v="-600000"/>
    <s v="PLN"/>
    <n v="2528100"/>
    <s v="2026-01-13"/>
    <n v="4.2138999999999998"/>
    <n v="0.23730000000000001"/>
    <n v="4.2096999999999998"/>
    <n v="1"/>
    <n v="2280"/>
    <s v="POLAND PL"/>
  </r>
  <r>
    <s v="BKMILL"/>
    <n v="156591"/>
    <n v="216823"/>
    <s v="Forward"/>
    <x v="441"/>
    <s v="Buy Fwd"/>
    <s v="EUR"/>
    <n v="50000"/>
    <s v="PLN"/>
    <n v="210000"/>
    <s v="2026-01-13"/>
    <n v="4.2"/>
    <n v="0.23810000000000001"/>
    <n v="4.2096999999999998"/>
    <n v="1"/>
    <n v="420485"/>
    <s v="POLAND PL"/>
  </r>
  <r>
    <s v="BKMILL"/>
    <n v="156592"/>
    <n v="216824"/>
    <s v="Forward"/>
    <x v="442"/>
    <s v="Buy Fwd"/>
    <s v="EUR"/>
    <n v="2100"/>
    <s v="PLN"/>
    <n v="8820"/>
    <s v="2026-01-13"/>
    <n v="4.2"/>
    <n v="0.23810000000000001"/>
    <n v="4.2096999999999998"/>
    <n v="1"/>
    <n v="17660.37"/>
    <s v="POLAND PL"/>
  </r>
  <r>
    <s v="BKMILL"/>
    <n v="156593"/>
    <n v="896900"/>
    <s v="Spot"/>
    <x v="71"/>
    <s v="Sell"/>
    <s v="EUR"/>
    <n v="-100000"/>
    <s v="PLN"/>
    <n v="421080"/>
    <s v="2026-01-15"/>
    <n v="4.2107999999999999"/>
    <n v="0.23749999999999999"/>
    <n v="4.2110000000000003"/>
    <n v="1"/>
    <n v="-20"/>
    <s v="POLAND PL"/>
  </r>
  <r>
    <s v="BKMILL"/>
    <n v="156594"/>
    <n v="216825"/>
    <s v="Forward"/>
    <x v="443"/>
    <s v="Buy Fwd"/>
    <s v="EUR"/>
    <n v="857.12"/>
    <s v="USD"/>
    <n v="1000"/>
    <s v="2026-01-13"/>
    <n v="1.1599999999999999"/>
    <n v="0.86209999999999998"/>
    <n v="4.2096999999999998"/>
    <n v="3.6036999999999999"/>
    <n v="7211.9180640000004"/>
    <s v="POLAND PL"/>
  </r>
  <r>
    <s v="BKMILL"/>
    <n v="156595"/>
    <n v="896914"/>
    <s v="Spot"/>
    <x v="44"/>
    <s v="Buy"/>
    <s v="EUR"/>
    <n v="1000000"/>
    <s v="PLN"/>
    <n v="-4209900"/>
    <s v="2026-01-15"/>
    <n v="4.2099000000000002"/>
    <n v="0.23749999999999999"/>
    <n v="4.2110000000000003"/>
    <n v="1"/>
    <n v="1100"/>
    <s v="GERMANY DE"/>
  </r>
  <r>
    <s v="BKMILL"/>
    <n v="156596"/>
    <n v="896915"/>
    <s v="Spot"/>
    <x v="42"/>
    <s v="Buy"/>
    <s v="EUR"/>
    <n v="1000000"/>
    <s v="PLN"/>
    <n v="-4210070"/>
    <s v="2026-01-15"/>
    <n v="4.2100999999999997"/>
    <n v="0.23749999999999999"/>
    <n v="4.2110000000000003"/>
    <n v="1"/>
    <n v="930"/>
    <s v="SWITZERLAND CH"/>
  </r>
  <r>
    <s v="BKMILL"/>
    <n v="156597"/>
    <n v="896916"/>
    <s v="Spot"/>
    <x v="38"/>
    <s v="Buy"/>
    <s v="EUR"/>
    <n v="1000000"/>
    <s v="PLN"/>
    <n v="-4210050"/>
    <s v="2026-01-15"/>
    <n v="4.21"/>
    <n v="0.23749999999999999"/>
    <n v="4.2110000000000003"/>
    <n v="1"/>
    <n v="950"/>
    <s v="NETHERLANDS NL"/>
  </r>
  <r>
    <s v="BKMILL"/>
    <n v="156598"/>
    <n v="896917"/>
    <s v="Spot"/>
    <x v="47"/>
    <s v="Buy"/>
    <s v="EUR"/>
    <n v="1000000"/>
    <s v="PLN"/>
    <n v="-4210100"/>
    <s v="2026-01-15"/>
    <n v="4.2100999999999997"/>
    <n v="0.23749999999999999"/>
    <n v="4.2110000000000003"/>
    <n v="1"/>
    <n v="900"/>
    <s v="FRANCE FR"/>
  </r>
  <r>
    <s v="BKMILL"/>
    <n v="156599"/>
    <n v="216830"/>
    <s v="Forward"/>
    <x v="12"/>
    <s v="Sell Fwd"/>
    <s v="EUR"/>
    <n v="-4000000"/>
    <s v="PLN"/>
    <n v="16844000"/>
    <s v="2026-01-13"/>
    <n v="4.2114000000000003"/>
    <n v="0.23749999999999999"/>
    <n v="4.2096999999999998"/>
    <n v="1"/>
    <n v="5200"/>
    <s v="POLAND PL"/>
  </r>
  <r>
    <s v="BKMILL"/>
    <n v="156600"/>
    <n v="216834"/>
    <s v="Forward"/>
    <x v="444"/>
    <s v="Buy Fwd"/>
    <s v="EUR"/>
    <n v="1000"/>
    <s v="JPY"/>
    <n v="184690"/>
    <s v="2026-01-13"/>
    <n v="184.69"/>
    <n v="5.4000000000000003E-3"/>
    <n v="4.2096999999999998"/>
    <n v="2.2942"/>
    <n v="427925.49800000002"/>
    <s v="POLAND PL"/>
  </r>
  <r>
    <s v="BKMILL"/>
    <n v="156602"/>
    <n v="896937"/>
    <s v="Spot"/>
    <x v="51"/>
    <s v="Sell"/>
    <s v="EUR"/>
    <n v="-300000"/>
    <s v="PLN"/>
    <n v="1263300"/>
    <s v="2026-01-15"/>
    <n v="4.2110000000000003"/>
    <n v="0.23749999999999999"/>
    <n v="4.2110000000000003"/>
    <n v="1"/>
    <n v="0"/>
    <s v="POLAND PL"/>
  </r>
  <r>
    <s v="BKMILL"/>
    <n v="156603"/>
    <n v="896967"/>
    <s v="Spot"/>
    <x v="41"/>
    <s v="Buy"/>
    <s v="EUR"/>
    <n v="500000"/>
    <s v="PLN"/>
    <n v="-2104700"/>
    <s v="2026-01-15"/>
    <n v="4.2093999999999996"/>
    <n v="0.23760000000000001"/>
    <n v="4.2110000000000003"/>
    <n v="1"/>
    <n v="800"/>
    <s v="GERMANY DE"/>
  </r>
  <r>
    <s v="BKMILL"/>
    <n v="156604"/>
    <n v="216840"/>
    <s v="Forward"/>
    <x v="422"/>
    <s v="Buy Fwd"/>
    <s v="PLN"/>
    <n v="670000"/>
    <s v="EUR"/>
    <n v="158786.59"/>
    <s v="2026-01-13"/>
    <n v="4.22"/>
    <n v="0.23699999999999999"/>
    <n v="1"/>
    <n v="4.2096999999999998"/>
    <n v="1338443.9079229999"/>
    <s v="POLAND PL"/>
  </r>
  <r>
    <s v="BKMILL"/>
    <n v="156605"/>
    <n v="216841"/>
    <s v="Forward"/>
    <x v="445"/>
    <s v="Buy Fwd"/>
    <s v="EUR"/>
    <n v="10000"/>
    <s v="PLN"/>
    <n v="41950"/>
    <s v="2026-01-13"/>
    <n v="4.1955"/>
    <n v="0.2384"/>
    <n v="4.2096999999999998"/>
    <n v="1"/>
    <n v="84047"/>
    <s v="POLAND PL"/>
  </r>
  <r>
    <s v="BKMILL"/>
    <n v="156606"/>
    <n v="216842"/>
    <s v="Forward"/>
    <x v="409"/>
    <s v="Buy Fwd"/>
    <s v="EUR"/>
    <n v="10000"/>
    <s v="PLN"/>
    <n v="41950"/>
    <s v="2026-01-13"/>
    <n v="4.1954000000000002"/>
    <n v="0.2384"/>
    <n v="4.2096999999999998"/>
    <n v="1"/>
    <n v="84047"/>
    <s v="POLAND PL"/>
  </r>
  <r>
    <s v="BKMILL"/>
    <n v="156607"/>
    <n v="896981"/>
    <s v="Spot"/>
    <x v="41"/>
    <s v="Sell"/>
    <s v="EUR"/>
    <n v="-500000"/>
    <s v="PLN"/>
    <n v="2104350"/>
    <s v="2026-01-15"/>
    <n v="4.2087000000000003"/>
    <n v="0.23760000000000001"/>
    <n v="4.2110000000000003"/>
    <n v="1"/>
    <n v="-1150"/>
    <s v="GERMANY DE"/>
  </r>
  <r>
    <s v="BKMILL"/>
    <n v="156608"/>
    <n v="896985"/>
    <s v="Spot"/>
    <x v="50"/>
    <s v="Buy"/>
    <s v="NOK"/>
    <n v="230000"/>
    <s v="PLN"/>
    <n v="-82294"/>
    <s v="2026-01-15"/>
    <n v="0.35780000000000001"/>
    <n v="2.7949000000000002"/>
    <n v="0.35849999999999999"/>
    <n v="1"/>
    <n v="161"/>
    <s v="POLAND PL"/>
  </r>
  <r>
    <s v="BKMILL"/>
    <n v="156609"/>
    <n v="216845"/>
    <s v="Forward"/>
    <x v="106"/>
    <s v="Sell Fwd"/>
    <s v="EUR"/>
    <n v="-74100"/>
    <s v="PLN"/>
    <n v="312005.46000000002"/>
    <s v="2026-01-13"/>
    <n v="4.2110000000000003"/>
    <n v="0.23749999999999999"/>
    <n v="4.2096999999999998"/>
    <n v="1"/>
    <n v="66.69"/>
    <s v="POLAND PL"/>
  </r>
  <r>
    <s v="BKMILL"/>
    <n v="156610"/>
    <n v="216846"/>
    <s v="Forward"/>
    <x v="314"/>
    <s v="Buy Fwd"/>
    <s v="EUR"/>
    <n v="108713"/>
    <s v="PLN"/>
    <n v="452463.51"/>
    <s v="2026-01-13"/>
    <n v="4.1619999999999999"/>
    <n v="0.24030000000000001"/>
    <n v="4.2096999999999998"/>
    <n v="1"/>
    <n v="910112.62609999999"/>
    <s v="POLAND PL"/>
  </r>
  <r>
    <s v="BKMILL"/>
    <n v="156613"/>
    <n v="896996"/>
    <s v="Spot"/>
    <x v="50"/>
    <s v="Buy"/>
    <s v="DKK"/>
    <n v="220000"/>
    <s v="PLN"/>
    <n v="-123882"/>
    <s v="2026-01-15"/>
    <n v="0.56310000000000004"/>
    <n v="1.7759"/>
    <n v="0.5635"/>
    <n v="1"/>
    <n v="88"/>
    <s v="POLAND PL"/>
  </r>
  <r>
    <s v="BKMILL"/>
    <n v="156614"/>
    <n v="897000"/>
    <s v="Spot"/>
    <x v="44"/>
    <s v="Buy"/>
    <s v="EUR"/>
    <n v="1000000"/>
    <s v="PLN"/>
    <n v="-4208300"/>
    <s v="2026-01-15"/>
    <n v="4.2083000000000004"/>
    <n v="0.23760000000000001"/>
    <n v="4.2110000000000003"/>
    <n v="1"/>
    <n v="2700"/>
    <s v="GERMANY DE"/>
  </r>
  <r>
    <s v="BKMILL"/>
    <n v="156615"/>
    <n v="897001"/>
    <s v="Spot"/>
    <x v="38"/>
    <s v="Buy"/>
    <s v="EUR"/>
    <n v="1000000"/>
    <s v="PLN"/>
    <n v="-4208420"/>
    <s v="2026-01-15"/>
    <n v="4.2084000000000001"/>
    <n v="0.23760000000000001"/>
    <n v="4.2110000000000003"/>
    <n v="1"/>
    <n v="2580"/>
    <s v="NETHERLANDS NL"/>
  </r>
  <r>
    <s v="BKMILL"/>
    <n v="156616"/>
    <n v="216849"/>
    <s v="Forward"/>
    <x v="60"/>
    <s v="Sell Fwd"/>
    <s v="EUR"/>
    <n v="-2000000"/>
    <s v="PLN"/>
    <n v="8419800"/>
    <s v="2026-01-14"/>
    <n v="4.2099000000000002"/>
    <n v="0.23749999999999999"/>
    <n v="4.2115999999999998"/>
    <n v="1"/>
    <n v="-3400"/>
    <s v="POLAND PL"/>
  </r>
  <r>
    <s v="BKMILL"/>
    <n v="156618"/>
    <n v="216853"/>
    <s v="Forward"/>
    <x v="351"/>
    <s v="Sell Fwd"/>
    <s v="EUR"/>
    <n v="-35629.449999999997"/>
    <s v="PLN"/>
    <n v="150000"/>
    <s v="2026-01-13"/>
    <n v="4.22"/>
    <n v="0.23699999999999999"/>
    <n v="4.2096999999999998"/>
    <n v="1"/>
    <n v="10.704335"/>
    <s v="POLAND PL"/>
  </r>
  <r>
    <s v="BKMILL"/>
    <n v="156619"/>
    <n v="897069"/>
    <s v="Spot"/>
    <x v="41"/>
    <s v="Buy"/>
    <s v="USD"/>
    <n v="500000"/>
    <s v="PLN"/>
    <n v="-1803850"/>
    <s v="2026-01-15"/>
    <n v="3.6076999999999999"/>
    <n v="0.2772"/>
    <n v="3.6139999999999999"/>
    <n v="1"/>
    <n v="3150"/>
    <s v="GERMANY DE"/>
  </r>
  <r>
    <s v="BKMILL"/>
    <n v="156620"/>
    <n v="216854"/>
    <s v="Forward"/>
    <x v="349"/>
    <s v="Sell Fwd"/>
    <s v="USD"/>
    <n v="-500000"/>
    <s v="PLN"/>
    <n v="1806500"/>
    <s v="2026-01-13"/>
    <n v="3.613"/>
    <n v="0.27679999999999999"/>
    <n v="3.6036999999999999"/>
    <n v="1"/>
    <n v="4650"/>
    <s v="POLAND PL"/>
  </r>
  <r>
    <s v="BKMILL"/>
    <n v="156622"/>
    <n v="897097"/>
    <s v="Spot"/>
    <x v="43"/>
    <s v="Sell"/>
    <s v="EUR"/>
    <n v="-200000"/>
    <s v="USD"/>
    <n v="233162"/>
    <s v="2026-01-15"/>
    <n v="1.1657999999999999"/>
    <n v="0.85780000000000001"/>
    <n v="4.2110000000000003"/>
    <n v="3.6139999999999999"/>
    <n v="447.46800000000002"/>
    <s v="FRANCE FR"/>
  </r>
  <r>
    <s v="BKMILL"/>
    <n v="156623"/>
    <n v="216862"/>
    <s v="Forward"/>
    <x v="414"/>
    <s v="Sell Fwd"/>
    <s v="EUR"/>
    <n v="-90000"/>
    <s v="PLN"/>
    <n v="379440"/>
    <s v="2026-01-13"/>
    <n v="4.2164000000000001"/>
    <n v="0.23719999999999999"/>
    <n v="4.2096999999999998"/>
    <n v="1"/>
    <n v="567"/>
    <s v="POLAND PL"/>
  </r>
  <r>
    <s v="BKMILL"/>
    <n v="156624"/>
    <n v="897101"/>
    <s v="Spot"/>
    <x v="41"/>
    <s v="Sell"/>
    <s v="EUR"/>
    <n v="-100000"/>
    <s v="USD"/>
    <n v="116583"/>
    <s v="2026-01-15"/>
    <n v="1.1657999999999999"/>
    <n v="0.85780000000000001"/>
    <n v="4.2110000000000003"/>
    <n v="3.6139999999999999"/>
    <n v="230.96199999999999"/>
    <s v="GERMANY DE"/>
  </r>
  <r>
    <s v="BKMILL"/>
    <n v="156626"/>
    <n v="897114"/>
    <s v="Spot"/>
    <x v="39"/>
    <s v="Sell"/>
    <s v="EUR"/>
    <n v="-1000000"/>
    <s v="PLN"/>
    <n v="4210690"/>
    <s v="2026-01-15"/>
    <n v="4.2107000000000001"/>
    <n v="0.23749999999999999"/>
    <n v="4.2110000000000003"/>
    <n v="1"/>
    <n v="-310"/>
    <s v="UNITED KINGDOM GB"/>
  </r>
  <r>
    <s v="BKMILL"/>
    <n v="156627"/>
    <n v="897115"/>
    <s v="Spot"/>
    <x v="38"/>
    <s v="Sell"/>
    <s v="EUR"/>
    <n v="-1000000"/>
    <s v="PLN"/>
    <n v="4210690"/>
    <s v="2026-01-15"/>
    <n v="4.2107000000000001"/>
    <n v="0.23749999999999999"/>
    <n v="4.2110000000000003"/>
    <n v="1"/>
    <n v="-310"/>
    <s v="NETHERLANDS NL"/>
  </r>
  <r>
    <s v="BKMILL"/>
    <n v="156628"/>
    <n v="897116"/>
    <s v="Spot"/>
    <x v="38"/>
    <s v="Sell"/>
    <s v="EUR"/>
    <n v="-1000000"/>
    <s v="PLN"/>
    <n v="4210640"/>
    <s v="2026-01-15"/>
    <n v="4.2106000000000003"/>
    <n v="0.23749999999999999"/>
    <n v="4.2110000000000003"/>
    <n v="1"/>
    <n v="-360"/>
    <s v="NETHERLANDS NL"/>
  </r>
  <r>
    <s v="BKMILL"/>
    <n v="156630"/>
    <n v="897122"/>
    <s v="Spot"/>
    <x v="40"/>
    <s v="Sell"/>
    <s v="USD"/>
    <n v="-700000"/>
    <s v="PLN"/>
    <n v="2527840"/>
    <s v="2026-01-15"/>
    <n v="3.6112000000000002"/>
    <n v="0.27689999999999998"/>
    <n v="3.6139999999999999"/>
    <n v="1"/>
    <n v="-1960"/>
    <s v="UNITED STATES OF AMERICA US"/>
  </r>
  <r>
    <s v="BKMILL"/>
    <n v="156631"/>
    <n v="897125"/>
    <s v="Spot"/>
    <x v="41"/>
    <s v="Buy"/>
    <s v="USD"/>
    <n v="500000"/>
    <s v="PLN"/>
    <n v="-1805700"/>
    <s v="2026-01-15"/>
    <n v="3.6114000000000002"/>
    <n v="0.27689999999999998"/>
    <n v="3.6139999999999999"/>
    <n v="1"/>
    <n v="1300"/>
    <s v="GERMANY DE"/>
  </r>
  <r>
    <s v="BKMILL"/>
    <n v="156632"/>
    <n v="216868"/>
    <s v="Forward"/>
    <x v="446"/>
    <s v="Buy Fwd"/>
    <s v="EUR"/>
    <n v="40000"/>
    <s v="PLN"/>
    <n v="168000"/>
    <s v="2026-01-13"/>
    <n v="4.2004999999999999"/>
    <n v="0.23810000000000001"/>
    <n v="4.2096999999999998"/>
    <n v="1"/>
    <n v="336388"/>
    <s v="POLAND PL"/>
  </r>
  <r>
    <s v="BKMILL"/>
    <n v="156634"/>
    <n v="216869"/>
    <s v="Forward"/>
    <x v="368"/>
    <s v="Sell Fwd"/>
    <s v="USD"/>
    <n v="-600000"/>
    <s v="PLN"/>
    <n v="2169000"/>
    <s v="2026-01-13"/>
    <n v="3.6150000000000002"/>
    <n v="0.27660000000000001"/>
    <n v="3.6036999999999999"/>
    <n v="1"/>
    <n v="6780"/>
    <s v="POLAND PL"/>
  </r>
  <r>
    <s v="BKMILL"/>
    <n v="156637"/>
    <n v="216871"/>
    <s v="Forward"/>
    <x v="123"/>
    <s v="Sell Fwd"/>
    <s v="USD"/>
    <n v="-50000"/>
    <s v="PLN"/>
    <n v="180650"/>
    <s v="2026-01-13"/>
    <n v="3.613"/>
    <n v="0.27679999999999999"/>
    <n v="3.6036999999999999"/>
    <n v="1"/>
    <n v="465"/>
    <s v="POLAND PL"/>
  </r>
  <r>
    <s v="BKMILL"/>
    <n v="156640"/>
    <n v="216875"/>
    <s v="Forward"/>
    <x v="294"/>
    <s v="Buy Fwd"/>
    <s v="EUR"/>
    <n v="48000"/>
    <s v="PLN"/>
    <n v="201600"/>
    <s v="2026-01-13"/>
    <n v="4.2004999999999999"/>
    <n v="0.23810000000000001"/>
    <n v="4.2096999999999998"/>
    <n v="1"/>
    <n v="403665.6"/>
    <s v="POLAND PL"/>
  </r>
  <r>
    <s v="BKMILL"/>
    <n v="156642"/>
    <n v="216877"/>
    <s v="Forward"/>
    <x v="447"/>
    <s v="Buy Fwd"/>
    <s v="EUR"/>
    <n v="17500"/>
    <s v="PLN"/>
    <n v="73500"/>
    <s v="2026-01-13"/>
    <n v="4.2004999999999999"/>
    <n v="0.23810000000000001"/>
    <n v="4.2096999999999998"/>
    <n v="1"/>
    <n v="147169.75"/>
    <s v="POLAND PL"/>
  </r>
  <r>
    <s v="BKMILL"/>
    <n v="156643"/>
    <n v="897202"/>
    <s v="Spot"/>
    <x v="43"/>
    <s v="Sell"/>
    <s v="EUR"/>
    <n v="-200000"/>
    <s v="USD"/>
    <n v="233126"/>
    <s v="2026-01-15"/>
    <n v="1.1656"/>
    <n v="0.8579"/>
    <n v="4.2110000000000003"/>
    <n v="3.6139999999999999"/>
    <n v="317.36399999999998"/>
    <s v="FRANCE FR"/>
  </r>
  <r>
    <s v="BKMILL"/>
    <n v="156646"/>
    <n v="216880"/>
    <s v="Forward"/>
    <x v="448"/>
    <s v="Buy Fwd"/>
    <s v="EUR"/>
    <n v="8900"/>
    <s v="PLN"/>
    <n v="37380"/>
    <s v="2026-01-13"/>
    <n v="4.2004000000000001"/>
    <n v="0.23810000000000001"/>
    <n v="4.2096999999999998"/>
    <n v="1"/>
    <n v="74846.33"/>
    <s v="POLAND PL"/>
  </r>
  <r>
    <s v="BKMILL"/>
    <n v="156647"/>
    <n v="897213"/>
    <s v="Spot"/>
    <x v="43"/>
    <s v="Sell"/>
    <s v="EUR"/>
    <n v="-500000"/>
    <s v="PLN"/>
    <n v="2105875"/>
    <s v="2026-01-15"/>
    <n v="4.2118000000000002"/>
    <n v="0.2374"/>
    <n v="4.2110000000000003"/>
    <n v="1"/>
    <n v="375"/>
    <s v="FRANCE FR"/>
  </r>
  <r>
    <s v="BKMILL"/>
    <n v="156648"/>
    <n v="897214"/>
    <s v="Spot"/>
    <x v="41"/>
    <s v="Sell"/>
    <s v="EUR"/>
    <n v="-500000"/>
    <s v="PLN"/>
    <n v="2105850"/>
    <s v="2026-01-15"/>
    <n v="4.2117000000000004"/>
    <n v="0.2374"/>
    <n v="4.2110000000000003"/>
    <n v="1"/>
    <n v="350"/>
    <s v="GERMANY DE"/>
  </r>
  <r>
    <s v="BKMILL"/>
    <n v="156649"/>
    <n v="897215"/>
    <s v="Spot"/>
    <x v="38"/>
    <s v="Sell"/>
    <s v="EUR"/>
    <n v="-1000000"/>
    <s v="PLN"/>
    <n v="4212190"/>
    <s v="2026-01-15"/>
    <n v="4.2122000000000002"/>
    <n v="0.2374"/>
    <n v="4.2110000000000003"/>
    <n v="1"/>
    <n v="1190"/>
    <s v="NETHERLANDS NL"/>
  </r>
  <r>
    <s v="BKMILL"/>
    <n v="156653"/>
    <n v="897223"/>
    <s v="Spot"/>
    <x v="449"/>
    <s v="Buy"/>
    <s v="EUR"/>
    <n v="12370"/>
    <s v="PLN"/>
    <n v="-52005.95"/>
    <s v="2026-01-15"/>
    <n v="4.2042000000000002"/>
    <n v="0.2379"/>
    <n v="4.2110000000000003"/>
    <n v="1"/>
    <n v="84.12"/>
    <s v="POLAND PL"/>
  </r>
  <r>
    <s v="BKMILL"/>
    <n v="156654"/>
    <n v="897243"/>
    <s v="Spot"/>
    <x v="36"/>
    <s v="Sell"/>
    <s v="EUR"/>
    <n v="-82220.149999999994"/>
    <s v="PLN"/>
    <n v="346321.96"/>
    <s v="2026-01-15"/>
    <n v="4.2121000000000004"/>
    <n v="0.2374"/>
    <n v="4.2110000000000003"/>
    <n v="1"/>
    <n v="92.908349999999999"/>
    <s v="UNITED KINGDOM GB"/>
  </r>
  <r>
    <s v="BKMILL"/>
    <n v="156655"/>
    <n v="897244"/>
    <s v="Spot"/>
    <x v="36"/>
    <s v="Buy"/>
    <s v="GBP"/>
    <n v="368.47"/>
    <s v="PLN"/>
    <n v="-1790.72"/>
    <s v="2026-01-15"/>
    <n v="4.8598999999999997"/>
    <n v="0.20580000000000001"/>
    <n v="4.8631000000000002"/>
    <n v="1"/>
    <n v="1.1864570000000001"/>
    <s v="UNITED KINGDOM GB"/>
  </r>
  <r>
    <s v="BKMILL"/>
    <n v="156656"/>
    <n v="897245"/>
    <s v="Spot"/>
    <x v="36"/>
    <s v="Sell"/>
    <s v="USD"/>
    <n v="-59747.39"/>
    <s v="PLN"/>
    <n v="216087.79"/>
    <s v="2026-01-15"/>
    <n v="3.6166999999999998"/>
    <n v="0.27650000000000002"/>
    <n v="3.6139999999999999"/>
    <n v="1"/>
    <n v="160.72254000000001"/>
    <s v="UNITED KINGDOM GB"/>
  </r>
  <r>
    <s v="BKMILL"/>
    <n v="156657"/>
    <n v="897246"/>
    <s v="Spot"/>
    <x v="36"/>
    <s v="Buy"/>
    <s v="CHF"/>
    <n v="557.9"/>
    <s v="PLN"/>
    <n v="-2521.27"/>
    <s v="2026-01-15"/>
    <n v="4.5191999999999997"/>
    <n v="0.2213"/>
    <n v="4.5058999999999996"/>
    <n v="1"/>
    <n v="-7.4283900000000003"/>
    <s v="UNITED KINGDOM GB"/>
  </r>
  <r>
    <s v="BKMILL"/>
    <n v="156658"/>
    <n v="897251"/>
    <s v="Spot"/>
    <x v="41"/>
    <s v="Sell"/>
    <s v="EUR"/>
    <n v="-104363.37"/>
    <s v="PLN"/>
    <n v="439672.44"/>
    <s v="2026-01-15"/>
    <n v="4.2129000000000003"/>
    <n v="0.2374"/>
    <n v="4.2110000000000003"/>
    <n v="1"/>
    <n v="198.28892999999999"/>
    <s v="GERMANY DE"/>
  </r>
  <r>
    <s v="BKMILL"/>
    <n v="156659"/>
    <n v="897253"/>
    <s v="Spot"/>
    <x v="41"/>
    <s v="Sell"/>
    <s v="EUR"/>
    <n v="-104950.03"/>
    <s v="PLN"/>
    <n v="441965.57"/>
    <s v="2026-01-15"/>
    <n v="4.2111999999999998"/>
    <n v="0.23749999999999999"/>
    <n v="4.2110000000000003"/>
    <n v="1"/>
    <n v="20.993670000000002"/>
    <s v="GERMANY DE"/>
  </r>
  <r>
    <s v="BKMILL"/>
    <n v="156660"/>
    <n v="897255"/>
    <s v="Spot"/>
    <x v="40"/>
    <s v="Buy"/>
    <s v="CHF"/>
    <n v="748.61"/>
    <s v="PLN"/>
    <n v="-3381.79"/>
    <s v="2026-01-15"/>
    <n v="4.5174000000000003"/>
    <n v="0.22140000000000001"/>
    <n v="4.5058999999999996"/>
    <n v="1"/>
    <n v="-8.6282010000000007"/>
    <s v="UNITED STATES OF AMERICA US"/>
  </r>
  <r>
    <s v="BKMILL"/>
    <n v="156661"/>
    <n v="897256"/>
    <s v="Spot"/>
    <x v="40"/>
    <s v="Sell"/>
    <s v="USD"/>
    <n v="-21741.93"/>
    <s v="PLN"/>
    <n v="78621.429999999993"/>
    <s v="2026-01-15"/>
    <n v="3.6160999999999999"/>
    <n v="0.27650000000000002"/>
    <n v="3.6139999999999999"/>
    <n v="1"/>
    <n v="46.09498"/>
    <s v="UNITED STATES OF AMERICA US"/>
  </r>
  <r>
    <s v="BKMILL"/>
    <n v="156662"/>
    <n v="897257"/>
    <s v="Spot"/>
    <x v="40"/>
    <s v="Sell"/>
    <s v="GBP"/>
    <n v="-1361.82"/>
    <s v="PLN"/>
    <n v="6615.72"/>
    <s v="2026-01-15"/>
    <n v="4.8579999999999997"/>
    <n v="0.20580000000000001"/>
    <n v="4.8631000000000002"/>
    <n v="1"/>
    <n v="-6.9468420000000002"/>
    <s v="UNITED STATES OF AMERICA US"/>
  </r>
  <r>
    <s v="BKMILL"/>
    <n v="156663"/>
    <n v="897258"/>
    <s v="Spot"/>
    <x v="40"/>
    <s v="Sell"/>
    <s v="EUR"/>
    <n v="-10874.12"/>
    <s v="PLN"/>
    <n v="45806.36"/>
    <s v="2026-01-15"/>
    <n v="4.2123999999999997"/>
    <n v="0.2374"/>
    <n v="4.2110000000000003"/>
    <n v="1"/>
    <n v="15.44068"/>
    <s v="UNITED STATES OF AMERICA US"/>
  </r>
  <r>
    <s v="BKMILL"/>
    <n v="156664"/>
    <n v="897263"/>
    <s v="Spot"/>
    <x v="41"/>
    <s v="Buy"/>
    <s v="GBP"/>
    <n v="54205.25"/>
    <s v="PLN"/>
    <n v="-263388.73"/>
    <s v="2026-01-16"/>
    <n v="4.8590999999999998"/>
    <n v="0.20580000000000001"/>
    <n v="4.8579999999999997"/>
    <n v="1"/>
    <n v="-59.625500000000002"/>
    <s v="GERMANY DE"/>
  </r>
  <r>
    <s v="BKMILL"/>
    <n v="156665"/>
    <n v="897264"/>
    <s v="Spot"/>
    <x v="41"/>
    <s v="Sell"/>
    <s v="EUR"/>
    <n v="-66044.89"/>
    <s v="PLN"/>
    <n v="278187.68"/>
    <s v="2026-01-16"/>
    <n v="4.2121000000000004"/>
    <n v="0.2374"/>
    <n v="4.2068000000000003"/>
    <n v="1"/>
    <n v="350.03674799999999"/>
    <s v="GERMANY DE"/>
  </r>
  <r>
    <s v="BKMILL"/>
    <n v="156666"/>
    <n v="897265"/>
    <s v="Spot"/>
    <x v="41"/>
    <s v="Buy"/>
    <s v="CHF"/>
    <n v="146.93"/>
    <s v="PLN"/>
    <n v="-664.04"/>
    <s v="2026-01-16"/>
    <n v="4.5194000000000001"/>
    <n v="0.2213"/>
    <n v="4.5164"/>
    <n v="1"/>
    <n v="-0.44534800000000002"/>
    <s v="GERMANY DE"/>
  </r>
  <r>
    <s v="BKMILL"/>
    <n v="156667"/>
    <n v="897266"/>
    <s v="Spot"/>
    <x v="40"/>
    <s v="Sell"/>
    <s v="USD"/>
    <n v="-76517.7"/>
    <s v="PLN"/>
    <n v="276781.34999999998"/>
    <s v="2026-01-16"/>
    <n v="3.6172"/>
    <n v="0.27650000000000002"/>
    <n v="3.6153"/>
    <n v="1"/>
    <n v="146.90919"/>
    <s v="UNITED STATES OF AMERICA US"/>
  </r>
  <r>
    <s v="BKMILL"/>
    <n v="156668"/>
    <n v="897305"/>
    <s v="Spot"/>
    <x v="43"/>
    <s v="Sell"/>
    <s v="EUR"/>
    <n v="-41386.660000000003"/>
    <s v="PLN"/>
    <n v="174269.29"/>
    <s v="2026-01-16"/>
    <n v="4.2107999999999999"/>
    <n v="0.23749999999999999"/>
    <n v="4.2068000000000003"/>
    <n v="1"/>
    <n v="163.888712"/>
    <s v="FRANCE FR"/>
  </r>
  <r>
    <s v="BKMILL"/>
    <n v="156669"/>
    <n v="897306"/>
    <s v="Spot"/>
    <x v="43"/>
    <s v="Sell"/>
    <s v="CHF"/>
    <n v="-151.96"/>
    <s v="PLN"/>
    <n v="685.67"/>
    <s v="2026-01-16"/>
    <n v="4.5122"/>
    <n v="0.22159999999999999"/>
    <n v="4.5164"/>
    <n v="1"/>
    <n v="-0.64214400000000005"/>
    <s v="FRANCE FR"/>
  </r>
  <r>
    <s v="BKMILL"/>
    <n v="156670"/>
    <n v="897307"/>
    <s v="Spot"/>
    <x v="41"/>
    <s v="Sell"/>
    <s v="GBP"/>
    <n v="-790"/>
    <s v="PLN"/>
    <n v="3839.16"/>
    <s v="2026-01-16"/>
    <n v="4.8597000000000001"/>
    <n v="0.20580000000000001"/>
    <n v="4.8579999999999997"/>
    <n v="1"/>
    <n v="1.34"/>
    <s v="GERMANY DE"/>
  </r>
  <r>
    <s v="BKMILL"/>
    <n v="156671"/>
    <n v="897308"/>
    <s v="Spot"/>
    <x v="43"/>
    <s v="Sell"/>
    <s v="USD"/>
    <n v="-51701.09"/>
    <s v="PLN"/>
    <n v="186951.14"/>
    <s v="2026-01-16"/>
    <n v="3.6160000000000001"/>
    <n v="0.27650000000000002"/>
    <n v="3.6153"/>
    <n v="1"/>
    <n v="36.189323000000002"/>
    <s v="FRANCE FR"/>
  </r>
  <r>
    <s v="BKMILL"/>
    <n v="156672"/>
    <n v="216888"/>
    <s v="Forward"/>
    <x v="40"/>
    <s v="Buy Fwd"/>
    <s v="EUR"/>
    <n v="201827.37"/>
    <s v="PLN"/>
    <n v="850000"/>
    <s v="2026-01-14"/>
    <n v="4.2115"/>
    <n v="0.2374"/>
    <n v="4.2115999999999998"/>
    <n v="1"/>
    <n v="1700016.1514920001"/>
    <s v="UNITED STATES OF AMERICA US"/>
  </r>
  <r>
    <s v="BKMILL"/>
    <n v="156673"/>
    <n v="897317"/>
    <s v="Spot"/>
    <x v="40"/>
    <s v="Sell"/>
    <s v="EUR"/>
    <n v="-118711.15"/>
    <s v="PLN"/>
    <n v="500172.81"/>
    <s v="2026-01-16"/>
    <n v="4.2134"/>
    <n v="0.23730000000000001"/>
    <n v="4.2068000000000003"/>
    <n v="1"/>
    <n v="778.74418000000003"/>
    <s v="UNITED STATES OF AMERICA US"/>
  </r>
  <r>
    <s v="BKMILL"/>
    <n v="156674"/>
    <n v="216891"/>
    <s v="Forward"/>
    <x v="41"/>
    <s v="Sell Fwd"/>
    <s v="EUR"/>
    <n v="-25000"/>
    <s v="PLN"/>
    <n v="105284.5"/>
    <s v="2026-01-14"/>
    <n v="4.2119"/>
    <n v="0.2374"/>
    <n v="4.2115999999999998"/>
    <n v="1"/>
    <n v="-5.5"/>
    <s v="GERMANY DE"/>
  </r>
  <r>
    <s v="BKMILL"/>
    <n v="156675"/>
    <n v="897325"/>
    <s v="Spot"/>
    <x v="40"/>
    <s v="Sell"/>
    <s v="EUR"/>
    <n v="-500000"/>
    <s v="PLN"/>
    <n v="2106150"/>
    <s v="2026-01-16"/>
    <n v="4.2122999999999999"/>
    <n v="0.2374"/>
    <n v="4.2068000000000003"/>
    <n v="1"/>
    <n v="2750"/>
    <s v="UNITED STATES OF AMERICA US"/>
  </r>
  <r>
    <s v="BKMILL"/>
    <n v="156676"/>
    <n v="897329"/>
    <s v="Spot"/>
    <x v="42"/>
    <s v="Sell"/>
    <s v="USD"/>
    <n v="-23898.59"/>
    <s v="PLN"/>
    <n v="86408.7"/>
    <s v="2026-01-16"/>
    <n v="3.6156000000000001"/>
    <n v="0.27660000000000001"/>
    <n v="3.6153"/>
    <n v="1"/>
    <n v="8.1275729999999999"/>
    <s v="SWITZERLAND CH"/>
  </r>
  <r>
    <s v="BKMILL"/>
    <n v="156677"/>
    <n v="897330"/>
    <s v="Spot"/>
    <x v="41"/>
    <s v="Sell"/>
    <s v="GBP"/>
    <n v="-7943.67"/>
    <s v="PLN"/>
    <n v="38621.33"/>
    <s v="2026-01-16"/>
    <n v="4.8619000000000003"/>
    <n v="0.20569999999999999"/>
    <n v="4.8579999999999997"/>
    <n v="1"/>
    <n v="30.98114"/>
    <s v="GERMANY DE"/>
  </r>
  <r>
    <s v="BKMILL"/>
    <n v="156678"/>
    <n v="897331"/>
    <s v="Spot"/>
    <x v="42"/>
    <s v="Sell"/>
    <s v="CHF"/>
    <n v="-12449.2"/>
    <s v="PLN"/>
    <n v="56212"/>
    <s v="2026-01-16"/>
    <n v="4.5152999999999999"/>
    <n v="0.2215"/>
    <n v="4.5164"/>
    <n v="1"/>
    <n v="-13.566879999999999"/>
    <s v="SWITZERLAND CH"/>
  </r>
  <r>
    <s v="BKMILL"/>
    <n v="156679"/>
    <n v="897332"/>
    <s v="Spot"/>
    <x v="40"/>
    <s v="Sell"/>
    <s v="EUR"/>
    <n v="-22248.799999999999"/>
    <s v="PLN"/>
    <n v="93710.61"/>
    <s v="2026-01-16"/>
    <n v="4.2119"/>
    <n v="0.2374"/>
    <n v="4.2068000000000003"/>
    <n v="1"/>
    <n v="114.35816"/>
    <s v="UNITED STATES OF AMERICA US"/>
  </r>
  <r>
    <s v="BKMILL"/>
    <n v="156680"/>
    <n v="216892"/>
    <s v="Forward"/>
    <x v="42"/>
    <s v="Buy Fwd"/>
    <s v="USD"/>
    <n v="33205"/>
    <s v="PLN"/>
    <n v="120063.73"/>
    <s v="2026-01-14"/>
    <n v="3.6156999999999999"/>
    <n v="0.27660000000000001"/>
    <n v="3.6082999999999998"/>
    <n v="1"/>
    <n v="239877.3315"/>
    <s v="SWITZERLAND CH"/>
  </r>
  <r>
    <s v="BKMILL"/>
    <n v="156681"/>
    <n v="216894"/>
    <s v="Forward"/>
    <x v="36"/>
    <s v="Buy Fwd"/>
    <s v="USD"/>
    <n v="50000"/>
    <s v="PLN"/>
    <n v="180786.75"/>
    <s v="2026-01-14"/>
    <n v="3.6156999999999999"/>
    <n v="0.27660000000000001"/>
    <n v="3.6082999999999998"/>
    <n v="1"/>
    <n v="361201.75"/>
    <s v="UNITED KINGDOM GB"/>
  </r>
  <r>
    <s v="BKMILL"/>
    <n v="156682"/>
    <n v="216895"/>
    <s v="Forward"/>
    <x v="100"/>
    <s v="Sell Fwd"/>
    <s v="USD"/>
    <n v="-50000"/>
    <s v="PLN"/>
    <n v="181040"/>
    <s v="2026-01-14"/>
    <n v="3.6208"/>
    <n v="0.2762"/>
    <n v="3.6082999999999998"/>
    <n v="1"/>
    <n v="625"/>
    <s v="POLAND PL"/>
  </r>
  <r>
    <s v="BKMILL"/>
    <n v="156683"/>
    <n v="216897"/>
    <s v="Forward"/>
    <x v="36"/>
    <s v="Sell Fwd"/>
    <s v="EUR"/>
    <n v="-14400"/>
    <s v="PLN"/>
    <n v="60647.49"/>
    <s v="2026-01-14"/>
    <n v="4.2121000000000004"/>
    <n v="0.2374"/>
    <n v="4.2115999999999998"/>
    <n v="1"/>
    <n v="0.45"/>
    <s v="UNITED KINGDOM GB"/>
  </r>
  <r>
    <s v="BKMILL"/>
    <n v="156684"/>
    <n v="216899"/>
    <s v="Forward"/>
    <x v="42"/>
    <s v="Buy Fwd"/>
    <s v="EUR"/>
    <n v="20840"/>
    <s v="PLN"/>
    <n v="87785.62"/>
    <s v="2026-01-14"/>
    <n v="4.2126000000000001"/>
    <n v="0.2374"/>
    <n v="4.2115999999999998"/>
    <n v="1"/>
    <n v="175555.364"/>
    <s v="SWITZERLAND CH"/>
  </r>
  <r>
    <s v="BKMILL"/>
    <n v="156685"/>
    <n v="216900"/>
    <s v="Forward"/>
    <x v="36"/>
    <s v="Sell Fwd"/>
    <s v="EUR"/>
    <n v="-60000"/>
    <s v="PLN"/>
    <n v="252683.4"/>
    <s v="2026-01-14"/>
    <n v="4.2119"/>
    <n v="0.2374"/>
    <n v="4.2115999999999998"/>
    <n v="1"/>
    <n v="-12.6"/>
    <s v="UNITED KINGDOM GB"/>
  </r>
  <r>
    <s v="BKMILL"/>
    <n v="156686"/>
    <n v="216902"/>
    <s v="Forward"/>
    <x v="43"/>
    <s v="Buy Fwd"/>
    <s v="EUR"/>
    <n v="1225"/>
    <s v="PLN"/>
    <n v="5159.6899999999996"/>
    <s v="2026-01-14"/>
    <n v="4.2123999999999997"/>
    <n v="0.2374"/>
    <n v="4.2115999999999998"/>
    <n v="1"/>
    <n v="10318.9"/>
    <s v="FRANCE FR"/>
  </r>
  <r>
    <s v="BKMILL"/>
    <n v="156689"/>
    <n v="216913"/>
    <s v="Forward"/>
    <x v="448"/>
    <s v="Buy Fwd"/>
    <s v="EUR"/>
    <n v="17500"/>
    <s v="PLN"/>
    <n v="73500"/>
    <s v="2026-01-14"/>
    <n v="4.2004999999999999"/>
    <n v="0.23810000000000001"/>
    <n v="4.2115999999999998"/>
    <n v="1"/>
    <n v="147203"/>
    <s v="POLAND PL"/>
  </r>
  <r>
    <s v="BKMILL"/>
    <n v="156690"/>
    <n v="897450"/>
    <s v="Spot"/>
    <x v="43"/>
    <s v="Buy"/>
    <s v="EUR"/>
    <n v="500000"/>
    <s v="PLN"/>
    <n v="-2106660"/>
    <s v="2026-01-16"/>
    <n v="4.2133000000000003"/>
    <n v="0.23730000000000001"/>
    <n v="4.2068000000000003"/>
    <n v="1"/>
    <n v="-3260"/>
    <s v="FRANCE FR"/>
  </r>
  <r>
    <s v="BKMILL"/>
    <n v="156692"/>
    <n v="216934"/>
    <s v="Forward"/>
    <x v="61"/>
    <s v="Sell Fwd"/>
    <s v="EUR"/>
    <n v="-100000"/>
    <s v="USD"/>
    <n v="116450"/>
    <s v="2026-01-14"/>
    <n v="1.1646000000000001"/>
    <n v="0.85870000000000002"/>
    <n v="4.2115999999999998"/>
    <n v="3.6082999999999998"/>
    <n v="-973.46500000000003"/>
    <s v="POLAND PL"/>
  </r>
  <r>
    <s v="BKMILL"/>
    <n v="156693"/>
    <n v="897472"/>
    <s v="Spot"/>
    <x v="41"/>
    <s v="Sell"/>
    <s v="EUR"/>
    <n v="-500000"/>
    <s v="PLN"/>
    <n v="2105250"/>
    <s v="2026-01-16"/>
    <n v="4.2104999999999997"/>
    <n v="0.23749999999999999"/>
    <n v="4.2068000000000003"/>
    <n v="1"/>
    <n v="1850"/>
    <s v="GERMANY DE"/>
  </r>
  <r>
    <s v="BKMILL"/>
    <n v="156694"/>
    <n v="216938"/>
    <s v="Forward"/>
    <x v="70"/>
    <s v="Buy Fwd"/>
    <s v="EUR"/>
    <n v="35611.870000000003"/>
    <s v="PLN"/>
    <n v="149747.91"/>
    <s v="2026-01-14"/>
    <n v="4.2050000000000001"/>
    <n v="0.23780000000000001"/>
    <n v="4.2115999999999998"/>
    <n v="1"/>
    <n v="299730.86169200001"/>
    <s v="POLAND PL"/>
  </r>
  <r>
    <s v="BKMILL"/>
    <n v="156696"/>
    <n v="216941"/>
    <s v="Forward"/>
    <x v="439"/>
    <s v="Sell Fwd"/>
    <s v="CHF"/>
    <n v="-2224.6"/>
    <s v="PLN"/>
    <n v="10037.41"/>
    <s v="2026-01-14"/>
    <n v="4.5469999999999997"/>
    <n v="0.21990000000000001"/>
    <n v="4.5235000000000003"/>
    <n v="1"/>
    <n v="-25.568100000000001"/>
    <s v="POLAND PL"/>
  </r>
  <r>
    <s v="BKMILL"/>
    <n v="156697"/>
    <n v="216942"/>
    <s v="Forward"/>
    <x v="68"/>
    <s v="Sell Fwd"/>
    <s v="EUR"/>
    <n v="-3684.88"/>
    <s v="PLN"/>
    <n v="15520.35"/>
    <s v="2026-01-14"/>
    <n v="4.2122999999999999"/>
    <n v="0.2374"/>
    <n v="4.2115999999999998"/>
    <n v="1"/>
    <n v="1.1093919999999999"/>
    <s v="POLAND PL"/>
  </r>
  <r>
    <s v="BKMILL"/>
    <n v="156699"/>
    <n v="897506"/>
    <s v="Spot"/>
    <x v="41"/>
    <s v="Sell"/>
    <s v="USD"/>
    <n v="-1000000"/>
    <s v="PLN"/>
    <n v="3615400"/>
    <s v="2026-01-16"/>
    <n v="3.6154000000000002"/>
    <n v="0.27660000000000001"/>
    <n v="3.6153"/>
    <n v="1"/>
    <n v="100"/>
    <s v="GERMANY DE"/>
  </r>
  <r>
    <s v="BKMILL"/>
    <n v="156700"/>
    <n v="897507"/>
    <s v="Spot"/>
    <x v="38"/>
    <s v="Sell"/>
    <s v="USD"/>
    <n v="-1000000"/>
    <s v="PLN"/>
    <n v="3615700"/>
    <s v="2026-01-16"/>
    <n v="3.6156999999999999"/>
    <n v="0.27660000000000001"/>
    <n v="3.6153"/>
    <n v="1"/>
    <n v="400"/>
    <s v="NETHERLANDS NL"/>
  </r>
  <r>
    <s v="BKMILL"/>
    <n v="156701"/>
    <n v="897514"/>
    <s v="Spot"/>
    <x v="6"/>
    <s v="Buy"/>
    <s v="USD"/>
    <n v="2000000"/>
    <s v="PLN"/>
    <n v="-7229000"/>
    <s v="2026-01-16"/>
    <n v="3.6145"/>
    <n v="0.2767"/>
    <n v="3.6153"/>
    <n v="1"/>
    <n v="1600"/>
    <s v="POLAND PL"/>
  </r>
  <r>
    <s v="BKMILL"/>
    <n v="156702"/>
    <n v="897521"/>
    <s v="Spot"/>
    <x v="41"/>
    <s v="Sell"/>
    <s v="EUR"/>
    <n v="-500000"/>
    <s v="PLN"/>
    <n v="2105200"/>
    <s v="2026-01-16"/>
    <n v="4.2103999999999999"/>
    <n v="0.23749999999999999"/>
    <n v="4.2068000000000003"/>
    <n v="1"/>
    <n v="1800"/>
    <s v="GERMANY DE"/>
  </r>
  <r>
    <s v="BKMILL"/>
    <n v="156704"/>
    <n v="216952"/>
    <s v="Forward"/>
    <x v="292"/>
    <s v="Buy Fwd"/>
    <s v="EUR"/>
    <n v="9000"/>
    <s v="PLN"/>
    <n v="37350"/>
    <s v="2026-01-14"/>
    <n v="4.1500000000000004"/>
    <n v="0.24099999999999999"/>
    <n v="4.2115999999999998"/>
    <n v="1"/>
    <n v="75254.399999999994"/>
    <s v="POLAND PL"/>
  </r>
  <r>
    <s v="BKMILL"/>
    <n v="156705"/>
    <n v="897532"/>
    <s v="Spot"/>
    <x v="39"/>
    <s v="Sell"/>
    <s v="EUR"/>
    <n v="-1000000"/>
    <s v="PLN"/>
    <n v="4210260"/>
    <s v="2026-01-16"/>
    <n v="4.2103000000000002"/>
    <n v="0.23749999999999999"/>
    <n v="4.2068000000000003"/>
    <n v="1"/>
    <n v="3460"/>
    <s v="UNITED KINGDOM GB"/>
  </r>
  <r>
    <s v="BKMILL"/>
    <n v="156706"/>
    <n v="216954"/>
    <s v="Forward"/>
    <x v="68"/>
    <s v="Sell Fwd"/>
    <s v="EUR"/>
    <n v="-35000"/>
    <s v="PLN"/>
    <n v="147392"/>
    <s v="2026-01-14"/>
    <n v="4.2115999999999998"/>
    <n v="0.2374"/>
    <n v="4.2115999999999998"/>
    <n v="1"/>
    <n v="-14"/>
    <s v="POLAND PL"/>
  </r>
  <r>
    <s v="BKMILL"/>
    <n v="156707"/>
    <n v="897542"/>
    <s v="Spot"/>
    <x v="38"/>
    <s v="Sell"/>
    <s v="EUR"/>
    <n v="-1000000"/>
    <s v="PLN"/>
    <n v="4209150"/>
    <s v="2026-01-16"/>
    <n v="4.2092000000000001"/>
    <n v="0.23760000000000001"/>
    <n v="4.2068000000000003"/>
    <n v="1"/>
    <n v="2350"/>
    <s v="NETHERLANDS NL"/>
  </r>
  <r>
    <s v="BKMILL"/>
    <n v="156709"/>
    <n v="216955"/>
    <s v="Forward"/>
    <x v="32"/>
    <s v="Sell Fwd"/>
    <s v="EUR"/>
    <n v="-10000"/>
    <s v="PLN"/>
    <n v="42124"/>
    <s v="2026-01-14"/>
    <n v="4.2127999999999997"/>
    <n v="0.2374"/>
    <n v="4.2115999999999998"/>
    <n v="1"/>
    <n v="8"/>
    <s v="POLAND PL"/>
  </r>
  <r>
    <s v="BKMILL"/>
    <n v="156710"/>
    <n v="216957"/>
    <s v="Forward"/>
    <x v="32"/>
    <s v="Sell Fwd"/>
    <s v="EUR"/>
    <n v="-10000"/>
    <s v="PLN"/>
    <n v="42124"/>
    <s v="2026-01-14"/>
    <n v="4.2127999999999997"/>
    <n v="0.2374"/>
    <n v="4.2115999999999998"/>
    <n v="1"/>
    <n v="8"/>
    <s v="POLAND PL"/>
  </r>
  <r>
    <s v="BKMILL"/>
    <n v="156711"/>
    <n v="216958"/>
    <s v="Forward"/>
    <x v="32"/>
    <s v="Sell Fwd"/>
    <s v="EUR"/>
    <n v="-10000"/>
    <s v="PLN"/>
    <n v="42124"/>
    <s v="2026-01-14"/>
    <n v="4.2127999999999997"/>
    <n v="0.2374"/>
    <n v="4.2115999999999998"/>
    <n v="1"/>
    <n v="8"/>
    <s v="POLAND PL"/>
  </r>
  <r>
    <s v="BKMILL"/>
    <n v="156712"/>
    <n v="216959"/>
    <s v="Forward"/>
    <x v="68"/>
    <s v="Sell Fwd"/>
    <s v="EUR"/>
    <n v="-137000"/>
    <s v="PLN"/>
    <n v="576893.30000000005"/>
    <s v="2026-01-14"/>
    <n v="4.2112999999999996"/>
    <n v="0.23749999999999999"/>
    <n v="4.2115999999999998"/>
    <n v="1"/>
    <n v="-95.9"/>
    <s v="POLAND PL"/>
  </r>
  <r>
    <s v="BKMILL"/>
    <n v="156713"/>
    <n v="216960"/>
    <s v="Forward"/>
    <x v="32"/>
    <s v="Sell Fwd"/>
    <s v="EUR"/>
    <n v="-10000"/>
    <s v="PLN"/>
    <n v="42124"/>
    <s v="2026-01-14"/>
    <n v="4.2127999999999997"/>
    <n v="0.2374"/>
    <n v="4.2115999999999998"/>
    <n v="1"/>
    <n v="8"/>
    <s v="POLAND PL"/>
  </r>
  <r>
    <s v="BKMILL"/>
    <n v="156715"/>
    <n v="897564"/>
    <s v="Spot"/>
    <x v="43"/>
    <s v="Buy"/>
    <s v="EUR"/>
    <n v="100000"/>
    <s v="NOK"/>
    <n v="-1175700"/>
    <s v="2026-01-16"/>
    <n v="11.757"/>
    <n v="8.5099999999999995E-2"/>
    <n v="4.2068000000000003"/>
    <n v="0.35880000000000001"/>
    <n v="-1161.1600000000001"/>
    <s v="FRANCE FR"/>
  </r>
  <r>
    <s v="BKMILL"/>
    <n v="156716"/>
    <n v="216961"/>
    <s v="Forward"/>
    <x v="259"/>
    <s v="Buy Fwd"/>
    <s v="EUR"/>
    <n v="10000"/>
    <s v="PLN"/>
    <n v="42060"/>
    <s v="2026-01-14"/>
    <n v="4.2060000000000004"/>
    <n v="0.23780000000000001"/>
    <n v="4.2115999999999998"/>
    <n v="1"/>
    <n v="84176"/>
    <s v="POLAND PL"/>
  </r>
  <r>
    <s v="BKMILL"/>
    <n v="156717"/>
    <n v="216965"/>
    <s v="Forward"/>
    <x v="123"/>
    <s v="Sell Fwd"/>
    <s v="USD"/>
    <n v="-50000"/>
    <s v="PLN"/>
    <n v="180875"/>
    <s v="2026-01-14"/>
    <n v="3.6175000000000002"/>
    <n v="0.27639999999999998"/>
    <n v="3.6082999999999998"/>
    <n v="1"/>
    <n v="460"/>
    <s v="POLAND PL"/>
  </r>
  <r>
    <s v="BKMILL"/>
    <n v="156719"/>
    <n v="216966"/>
    <s v="Forward"/>
    <x v="129"/>
    <s v="Buy Fwd"/>
    <s v="EUR"/>
    <n v="23000"/>
    <s v="USD"/>
    <n v="26758.2"/>
    <s v="2026-01-14"/>
    <n v="1.1636"/>
    <n v="0.85940000000000005"/>
    <n v="4.2115999999999998"/>
    <n v="3.6082999999999998"/>
    <n v="193418.41305999999"/>
    <s v="POLAND PL"/>
  </r>
  <r>
    <s v="BKMILL"/>
    <n v="156720"/>
    <n v="897584"/>
    <s v="Spot"/>
    <x v="44"/>
    <s v="Buy"/>
    <s v="EUR"/>
    <n v="1000000"/>
    <s v="PLN"/>
    <n v="-4209300"/>
    <s v="2026-01-16"/>
    <n v="4.2092999999999998"/>
    <n v="0.23760000000000001"/>
    <n v="4.2068000000000003"/>
    <n v="1"/>
    <n v="-2500"/>
    <s v="GERMANY DE"/>
  </r>
  <r>
    <s v="BKMILL"/>
    <n v="156721"/>
    <n v="897588"/>
    <s v="Spot"/>
    <x v="40"/>
    <s v="Buy"/>
    <s v="EUR"/>
    <n v="500000"/>
    <s v="PLN"/>
    <n v="-2104800"/>
    <s v="2026-01-16"/>
    <n v="4.2096"/>
    <n v="0.23760000000000001"/>
    <n v="4.2068000000000003"/>
    <n v="1"/>
    <n v="-1400"/>
    <s v="UNITED STATES OF AMERICA US"/>
  </r>
  <r>
    <s v="BKMILL"/>
    <n v="156722"/>
    <n v="897589"/>
    <s v="Spot"/>
    <x v="40"/>
    <s v="Buy"/>
    <s v="EUR"/>
    <n v="500000"/>
    <s v="PLN"/>
    <n v="-2104950"/>
    <s v="2026-01-16"/>
    <n v="4.2099000000000002"/>
    <n v="0.23749999999999999"/>
    <n v="4.2068000000000003"/>
    <n v="1"/>
    <n v="-1550"/>
    <s v="UNITED STATES OF AMERICA US"/>
  </r>
  <r>
    <s v="BKMILL"/>
    <n v="156723"/>
    <n v="216968"/>
    <s v="Forward"/>
    <x v="60"/>
    <s v="Sell Fwd"/>
    <s v="EUR"/>
    <n v="-2000000"/>
    <s v="PLN"/>
    <n v="8421400"/>
    <s v="2026-01-14"/>
    <n v="4.2111000000000001"/>
    <n v="0.23749999999999999"/>
    <n v="4.2115999999999998"/>
    <n v="1"/>
    <n v="-1800"/>
    <s v="POLAND PL"/>
  </r>
  <r>
    <s v="BKMILL"/>
    <n v="156724"/>
    <n v="897596"/>
    <s v="Spot"/>
    <x v="43"/>
    <s v="Sell"/>
    <s v="EUR"/>
    <n v="-500000"/>
    <s v="PLN"/>
    <n v="2104625"/>
    <s v="2026-01-16"/>
    <n v="4.2092000000000001"/>
    <n v="0.23760000000000001"/>
    <n v="4.2068000000000003"/>
    <n v="1"/>
    <n v="1225"/>
    <s v="FRANCE FR"/>
  </r>
  <r>
    <s v="BKMILL"/>
    <n v="156725"/>
    <n v="216971"/>
    <s v="Forward"/>
    <x v="32"/>
    <s v="Sell Fwd"/>
    <s v="EUR"/>
    <n v="-10000"/>
    <s v="PLN"/>
    <n v="42116"/>
    <s v="2026-01-14"/>
    <n v="4.2119999999999997"/>
    <n v="0.2374"/>
    <n v="4.2115999999999998"/>
    <n v="1"/>
    <n v="0"/>
    <s v="POLAND PL"/>
  </r>
  <r>
    <s v="BKMILL"/>
    <n v="156726"/>
    <n v="216972"/>
    <s v="Forward"/>
    <x v="32"/>
    <s v="Sell Fwd"/>
    <s v="EUR"/>
    <n v="-10000"/>
    <s v="PLN"/>
    <n v="42116"/>
    <s v="2026-01-14"/>
    <n v="4.2119999999999997"/>
    <n v="0.2374"/>
    <n v="4.2115999999999998"/>
    <n v="1"/>
    <n v="0"/>
    <s v="POLAND PL"/>
  </r>
  <r>
    <s v="BKMILL"/>
    <n v="156727"/>
    <n v="216973"/>
    <s v="Forward"/>
    <x v="450"/>
    <s v="Buy Fwd"/>
    <s v="EUR"/>
    <n v="10000"/>
    <s v="PLN"/>
    <n v="41800"/>
    <s v="2026-01-14"/>
    <n v="4.18"/>
    <n v="0.2392"/>
    <n v="4.2115999999999998"/>
    <n v="1"/>
    <n v="83916"/>
    <s v="POLAND PL"/>
  </r>
  <r>
    <s v="BKMILL"/>
    <n v="156728"/>
    <n v="216978"/>
    <s v="Forward"/>
    <x v="98"/>
    <s v="Sell Fwd"/>
    <s v="EUR"/>
    <n v="-1000"/>
    <s v="USD"/>
    <n v="1189"/>
    <s v="2026-01-14"/>
    <n v="1.1891"/>
    <n v="0.84099999999999997"/>
    <n v="4.2115999999999998"/>
    <n v="3.6082999999999998"/>
    <n v="78.668700000000001"/>
    <s v="POLAND PL"/>
  </r>
  <r>
    <s v="BKMILL"/>
    <n v="156730"/>
    <n v="216983"/>
    <s v="Forward"/>
    <x v="64"/>
    <s v="Sell Fwd"/>
    <s v="EUR"/>
    <n v="-55000"/>
    <s v="PLN"/>
    <n v="231770"/>
    <s v="2026-01-14"/>
    <n v="4.2140000000000004"/>
    <n v="0.23730000000000001"/>
    <n v="4.2115999999999998"/>
    <n v="1"/>
    <n v="132"/>
    <s v="POLAND PL"/>
  </r>
  <r>
    <s v="BKMILL"/>
    <n v="156732"/>
    <n v="216991"/>
    <s v="Forward"/>
    <x v="90"/>
    <s v="Sell Fwd"/>
    <s v="EUR"/>
    <n v="-25000"/>
    <s v="PLN"/>
    <n v="105550"/>
    <s v="2026-01-14"/>
    <n v="4.2220000000000004"/>
    <n v="0.2369"/>
    <n v="4.2115999999999998"/>
    <n v="1"/>
    <n v="260"/>
    <s v="POLAND PL"/>
  </r>
  <r>
    <s v="BKMILL"/>
    <n v="156733"/>
    <n v="216993"/>
    <s v="Forward"/>
    <x v="451"/>
    <s v="Buy Fwd"/>
    <s v="EUR"/>
    <n v="10000"/>
    <s v="PLN"/>
    <n v="41883"/>
    <s v="2026-01-14"/>
    <n v="4.1887999999999996"/>
    <n v="0.2387"/>
    <n v="4.2115999999999998"/>
    <n v="1"/>
    <n v="83999"/>
    <s v="POLAND PL"/>
  </r>
  <r>
    <s v="BKMILL"/>
    <n v="156734"/>
    <n v="216994"/>
    <s v="Forward"/>
    <x v="169"/>
    <s v="Buy Fwd"/>
    <s v="EUR"/>
    <n v="80000"/>
    <s v="PLN"/>
    <n v="336400"/>
    <s v="2026-01-14"/>
    <n v="4.2050000000000001"/>
    <n v="0.23780000000000001"/>
    <n v="4.2115999999999998"/>
    <n v="1"/>
    <n v="673328"/>
    <s v="POLAND PL"/>
  </r>
  <r>
    <s v="BKMILL"/>
    <n v="156736"/>
    <n v="897685"/>
    <s v="Spot"/>
    <x v="44"/>
    <s v="Buy"/>
    <s v="EUR"/>
    <n v="3000000"/>
    <s v="PLN"/>
    <n v="-12638700"/>
    <s v="2026-01-16"/>
    <n v="4.2129000000000003"/>
    <n v="0.2374"/>
    <n v="4.2068000000000003"/>
    <n v="1"/>
    <n v="-18300"/>
    <s v="GERMANY DE"/>
  </r>
  <r>
    <s v="BKMILL"/>
    <n v="156737"/>
    <n v="897686"/>
    <s v="Spot"/>
    <x v="41"/>
    <s v="Buy"/>
    <s v="EUR"/>
    <n v="500000"/>
    <s v="PLN"/>
    <n v="-2106400"/>
    <s v="2026-01-16"/>
    <n v="4.2127999999999997"/>
    <n v="0.2374"/>
    <n v="4.2068000000000003"/>
    <n v="1"/>
    <n v="-3000"/>
    <s v="GERMANY DE"/>
  </r>
  <r>
    <s v="BKMILL"/>
    <n v="156739"/>
    <n v="217004"/>
    <s v="Forward"/>
    <x v="230"/>
    <s v="Sell Fwd"/>
    <s v="EUR"/>
    <n v="-2500"/>
    <s v="PLN"/>
    <n v="10570"/>
    <s v="2026-01-14"/>
    <n v="4.2279999999999998"/>
    <n v="0.23649999999999999"/>
    <n v="4.2115999999999998"/>
    <n v="1"/>
    <n v="41"/>
    <s v="POLAND PL"/>
  </r>
  <r>
    <s v="BKMILL"/>
    <n v="156740"/>
    <n v="217005"/>
    <s v="Forward"/>
    <x v="180"/>
    <s v="Sell Fwd"/>
    <s v="USD"/>
    <n v="-3000"/>
    <s v="PLN"/>
    <n v="10851.3"/>
    <s v="2026-01-14"/>
    <n v="3.6171000000000002"/>
    <n v="0.27650000000000002"/>
    <n v="3.6082999999999998"/>
    <n v="1"/>
    <n v="26.4"/>
    <s v="POLAND PL"/>
  </r>
  <r>
    <s v="BKMILL"/>
    <n v="156741"/>
    <n v="217007"/>
    <s v="Forward"/>
    <x v="452"/>
    <s v="Buy Fwd"/>
    <s v="EUR"/>
    <n v="50000"/>
    <s v="PLN"/>
    <n v="210100"/>
    <s v="2026-01-14"/>
    <n v="4.2023999999999999"/>
    <n v="0.23799999999999999"/>
    <n v="4.2115999999999998"/>
    <n v="1"/>
    <n v="420680"/>
    <s v="POLAND PL"/>
  </r>
  <r>
    <s v="BKMILL"/>
    <n v="156742"/>
    <n v="217009"/>
    <s v="Forward"/>
    <x v="69"/>
    <s v="Buy Fwd"/>
    <s v="EUR"/>
    <n v="300000"/>
    <s v="PLN"/>
    <n v="1262850"/>
    <s v="2026-01-14"/>
    <n v="4.2095000000000002"/>
    <n v="0.23760000000000001"/>
    <n v="4.2115999999999998"/>
    <n v="1"/>
    <n v="2526330"/>
    <s v="POLAND PL"/>
  </r>
  <r>
    <s v="BKMILL"/>
    <n v="156743"/>
    <n v="897752"/>
    <s v="Spot"/>
    <x v="38"/>
    <s v="Buy"/>
    <s v="EUR"/>
    <n v="1000000"/>
    <s v="PLN"/>
    <n v="-4212520"/>
    <s v="2026-01-16"/>
    <n v="4.2125000000000004"/>
    <n v="0.2374"/>
    <n v="4.2068000000000003"/>
    <n v="1"/>
    <n v="-5720"/>
    <s v="NETHERLANDS NL"/>
  </r>
  <r>
    <s v="BKMILL"/>
    <n v="156744"/>
    <n v="897753"/>
    <s v="Spot"/>
    <x v="43"/>
    <s v="Buy"/>
    <s v="EUR"/>
    <n v="1000000"/>
    <s v="PLN"/>
    <n v="-4212510"/>
    <s v="2026-01-16"/>
    <n v="4.2125000000000004"/>
    <n v="0.2374"/>
    <n v="4.2068000000000003"/>
    <n v="1"/>
    <n v="-5710"/>
    <s v="FRANCE FR"/>
  </r>
  <r>
    <s v="BKMILL"/>
    <n v="156745"/>
    <n v="897754"/>
    <s v="Spot"/>
    <x v="41"/>
    <s v="Buy"/>
    <s v="EUR"/>
    <n v="500000"/>
    <s v="PLN"/>
    <n v="-2106300"/>
    <s v="2026-01-16"/>
    <n v="4.2126000000000001"/>
    <n v="0.2374"/>
    <n v="4.2068000000000003"/>
    <n v="1"/>
    <n v="-2900"/>
    <s v="GERMANY DE"/>
  </r>
  <r>
    <s v="BKMILL"/>
    <n v="156746"/>
    <n v="897755"/>
    <s v="Spot"/>
    <x v="44"/>
    <s v="Buy"/>
    <s v="EUR"/>
    <n v="1000000"/>
    <s v="PLN"/>
    <n v="-4212600"/>
    <s v="2026-01-16"/>
    <n v="4.2126000000000001"/>
    <n v="0.2374"/>
    <n v="4.2068000000000003"/>
    <n v="1"/>
    <n v="-5800"/>
    <s v="GERMANY DE"/>
  </r>
  <r>
    <s v="BKMILL"/>
    <n v="156747"/>
    <n v="897759"/>
    <s v="Spot"/>
    <x v="43"/>
    <s v="Buy"/>
    <s v="EUR"/>
    <n v="500000"/>
    <s v="PLN"/>
    <n v="-2106255"/>
    <s v="2026-01-16"/>
    <n v="4.2125000000000004"/>
    <n v="0.2374"/>
    <n v="4.2068000000000003"/>
    <n v="1"/>
    <n v="-2855"/>
    <s v="FRANCE FR"/>
  </r>
  <r>
    <s v="BKMILL"/>
    <n v="156748"/>
    <n v="217024"/>
    <s v="Forward"/>
    <x v="195"/>
    <s v="Sell Fwd"/>
    <s v="EUR"/>
    <n v="-3000"/>
    <s v="PLN"/>
    <n v="12678"/>
    <s v="2026-01-14"/>
    <n v="4.226"/>
    <n v="0.2366"/>
    <n v="4.2115999999999998"/>
    <n v="1"/>
    <n v="43.2"/>
    <s v="POLAND PL"/>
  </r>
  <r>
    <s v="BKMILL"/>
    <n v="156753"/>
    <n v="217030"/>
    <s v="Forward"/>
    <x v="338"/>
    <s v="Buy Fwd"/>
    <s v="EUR"/>
    <n v="24980"/>
    <s v="PLN"/>
    <n v="105003.43"/>
    <s v="2026-01-14"/>
    <n v="4.2039"/>
    <n v="0.2379"/>
    <n v="4.2115999999999998"/>
    <n v="1"/>
    <n v="210209.198"/>
    <s v="POLAND PL"/>
  </r>
  <r>
    <s v="BKMILL"/>
    <n v="156757"/>
    <n v="217034"/>
    <s v="Forward"/>
    <x v="338"/>
    <s v="Sell Fwd"/>
    <s v="EUR"/>
    <n v="-26360"/>
    <s v="PLN"/>
    <n v="111226.02"/>
    <s v="2026-01-14"/>
    <n v="4.2199"/>
    <n v="0.23699999999999999"/>
    <n v="4.2115999999999998"/>
    <n v="1"/>
    <n v="208.244"/>
    <s v="POLAND PL"/>
  </r>
  <r>
    <s v="BKMILL"/>
    <n v="156759"/>
    <n v="217038"/>
    <s v="Forward"/>
    <x v="453"/>
    <s v="Buy Fwd"/>
    <s v="EUR"/>
    <n v="500000"/>
    <s v="PLN"/>
    <n v="2091000"/>
    <s v="2026-01-14"/>
    <n v="4.1820000000000004"/>
    <n v="0.23910000000000001"/>
    <n v="4.2115999999999998"/>
    <n v="1"/>
    <n v="4196800"/>
    <s v="POLAND PL"/>
  </r>
  <r>
    <s v="BKMILL"/>
    <n v="156760"/>
    <n v="217041"/>
    <s v="Forward"/>
    <x v="139"/>
    <s v="Buy Fwd"/>
    <s v="EUR"/>
    <n v="293926.59999999998"/>
    <s v="PLN"/>
    <n v="1236108.32"/>
    <s v="2026-01-14"/>
    <n v="4.2058999999999997"/>
    <n v="0.23780000000000001"/>
    <n v="4.2115999999999998"/>
    <n v="1"/>
    <n v="2474009.5885600001"/>
    <s v="POLAND PL"/>
  </r>
  <r>
    <s v="BKMILL"/>
    <n v="156761"/>
    <n v="217042"/>
    <s v="Forward"/>
    <x v="152"/>
    <s v="Buy Fwd"/>
    <s v="EUR"/>
    <n v="200000"/>
    <s v="PLN"/>
    <n v="842000"/>
    <s v="2026-01-14"/>
    <n v="4.21"/>
    <n v="0.23749999999999999"/>
    <n v="4.2115999999999998"/>
    <n v="1"/>
    <n v="1684320"/>
    <s v="POLAND PL"/>
  </r>
  <r>
    <s v="BKMILL"/>
    <n v="156762"/>
    <n v="217043"/>
    <s v="Forward"/>
    <x v="454"/>
    <s v="Buy Fwd"/>
    <s v="EUR"/>
    <n v="60000"/>
    <s v="USD"/>
    <n v="69840"/>
    <s v="2026-01-14"/>
    <n v="1.1639999999999999"/>
    <n v="0.85909999999999997"/>
    <n v="4.2115999999999998"/>
    <n v="3.6082999999999998"/>
    <n v="504699.67200000002"/>
    <s v="POLAND PL"/>
  </r>
  <r>
    <s v="BKMILL"/>
    <n v="156763"/>
    <n v="217044"/>
    <s v="Forward"/>
    <x v="455"/>
    <s v="Sell Fwd"/>
    <s v="USD"/>
    <n v="-50000"/>
    <s v="PLN"/>
    <n v="181450"/>
    <s v="2026-01-14"/>
    <n v="3.629"/>
    <n v="0.27560000000000001"/>
    <n v="3.6082999999999998"/>
    <n v="1"/>
    <n v="1035"/>
    <s v="POLAND PL"/>
  </r>
  <r>
    <s v="BKMILL"/>
    <n v="156764"/>
    <n v="217046"/>
    <s v="Forward"/>
    <x v="455"/>
    <s v="Sell Fwd"/>
    <s v="GBP"/>
    <n v="-50000"/>
    <s v="PLN"/>
    <n v="243850"/>
    <s v="2026-01-14"/>
    <n v="4.8769999999999998"/>
    <n v="0.20499999999999999"/>
    <n v="4.8643999999999998"/>
    <n v="1"/>
    <n v="630"/>
    <s v="POLAND PL"/>
  </r>
  <r>
    <s v="BKMILL"/>
    <n v="156765"/>
    <n v="217047"/>
    <s v="Forward"/>
    <x v="70"/>
    <s v="Buy Fwd"/>
    <s v="GBP"/>
    <n v="20527.759999999998"/>
    <s v="PLN"/>
    <n v="99662.27"/>
    <s v="2026-01-14"/>
    <n v="4.8550000000000004"/>
    <n v="0.20599999999999999"/>
    <n v="4.8643999999999998"/>
    <n v="1"/>
    <n v="199517.50574399999"/>
    <s v="POLAND PL"/>
  </r>
  <r>
    <s v="BKMILL"/>
    <n v="156766"/>
    <n v="217048"/>
    <s v="Forward"/>
    <x v="456"/>
    <s v="Buy Fwd"/>
    <s v="EUR"/>
    <n v="10000"/>
    <s v="PLN"/>
    <n v="42078"/>
    <s v="2026-01-15"/>
    <n v="4.2080000000000002"/>
    <n v="0.23760000000000001"/>
    <n v="4.2110000000000003"/>
    <n v="1"/>
    <n v="84188"/>
    <s v="POLAND PL"/>
  </r>
  <r>
    <s v="BKMILL"/>
    <n v="156767"/>
    <n v="897860"/>
    <s v="Spot"/>
    <x v="41"/>
    <s v="Sell"/>
    <s v="EUR"/>
    <n v="-500000"/>
    <s v="PLN"/>
    <n v="2106650"/>
    <s v="2026-01-16"/>
    <n v="4.2133000000000003"/>
    <n v="0.23730000000000001"/>
    <n v="4.2068000000000003"/>
    <n v="1"/>
    <n v="3250"/>
    <s v="GERMANY DE"/>
  </r>
  <r>
    <s v="BKMILL"/>
    <n v="156768"/>
    <n v="217052"/>
    <s v="Forward"/>
    <x v="367"/>
    <s v="Sell Fwd"/>
    <s v="NOK"/>
    <n v="-190000"/>
    <s v="PLN"/>
    <n v="69730"/>
    <s v="2026-01-14"/>
    <n v="0.36699999999999999"/>
    <n v="2.7248000000000001"/>
    <n v="0.35809999999999997"/>
    <n v="1"/>
    <n v="1691"/>
    <s v="POLAND PL"/>
  </r>
  <r>
    <s v="BKMILL"/>
    <n v="156769"/>
    <n v="217054"/>
    <s v="Forward"/>
    <x v="457"/>
    <s v="Buy Fwd"/>
    <s v="EUR"/>
    <n v="50000"/>
    <s v="PLN"/>
    <n v="209400"/>
    <s v="2026-01-14"/>
    <n v="4.1885000000000003"/>
    <n v="0.2387"/>
    <n v="4.2115999999999998"/>
    <n v="1"/>
    <n v="419980"/>
    <s v="POLAND PL"/>
  </r>
  <r>
    <s v="BKMILL"/>
    <n v="156770"/>
    <n v="217055"/>
    <s v="Forward"/>
    <x v="367"/>
    <s v="Sell Fwd"/>
    <s v="SEK"/>
    <n v="-15000"/>
    <s v="PLN"/>
    <n v="6015"/>
    <s v="2026-01-14"/>
    <n v="0.40100000000000002"/>
    <n v="2.4937999999999998"/>
    <n v="0.39319999999999999"/>
    <n v="1"/>
    <n v="117"/>
    <s v="POLAND PL"/>
  </r>
  <r>
    <s v="BKMILL"/>
    <n v="156771"/>
    <n v="217058"/>
    <s v="Forward"/>
    <x v="288"/>
    <s v="Buy Fwd"/>
    <s v="EUR"/>
    <n v="200000"/>
    <s v="PLN"/>
    <n v="841000"/>
    <s v="2026-01-14"/>
    <n v="4.2050000000000001"/>
    <n v="0.23780000000000001"/>
    <n v="4.2115999999999998"/>
    <n v="1"/>
    <n v="1683320"/>
    <s v="POLAND PL"/>
  </r>
  <r>
    <s v="BKMILL"/>
    <n v="156772"/>
    <n v="897904"/>
    <s v="Spot"/>
    <x v="30"/>
    <s v="Buy"/>
    <s v="NOK"/>
    <n v="2000000"/>
    <s v="PLN"/>
    <n v="-717600"/>
    <s v="2026-01-16"/>
    <n v="0.35880000000000001"/>
    <n v="2.7871000000000001"/>
    <n v="0.35880000000000001"/>
    <n v="1"/>
    <n v="0"/>
    <s v="POLAND PL"/>
  </r>
  <r>
    <s v="BKMILL"/>
    <n v="156773"/>
    <n v="897914"/>
    <s v="Spot"/>
    <x v="47"/>
    <s v="Buy"/>
    <s v="EUR"/>
    <n v="100000"/>
    <s v="NOK"/>
    <n v="-1173130"/>
    <s v="2026-01-16"/>
    <n v="11.731299999999999"/>
    <n v="8.5199999999999998E-2"/>
    <n v="4.2068000000000003"/>
    <n v="0.35880000000000001"/>
    <n v="-239.04400000000001"/>
    <s v="FRANCE FR"/>
  </r>
  <r>
    <s v="BKMILL"/>
    <n v="156774"/>
    <n v="897919"/>
    <s v="Spot"/>
    <x v="41"/>
    <s v="Sell"/>
    <s v="EUR"/>
    <n v="-500000"/>
    <s v="PLN"/>
    <n v="2107200"/>
    <s v="2026-01-16"/>
    <n v="4.2144000000000004"/>
    <n v="0.23730000000000001"/>
    <n v="4.2068000000000003"/>
    <n v="1"/>
    <n v="3800"/>
    <s v="GERMANY DE"/>
  </r>
  <r>
    <s v="BKMILL"/>
    <n v="156775"/>
    <n v="897923"/>
    <s v="Spot"/>
    <x v="40"/>
    <s v="Buy"/>
    <s v="EUR"/>
    <n v="100000"/>
    <s v="GBP"/>
    <n v="-86635"/>
    <s v="2026-01-16"/>
    <n v="0.86629999999999996"/>
    <n v="1.1543000000000001"/>
    <n v="4.2068000000000003"/>
    <n v="4.8579999999999997"/>
    <n v="-192.83"/>
    <s v="UNITED STATES OF AMERICA US"/>
  </r>
  <r>
    <s v="BKMILL"/>
    <n v="156776"/>
    <n v="897939"/>
    <s v="Spot"/>
    <x v="47"/>
    <s v="Sell"/>
    <s v="EUR"/>
    <n v="-500000"/>
    <s v="PLN"/>
    <n v="2107785"/>
    <s v="2026-01-16"/>
    <n v="4.2156000000000002"/>
    <n v="0.23719999999999999"/>
    <n v="4.2068000000000003"/>
    <n v="1"/>
    <n v="4385"/>
    <s v="FRANCE FR"/>
  </r>
  <r>
    <s v="BKMILL"/>
    <n v="156777"/>
    <n v="217070"/>
    <s v="Forward"/>
    <x v="458"/>
    <s v="Sell Fwd"/>
    <s v="GBP"/>
    <n v="-11000"/>
    <s v="PLN"/>
    <n v="53702"/>
    <s v="2026-01-14"/>
    <n v="4.8819999999999997"/>
    <n v="0.20480000000000001"/>
    <n v="4.8643999999999998"/>
    <n v="1"/>
    <n v="193.6"/>
    <s v="POLAND PL"/>
  </r>
  <r>
    <s v="BKMILL"/>
    <n v="156778"/>
    <n v="897950"/>
    <s v="Spot"/>
    <x v="30"/>
    <s v="Sell"/>
    <s v="EUR"/>
    <n v="-100000"/>
    <s v="NOK"/>
    <n v="1173740"/>
    <s v="2026-01-16"/>
    <n v="11.737399999999999"/>
    <n v="8.5199999999999998E-2"/>
    <n v="4.2068000000000003"/>
    <n v="0.35880000000000001"/>
    <n v="457.91199999999998"/>
    <s v="POLAND PL"/>
  </r>
  <r>
    <s v="BKMILL"/>
    <n v="156781"/>
    <n v="897967"/>
    <s v="Spot"/>
    <x v="43"/>
    <s v="Buy"/>
    <s v="EUR"/>
    <n v="100000"/>
    <s v="NOK"/>
    <n v="-1173403"/>
    <s v="2026-01-16"/>
    <n v="11.734"/>
    <n v="8.5199999999999998E-2"/>
    <n v="4.2068000000000003"/>
    <n v="0.35880000000000001"/>
    <n v="-336.99639999999999"/>
    <s v="FRANCE FR"/>
  </r>
  <r>
    <s v="BKMILL"/>
    <n v="156790"/>
    <n v="217076"/>
    <s v="Forward"/>
    <x v="307"/>
    <s v="Sell Fwd"/>
    <s v="EUR"/>
    <n v="-12000"/>
    <s v="PLN"/>
    <n v="50640"/>
    <s v="2026-01-14"/>
    <n v="4.22"/>
    <n v="0.23699999999999999"/>
    <n v="4.2115999999999998"/>
    <n v="1"/>
    <n v="100.8"/>
    <s v="POLAND PL"/>
  </r>
  <r>
    <s v="BKMILL"/>
    <n v="156792"/>
    <n v="897975"/>
    <s v="Spot"/>
    <x v="30"/>
    <s v="Sell"/>
    <s v="EUR"/>
    <n v="-100000"/>
    <s v="NOK"/>
    <n v="1173200"/>
    <s v="2026-01-16"/>
    <n v="11.731999999999999"/>
    <n v="8.5199999999999998E-2"/>
    <n v="4.2068000000000003"/>
    <n v="0.35880000000000001"/>
    <n v="264.16000000000003"/>
    <s v="POLAND PL"/>
  </r>
  <r>
    <s v="BKMILL"/>
    <n v="156793"/>
    <n v="897977"/>
    <s v="Spot"/>
    <x v="30"/>
    <s v="Buy"/>
    <s v="NOK"/>
    <n v="2000000"/>
    <s v="PLN"/>
    <n v="-718600"/>
    <s v="2026-01-16"/>
    <n v="0.35930000000000001"/>
    <n v="2.7831999999999999"/>
    <n v="0.35880000000000001"/>
    <n v="1"/>
    <n v="-1000"/>
    <s v="POLAND PL"/>
  </r>
  <r>
    <s v="BKMILL"/>
    <n v="156795"/>
    <n v="897982"/>
    <s v="Spot"/>
    <x v="43"/>
    <s v="Buy"/>
    <s v="EUR"/>
    <n v="300000"/>
    <s v="NOK"/>
    <n v="-3518100"/>
    <s v="2026-01-16"/>
    <n v="11.727"/>
    <n v="8.5300000000000001E-2"/>
    <n v="4.2068000000000003"/>
    <n v="0.35880000000000001"/>
    <n v="-254.28"/>
    <s v="FRANCE FR"/>
  </r>
  <r>
    <s v="BKMILL"/>
    <n v="156796"/>
    <n v="897984"/>
    <s v="Spot"/>
    <x v="40"/>
    <s v="Sell"/>
    <s v="EUR"/>
    <n v="-500000"/>
    <s v="PLN"/>
    <n v="2108450"/>
    <s v="2026-01-16"/>
    <n v="4.2168999999999999"/>
    <n v="0.23710000000000001"/>
    <n v="4.2068000000000003"/>
    <n v="1"/>
    <n v="5050"/>
    <s v="UNITED STATES OF AMERICA US"/>
  </r>
  <r>
    <s v="BKMILL"/>
    <n v="156799"/>
    <n v="897985"/>
    <s v="Spot"/>
    <x v="47"/>
    <s v="Sell"/>
    <s v="EUR"/>
    <n v="-1000000"/>
    <s v="PLN"/>
    <n v="4215400"/>
    <s v="2026-01-16"/>
    <n v="4.2153999999999998"/>
    <n v="0.23719999999999999"/>
    <n v="4.2068000000000003"/>
    <n v="1"/>
    <n v="8600"/>
    <s v="FRANCE FR"/>
  </r>
  <r>
    <s v="BKMILL"/>
    <n v="156800"/>
    <n v="217078"/>
    <s v="Forward"/>
    <x v="459"/>
    <s v="Buy Fwd"/>
    <s v="EUR"/>
    <n v="1000000"/>
    <s v="PLN"/>
    <n v="4210000"/>
    <s v="2026-01-14"/>
    <n v="4.21"/>
    <n v="0.23749999999999999"/>
    <n v="4.2115999999999998"/>
    <n v="1"/>
    <n v="8421600"/>
    <s v="POLAND PL"/>
  </r>
  <r>
    <s v="BKMILL"/>
    <n v="156802"/>
    <n v="897989"/>
    <s v="Spot"/>
    <x v="40"/>
    <s v="Sell"/>
    <s v="EUR"/>
    <n v="-500000"/>
    <s v="PLN"/>
    <n v="2107600"/>
    <s v="2026-01-16"/>
    <n v="4.2152000000000003"/>
    <n v="0.23719999999999999"/>
    <n v="4.2068000000000003"/>
    <n v="1"/>
    <n v="4200"/>
    <s v="UNITED STATES OF AMERICA US"/>
  </r>
  <r>
    <s v="BKMILL"/>
    <n v="156803"/>
    <n v="217079"/>
    <s v="Forward"/>
    <x v="460"/>
    <s v="Buy Fwd"/>
    <s v="EUR"/>
    <n v="500000"/>
    <s v="PLN"/>
    <n v="2057500"/>
    <s v="2026-01-14"/>
    <n v="4.1150000000000002"/>
    <n v="0.24299999999999999"/>
    <n v="4.2115999999999998"/>
    <n v="1"/>
    <n v="4163300"/>
    <s v="POLAND PL"/>
  </r>
  <r>
    <s v="BKMILL"/>
    <n v="156804"/>
    <n v="898002"/>
    <s v="Spot"/>
    <x v="41"/>
    <s v="Sell"/>
    <s v="EUR"/>
    <n v="-500000"/>
    <s v="PLN"/>
    <n v="2107500"/>
    <s v="2026-01-16"/>
    <n v="4.2149999999999999"/>
    <n v="0.23719999999999999"/>
    <n v="4.2068000000000003"/>
    <n v="1"/>
    <n v="4100"/>
    <s v="GERMANY DE"/>
  </r>
  <r>
    <s v="BKMILL"/>
    <n v="156805"/>
    <n v="217083"/>
    <s v="Forward"/>
    <x v="10"/>
    <s v="Buy Fwd"/>
    <s v="EUR"/>
    <n v="5000"/>
    <s v="PLN"/>
    <n v="21056.5"/>
    <s v="2026-01-14"/>
    <n v="4.2117000000000004"/>
    <n v="0.2374"/>
    <n v="4.2115999999999998"/>
    <n v="1"/>
    <n v="42114.5"/>
    <s v="POLAND PL"/>
  </r>
  <r>
    <s v="BKMILL"/>
    <n v="156806"/>
    <n v="898012"/>
    <s v="Spot"/>
    <x v="461"/>
    <s v="Buy"/>
    <s v="EUR"/>
    <n v="10000"/>
    <s v="PLN"/>
    <n v="-42073"/>
    <s v="2026-01-16"/>
    <n v="4.2073"/>
    <n v="0.23769999999999999"/>
    <n v="4.2068000000000003"/>
    <n v="1"/>
    <n v="-5"/>
    <s v="POLAND PL"/>
  </r>
  <r>
    <s v="BKMILL"/>
    <n v="156807"/>
    <n v="217087"/>
    <s v="Forward"/>
    <x v="10"/>
    <s v="Buy Fwd"/>
    <s v="EUR"/>
    <n v="5000"/>
    <s v="PLN"/>
    <n v="21059.5"/>
    <s v="2026-01-14"/>
    <n v="4.2122999999999999"/>
    <n v="0.2374"/>
    <n v="4.2115999999999998"/>
    <n v="1"/>
    <n v="42117.5"/>
    <s v="POLAND PL"/>
  </r>
  <r>
    <s v="BKMILL"/>
    <n v="156809"/>
    <n v="217089"/>
    <s v="Forward"/>
    <x v="10"/>
    <s v="Buy Fwd"/>
    <s v="EUR"/>
    <n v="2000"/>
    <s v="PLN"/>
    <n v="8423.7999999999993"/>
    <s v="2026-01-14"/>
    <n v="4.2122999999999999"/>
    <n v="0.2374"/>
    <n v="4.2115999999999998"/>
    <n v="1"/>
    <n v="16847"/>
    <s v="POLAND PL"/>
  </r>
  <r>
    <s v="BKMILL"/>
    <n v="156811"/>
    <n v="898038"/>
    <s v="Spot"/>
    <x v="38"/>
    <s v="Sell"/>
    <s v="EUR"/>
    <n v="-1000000"/>
    <s v="PLN"/>
    <n v="4216910"/>
    <s v="2026-01-16"/>
    <n v="4.2168999999999999"/>
    <n v="0.23710000000000001"/>
    <n v="4.2068000000000003"/>
    <n v="1"/>
    <n v="10110"/>
    <s v="NETHERLANDS NL"/>
  </r>
  <r>
    <s v="BKMILL"/>
    <n v="156812"/>
    <n v="898039"/>
    <s v="Spot"/>
    <x v="41"/>
    <s v="Sell"/>
    <s v="EUR"/>
    <n v="-1000000"/>
    <s v="PLN"/>
    <n v="4218000"/>
    <s v="2026-01-16"/>
    <n v="4.218"/>
    <n v="0.23710000000000001"/>
    <n v="4.2068000000000003"/>
    <n v="1"/>
    <n v="11200"/>
    <s v="GERMANY DE"/>
  </r>
  <r>
    <s v="BKMILL"/>
    <n v="156813"/>
    <n v="217093"/>
    <s v="Forward"/>
    <x v="143"/>
    <s v="Buy Fwd"/>
    <s v="EUR"/>
    <n v="30000"/>
    <s v="PLN"/>
    <n v="126450"/>
    <s v="2026-01-14"/>
    <n v="4.2153999999999998"/>
    <n v="0.23719999999999999"/>
    <n v="4.2115999999999998"/>
    <n v="1"/>
    <n v="252798"/>
    <s v="POLAND PL"/>
  </r>
  <r>
    <s v="BKMILL"/>
    <n v="156815"/>
    <n v="898043"/>
    <s v="Spot"/>
    <x v="41"/>
    <s v="Sell"/>
    <s v="EUR"/>
    <n v="-500000"/>
    <s v="PLN"/>
    <n v="2108600"/>
    <s v="2026-01-16"/>
    <n v="4.2172000000000001"/>
    <n v="0.23710000000000001"/>
    <n v="4.2068000000000003"/>
    <n v="1"/>
    <n v="5200"/>
    <s v="GERMANY DE"/>
  </r>
  <r>
    <s v="BKMILL"/>
    <n v="156816"/>
    <n v="898044"/>
    <s v="Spot"/>
    <x v="101"/>
    <s v="Buy"/>
    <s v="EUR"/>
    <n v="25000"/>
    <s v="PLN"/>
    <n v="-105372.5"/>
    <s v="2026-01-16"/>
    <n v="4.2149000000000001"/>
    <n v="0.23730000000000001"/>
    <n v="4.2068000000000003"/>
    <n v="1"/>
    <n v="-202.5"/>
    <s v="POLAND PL"/>
  </r>
  <r>
    <s v="BKMILL"/>
    <n v="156817"/>
    <n v="898045"/>
    <s v="Spot"/>
    <x v="101"/>
    <s v="Buy"/>
    <s v="EUR"/>
    <n v="25000"/>
    <s v="PLN"/>
    <n v="-105387.5"/>
    <s v="2026-01-16"/>
    <n v="4.2154999999999996"/>
    <n v="0.23719999999999999"/>
    <n v="4.2068000000000003"/>
    <n v="1"/>
    <n v="-217.5"/>
    <s v="POLAND PL"/>
  </r>
  <r>
    <s v="BKMILL"/>
    <n v="156818"/>
    <n v="898052"/>
    <s v="Spot"/>
    <x v="101"/>
    <s v="Buy"/>
    <s v="EUR"/>
    <n v="25000"/>
    <s v="PLN"/>
    <n v="-105377.5"/>
    <s v="2026-01-16"/>
    <n v="4.2150999999999996"/>
    <n v="0.23719999999999999"/>
    <n v="4.2068000000000003"/>
    <n v="1"/>
    <n v="-207.5"/>
    <s v="POLAND PL"/>
  </r>
  <r>
    <s v="BKMILL"/>
    <n v="156819"/>
    <n v="217096"/>
    <s v="Forward"/>
    <x v="101"/>
    <s v="Buy Fwd"/>
    <s v="EUR"/>
    <n v="25000"/>
    <s v="PLN"/>
    <n v="105405"/>
    <s v="2026-01-15"/>
    <n v="4.2164000000000001"/>
    <n v="0.23719999999999999"/>
    <n v="4.2110000000000003"/>
    <n v="1"/>
    <n v="210680"/>
    <s v="POLAND PL"/>
  </r>
  <r>
    <s v="BKMILL"/>
    <n v="156820"/>
    <n v="217097"/>
    <s v="Forward"/>
    <x v="101"/>
    <s v="Buy Fwd"/>
    <s v="EUR"/>
    <n v="25000"/>
    <s v="PLN"/>
    <n v="105402.5"/>
    <s v="2026-01-15"/>
    <n v="4.2163000000000004"/>
    <n v="0.23719999999999999"/>
    <n v="4.2110000000000003"/>
    <n v="1"/>
    <n v="210677.5"/>
    <s v="POLAND PL"/>
  </r>
  <r>
    <s v="BKMILL"/>
    <n v="156821"/>
    <n v="898059"/>
    <s v="Spot"/>
    <x v="101"/>
    <s v="Buy"/>
    <s v="EUR"/>
    <n v="25000"/>
    <s v="PLN"/>
    <n v="-105410"/>
    <s v="2026-01-16"/>
    <n v="4.2164000000000001"/>
    <n v="0.23719999999999999"/>
    <n v="4.2068000000000003"/>
    <n v="1"/>
    <n v="-240"/>
    <s v="POLAND PL"/>
  </r>
  <r>
    <s v="BKMILL"/>
    <n v="156822"/>
    <n v="898082"/>
    <s v="Spot"/>
    <x v="39"/>
    <s v="Sell"/>
    <s v="EUR"/>
    <n v="-1000000"/>
    <s v="PLN"/>
    <n v="4218730"/>
    <s v="2026-01-16"/>
    <n v="4.2187000000000001"/>
    <n v="0.23699999999999999"/>
    <n v="4.2068000000000003"/>
    <n v="1"/>
    <n v="11930"/>
    <s v="UNITED KINGDOM GB"/>
  </r>
  <r>
    <s v="BKMILL"/>
    <n v="156823"/>
    <n v="217105"/>
    <s v="Forward"/>
    <x v="348"/>
    <s v="Buy Fwd"/>
    <s v="EUR"/>
    <n v="24500"/>
    <s v="PLN"/>
    <n v="103047"/>
    <s v="2026-01-14"/>
    <n v="4.2065000000000001"/>
    <n v="0.23769999999999999"/>
    <n v="4.2115999999999998"/>
    <n v="1"/>
    <n v="206231.2"/>
    <s v="POLAND PL"/>
  </r>
  <r>
    <s v="BKMILL"/>
    <n v="156825"/>
    <n v="217108"/>
    <s v="Forward"/>
    <x v="229"/>
    <s v="Buy Fwd"/>
    <s v="EUR"/>
    <n v="40000"/>
    <s v="PLN"/>
    <n v="168280"/>
    <s v="2026-01-14"/>
    <n v="4.2069999999999999"/>
    <n v="0.23769999999999999"/>
    <n v="4.2115999999999998"/>
    <n v="1"/>
    <n v="336744"/>
    <s v="POLAND PL"/>
  </r>
  <r>
    <s v="BKMILL"/>
    <n v="156826"/>
    <n v="217109"/>
    <s v="Forward"/>
    <x v="246"/>
    <s v="Buy Fwd"/>
    <s v="EUR"/>
    <n v="25000"/>
    <s v="PLN"/>
    <n v="105125"/>
    <s v="2026-01-14"/>
    <n v="4.2054999999999998"/>
    <n v="0.23780000000000001"/>
    <n v="4.2115999999999998"/>
    <n v="1"/>
    <n v="210415"/>
    <s v="POLAND PL"/>
  </r>
  <r>
    <s v="BKMILL"/>
    <n v="156827"/>
    <n v="898105"/>
    <s v="Spot"/>
    <x v="40"/>
    <s v="Sell"/>
    <s v="EUR"/>
    <n v="-500000"/>
    <s v="PLN"/>
    <n v="2109250"/>
    <s v="2026-01-16"/>
    <n v="4.2184999999999997"/>
    <n v="0.23710000000000001"/>
    <n v="4.2068000000000003"/>
    <n v="1"/>
    <n v="5850"/>
    <s v="UNITED STATES OF AMERICA US"/>
  </r>
  <r>
    <s v="BKMILL"/>
    <n v="156828"/>
    <n v="217112"/>
    <s v="Forward"/>
    <x v="462"/>
    <s v="Buy Fwd"/>
    <s v="EUR"/>
    <n v="10000"/>
    <s v="PLN"/>
    <n v="42165"/>
    <s v="2026-01-14"/>
    <n v="4.2164999999999999"/>
    <n v="0.23719999999999999"/>
    <n v="4.2115999999999998"/>
    <n v="1"/>
    <n v="84281"/>
    <s v="POLAND PL"/>
  </r>
  <r>
    <s v="BKMILL"/>
    <n v="156829"/>
    <n v="898111"/>
    <s v="Spot"/>
    <x v="47"/>
    <s v="Sell"/>
    <s v="EUR"/>
    <n v="-500000"/>
    <s v="PLN"/>
    <n v="2109200"/>
    <s v="2026-01-16"/>
    <n v="4.2183999999999999"/>
    <n v="0.23710000000000001"/>
    <n v="4.2068000000000003"/>
    <n v="1"/>
    <n v="5800"/>
    <s v="FRANCE FR"/>
  </r>
  <r>
    <s v="BKMILL"/>
    <n v="156830"/>
    <n v="217113"/>
    <s v="Forward"/>
    <x v="135"/>
    <s v="Buy Fwd"/>
    <s v="EUR"/>
    <n v="150000"/>
    <s v="PLN"/>
    <n v="632475"/>
    <s v="2026-01-14"/>
    <n v="4.2164999999999999"/>
    <n v="0.23719999999999999"/>
    <n v="4.2115999999999998"/>
    <n v="1"/>
    <n v="1264215"/>
    <s v="POLAND PL"/>
  </r>
  <r>
    <s v="BKMILL"/>
    <n v="156831"/>
    <n v="217114"/>
    <s v="Forward"/>
    <x v="136"/>
    <s v="Buy Fwd"/>
    <s v="EUR"/>
    <n v="200000"/>
    <s v="PLN"/>
    <n v="843300"/>
    <s v="2026-01-14"/>
    <n v="4.2164999999999999"/>
    <n v="0.23719999999999999"/>
    <n v="4.2115999999999998"/>
    <n v="1"/>
    <n v="1685620"/>
    <s v="POLAND PL"/>
  </r>
  <r>
    <s v="BKMILL"/>
    <n v="156833"/>
    <n v="217115"/>
    <s v="Forward"/>
    <x v="325"/>
    <s v="Buy Fwd"/>
    <s v="EUR"/>
    <n v="50000"/>
    <s v="PLN"/>
    <n v="210825"/>
    <s v="2026-01-14"/>
    <n v="4.2164999999999999"/>
    <n v="0.23719999999999999"/>
    <n v="4.2115999999999998"/>
    <n v="1"/>
    <n v="421405"/>
    <s v="POLAND PL"/>
  </r>
  <r>
    <s v="BKMILL"/>
    <n v="156834"/>
    <n v="898130"/>
    <s v="Spot"/>
    <x v="41"/>
    <s v="Sell"/>
    <s v="EUR"/>
    <n v="-1000000"/>
    <s v="PLN"/>
    <n v="4217500"/>
    <s v="2026-01-16"/>
    <n v="4.2175000000000002"/>
    <n v="0.23710000000000001"/>
    <n v="4.2068000000000003"/>
    <n v="1"/>
    <n v="10700"/>
    <s v="GERMANY DE"/>
  </r>
  <r>
    <s v="BKMILL"/>
    <n v="156835"/>
    <n v="898131"/>
    <s v="Spot"/>
    <x v="295"/>
    <s v="Buy"/>
    <s v="EUR"/>
    <n v="689000"/>
    <s v="PLN"/>
    <n v="-2904755.1"/>
    <s v="2026-01-16"/>
    <n v="4.2159000000000004"/>
    <n v="0.23719999999999999"/>
    <n v="4.2068000000000003"/>
    <n v="1"/>
    <n v="-6269.9"/>
    <s v="POLAND PL"/>
  </r>
  <r>
    <s v="BKMILL"/>
    <n v="156836"/>
    <n v="217119"/>
    <s v="Forward"/>
    <x v="116"/>
    <s v="Sell Fwd"/>
    <s v="PLN"/>
    <n v="-3390000"/>
    <s v="EUR"/>
    <n v="805455.24"/>
    <s v="2026-01-14"/>
    <n v="4.2088999999999999"/>
    <n v="0.23760000000000001"/>
    <n v="1"/>
    <n v="4.2115999999999998"/>
    <n v="2255.2887839999999"/>
    <s v="POLAND PL"/>
  </r>
  <r>
    <s v="BKMILL"/>
    <n v="156837"/>
    <n v="898136"/>
    <s v="Spot"/>
    <x v="38"/>
    <s v="Sell"/>
    <s v="EUR"/>
    <n v="-500000"/>
    <s v="PLN"/>
    <n v="2108870"/>
    <s v="2026-01-16"/>
    <n v="4.2176999999999998"/>
    <n v="0.23710000000000001"/>
    <n v="4.2068000000000003"/>
    <n v="1"/>
    <n v="5470"/>
    <s v="NETHERLANDS NL"/>
  </r>
  <r>
    <s v="BKMILL"/>
    <n v="156838"/>
    <n v="898143"/>
    <s v="Spot"/>
    <x v="39"/>
    <s v="Buy"/>
    <s v="EUR"/>
    <n v="1000000"/>
    <s v="PLN"/>
    <n v="-4217760"/>
    <s v="2026-01-16"/>
    <n v="4.2178000000000004"/>
    <n v="0.23710000000000001"/>
    <n v="4.2068000000000003"/>
    <n v="1"/>
    <n v="-10960"/>
    <s v="UNITED KINGDOM GB"/>
  </r>
  <r>
    <s v="BKMILL"/>
    <n v="156839"/>
    <n v="217122"/>
    <s v="Forward"/>
    <x v="272"/>
    <s v="Buy Fwd"/>
    <s v="EUR"/>
    <n v="30000"/>
    <s v="PLN"/>
    <n v="126300"/>
    <s v="2026-01-14"/>
    <n v="4.21"/>
    <n v="0.23749999999999999"/>
    <n v="4.2115999999999998"/>
    <n v="1"/>
    <n v="252648"/>
    <s v="POLAND PL"/>
  </r>
  <r>
    <s v="BKMILL"/>
    <n v="156840"/>
    <n v="217124"/>
    <s v="Forward"/>
    <x v="221"/>
    <s v="Buy Fwd"/>
    <s v="EUR"/>
    <n v="80000"/>
    <s v="PLN"/>
    <n v="336960"/>
    <s v="2026-01-14"/>
    <n v="4.2119999999999997"/>
    <n v="0.2374"/>
    <n v="4.2115999999999998"/>
    <n v="1"/>
    <n v="673888"/>
    <s v="POLAND PL"/>
  </r>
  <r>
    <s v="BKMILL"/>
    <n v="156843"/>
    <n v="898183"/>
    <s v="Spot"/>
    <x v="43"/>
    <s v="Sell"/>
    <s v="EUR"/>
    <n v="-500000"/>
    <s v="PLN"/>
    <n v="2109195"/>
    <s v="2026-01-16"/>
    <n v="4.2183999999999999"/>
    <n v="0.23710000000000001"/>
    <n v="4.2068000000000003"/>
    <n v="1"/>
    <n v="5795"/>
    <s v="FRANCE FR"/>
  </r>
  <r>
    <s v="BKMILL"/>
    <n v="156844"/>
    <n v="217138"/>
    <s v="Forward"/>
    <x v="164"/>
    <s v="Buy Fwd"/>
    <s v="EUR"/>
    <n v="30000"/>
    <s v="PLN"/>
    <n v="126381"/>
    <s v="2026-01-14"/>
    <n v="4.2130999999999998"/>
    <n v="0.2374"/>
    <n v="4.2115999999999998"/>
    <n v="1"/>
    <n v="252729"/>
    <s v="POLAND PL"/>
  </r>
  <r>
    <s v="BKMILL"/>
    <n v="156846"/>
    <n v="217143"/>
    <s v="Forward"/>
    <x v="463"/>
    <s v="Sell Fwd"/>
    <s v="EUR"/>
    <n v="-100000"/>
    <s v="PLN"/>
    <n v="421850"/>
    <s v="2026-01-14"/>
    <n v="4.2184999999999997"/>
    <n v="0.23710000000000001"/>
    <n v="4.2115999999999998"/>
    <n v="1"/>
    <n v="690"/>
    <s v="POLAND PL"/>
  </r>
  <r>
    <s v="BKMILL"/>
    <n v="156847"/>
    <n v="217147"/>
    <s v="Forward"/>
    <x v="463"/>
    <s v="Sell Fwd"/>
    <s v="USD"/>
    <n v="-20000"/>
    <s v="PLN"/>
    <n v="72460"/>
    <s v="2026-01-14"/>
    <n v="3.6230000000000002"/>
    <n v="0.27600000000000002"/>
    <n v="3.6082999999999998"/>
    <n v="1"/>
    <n v="294"/>
    <s v="POLAND PL"/>
  </r>
  <r>
    <s v="BKMILL"/>
    <n v="156848"/>
    <n v="217151"/>
    <s v="Forward"/>
    <x v="81"/>
    <s v="Buy Fwd"/>
    <s v="EUR"/>
    <n v="17000"/>
    <s v="PLN"/>
    <n v="71417"/>
    <s v="2026-01-14"/>
    <n v="4.2009999999999996"/>
    <n v="0.23799999999999999"/>
    <n v="4.2115999999999998"/>
    <n v="1"/>
    <n v="143014.20000000001"/>
    <s v="POLAND PL"/>
  </r>
  <r>
    <s v="BKMILL"/>
    <n v="156849"/>
    <n v="898239"/>
    <s v="Spot"/>
    <x v="41"/>
    <s v="Sell"/>
    <s v="EUR"/>
    <n v="-500000"/>
    <s v="PLN"/>
    <n v="2106350"/>
    <s v="2026-01-16"/>
    <n v="4.2126999999999999"/>
    <n v="0.2374"/>
    <n v="4.2068000000000003"/>
    <n v="1"/>
    <n v="2950"/>
    <s v="GERMANY DE"/>
  </r>
  <r>
    <s v="BKMILL"/>
    <n v="156850"/>
    <n v="217153"/>
    <s v="Forward"/>
    <x v="464"/>
    <s v="Buy Fwd"/>
    <s v="EUR"/>
    <n v="80000"/>
    <s v="PLN"/>
    <n v="336840"/>
    <s v="2026-01-14"/>
    <n v="4.2104999999999997"/>
    <n v="0.23749999999999999"/>
    <n v="4.2115999999999998"/>
    <n v="1"/>
    <n v="673768"/>
    <s v="POLAND PL"/>
  </r>
  <r>
    <s v="BKMILL"/>
    <n v="156851"/>
    <n v="217154"/>
    <s v="Forward"/>
    <x v="127"/>
    <s v="Buy Fwd"/>
    <s v="EUR"/>
    <n v="10000"/>
    <s v="PLN"/>
    <n v="42082"/>
    <s v="2026-01-14"/>
    <n v="4.2085999999999997"/>
    <n v="0.23760000000000001"/>
    <n v="4.2115999999999998"/>
    <n v="1"/>
    <n v="84198"/>
    <s v="POLAND PL"/>
  </r>
  <r>
    <s v="BKMILL"/>
    <n v="156861"/>
    <n v="898343"/>
    <s v="Spot"/>
    <x v="41"/>
    <s v="Sell"/>
    <s v="USD"/>
    <n v="-500000"/>
    <s v="PLN"/>
    <n v="1806450"/>
    <s v="2026-01-16"/>
    <n v="3.6128999999999998"/>
    <n v="0.27679999999999999"/>
    <n v="3.6153"/>
    <n v="1"/>
    <n v="-1200"/>
    <s v="GERMANY DE"/>
  </r>
  <r>
    <s v="BKMILL"/>
    <n v="156862"/>
    <n v="898355"/>
    <s v="Spot"/>
    <x v="50"/>
    <s v="Buy"/>
    <s v="SEK"/>
    <n v="1090000"/>
    <s v="PLN"/>
    <n v="-428479"/>
    <s v="2026-01-16"/>
    <n v="0.3931"/>
    <n v="2.5438999999999998"/>
    <n v="0.39379999999999998"/>
    <n v="1"/>
    <n v="763"/>
    <s v="POLAND PL"/>
  </r>
  <r>
    <s v="BKMILL"/>
    <n v="156863"/>
    <n v="898359"/>
    <s v="Spot"/>
    <x v="50"/>
    <s v="Buy"/>
    <s v="NOK"/>
    <n v="350000"/>
    <s v="PLN"/>
    <n v="-125755"/>
    <s v="2026-01-16"/>
    <n v="0.35930000000000001"/>
    <n v="2.7831999999999999"/>
    <n v="0.35880000000000001"/>
    <n v="1"/>
    <n v="-175"/>
    <s v="POLAND PL"/>
  </r>
  <r>
    <s v="BKMILL"/>
    <n v="156865"/>
    <n v="898370"/>
    <s v="Spot"/>
    <x v="43"/>
    <s v="Buy"/>
    <s v="EUR"/>
    <n v="100000"/>
    <s v="SEK"/>
    <n v="-1071314"/>
    <s v="2026-01-16"/>
    <n v="10.713100000000001"/>
    <n v="9.3299999999999994E-2"/>
    <n v="4.2068000000000003"/>
    <n v="0.39379999999999998"/>
    <n v="-1203.4531999999999"/>
    <s v="FRANCE FR"/>
  </r>
  <r>
    <s v="BKMILL"/>
    <n v="156866"/>
    <n v="898388"/>
    <s v="Spot"/>
    <x v="40"/>
    <s v="Buy"/>
    <s v="EUR"/>
    <n v="500000"/>
    <s v="PLN"/>
    <n v="-2105800"/>
    <s v="2026-01-16"/>
    <n v="4.2115999999999998"/>
    <n v="0.2374"/>
    <n v="4.2068000000000003"/>
    <n v="1"/>
    <n v="-2400"/>
    <s v="UNITED STATES OF AMERICA US"/>
  </r>
  <r>
    <s v="BKMILL"/>
    <n v="156867"/>
    <n v="217179"/>
    <s v="Forward"/>
    <x v="465"/>
    <s v="Sell Fwd"/>
    <s v="EUR"/>
    <n v="-25000"/>
    <s v="PLN"/>
    <n v="105325"/>
    <s v="2026-01-14"/>
    <n v="4.2130000000000001"/>
    <n v="0.2374"/>
    <n v="4.2115999999999998"/>
    <n v="1"/>
    <n v="35"/>
    <s v="POLAND PL"/>
  </r>
  <r>
    <s v="BKMILL"/>
    <n v="156868"/>
    <n v="898411"/>
    <s v="Spot"/>
    <x v="40"/>
    <s v="Buy"/>
    <s v="GBP"/>
    <n v="100000"/>
    <s v="PLN"/>
    <n v="-486250"/>
    <s v="2026-01-16"/>
    <n v="4.8624999999999998"/>
    <n v="0.20569999999999999"/>
    <n v="4.8579999999999997"/>
    <n v="1"/>
    <n v="-450"/>
    <s v="UNITED STATES OF AMERICA US"/>
  </r>
  <r>
    <s v="BKMILL"/>
    <n v="156870"/>
    <n v="217184"/>
    <s v="Forward"/>
    <x v="466"/>
    <s v="Buy Fwd"/>
    <s v="USD"/>
    <n v="20000"/>
    <s v="PLN"/>
    <n v="72000"/>
    <s v="2026-01-14"/>
    <n v="3.6002000000000001"/>
    <n v="0.27779999999999999"/>
    <n v="3.6082999999999998"/>
    <n v="1"/>
    <n v="144166"/>
    <s v="POLAND PL"/>
  </r>
  <r>
    <s v="BKMILL"/>
    <n v="156871"/>
    <n v="898454"/>
    <s v="Spot"/>
    <x v="306"/>
    <s v="Buy"/>
    <s v="GBP"/>
    <n v="11450"/>
    <s v="PLN"/>
    <n v="-55367.62"/>
    <s v="2026-01-16"/>
    <n v="4.8356000000000003"/>
    <n v="0.20680000000000001"/>
    <n v="4.8579999999999997"/>
    <n v="1"/>
    <n v="256.48"/>
    <s v="POLAND PL"/>
  </r>
  <r>
    <s v="BKMILL"/>
    <n v="156872"/>
    <n v="898461"/>
    <s v="Spot"/>
    <x v="44"/>
    <s v="Sell"/>
    <s v="EUR"/>
    <n v="-500000"/>
    <s v="PLN"/>
    <n v="2105100"/>
    <s v="2026-01-16"/>
    <n v="4.2102000000000004"/>
    <n v="0.23749999999999999"/>
    <n v="4.2068000000000003"/>
    <n v="1"/>
    <n v="1700"/>
    <s v="GERMANY DE"/>
  </r>
  <r>
    <s v="BKMILL"/>
    <n v="156873"/>
    <n v="217187"/>
    <s v="Forward"/>
    <x v="315"/>
    <s v="Sell Fwd"/>
    <s v="EUR"/>
    <n v="-100000"/>
    <s v="PLN"/>
    <n v="421100"/>
    <s v="2026-01-14"/>
    <n v="4.2114000000000003"/>
    <n v="0.23749999999999999"/>
    <n v="4.2115999999999998"/>
    <n v="1"/>
    <n v="-60"/>
    <s v="POLAND PL"/>
  </r>
  <r>
    <s v="BKMILL"/>
    <n v="156875"/>
    <n v="217189"/>
    <s v="Forward"/>
    <x v="87"/>
    <s v="Sell Fwd"/>
    <s v="EUR"/>
    <n v="-90000"/>
    <s v="PLN"/>
    <n v="378990"/>
    <s v="2026-01-14"/>
    <n v="4.2110000000000003"/>
    <n v="0.23749999999999999"/>
    <n v="4.2115999999999998"/>
    <n v="1"/>
    <n v="-54"/>
    <s v="POLAND PL"/>
  </r>
  <r>
    <s v="BKMILL"/>
    <n v="156877"/>
    <n v="898474"/>
    <s v="Spot"/>
    <x v="30"/>
    <s v="Sell"/>
    <s v="EUR"/>
    <n v="-100000"/>
    <s v="NOK"/>
    <n v="1171740"/>
    <s v="2026-01-16"/>
    <n v="11.7174"/>
    <n v="8.5300000000000001E-2"/>
    <n v="4.2068000000000003"/>
    <n v="0.35880000000000001"/>
    <n v="-259.68799999999999"/>
    <s v="POLAND PL"/>
  </r>
  <r>
    <s v="BKMILL"/>
    <n v="156879"/>
    <n v="898476"/>
    <s v="Spot"/>
    <x v="43"/>
    <s v="Buy"/>
    <s v="USD"/>
    <n v="200000"/>
    <s v="NOK"/>
    <n v="-2009862"/>
    <s v="2026-01-16"/>
    <n v="10.049300000000001"/>
    <n v="9.9500000000000005E-2"/>
    <n v="3.6153"/>
    <n v="0.35880000000000001"/>
    <n v="1921.5144"/>
    <s v="FRANCE FR"/>
  </r>
  <r>
    <s v="BKMILL"/>
    <n v="156880"/>
    <n v="217192"/>
    <s v="Forward"/>
    <x v="129"/>
    <s v="Buy Fwd"/>
    <s v="EUR"/>
    <n v="105344"/>
    <s v="USD"/>
    <n v="122641.48"/>
    <s v="2026-01-14"/>
    <n v="1.1644000000000001"/>
    <n v="0.85880000000000001"/>
    <n v="4.2115999999999998"/>
    <n v="3.6082999999999998"/>
    <n v="886194.04268399999"/>
    <s v="POLAND PL"/>
  </r>
  <r>
    <s v="BKMILL"/>
    <n v="156882"/>
    <n v="217195"/>
    <s v="Forward"/>
    <x v="91"/>
    <s v="Buy Fwd"/>
    <s v="USD"/>
    <n v="350000"/>
    <s v="PLN"/>
    <n v="1264270"/>
    <s v="2026-01-30"/>
    <n v="3.6122000000000001"/>
    <n v="0.27679999999999999"/>
    <n v="3.5188999999999999"/>
    <n v="1"/>
    <n v="2495885"/>
    <s v="POLAND PL"/>
  </r>
  <r>
    <s v="BKMILL"/>
    <n v="156884"/>
    <n v="898513"/>
    <s v="Spot"/>
    <x v="41"/>
    <s v="Sell"/>
    <s v="EUR"/>
    <n v="-1000000"/>
    <s v="PLN"/>
    <n v="4209900"/>
    <s v="2026-01-16"/>
    <n v="4.2099000000000002"/>
    <n v="0.23749999999999999"/>
    <n v="4.2068000000000003"/>
    <n v="1"/>
    <n v="3100"/>
    <s v="GERMANY DE"/>
  </r>
  <r>
    <s v="BKMILL"/>
    <n v="156885"/>
    <n v="898514"/>
    <s v="Spot"/>
    <x v="40"/>
    <s v="Sell"/>
    <s v="EUR"/>
    <n v="-500000"/>
    <s v="PLN"/>
    <n v="2104850"/>
    <s v="2026-01-16"/>
    <n v="4.2096999999999998"/>
    <n v="0.23749999999999999"/>
    <n v="4.2068000000000003"/>
    <n v="1"/>
    <n v="1450"/>
    <s v="UNITED STATES OF AMERICA US"/>
  </r>
  <r>
    <s v="BKMILL"/>
    <n v="156886"/>
    <n v="217196"/>
    <s v="Forward"/>
    <x v="91"/>
    <s v="Buy Fwd"/>
    <s v="CNY"/>
    <n v="11000000"/>
    <s v="PLN"/>
    <n v="5700200"/>
    <s v="2026-01-30"/>
    <n v="0.51800000000000002"/>
    <n v="1.9305000000000001"/>
    <n v="0.50660000000000005"/>
    <n v="1"/>
    <n v="11272800"/>
    <s v="POLAND PL"/>
  </r>
  <r>
    <s v="BKMILL"/>
    <n v="156887"/>
    <n v="898516"/>
    <s v="Spot"/>
    <x v="40"/>
    <s v="Buy"/>
    <s v="EUR"/>
    <n v="1300000"/>
    <s v="CNY"/>
    <n v="-10558743"/>
    <s v="2026-01-16"/>
    <n v="8.1220999999999997"/>
    <n v="0.1231"/>
    <n v="4.2068000000000003"/>
    <n v="0.51880000000000004"/>
    <n v="-9035.8683999999994"/>
    <s v="UNITED STATES OF AMERICA US"/>
  </r>
  <r>
    <s v="BKMILL"/>
    <n v="156889"/>
    <n v="898525"/>
    <s v="Spot"/>
    <x v="41"/>
    <s v="Sell"/>
    <s v="USD"/>
    <n v="-500000"/>
    <s v="PLN"/>
    <n v="1805750"/>
    <s v="2026-01-16"/>
    <n v="3.6114999999999999"/>
    <n v="0.27689999999999998"/>
    <n v="3.6153"/>
    <n v="1"/>
    <n v="-1900"/>
    <s v="GERMANY DE"/>
  </r>
  <r>
    <s v="BKMILL"/>
    <n v="156892"/>
    <n v="898526"/>
    <s v="Spot"/>
    <x v="47"/>
    <s v="Buy"/>
    <s v="EUR"/>
    <n v="500000"/>
    <s v="PLN"/>
    <n v="-2104915"/>
    <s v="2026-01-16"/>
    <n v="4.2098000000000004"/>
    <n v="0.23749999999999999"/>
    <n v="4.2068000000000003"/>
    <n v="1"/>
    <n v="-1515"/>
    <s v="FRANCE FR"/>
  </r>
  <r>
    <s v="BKMILL"/>
    <n v="156893"/>
    <n v="898543"/>
    <s v="Spot"/>
    <x v="41"/>
    <s v="Buy"/>
    <s v="USD"/>
    <n v="9283.2900000000009"/>
    <s v="PLN"/>
    <n v="-33555.379999999997"/>
    <s v="2026-01-16"/>
    <n v="3.6145999999999998"/>
    <n v="0.2767"/>
    <n v="3.6153"/>
    <n v="1"/>
    <n v="6.4983370000000003"/>
    <s v="GERMANY DE"/>
  </r>
  <r>
    <s v="BKMILL"/>
    <n v="156894"/>
    <n v="898544"/>
    <s v="Spot"/>
    <x v="36"/>
    <s v="Sell"/>
    <s v="EUR"/>
    <n v="-75504.31"/>
    <s v="PLN"/>
    <n v="318036.99"/>
    <s v="2026-01-16"/>
    <n v="4.2122000000000002"/>
    <n v="0.2374"/>
    <n v="4.2068000000000003"/>
    <n v="1"/>
    <n v="405.45869199999999"/>
    <s v="UNITED KINGDOM GB"/>
  </r>
  <r>
    <s v="BKMILL"/>
    <n v="156895"/>
    <n v="898545"/>
    <s v="Spot"/>
    <x v="41"/>
    <s v="Buy"/>
    <s v="CHF"/>
    <n v="5901.58"/>
    <s v="PLN"/>
    <n v="-26707.01"/>
    <s v="2026-01-16"/>
    <n v="4.5254000000000003"/>
    <n v="0.221"/>
    <n v="4.5164"/>
    <n v="1"/>
    <n v="-53.114088000000002"/>
    <s v="GERMANY DE"/>
  </r>
  <r>
    <s v="BKMILL"/>
    <n v="156896"/>
    <n v="898546"/>
    <s v="Spot"/>
    <x v="36"/>
    <s v="Sell"/>
    <s v="GBP"/>
    <n v="-969.74"/>
    <s v="PLN"/>
    <n v="4711.6000000000004"/>
    <s v="2026-01-16"/>
    <n v="4.8586"/>
    <n v="0.20580000000000001"/>
    <n v="4.8579999999999997"/>
    <n v="1"/>
    <n v="0.60307999999999995"/>
    <s v="UNITED KINGDOM GB"/>
  </r>
  <r>
    <s v="BKMILL"/>
    <n v="156897"/>
    <n v="898551"/>
    <s v="Spot"/>
    <x v="40"/>
    <s v="Sell"/>
    <s v="EUR"/>
    <n v="-100949.81"/>
    <s v="PLN"/>
    <n v="425405.53"/>
    <s v="2026-01-16"/>
    <n v="4.2140000000000004"/>
    <n v="0.23730000000000001"/>
    <n v="4.2068000000000003"/>
    <n v="1"/>
    <n v="729.86929199999997"/>
    <s v="UNITED STATES OF AMERICA US"/>
  </r>
  <r>
    <s v="BKMILL"/>
    <n v="156898"/>
    <n v="898553"/>
    <s v="Spot"/>
    <x v="40"/>
    <s v="Sell"/>
    <s v="EUR"/>
    <n v="-108397.66"/>
    <s v="PLN"/>
    <n v="456645.74"/>
    <s v="2026-01-16"/>
    <n v="4.2126999999999999"/>
    <n v="0.2374"/>
    <n v="4.2068000000000003"/>
    <n v="1"/>
    <n v="638.46391200000005"/>
    <s v="UNITED STATES OF AMERICA US"/>
  </r>
  <r>
    <s v="BKMILL"/>
    <n v="156899"/>
    <n v="217200"/>
    <s v="Forward"/>
    <x v="40"/>
    <s v="Sell Fwd"/>
    <s v="EUR"/>
    <n v="-2260"/>
    <s v="PLN"/>
    <n v="9518.76"/>
    <s v="2026-01-15"/>
    <n v="4.2121000000000004"/>
    <n v="0.2374"/>
    <n v="4.2110000000000003"/>
    <n v="1"/>
    <n v="1.9"/>
    <s v="UNITED STATES OF AMERICA US"/>
  </r>
  <r>
    <s v="BKMILL"/>
    <n v="156900"/>
    <n v="217201"/>
    <s v="Forward"/>
    <x v="467"/>
    <s v="Buy Fwd"/>
    <s v="EUR"/>
    <n v="2260"/>
    <s v="PLN"/>
    <n v="9462.17"/>
    <s v="2026-01-15"/>
    <n v="4.1870000000000003"/>
    <n v="0.23880000000000001"/>
    <n v="4.2110000000000003"/>
    <n v="1"/>
    <n v="18979.03"/>
    <s v="POLAND PL"/>
  </r>
  <r>
    <s v="BKMILL"/>
    <n v="156901"/>
    <n v="898559"/>
    <s v="Spot"/>
    <x v="41"/>
    <s v="Sell"/>
    <s v="USD"/>
    <n v="-62778.83"/>
    <s v="PLN"/>
    <n v="227196.59"/>
    <s v="2026-01-16"/>
    <n v="3.6190000000000002"/>
    <n v="0.27629999999999999"/>
    <n v="3.6153"/>
    <n v="1"/>
    <n v="232.285901"/>
    <s v="GERMANY DE"/>
  </r>
  <r>
    <s v="BKMILL"/>
    <n v="156902"/>
    <n v="898560"/>
    <s v="Spot"/>
    <x v="40"/>
    <s v="Sell"/>
    <s v="CHF"/>
    <n v="-42194.03"/>
    <s v="PLN"/>
    <n v="190787.48"/>
    <s v="2026-01-16"/>
    <n v="4.5217000000000001"/>
    <n v="0.22120000000000001"/>
    <n v="4.5164"/>
    <n v="1"/>
    <n v="222.362908"/>
    <s v="UNITED STATES OF AMERICA US"/>
  </r>
  <r>
    <s v="BKMILL"/>
    <n v="156903"/>
    <n v="898561"/>
    <s v="Spot"/>
    <x v="40"/>
    <s v="Sell"/>
    <s v="EUR"/>
    <n v="-67778.570000000007"/>
    <s v="PLN"/>
    <n v="285448.77"/>
    <s v="2026-01-16"/>
    <n v="4.2115"/>
    <n v="0.2374"/>
    <n v="4.2068000000000003"/>
    <n v="1"/>
    <n v="317.88172400000002"/>
    <s v="UNITED STATES OF AMERICA US"/>
  </r>
  <r>
    <s v="BKMILL"/>
    <n v="156904"/>
    <n v="898565"/>
    <s v="Spot"/>
    <x v="41"/>
    <s v="Sell"/>
    <s v="EUR"/>
    <n v="-10645.26"/>
    <s v="PLN"/>
    <n v="44809.09"/>
    <s v="2026-01-20"/>
    <n v="4.2092999999999998"/>
    <n v="0.23760000000000001"/>
    <n v="4.2230999999999996"/>
    <n v="1"/>
    <n v="-146.90750600000001"/>
    <s v="GERMANY DE"/>
  </r>
  <r>
    <s v="BKMILL"/>
    <n v="156905"/>
    <n v="898566"/>
    <s v="Spot"/>
    <x v="36"/>
    <s v="Buy"/>
    <s v="CHF"/>
    <n v="5881.81"/>
    <s v="PLN"/>
    <n v="-26629.599999999999"/>
    <s v="2026-01-20"/>
    <n v="4.5274000000000001"/>
    <n v="0.22090000000000001"/>
    <n v="4.5476000000000001"/>
    <n v="1"/>
    <n v="118.519156"/>
    <s v="UNITED KINGDOM GB"/>
  </r>
  <r>
    <s v="BKMILL"/>
    <n v="156906"/>
    <n v="898567"/>
    <s v="Spot"/>
    <x v="41"/>
    <s v="Buy"/>
    <s v="USD"/>
    <n v="16185.07"/>
    <s v="PLN"/>
    <n v="-58559.199999999997"/>
    <s v="2026-01-20"/>
    <n v="3.6181000000000001"/>
    <n v="0.27639999999999998"/>
    <n v="3.6345999999999998"/>
    <n v="1"/>
    <n v="267.05542200000002"/>
    <s v="GERMANY DE"/>
  </r>
  <r>
    <s v="BKMILL"/>
    <n v="156907"/>
    <n v="898568"/>
    <s v="Spot"/>
    <x v="42"/>
    <s v="Buy"/>
    <s v="GBP"/>
    <n v="31533.63"/>
    <s v="PLN"/>
    <n v="-153449.9"/>
    <s v="2026-01-20"/>
    <n v="4.8662000000000001"/>
    <n v="0.20549999999999999"/>
    <n v="4.8704000000000001"/>
    <n v="1"/>
    <n v="131.49155200000001"/>
    <s v="SWITZERLAND CH"/>
  </r>
  <r>
    <s v="BKMILL"/>
    <n v="156908"/>
    <n v="217202"/>
    <s v="Forward"/>
    <x v="42"/>
    <s v="Buy Fwd"/>
    <s v="USD"/>
    <n v="15000"/>
    <s v="PLN"/>
    <n v="54252.18"/>
    <s v="2026-01-15"/>
    <n v="3.6166999999999998"/>
    <n v="0.27650000000000002"/>
    <n v="3.6139999999999999"/>
    <n v="1"/>
    <n v="108462.18"/>
    <s v="SWITZERLAND CH"/>
  </r>
  <r>
    <s v="BKMILL"/>
    <n v="156909"/>
    <n v="217203"/>
    <s v="Forward"/>
    <x v="42"/>
    <s v="Buy Fwd"/>
    <s v="USD"/>
    <n v="15000"/>
    <s v="PLN"/>
    <n v="54252.03"/>
    <s v="2026-01-15"/>
    <n v="3.6166999999999998"/>
    <n v="0.27650000000000002"/>
    <n v="3.6139999999999999"/>
    <n v="1"/>
    <n v="108462.03"/>
    <s v="SWITZERLAND CH"/>
  </r>
  <r>
    <s v="BKMILL"/>
    <n v="156910"/>
    <n v="898575"/>
    <s v="Spot"/>
    <x v="41"/>
    <s v="Sell"/>
    <s v="GBP"/>
    <n v="-10455.209999999999"/>
    <s v="PLN"/>
    <n v="50801.87"/>
    <s v="2026-01-20"/>
    <n v="4.859"/>
    <n v="0.20580000000000001"/>
    <n v="4.8704000000000001"/>
    <n v="1"/>
    <n v="-119.18478399999999"/>
    <s v="GERMANY DE"/>
  </r>
  <r>
    <s v="BKMILL"/>
    <n v="156911"/>
    <n v="898576"/>
    <s v="Spot"/>
    <x v="43"/>
    <s v="Sell"/>
    <s v="EUR"/>
    <n v="-43619.63"/>
    <s v="PLN"/>
    <n v="183704.07"/>
    <s v="2026-01-20"/>
    <n v="4.2115"/>
    <n v="0.2374"/>
    <n v="4.2230999999999996"/>
    <n v="1"/>
    <n v="-505.98945300000003"/>
    <s v="FRANCE FR"/>
  </r>
  <r>
    <s v="BKMILL"/>
    <n v="156912"/>
    <n v="898577"/>
    <s v="Spot"/>
    <x v="43"/>
    <s v="Sell"/>
    <s v="USD"/>
    <n v="-46123.24"/>
    <s v="PLN"/>
    <n v="166965.21"/>
    <s v="2026-01-20"/>
    <n v="3.62"/>
    <n v="0.2762"/>
    <n v="3.6345999999999998"/>
    <n v="1"/>
    <n v="-674.31810399999995"/>
    <s v="FRANCE FR"/>
  </r>
  <r>
    <s v="BKMILL"/>
    <n v="156913"/>
    <n v="898578"/>
    <s v="Spot"/>
    <x v="43"/>
    <s v="Sell"/>
    <s v="CHF"/>
    <n v="-437.61"/>
    <s v="PLN"/>
    <n v="1977.17"/>
    <s v="2026-01-20"/>
    <n v="4.5180999999999996"/>
    <n v="0.2213"/>
    <n v="4.5476000000000001"/>
    <n v="1"/>
    <n v="-12.905236"/>
    <s v="FRANCE FR"/>
  </r>
  <r>
    <s v="BKMILL"/>
    <n v="156914"/>
    <n v="898583"/>
    <s v="Spot"/>
    <x v="43"/>
    <s v="Sell"/>
    <s v="EUR"/>
    <n v="-106498.27"/>
    <s v="PLN"/>
    <n v="448505.75"/>
    <s v="2026-01-20"/>
    <n v="4.2114000000000003"/>
    <n v="0.23749999999999999"/>
    <n v="4.2230999999999996"/>
    <n v="1"/>
    <n v="-1247.0940370000001"/>
    <s v="FRANCE FR"/>
  </r>
  <r>
    <s v="BKMILL"/>
    <n v="156915"/>
    <n v="217204"/>
    <s v="Forward"/>
    <x v="55"/>
    <s v="Sell Fwd"/>
    <s v="EUR"/>
    <n v="-3200"/>
    <s v="PLN"/>
    <n v="13471.05"/>
    <s v="2026-01-15"/>
    <n v="4.2108999999999996"/>
    <n v="0.23749999999999999"/>
    <n v="4.2110000000000003"/>
    <n v="1"/>
    <n v="-4.1500000000000004"/>
    <s v="SPAIN ES"/>
  </r>
  <r>
    <s v="BKMILL"/>
    <n v="156916"/>
    <n v="217205"/>
    <s v="Forward"/>
    <x v="55"/>
    <s v="Sell Fwd"/>
    <s v="EUR"/>
    <n v="-10000"/>
    <s v="PLN"/>
    <n v="42104.92"/>
    <s v="2026-01-15"/>
    <n v="4.2117000000000004"/>
    <n v="0.2374"/>
    <n v="4.2110000000000003"/>
    <n v="1"/>
    <n v="-5.08"/>
    <s v="SPAIN ES"/>
  </r>
  <r>
    <s v="BKMILL"/>
    <n v="156917"/>
    <n v="217206"/>
    <s v="Forward"/>
    <x v="55"/>
    <s v="Sell Fwd"/>
    <s v="EUR"/>
    <n v="-25000"/>
    <s v="PLN"/>
    <n v="105229.8"/>
    <s v="2026-01-15"/>
    <n v="4.2103999999999999"/>
    <n v="0.23749999999999999"/>
    <n v="4.2110000000000003"/>
    <n v="1"/>
    <n v="-45.2"/>
    <s v="SPAIN ES"/>
  </r>
  <r>
    <s v="BKMILL"/>
    <n v="156918"/>
    <n v="217207"/>
    <s v="Forward"/>
    <x v="41"/>
    <s v="Buy Fwd"/>
    <s v="GBP"/>
    <n v="3500"/>
    <s v="PLN"/>
    <n v="17015.330000000002"/>
    <s v="2026-01-15"/>
    <n v="4.8613999999999997"/>
    <n v="0.20569999999999999"/>
    <n v="4.8631000000000002"/>
    <n v="1"/>
    <n v="34036.18"/>
    <s v="GERMANY DE"/>
  </r>
  <r>
    <s v="BKMILL"/>
    <n v="156919"/>
    <n v="217208"/>
    <s v="Forward"/>
    <x v="41"/>
    <s v="Buy Fwd"/>
    <s v="EUR"/>
    <n v="9500"/>
    <s v="PLN"/>
    <n v="39999.96"/>
    <s v="2026-01-15"/>
    <n v="4.2114000000000003"/>
    <n v="0.23749999999999999"/>
    <n v="4.2110000000000003"/>
    <n v="1"/>
    <n v="80004.460000000006"/>
    <s v="GERMANY DE"/>
  </r>
  <r>
    <s v="BKMILL"/>
    <n v="156920"/>
    <n v="217209"/>
    <s v="Forward"/>
    <x v="41"/>
    <s v="Sell Fwd"/>
    <s v="EUR"/>
    <n v="-3285"/>
    <s v="PLN"/>
    <n v="13825.05"/>
    <s v="2026-01-15"/>
    <n v="4.2098000000000004"/>
    <n v="0.23749999999999999"/>
    <n v="4.2110000000000003"/>
    <n v="1"/>
    <n v="-8.0850000000000009"/>
    <s v="GERMANY DE"/>
  </r>
  <r>
    <s v="BKMILL"/>
    <n v="156921"/>
    <n v="217210"/>
    <s v="Forward"/>
    <x v="41"/>
    <s v="Sell Fwd"/>
    <s v="EUR"/>
    <n v="-4000"/>
    <s v="PLN"/>
    <n v="16834.560000000001"/>
    <s v="2026-01-15"/>
    <n v="4.2099000000000002"/>
    <n v="0.23749999999999999"/>
    <n v="4.2110000000000003"/>
    <n v="1"/>
    <n v="-9.44"/>
    <s v="GERMANY DE"/>
  </r>
  <r>
    <s v="BKMILL"/>
    <n v="156922"/>
    <n v="898612"/>
    <s v="Spot"/>
    <x v="41"/>
    <s v="Buy"/>
    <s v="USD"/>
    <n v="500000"/>
    <s v="PLN"/>
    <n v="-1809850"/>
    <s v="2026-01-20"/>
    <n v="3.6196999999999999"/>
    <n v="0.27629999999999999"/>
    <n v="3.6345999999999998"/>
    <n v="1"/>
    <n v="7450"/>
    <s v="GERMANY DE"/>
  </r>
  <r>
    <s v="BKMILL"/>
    <n v="156923"/>
    <n v="898617"/>
    <s v="Spot"/>
    <x v="41"/>
    <s v="Buy"/>
    <s v="USD"/>
    <n v="500000"/>
    <s v="PLN"/>
    <n v="-1809800"/>
    <s v="2026-01-20"/>
    <n v="3.6196000000000002"/>
    <n v="0.27629999999999999"/>
    <n v="3.6345999999999998"/>
    <n v="1"/>
    <n v="7500"/>
    <s v="GERMANY DE"/>
  </r>
  <r>
    <s v="BKMILL"/>
    <n v="156924"/>
    <n v="898618"/>
    <s v="Spot"/>
    <x v="40"/>
    <s v="Buy"/>
    <s v="USD"/>
    <n v="500000"/>
    <s v="PLN"/>
    <n v="-1809750"/>
    <s v="2026-01-20"/>
    <n v="3.6194999999999999"/>
    <n v="0.27629999999999999"/>
    <n v="3.6345999999999998"/>
    <n v="1"/>
    <n v="7550"/>
    <s v="UNITED STATES OF AMERICA US"/>
  </r>
  <r>
    <s v="BKMILL"/>
    <n v="156925"/>
    <n v="217211"/>
    <s v="Forward"/>
    <x v="42"/>
    <s v="Sell Fwd"/>
    <s v="EUR"/>
    <n v="-1500"/>
    <s v="PLN"/>
    <n v="6312.96"/>
    <s v="2026-01-15"/>
    <n v="4.2098000000000004"/>
    <n v="0.23749999999999999"/>
    <n v="4.2110000000000003"/>
    <n v="1"/>
    <n v="-3.54"/>
    <s v="SWITZERLAND CH"/>
  </r>
  <r>
    <s v="BKMILL"/>
    <n v="156926"/>
    <n v="217212"/>
    <s v="Forward"/>
    <x v="42"/>
    <s v="Sell Fwd"/>
    <s v="EUR"/>
    <n v="-100000"/>
    <s v="PLN"/>
    <n v="420864.3"/>
    <s v="2026-01-15"/>
    <n v="4.2098000000000004"/>
    <n v="0.23749999999999999"/>
    <n v="4.2110000000000003"/>
    <n v="1"/>
    <n v="-235.7"/>
    <s v="SWITZERLAND CH"/>
  </r>
  <r>
    <s v="BKMILL"/>
    <n v="156927"/>
    <n v="898627"/>
    <s v="Spot"/>
    <x v="38"/>
    <s v="Buy"/>
    <s v="USD"/>
    <n v="500000"/>
    <s v="PLN"/>
    <n v="-1809835"/>
    <s v="2026-01-20"/>
    <n v="3.6196999999999999"/>
    <n v="0.27629999999999999"/>
    <n v="3.6345999999999998"/>
    <n v="1"/>
    <n v="7465"/>
    <s v="NETHERLANDS NL"/>
  </r>
  <r>
    <s v="BKMILL"/>
    <n v="156928"/>
    <n v="898628"/>
    <s v="Spot"/>
    <x v="43"/>
    <s v="Buy"/>
    <s v="USD"/>
    <n v="3891.26"/>
    <s v="PLN"/>
    <n v="-14083.6"/>
    <s v="2026-01-20"/>
    <n v="3.6193"/>
    <n v="0.27629999999999999"/>
    <n v="3.6345999999999998"/>
    <n v="1"/>
    <n v="59.573596000000002"/>
    <s v="FRANCE FR"/>
  </r>
  <r>
    <s v="BKMILL"/>
    <n v="156929"/>
    <n v="898629"/>
    <s v="Spot"/>
    <x v="41"/>
    <s v="Sell"/>
    <s v="GBP"/>
    <n v="-6793.87"/>
    <s v="PLN"/>
    <n v="33030.44"/>
    <s v="2026-01-20"/>
    <n v="4.8617999999999997"/>
    <n v="0.20569999999999999"/>
    <n v="4.8704000000000001"/>
    <n v="1"/>
    <n v="-58.424447999999998"/>
    <s v="GERMANY DE"/>
  </r>
  <r>
    <s v="BKMILL"/>
    <n v="156930"/>
    <n v="898630"/>
    <s v="Spot"/>
    <x v="41"/>
    <s v="Sell"/>
    <s v="CHF"/>
    <n v="-2164"/>
    <s v="PLN"/>
    <n v="9773.92"/>
    <s v="2026-01-20"/>
    <n v="4.5166000000000004"/>
    <n v="0.22140000000000001"/>
    <n v="4.5476000000000001"/>
    <n v="1"/>
    <n v="-67.086399999999998"/>
    <s v="GERMANY DE"/>
  </r>
  <r>
    <s v="BKMILL"/>
    <n v="156931"/>
    <n v="898631"/>
    <s v="Spot"/>
    <x v="41"/>
    <s v="Sell"/>
    <s v="EUR"/>
    <n v="-9287.68"/>
    <s v="PLN"/>
    <n v="39094.629999999997"/>
    <s v="2026-01-20"/>
    <n v="4.2092999999999998"/>
    <n v="0.23760000000000001"/>
    <n v="4.2230999999999996"/>
    <n v="1"/>
    <n v="-128.17140800000001"/>
    <s v="GERMANY DE"/>
  </r>
  <r>
    <s v="BKMILL"/>
    <n v="156932"/>
    <n v="217215"/>
    <s v="Forward"/>
    <x v="36"/>
    <s v="Buy Fwd"/>
    <s v="EUR"/>
    <n v="2409"/>
    <s v="PLN"/>
    <n v="10139.19"/>
    <s v="2026-01-15"/>
    <n v="4.2099000000000002"/>
    <n v="0.23749999999999999"/>
    <n v="4.2110000000000003"/>
    <n v="1"/>
    <n v="20283.489000000001"/>
    <s v="UNITED KINGDOM GB"/>
  </r>
  <r>
    <s v="BKMILL"/>
    <n v="156933"/>
    <n v="217216"/>
    <s v="Forward"/>
    <x v="36"/>
    <s v="Buy Fwd"/>
    <s v="EUR"/>
    <n v="39008.6"/>
    <s v="PLN"/>
    <n v="164184.70000000001"/>
    <s v="2026-01-15"/>
    <n v="4.2099000000000002"/>
    <n v="0.23749999999999999"/>
    <n v="4.2110000000000003"/>
    <n v="1"/>
    <n v="328449.91460000002"/>
    <s v="UNITED KINGDOM GB"/>
  </r>
  <r>
    <s v="BKMILL"/>
    <n v="156934"/>
    <n v="217217"/>
    <s v="Forward"/>
    <x v="36"/>
    <s v="Buy Fwd"/>
    <s v="EUR"/>
    <n v="31885"/>
    <s v="PLN"/>
    <n v="134200.97"/>
    <s v="2026-01-15"/>
    <n v="4.2099000000000002"/>
    <n v="0.23749999999999999"/>
    <n v="4.2110000000000003"/>
    <n v="1"/>
    <n v="268468.70500000002"/>
    <s v="UNITED KINGDOM GB"/>
  </r>
  <r>
    <s v="BKMILL"/>
    <n v="156935"/>
    <n v="217218"/>
    <s v="Forward"/>
    <x v="36"/>
    <s v="Sell Fwd"/>
    <s v="EUR"/>
    <n v="-4500"/>
    <s v="PLN"/>
    <n v="18937"/>
    <s v="2026-01-15"/>
    <n v="4.2093999999999996"/>
    <n v="0.23760000000000001"/>
    <n v="4.2110000000000003"/>
    <n v="1"/>
    <n v="-12.5"/>
    <s v="UNITED KINGDOM GB"/>
  </r>
  <r>
    <s v="BKMILL"/>
    <n v="156936"/>
    <n v="217219"/>
    <s v="Forward"/>
    <x v="36"/>
    <s v="Sell Fwd"/>
    <s v="EUR"/>
    <n v="-23124.17"/>
    <s v="PLN"/>
    <n v="97309.35"/>
    <s v="2026-01-15"/>
    <n v="4.2092999999999998"/>
    <n v="0.23760000000000001"/>
    <n v="4.2110000000000003"/>
    <n v="1"/>
    <n v="-66.529870000000003"/>
    <s v="UNITED KINGDOM GB"/>
  </r>
  <r>
    <s v="BKMILL"/>
    <n v="156937"/>
    <n v="898641"/>
    <s v="Spot"/>
    <x v="47"/>
    <s v="Buy"/>
    <s v="USD"/>
    <n v="500000"/>
    <s v="PLN"/>
    <n v="-1809980"/>
    <s v="2026-01-20"/>
    <n v="3.62"/>
    <n v="0.2762"/>
    <n v="3.6345999999999998"/>
    <n v="1"/>
    <n v="7320"/>
    <s v="FRANCE FR"/>
  </r>
  <r>
    <s v="BKMILL"/>
    <n v="156938"/>
    <n v="217220"/>
    <s v="Forward"/>
    <x v="300"/>
    <s v="Buy Fwd"/>
    <s v="EUR"/>
    <n v="18000"/>
    <s v="PLN"/>
    <n v="74340"/>
    <s v="2026-01-15"/>
    <n v="4.13"/>
    <n v="0.24210000000000001"/>
    <n v="4.2110000000000003"/>
    <n v="1"/>
    <n v="150138"/>
    <s v="POLAND PL"/>
  </r>
  <r>
    <s v="BKMILL"/>
    <n v="156939"/>
    <n v="217221"/>
    <s v="Forward"/>
    <x v="468"/>
    <s v="Buy Fwd"/>
    <s v="EUR"/>
    <n v="70000"/>
    <s v="PLN"/>
    <n v="291900"/>
    <s v="2026-01-15"/>
    <n v="4.17"/>
    <n v="0.23980000000000001"/>
    <n v="4.2110000000000003"/>
    <n v="1"/>
    <n v="586670"/>
    <s v="POLAND PL"/>
  </r>
  <r>
    <s v="BKMILL"/>
    <n v="156940"/>
    <n v="217222"/>
    <s v="Forward"/>
    <x v="468"/>
    <s v="Buy Fwd"/>
    <s v="USD"/>
    <n v="15000"/>
    <s v="PLN"/>
    <n v="53775"/>
    <s v="2026-01-15"/>
    <n v="3.585"/>
    <n v="0.27889999999999998"/>
    <n v="3.6139999999999999"/>
    <n v="1"/>
    <n v="107985"/>
    <s v="POLAND PL"/>
  </r>
  <r>
    <s v="BKMILL"/>
    <n v="156941"/>
    <n v="217223"/>
    <s v="Forward"/>
    <x v="61"/>
    <s v="Sell Fwd"/>
    <s v="EUR"/>
    <n v="-200000"/>
    <s v="USD"/>
    <n v="232620"/>
    <s v="2026-01-15"/>
    <n v="1.1631"/>
    <n v="0.85980000000000001"/>
    <n v="4.2110000000000003"/>
    <n v="3.6139999999999999"/>
    <n v="-1511.32"/>
    <s v="POLAND PL"/>
  </r>
  <r>
    <s v="BKMILL"/>
    <n v="157550"/>
    <n v="901970"/>
    <s v="Spot"/>
    <x v="41"/>
    <s v="Sell"/>
    <s v="USD"/>
    <n v="-500000"/>
    <s v="PLN"/>
    <n v="1819250"/>
    <s v="2026-01-21"/>
    <n v="3.6385000000000001"/>
    <n v="0.27479999999999999"/>
    <n v="3.6053999999999999"/>
    <n v="1"/>
    <n v="16550"/>
    <s v="GERMANY DE"/>
  </r>
  <r>
    <s v="BKMILL"/>
    <n v="157551"/>
    <n v="901971"/>
    <s v="Spot"/>
    <x v="38"/>
    <s v="Sell"/>
    <s v="USD"/>
    <n v="-500000"/>
    <s v="PLN"/>
    <n v="1819280"/>
    <s v="2026-01-21"/>
    <n v="3.6385999999999998"/>
    <n v="0.27479999999999999"/>
    <n v="3.6053999999999999"/>
    <n v="1"/>
    <n v="16580"/>
    <s v="NETHERLANDS NL"/>
  </r>
  <r>
    <s v="BKMILL"/>
    <n v="157552"/>
    <n v="901972"/>
    <s v="Spot"/>
    <x v="41"/>
    <s v="Sell"/>
    <s v="USD"/>
    <n v="-500000"/>
    <s v="PLN"/>
    <n v="1819300"/>
    <s v="2026-01-21"/>
    <n v="3.6385999999999998"/>
    <n v="0.27479999999999999"/>
    <n v="3.6053999999999999"/>
    <n v="1"/>
    <n v="16600"/>
    <s v="GERMANY DE"/>
  </r>
  <r>
    <s v="BKMILL"/>
    <n v="157553"/>
    <n v="901973"/>
    <s v="Spot"/>
    <x v="41"/>
    <s v="Sell"/>
    <s v="EUR"/>
    <n v="-500000"/>
    <s v="PLN"/>
    <n v="2114200"/>
    <s v="2026-01-21"/>
    <n v="4.2283999999999997"/>
    <n v="0.23649999999999999"/>
    <n v="4.2279"/>
    <n v="1"/>
    <n v="250"/>
    <s v="GERMANY DE"/>
  </r>
  <r>
    <s v="BKMILL"/>
    <n v="157555"/>
    <n v="902008"/>
    <s v="Spot"/>
    <x v="40"/>
    <s v="Buy"/>
    <s v="EUR"/>
    <n v="500000"/>
    <s v="USD"/>
    <n v="-581140"/>
    <s v="2026-01-21"/>
    <n v="1.1623000000000001"/>
    <n v="0.86040000000000005"/>
    <n v="4.2279"/>
    <n v="3.6053999999999999"/>
    <n v="18707.844000000001"/>
    <s v="UNITED STATES OF AMERICA US"/>
  </r>
  <r>
    <s v="BKMILL"/>
    <n v="157556"/>
    <n v="218078"/>
    <s v="Forward"/>
    <x v="106"/>
    <s v="Sell Fwd"/>
    <s v="EUR"/>
    <n v="-22900"/>
    <s v="PLN"/>
    <n v="96857.84"/>
    <s v="2026-01-19"/>
    <n v="4.2301000000000002"/>
    <n v="0.2364"/>
    <n v="4.2191999999999998"/>
    <n v="1"/>
    <n v="238.16"/>
    <s v="POLAND PL"/>
  </r>
  <r>
    <s v="BKMILL"/>
    <n v="157557"/>
    <n v="902018"/>
    <s v="Spot"/>
    <x v="101"/>
    <s v="Buy"/>
    <s v="EUR"/>
    <n v="25000"/>
    <s v="PLN"/>
    <n v="-105632.5"/>
    <s v="2026-01-21"/>
    <n v="4.2252999999999998"/>
    <n v="0.23669999999999999"/>
    <n v="4.2279"/>
    <n v="1"/>
    <n v="65"/>
    <s v="POLAND PL"/>
  </r>
  <r>
    <s v="BKMILL"/>
    <n v="157558"/>
    <n v="902019"/>
    <s v="Spot"/>
    <x v="38"/>
    <s v="Sell"/>
    <s v="USD"/>
    <n v="-500000"/>
    <s v="PLN"/>
    <n v="1819005"/>
    <s v="2026-01-21"/>
    <n v="3.6379999999999999"/>
    <n v="0.27489999999999998"/>
    <n v="3.6053999999999999"/>
    <n v="1"/>
    <n v="16305"/>
    <s v="NETHERLANDS NL"/>
  </r>
  <r>
    <s v="BKMILL"/>
    <n v="157559"/>
    <n v="902020"/>
    <s v="Spot"/>
    <x v="41"/>
    <s v="Sell"/>
    <s v="USD"/>
    <n v="-500000"/>
    <s v="PLN"/>
    <n v="1819150"/>
    <s v="2026-01-21"/>
    <n v="3.6383000000000001"/>
    <n v="0.27489999999999998"/>
    <n v="3.6053999999999999"/>
    <n v="1"/>
    <n v="16450"/>
    <s v="GERMANY DE"/>
  </r>
  <r>
    <s v="BKMILL"/>
    <n v="157560"/>
    <n v="902021"/>
    <s v="Spot"/>
    <x v="51"/>
    <s v="Sell"/>
    <s v="EUR"/>
    <n v="-150000"/>
    <s v="PLN"/>
    <n v="634455"/>
    <s v="2026-01-21"/>
    <n v="4.2297000000000002"/>
    <n v="0.2364"/>
    <n v="4.2279"/>
    <n v="1"/>
    <n v="270"/>
    <s v="POLAND PL"/>
  </r>
  <r>
    <s v="BKMILL"/>
    <n v="157562"/>
    <n v="218080"/>
    <s v="Forward"/>
    <x v="74"/>
    <s v="Buy Fwd"/>
    <s v="EUR"/>
    <n v="200000"/>
    <s v="PLN"/>
    <n v="842000"/>
    <s v="2026-01-19"/>
    <n v="4.21"/>
    <n v="0.23749999999999999"/>
    <n v="4.2191999999999998"/>
    <n v="1"/>
    <n v="1685840"/>
    <s v="POLAND PL"/>
  </r>
  <r>
    <s v="BKMILL"/>
    <n v="157563"/>
    <n v="902031"/>
    <s v="Spot"/>
    <x v="41"/>
    <s v="Sell"/>
    <s v="USD"/>
    <n v="-500000"/>
    <s v="PLN"/>
    <n v="1819200"/>
    <s v="2026-01-21"/>
    <n v="3.6383999999999999"/>
    <n v="0.27479999999999999"/>
    <n v="3.6053999999999999"/>
    <n v="1"/>
    <n v="16500"/>
    <s v="GERMANY DE"/>
  </r>
  <r>
    <s v="BKMILL"/>
    <n v="157564"/>
    <n v="218081"/>
    <s v="Forward"/>
    <x v="469"/>
    <s v="Buy Fwd"/>
    <s v="EUR"/>
    <n v="7033.25"/>
    <s v="PLN"/>
    <n v="29726.02"/>
    <s v="2026-01-19"/>
    <n v="4.12"/>
    <n v="0.2427"/>
    <n v="4.2191999999999998"/>
    <n v="1"/>
    <n v="59400.708400000003"/>
    <s v="POLAND PL"/>
  </r>
  <r>
    <s v="BKMILL"/>
    <n v="157565"/>
    <n v="218085"/>
    <s v="Forward"/>
    <x v="470"/>
    <s v="Buy Fwd"/>
    <s v="EUR"/>
    <n v="14000"/>
    <s v="PLN"/>
    <n v="59122"/>
    <s v="2026-01-19"/>
    <n v="4.2229999999999999"/>
    <n v="0.23680000000000001"/>
    <n v="4.2191999999999998"/>
    <n v="1"/>
    <n v="118190.8"/>
    <s v="POLAND PL"/>
  </r>
  <r>
    <s v="BKMILL"/>
    <n v="157566"/>
    <n v="218088"/>
    <s v="Forward"/>
    <x v="289"/>
    <s v="Sell Fwd"/>
    <s v="EUR"/>
    <n v="-81000"/>
    <s v="PLN"/>
    <n v="342362.7"/>
    <s v="2026-01-19"/>
    <n v="4.2271999999999998"/>
    <n v="0.2366"/>
    <n v="4.2191999999999998"/>
    <n v="1"/>
    <n v="607.5"/>
    <s v="POLAND PL"/>
  </r>
  <r>
    <s v="BKMILL"/>
    <n v="157567"/>
    <n v="218090"/>
    <s v="Forward"/>
    <x v="341"/>
    <s v="Buy Fwd"/>
    <s v="EUR"/>
    <n v="5400"/>
    <s v="PLN"/>
    <n v="22734"/>
    <s v="2026-01-19"/>
    <n v="4.2104999999999997"/>
    <n v="0.23749999999999999"/>
    <n v="4.2191999999999998"/>
    <n v="1"/>
    <n v="45517.68"/>
    <s v="POLAND PL"/>
  </r>
  <r>
    <s v="BKMILL"/>
    <n v="157568"/>
    <n v="902072"/>
    <s v="Spot"/>
    <x v="36"/>
    <s v="Buy"/>
    <s v="EUR"/>
    <n v="100000"/>
    <s v="GBP"/>
    <n v="-86754"/>
    <s v="2026-01-21"/>
    <n v="0.86750000000000005"/>
    <n v="1.1527000000000001"/>
    <n v="4.2279"/>
    <n v="4.8582999999999998"/>
    <n v="1313.0418"/>
    <s v="UNITED KINGDOM GB"/>
  </r>
  <r>
    <s v="BKMILL"/>
    <n v="157569"/>
    <n v="218094"/>
    <s v="Forward"/>
    <x v="471"/>
    <s v="Buy Fwd"/>
    <s v="EUR"/>
    <n v="30000"/>
    <s v="PLN"/>
    <n v="126540"/>
    <s v="2026-01-19"/>
    <n v="4.218"/>
    <n v="0.23710000000000001"/>
    <n v="4.2191999999999998"/>
    <n v="1"/>
    <n v="253116"/>
    <s v="POLAND PL"/>
  </r>
  <r>
    <s v="BKMILL"/>
    <n v="157571"/>
    <n v="902118"/>
    <s v="Spot"/>
    <x v="38"/>
    <s v="Sell"/>
    <s v="EUR"/>
    <n v="-100000"/>
    <s v="GBP"/>
    <n v="86708"/>
    <s v="2026-01-21"/>
    <n v="0.86709999999999998"/>
    <n v="1.1533"/>
    <n v="4.2279"/>
    <n v="4.8582999999999998"/>
    <n v="-1536.5236"/>
    <s v="NETHERLANDS NL"/>
  </r>
  <r>
    <s v="BKMILL"/>
    <n v="157572"/>
    <n v="902125"/>
    <s v="Spot"/>
    <x v="40"/>
    <s v="Sell"/>
    <s v="EUR"/>
    <n v="-500000"/>
    <s v="USD"/>
    <n v="581385"/>
    <s v="2026-01-21"/>
    <n v="1.1628000000000001"/>
    <n v="0.86"/>
    <n v="4.2279"/>
    <n v="3.6053999999999999"/>
    <n v="-17824.521000000001"/>
    <s v="UNITED STATES OF AMERICA US"/>
  </r>
  <r>
    <s v="BKMILL"/>
    <n v="157573"/>
    <n v="218107"/>
    <s v="Forward"/>
    <x v="92"/>
    <s v="Buy Fwd"/>
    <s v="EUR"/>
    <n v="10000"/>
    <s v="PLN"/>
    <n v="41976"/>
    <s v="2026-01-19"/>
    <n v="4.1981000000000002"/>
    <n v="0.2382"/>
    <n v="4.2191999999999998"/>
    <n v="1"/>
    <n v="84168"/>
    <s v="POLAND PL"/>
  </r>
  <r>
    <s v="BKMILL"/>
    <n v="157574"/>
    <n v="218109"/>
    <s v="Forward"/>
    <x v="387"/>
    <s v="Buy Fwd"/>
    <s v="EUR"/>
    <n v="14000"/>
    <s v="PLN"/>
    <n v="59052"/>
    <s v="2026-01-19"/>
    <n v="4.218"/>
    <n v="0.23710000000000001"/>
    <n v="4.2191999999999998"/>
    <n v="1"/>
    <n v="118120.8"/>
    <s v="POLAND PL"/>
  </r>
  <r>
    <s v="BKMILL"/>
    <n v="157575"/>
    <n v="902138"/>
    <s v="Spot"/>
    <x v="40"/>
    <s v="Buy"/>
    <s v="EUR"/>
    <n v="500000"/>
    <s v="USD"/>
    <n v="-581010"/>
    <s v="2026-01-21"/>
    <n v="1.1619999999999999"/>
    <n v="0.86060000000000003"/>
    <n v="4.2279"/>
    <n v="3.6053999999999999"/>
    <n v="19176.545999999998"/>
    <s v="UNITED STATES OF AMERICA US"/>
  </r>
  <r>
    <s v="BKMILL"/>
    <n v="157595"/>
    <n v="902173"/>
    <s v="Spot"/>
    <x v="36"/>
    <s v="Sell"/>
    <s v="EUR"/>
    <n v="-100000"/>
    <s v="GBP"/>
    <n v="86725"/>
    <s v="2026-01-21"/>
    <n v="0.86719999999999997"/>
    <n v="1.1531"/>
    <n v="4.2279"/>
    <n v="4.8582999999999998"/>
    <n v="-1453.9324999999999"/>
    <s v="UNITED KINGDOM GB"/>
  </r>
  <r>
    <s v="BKMILL"/>
    <n v="157597"/>
    <n v="218123"/>
    <s v="Forward"/>
    <x v="472"/>
    <s v="Sell Fwd"/>
    <s v="EUR"/>
    <n v="-14040"/>
    <s v="PLN"/>
    <n v="59340.06"/>
    <s v="2026-01-19"/>
    <n v="4.2264999999999997"/>
    <n v="0.2366"/>
    <n v="4.2191999999999998"/>
    <n v="1"/>
    <n v="102.492"/>
    <s v="POLAND PL"/>
  </r>
  <r>
    <s v="BKMILL"/>
    <n v="157600"/>
    <n v="218125"/>
    <s v="Forward"/>
    <x v="473"/>
    <s v="Sell Fwd"/>
    <s v="USD"/>
    <n v="-8500"/>
    <s v="PLN"/>
    <n v="31042"/>
    <s v="2026-01-19"/>
    <n v="3.6522999999999999"/>
    <n v="0.27379999999999999"/>
    <n v="3.6345999999999998"/>
    <n v="1"/>
    <n v="147.9"/>
    <s v="POLAND PL"/>
  </r>
  <r>
    <s v="BKMILL"/>
    <n v="157602"/>
    <n v="218126"/>
    <s v="Forward"/>
    <x v="474"/>
    <s v="Sell Fwd"/>
    <s v="EUR"/>
    <n v="-888000"/>
    <s v="PLN"/>
    <n v="3764676"/>
    <s v="2026-01-19"/>
    <n v="4.24"/>
    <n v="0.23580000000000001"/>
    <n v="4.2191999999999998"/>
    <n v="1"/>
    <n v="18026.400000000001"/>
    <s v="POLAND PL"/>
  </r>
  <r>
    <s v="BKMILL"/>
    <n v="157604"/>
    <n v="902195"/>
    <s v="Spot"/>
    <x v="295"/>
    <s v="Buy"/>
    <s v="EUR"/>
    <n v="260000"/>
    <s v="PLN"/>
    <n v="-1097902"/>
    <s v="2026-01-21"/>
    <n v="4.2226999999999997"/>
    <n v="0.23680000000000001"/>
    <n v="4.2279"/>
    <n v="1"/>
    <n v="1352"/>
    <s v="POLAND PL"/>
  </r>
  <r>
    <s v="BKMILL"/>
    <n v="157607"/>
    <n v="902216"/>
    <s v="Spot"/>
    <x v="40"/>
    <s v="Sell"/>
    <s v="USD"/>
    <n v="-350000"/>
    <s v="JPY"/>
    <n v="55297900"/>
    <s v="2026-01-21"/>
    <n v="157.994"/>
    <n v="6.3E-3"/>
    <n v="3.6053999999999999"/>
    <n v="2.2858000000000001"/>
    <n v="125138049.81999999"/>
    <s v="UNITED STATES OF AMERICA US"/>
  </r>
  <r>
    <s v="BKMILL"/>
    <n v="157617"/>
    <n v="902227"/>
    <s v="Spot"/>
    <x v="40"/>
    <s v="Sell"/>
    <s v="EUR"/>
    <n v="-100000"/>
    <s v="USD"/>
    <n v="116260"/>
    <s v="2026-01-21"/>
    <n v="1.1626000000000001"/>
    <n v="0.86009999999999998"/>
    <n v="4.2279"/>
    <n v="3.6053999999999999"/>
    <n v="-3626.1959999999999"/>
    <s v="UNITED STATES OF AMERICA US"/>
  </r>
  <r>
    <s v="BKMILL"/>
    <n v="157618"/>
    <n v="218133"/>
    <s v="Forward"/>
    <x v="330"/>
    <s v="Buy Fwd"/>
    <s v="EUR"/>
    <n v="5000"/>
    <s v="PLN"/>
    <n v="21100"/>
    <s v="2026-01-19"/>
    <n v="4.22"/>
    <n v="0.23699999999999999"/>
    <n v="4.2191999999999998"/>
    <n v="1"/>
    <n v="42196"/>
    <s v="POLAND PL"/>
  </r>
  <r>
    <s v="BKMILL"/>
    <n v="157619"/>
    <n v="218134"/>
    <s v="Forward"/>
    <x v="259"/>
    <s v="Buy Fwd"/>
    <s v="EUR"/>
    <n v="10000"/>
    <s v="PLN"/>
    <n v="42200"/>
    <s v="2026-01-19"/>
    <n v="4.22"/>
    <n v="0.23699999999999999"/>
    <n v="4.2191999999999998"/>
    <n v="1"/>
    <n v="84392"/>
    <s v="POLAND PL"/>
  </r>
  <r>
    <s v="BKMILL"/>
    <n v="157622"/>
    <n v="218135"/>
    <s v="Forward"/>
    <x v="144"/>
    <s v="Buy Fwd"/>
    <s v="USD"/>
    <n v="10000"/>
    <s v="PLN"/>
    <n v="36210"/>
    <s v="2026-01-19"/>
    <n v="3.6213000000000002"/>
    <n v="0.27610000000000001"/>
    <n v="3.6345999999999998"/>
    <n v="1"/>
    <n v="72556"/>
    <s v="POLAND PL"/>
  </r>
  <r>
    <s v="BKMILL"/>
    <n v="157623"/>
    <n v="902237"/>
    <s v="Spot"/>
    <x v="46"/>
    <s v="Buy"/>
    <s v="EUR"/>
    <n v="9000"/>
    <s v="PLN"/>
    <n v="-37950.300000000003"/>
    <s v="2026-01-21"/>
    <n v="4.2167000000000003"/>
    <n v="0.23719999999999999"/>
    <n v="4.2279"/>
    <n v="1"/>
    <n v="100.8"/>
    <s v="POLAND PL"/>
  </r>
  <r>
    <s v="BKMILL"/>
    <n v="157630"/>
    <n v="218136"/>
    <s v="Forward"/>
    <x v="462"/>
    <s v="Buy Fwd"/>
    <s v="EUR"/>
    <n v="20000"/>
    <s v="PLN"/>
    <n v="84420"/>
    <s v="2026-01-19"/>
    <n v="4.2210000000000001"/>
    <n v="0.2369"/>
    <n v="4.2191999999999998"/>
    <n v="1"/>
    <n v="168804"/>
    <s v="POLAND PL"/>
  </r>
  <r>
    <s v="BKMILL"/>
    <n v="157632"/>
    <n v="218138"/>
    <s v="Forward"/>
    <x v="475"/>
    <s v="Buy Fwd"/>
    <s v="EUR"/>
    <n v="2367.9299999999998"/>
    <s v="PLN"/>
    <n v="10000"/>
    <s v="2026-01-19"/>
    <n v="4.2065000000000001"/>
    <n v="0.23769999999999999"/>
    <n v="4.2191999999999998"/>
    <n v="1"/>
    <n v="19990.770256"/>
    <s v="POLAND PL"/>
  </r>
  <r>
    <s v="BKMILL"/>
    <n v="157636"/>
    <n v="218144"/>
    <s v="Forward"/>
    <x v="427"/>
    <s v="Buy Fwd"/>
    <s v="USD"/>
    <n v="100000"/>
    <s v="PLN"/>
    <n v="362150"/>
    <s v="2026-01-19"/>
    <n v="3.6215000000000002"/>
    <n v="0.27610000000000001"/>
    <n v="3.6345999999999998"/>
    <n v="1"/>
    <n v="725610"/>
    <s v="POLAND PL"/>
  </r>
  <r>
    <s v="BKMILL"/>
    <n v="157638"/>
    <n v="218145"/>
    <s v="Forward"/>
    <x v="349"/>
    <s v="Sell Fwd"/>
    <s v="USD"/>
    <n v="-900000"/>
    <s v="PLN"/>
    <n v="3275100"/>
    <s v="2026-01-19"/>
    <n v="3.6389999999999998"/>
    <n v="0.27479999999999999"/>
    <n v="3.6345999999999998"/>
    <n v="1"/>
    <n v="3960"/>
    <s v="POLAND PL"/>
  </r>
  <r>
    <s v="BKMILL"/>
    <n v="157653"/>
    <n v="218154"/>
    <s v="Forward"/>
    <x v="324"/>
    <s v="Sell Fwd"/>
    <s v="EUR"/>
    <n v="-10000"/>
    <s v="PLN"/>
    <n v="42390"/>
    <s v="2026-01-19"/>
    <n v="4.2394999999999996"/>
    <n v="0.2359"/>
    <n v="4.2191999999999998"/>
    <n v="1"/>
    <n v="198"/>
    <s v="POLAND PL"/>
  </r>
  <r>
    <s v="BKMILL"/>
    <n v="157656"/>
    <n v="218160"/>
    <s v="Forward"/>
    <x v="293"/>
    <s v="Buy Fwd"/>
    <s v="EUR"/>
    <n v="286000"/>
    <s v="PLN"/>
    <n v="1204346"/>
    <s v="2026-01-19"/>
    <n v="4.2110000000000003"/>
    <n v="0.23749999999999999"/>
    <n v="4.2191999999999998"/>
    <n v="1"/>
    <n v="2411037.2000000002"/>
    <s v="POLAND PL"/>
  </r>
  <r>
    <s v="BKMILL"/>
    <n v="157659"/>
    <n v="218163"/>
    <s v="Forward"/>
    <x v="476"/>
    <s v="Buy Fwd"/>
    <s v="EUR"/>
    <n v="711000"/>
    <s v="PLN"/>
    <n v="2994945.3"/>
    <s v="2026-01-19"/>
    <n v="4.2126000000000001"/>
    <n v="0.2374"/>
    <n v="4.2191999999999998"/>
    <n v="1"/>
    <n v="5994796.5"/>
    <s v="POLAND PL"/>
  </r>
  <r>
    <s v="BKMILL"/>
    <n v="157663"/>
    <n v="218165"/>
    <s v="Forward"/>
    <x v="188"/>
    <s v="Sell Fwd"/>
    <s v="USD"/>
    <n v="-102587.39"/>
    <s v="PLN"/>
    <n v="372792.32000000001"/>
    <s v="2026-01-19"/>
    <n v="3.6339999999999999"/>
    <n v="0.2752"/>
    <n v="3.6345999999999998"/>
    <n v="1"/>
    <n v="-71.807693999999998"/>
    <s v="POLAND PL"/>
  </r>
  <r>
    <s v="BKMILL"/>
    <n v="157667"/>
    <n v="902337"/>
    <s v="Spot"/>
    <x v="44"/>
    <s v="Sell"/>
    <s v="EUR"/>
    <n v="-500000"/>
    <s v="PLN"/>
    <n v="2111695"/>
    <s v="2026-01-21"/>
    <n v="4.2233999999999998"/>
    <n v="0.23680000000000001"/>
    <n v="4.2279"/>
    <n v="1"/>
    <n v="-2255"/>
    <s v="GERMANY DE"/>
  </r>
  <r>
    <s v="BKMILL"/>
    <n v="157668"/>
    <n v="218170"/>
    <s v="Forward"/>
    <x v="139"/>
    <s v="Buy Fwd"/>
    <s v="EUR"/>
    <n v="74520"/>
    <s v="PLN"/>
    <n v="314191.21999999997"/>
    <s v="2026-01-19"/>
    <n v="4.2167000000000003"/>
    <n v="0.23719999999999999"/>
    <n v="4.2191999999999998"/>
    <n v="1"/>
    <n v="628606.00399999996"/>
    <s v="POLAND PL"/>
  </r>
  <r>
    <s v="BKMILL"/>
    <n v="157669"/>
    <n v="218171"/>
    <s v="Forward"/>
    <x v="142"/>
    <s v="Buy Fwd"/>
    <s v="EUR"/>
    <n v="400000"/>
    <s v="PLN"/>
    <n v="1684600"/>
    <s v="2026-01-19"/>
    <n v="4.2115"/>
    <n v="0.2374"/>
    <n v="4.2191999999999998"/>
    <n v="1"/>
    <n v="3372280"/>
    <s v="POLAND PL"/>
  </r>
  <r>
    <s v="BKMILL"/>
    <n v="157672"/>
    <n v="902351"/>
    <s v="Spot"/>
    <x v="40"/>
    <s v="Sell"/>
    <s v="EUR"/>
    <n v="-500000"/>
    <s v="PLN"/>
    <n v="2111850"/>
    <s v="2026-01-21"/>
    <n v="4.2237"/>
    <n v="0.23680000000000001"/>
    <n v="4.2279"/>
    <n v="1"/>
    <n v="-2100"/>
    <s v="UNITED STATES OF AMERICA US"/>
  </r>
  <r>
    <s v="BKMILL"/>
    <n v="157674"/>
    <n v="902355"/>
    <s v="Spot"/>
    <x v="47"/>
    <s v="Sell"/>
    <s v="EUR"/>
    <n v="-500000"/>
    <s v="PLN"/>
    <n v="2112065"/>
    <s v="2026-01-21"/>
    <n v="4.2241"/>
    <n v="0.23669999999999999"/>
    <n v="4.2279"/>
    <n v="1"/>
    <n v="-1885"/>
    <s v="FRANCE FR"/>
  </r>
  <r>
    <s v="BKMILL"/>
    <n v="157677"/>
    <n v="218173"/>
    <s v="Forward"/>
    <x v="69"/>
    <s v="Buy Fwd"/>
    <s v="EUR"/>
    <n v="200000"/>
    <s v="PLN"/>
    <n v="844100"/>
    <s v="2026-01-19"/>
    <n v="4.2210000000000001"/>
    <n v="0.2369"/>
    <n v="4.2191999999999998"/>
    <n v="1"/>
    <n v="1687940"/>
    <s v="POLAND PL"/>
  </r>
  <r>
    <s v="BKMILL"/>
    <n v="157678"/>
    <n v="218174"/>
    <s v="Forward"/>
    <x v="155"/>
    <s v="Sell Fwd"/>
    <s v="EUR"/>
    <n v="-100000"/>
    <s v="PLN"/>
    <n v="422930"/>
    <s v="2026-01-19"/>
    <n v="4.2298"/>
    <n v="0.2364"/>
    <n v="4.2191999999999998"/>
    <n v="1"/>
    <n v="1010"/>
    <s v="POLAND PL"/>
  </r>
  <r>
    <s v="BKMILL"/>
    <n v="157679"/>
    <n v="218175"/>
    <s v="Forward"/>
    <x v="374"/>
    <s v="Buy Fwd"/>
    <s v="EUR"/>
    <n v="53000"/>
    <s v="PLN"/>
    <n v="223236"/>
    <s v="2026-01-19"/>
    <n v="4.2119999999999997"/>
    <n v="0.2374"/>
    <n v="4.2191999999999998"/>
    <n v="1"/>
    <n v="446853.6"/>
    <s v="POLAND PL"/>
  </r>
  <r>
    <s v="BKMILL"/>
    <n v="157680"/>
    <n v="218176"/>
    <s v="Forward"/>
    <x v="374"/>
    <s v="Buy Fwd"/>
    <s v="USD"/>
    <n v="23000"/>
    <s v="PLN"/>
    <n v="83260"/>
    <s v="2026-01-19"/>
    <n v="3.62"/>
    <n v="0.2762"/>
    <n v="3.6345999999999998"/>
    <n v="1"/>
    <n v="166855.79999999999"/>
    <s v="POLAND PL"/>
  </r>
  <r>
    <s v="BKMILL"/>
    <n v="157681"/>
    <n v="218179"/>
    <s v="Forward"/>
    <x v="477"/>
    <s v="Sell Fwd"/>
    <s v="EUR"/>
    <n v="-2000"/>
    <s v="PLN"/>
    <n v="8472"/>
    <s v="2026-01-19"/>
    <n v="4.2359999999999998"/>
    <n v="0.2361"/>
    <n v="4.2191999999999998"/>
    <n v="1"/>
    <n v="33.6"/>
    <s v="POLAND PL"/>
  </r>
  <r>
    <s v="BKMILL"/>
    <n v="157682"/>
    <n v="218181"/>
    <s v="Forward"/>
    <x v="77"/>
    <s v="Buy Fwd"/>
    <s v="EUR"/>
    <n v="50000"/>
    <s v="PLN"/>
    <n v="210625"/>
    <s v="2026-01-19"/>
    <n v="4.2125000000000004"/>
    <n v="0.2374"/>
    <n v="4.2191999999999998"/>
    <n v="1"/>
    <n v="421585"/>
    <s v="POLAND PL"/>
  </r>
  <r>
    <s v="BKMILL"/>
    <n v="157683"/>
    <n v="218182"/>
    <s v="Forward"/>
    <x v="277"/>
    <s v="Buy Fwd"/>
    <s v="EUR"/>
    <n v="100000"/>
    <s v="PLN"/>
    <n v="421800"/>
    <s v="2026-01-19"/>
    <n v="4.218"/>
    <n v="0.23710000000000001"/>
    <n v="4.2191999999999998"/>
    <n v="1"/>
    <n v="843720"/>
    <s v="POLAND PL"/>
  </r>
  <r>
    <s v="BKMILL"/>
    <n v="157684"/>
    <n v="902389"/>
    <s v="Spot"/>
    <x v="478"/>
    <s v="Buy"/>
    <s v="EUR"/>
    <n v="200000"/>
    <s v="PLN"/>
    <n v="-844400"/>
    <s v="2026-01-21"/>
    <n v="4.2220000000000004"/>
    <n v="0.2369"/>
    <n v="4.2279"/>
    <n v="1"/>
    <n v="1180"/>
    <s v="POLAND PL"/>
  </r>
  <r>
    <s v="BKMILL"/>
    <n v="157686"/>
    <n v="218186"/>
    <s v="Forward"/>
    <x v="479"/>
    <s v="Buy Fwd"/>
    <s v="EUR"/>
    <n v="150000"/>
    <s v="USD"/>
    <n v="174120"/>
    <s v="2026-01-19"/>
    <n v="1.161"/>
    <n v="0.86129999999999995"/>
    <n v="4.2191999999999998"/>
    <n v="3.6345999999999998"/>
    <n v="1265736.5519999999"/>
    <s v="POLAND PL"/>
  </r>
  <r>
    <s v="BKMILL"/>
    <n v="157688"/>
    <n v="902408"/>
    <s v="Spot"/>
    <x v="38"/>
    <s v="Sell"/>
    <s v="EUR"/>
    <n v="-500000"/>
    <s v="PLN"/>
    <n v="2112290"/>
    <s v="2026-01-21"/>
    <n v="4.2245999999999997"/>
    <n v="0.23669999999999999"/>
    <n v="4.2279"/>
    <n v="1"/>
    <n v="-1660"/>
    <s v="NETHERLANDS NL"/>
  </r>
  <r>
    <s v="BKMILL"/>
    <n v="157689"/>
    <n v="902409"/>
    <s v="Spot"/>
    <x v="47"/>
    <s v="Sell"/>
    <s v="EUR"/>
    <n v="-500000"/>
    <s v="PLN"/>
    <n v="2112690"/>
    <s v="2026-01-21"/>
    <n v="4.2253999999999996"/>
    <n v="0.23669999999999999"/>
    <n v="4.2279"/>
    <n v="1"/>
    <n v="-1260"/>
    <s v="FRANCE FR"/>
  </r>
  <r>
    <s v="BKMILL"/>
    <n v="157690"/>
    <n v="218188"/>
    <s v="Forward"/>
    <x v="362"/>
    <s v="Buy Fwd"/>
    <s v="EUR"/>
    <n v="130000"/>
    <s v="PLN"/>
    <n v="545220"/>
    <s v="2026-01-19"/>
    <n v="4.194"/>
    <n v="0.2384"/>
    <n v="4.2191999999999998"/>
    <n v="1"/>
    <n v="1093716"/>
    <s v="POLAND PL"/>
  </r>
  <r>
    <s v="BKMILL"/>
    <n v="157692"/>
    <n v="902413"/>
    <s v="Spot"/>
    <x v="47"/>
    <s v="Sell"/>
    <s v="EUR"/>
    <n v="-500000"/>
    <s v="PLN"/>
    <n v="2112950"/>
    <s v="2026-01-21"/>
    <n v="4.2259000000000002"/>
    <n v="0.2366"/>
    <n v="4.2279"/>
    <n v="1"/>
    <n v="-1000"/>
    <s v="FRANCE FR"/>
  </r>
  <r>
    <s v="BKMILL"/>
    <n v="157693"/>
    <n v="218189"/>
    <s v="Forward"/>
    <x v="68"/>
    <s v="Sell Fwd"/>
    <s v="EUR"/>
    <n v="-132000"/>
    <s v="PLN"/>
    <n v="557937.6"/>
    <s v="2026-01-19"/>
    <n v="4.2272999999999996"/>
    <n v="0.2366"/>
    <n v="4.2191999999999998"/>
    <n v="1"/>
    <n v="1003.2"/>
    <s v="POLAND PL"/>
  </r>
  <r>
    <s v="BKMILL"/>
    <n v="157696"/>
    <n v="218192"/>
    <s v="Forward"/>
    <x v="330"/>
    <s v="Buy Fwd"/>
    <s v="EUR"/>
    <n v="5000"/>
    <s v="PLN"/>
    <n v="21110"/>
    <s v="2026-01-20"/>
    <n v="4.2220000000000004"/>
    <n v="0.2369"/>
    <n v="4.2230999999999996"/>
    <n v="1"/>
    <n v="42225.5"/>
    <s v="POLAND PL"/>
  </r>
  <r>
    <s v="BKMILL"/>
    <n v="157697"/>
    <n v="218194"/>
    <s v="Forward"/>
    <x v="405"/>
    <s v="Buy Fwd"/>
    <s v="EUR"/>
    <n v="7000"/>
    <s v="PLN"/>
    <n v="29491"/>
    <s v="2026-01-19"/>
    <n v="4.2130000000000001"/>
    <n v="0.2374"/>
    <n v="4.2191999999999998"/>
    <n v="1"/>
    <n v="59025.4"/>
    <s v="POLAND PL"/>
  </r>
  <r>
    <s v="BKMILL"/>
    <n v="157698"/>
    <n v="218199"/>
    <s v="Forward"/>
    <x v="24"/>
    <s v="Buy Fwd"/>
    <s v="EUR"/>
    <n v="20000"/>
    <s v="PLN"/>
    <n v="84444"/>
    <s v="2026-01-19"/>
    <n v="4.2226999999999997"/>
    <n v="0.23680000000000001"/>
    <n v="4.2191999999999998"/>
    <n v="1"/>
    <n v="168828"/>
    <s v="POLAND PL"/>
  </r>
  <r>
    <s v="BKMILL"/>
    <n v="157699"/>
    <n v="902449"/>
    <s v="Spot"/>
    <x v="44"/>
    <s v="Sell"/>
    <s v="EUR"/>
    <n v="-500000"/>
    <s v="PLN"/>
    <n v="2112780"/>
    <s v="2026-01-21"/>
    <n v="4.2256"/>
    <n v="0.23669999999999999"/>
    <n v="4.2279"/>
    <n v="1"/>
    <n v="-1170"/>
    <s v="GERMANY DE"/>
  </r>
  <r>
    <s v="BKMILL"/>
    <n v="157700"/>
    <n v="902450"/>
    <s v="Spot"/>
    <x v="40"/>
    <s v="Sell"/>
    <s v="EUR"/>
    <n v="-100000"/>
    <s v="USD"/>
    <n v="116260"/>
    <s v="2026-01-21"/>
    <n v="1.1626000000000001"/>
    <n v="0.86009999999999998"/>
    <n v="4.2279"/>
    <n v="3.6053999999999999"/>
    <n v="-3626.1959999999999"/>
    <s v="UNITED STATES OF AMERICA US"/>
  </r>
  <r>
    <s v="BKMILL"/>
    <n v="157701"/>
    <n v="218200"/>
    <s v="Forward"/>
    <x v="480"/>
    <s v="Sell Fwd"/>
    <s v="EUR"/>
    <n v="-20000"/>
    <s v="PLN"/>
    <n v="85270"/>
    <s v="2026-01-19"/>
    <n v="4.2634999999999996"/>
    <n v="0.23449999999999999"/>
    <n v="4.2191999999999998"/>
    <n v="1"/>
    <n v="886"/>
    <s v="POLAND PL"/>
  </r>
  <r>
    <s v="BKMILL"/>
    <n v="157702"/>
    <n v="902454"/>
    <s v="Spot"/>
    <x v="38"/>
    <s v="Sell"/>
    <s v="EUR"/>
    <n v="-500000"/>
    <s v="PLN"/>
    <n v="2112850"/>
    <s v="2026-01-21"/>
    <n v="4.2256999999999998"/>
    <n v="0.2366"/>
    <n v="4.2279"/>
    <n v="1"/>
    <n v="-1100"/>
    <s v="NETHERLANDS NL"/>
  </r>
  <r>
    <s v="BKMILL"/>
    <n v="157703"/>
    <n v="218203"/>
    <s v="Forward"/>
    <x v="481"/>
    <s v="Buy Fwd"/>
    <s v="EUR"/>
    <n v="100000"/>
    <s v="PLN"/>
    <n v="421200"/>
    <s v="2026-01-19"/>
    <n v="4.2119999999999997"/>
    <n v="0.2374"/>
    <n v="4.2191999999999998"/>
    <n v="1"/>
    <n v="843120"/>
    <s v="POLAND PL"/>
  </r>
  <r>
    <s v="BKMILL"/>
    <n v="157704"/>
    <n v="902468"/>
    <s v="Spot"/>
    <x v="461"/>
    <s v="Buy"/>
    <s v="EUR"/>
    <n v="10000"/>
    <s v="PLN"/>
    <n v="-42170"/>
    <s v="2026-01-21"/>
    <n v="4.2169999999999996"/>
    <n v="0.23710000000000001"/>
    <n v="4.2279"/>
    <n v="1"/>
    <n v="109"/>
    <s v="POLAND PL"/>
  </r>
  <r>
    <s v="BKMILL"/>
    <n v="157705"/>
    <n v="902475"/>
    <s v="Spot"/>
    <x v="40"/>
    <s v="Sell"/>
    <s v="EUR"/>
    <n v="-500000"/>
    <s v="PLN"/>
    <n v="2112850"/>
    <s v="2026-01-21"/>
    <n v="4.2256999999999998"/>
    <n v="0.2366"/>
    <n v="4.2279"/>
    <n v="1"/>
    <n v="-1100"/>
    <s v="UNITED STATES OF AMERICA US"/>
  </r>
  <r>
    <s v="BKMILL"/>
    <n v="157708"/>
    <n v="218206"/>
    <s v="Forward"/>
    <x v="116"/>
    <s v="Buy Fwd"/>
    <s v="EUR"/>
    <n v="50000"/>
    <s v="PLN"/>
    <n v="210705"/>
    <s v="2026-01-19"/>
    <n v="4.2145000000000001"/>
    <n v="0.23730000000000001"/>
    <n v="4.2191999999999998"/>
    <n v="1"/>
    <n v="421665"/>
    <s v="POLAND PL"/>
  </r>
  <r>
    <s v="BKMILL"/>
    <n v="157709"/>
    <n v="218207"/>
    <s v="Forward"/>
    <x v="446"/>
    <s v="Buy Fwd"/>
    <s v="EUR"/>
    <n v="30000"/>
    <s v="PLN"/>
    <n v="126345"/>
    <s v="2026-01-19"/>
    <n v="4.2119"/>
    <n v="0.2374"/>
    <n v="4.2191999999999998"/>
    <n v="1"/>
    <n v="252921"/>
    <s v="POLAND PL"/>
  </r>
  <r>
    <s v="BKMILL"/>
    <n v="157710"/>
    <n v="218209"/>
    <s v="Forward"/>
    <x v="130"/>
    <s v="Buy Fwd"/>
    <s v="EUR"/>
    <n v="60000"/>
    <s v="PLN"/>
    <n v="252300"/>
    <s v="2026-01-19"/>
    <n v="4.2050000000000001"/>
    <n v="0.23780000000000001"/>
    <n v="4.2191999999999998"/>
    <n v="1"/>
    <n v="505452"/>
    <s v="POLAND PL"/>
  </r>
  <r>
    <s v="BKMILL"/>
    <n v="157711"/>
    <n v="218212"/>
    <s v="Forward"/>
    <x v="465"/>
    <s v="Sell Fwd"/>
    <s v="EUR"/>
    <n v="-250000"/>
    <s v="PLN"/>
    <n v="1056750"/>
    <s v="2026-01-19"/>
    <n v="4.2275"/>
    <n v="0.23649999999999999"/>
    <n v="4.2191999999999998"/>
    <n v="1"/>
    <n v="1950"/>
    <s v="POLAND PL"/>
  </r>
  <r>
    <s v="BKMILL"/>
    <n v="157712"/>
    <n v="902507"/>
    <s v="Spot"/>
    <x v="38"/>
    <s v="Sell"/>
    <s v="EUR"/>
    <n v="-500000"/>
    <s v="PLN"/>
    <n v="2112860"/>
    <s v="2026-01-21"/>
    <n v="4.2256999999999998"/>
    <n v="0.2366"/>
    <n v="4.2279"/>
    <n v="1"/>
    <n v="-1090"/>
    <s v="NETHERLANDS NL"/>
  </r>
  <r>
    <s v="BKMILL"/>
    <n v="157713"/>
    <n v="218224"/>
    <s v="Forward"/>
    <x v="408"/>
    <s v="Sell Fwd"/>
    <s v="EUR"/>
    <n v="-200000"/>
    <s v="PLN"/>
    <n v="847360"/>
    <s v="2026-01-19"/>
    <n v="4.2375999999999996"/>
    <n v="0.23599999999999999"/>
    <n v="4.2191999999999998"/>
    <n v="1"/>
    <n v="3520"/>
    <s v="POLAND PL"/>
  </r>
  <r>
    <s v="BKMILL"/>
    <n v="157714"/>
    <n v="218225"/>
    <s v="Forward"/>
    <x v="408"/>
    <s v="Sell Fwd"/>
    <s v="USD"/>
    <n v="-150000"/>
    <s v="PLN"/>
    <n v="546975"/>
    <s v="2026-01-19"/>
    <n v="3.6469"/>
    <n v="0.2742"/>
    <n v="3.6345999999999998"/>
    <n v="1"/>
    <n v="1785"/>
    <s v="POLAND PL"/>
  </r>
  <r>
    <s v="BKMILL"/>
    <n v="157715"/>
    <n v="902550"/>
    <s v="Spot"/>
    <x v="39"/>
    <s v="Sell"/>
    <s v="EUR"/>
    <n v="-500000"/>
    <s v="PLN"/>
    <n v="2113115"/>
    <s v="2026-01-21"/>
    <n v="4.2262000000000004"/>
    <n v="0.2366"/>
    <n v="4.2279"/>
    <n v="1"/>
    <n v="-835"/>
    <s v="UNITED KINGDOM GB"/>
  </r>
  <r>
    <s v="BKMILL"/>
    <n v="157722"/>
    <n v="218234"/>
    <s v="Forward"/>
    <x v="482"/>
    <s v="Buy Fwd"/>
    <s v="GBP"/>
    <n v="100000"/>
    <s v="PLN"/>
    <n v="486280"/>
    <s v="2026-01-19"/>
    <n v="4.8628999999999998"/>
    <n v="0.2056"/>
    <n v="4.8692000000000002"/>
    <n v="1"/>
    <n v="973200"/>
    <s v="POLAND PL"/>
  </r>
  <r>
    <s v="BKMILL"/>
    <n v="157723"/>
    <n v="218236"/>
    <s v="Forward"/>
    <x v="115"/>
    <s v="Buy Fwd"/>
    <s v="EUR"/>
    <n v="4700"/>
    <s v="PLN"/>
    <n v="19826.95"/>
    <s v="2026-01-19"/>
    <n v="4.2190000000000003"/>
    <n v="0.23699999999999999"/>
    <n v="4.2191999999999998"/>
    <n v="1"/>
    <n v="39657.19"/>
    <s v="POLAND PL"/>
  </r>
  <r>
    <s v="BKMILL"/>
    <n v="157724"/>
    <n v="218238"/>
    <s v="Forward"/>
    <x v="115"/>
    <s v="Sell Fwd"/>
    <s v="USD"/>
    <n v="-20000"/>
    <s v="PLN"/>
    <n v="72840"/>
    <s v="2026-01-19"/>
    <n v="3.6421000000000001"/>
    <n v="0.27460000000000001"/>
    <n v="3.6345999999999998"/>
    <n v="1"/>
    <n v="148"/>
    <s v="POLAND PL"/>
  </r>
  <r>
    <s v="BKMILL"/>
    <n v="157725"/>
    <n v="218241"/>
    <s v="Forward"/>
    <x v="483"/>
    <s v="Sell Fwd"/>
    <s v="EUR"/>
    <n v="-395000"/>
    <s v="PLN"/>
    <n v="1670455"/>
    <s v="2026-01-19"/>
    <n v="4.2290000000000001"/>
    <n v="0.23649999999999999"/>
    <n v="4.2191999999999998"/>
    <n v="1"/>
    <n v="3871"/>
    <s v="POLAND PL"/>
  </r>
  <r>
    <s v="BKMILL"/>
    <n v="157727"/>
    <n v="218244"/>
    <s v="Forward"/>
    <x v="228"/>
    <s v="Buy Fwd"/>
    <s v="EUR"/>
    <n v="5000"/>
    <s v="PLN"/>
    <n v="21055"/>
    <s v="2026-01-19"/>
    <n v="4.2114000000000003"/>
    <n v="0.23749999999999999"/>
    <n v="4.2191999999999998"/>
    <n v="1"/>
    <n v="42151"/>
    <s v="POLAND PL"/>
  </r>
  <r>
    <s v="BKMILL"/>
    <n v="157728"/>
    <n v="902622"/>
    <s v="Spot"/>
    <x v="39"/>
    <s v="Sell"/>
    <s v="EUR"/>
    <n v="-500000"/>
    <s v="PLN"/>
    <n v="2113230"/>
    <s v="2026-01-21"/>
    <n v="4.2264999999999997"/>
    <n v="0.2366"/>
    <n v="4.2279"/>
    <n v="1"/>
    <n v="-720"/>
    <s v="UNITED KINGDOM GB"/>
  </r>
  <r>
    <s v="BKMILL"/>
    <n v="157729"/>
    <n v="218247"/>
    <s v="Forward"/>
    <x v="106"/>
    <s v="Sell Fwd"/>
    <s v="USD"/>
    <n v="-48300"/>
    <s v="PLN"/>
    <n v="175647.78"/>
    <s v="2026-01-19"/>
    <n v="3.6366999999999998"/>
    <n v="0.27500000000000002"/>
    <n v="3.6345999999999998"/>
    <n v="1"/>
    <n v="96.6"/>
    <s v="POLAND PL"/>
  </r>
  <r>
    <s v="BKMILL"/>
    <n v="157730"/>
    <n v="218248"/>
    <s v="Forward"/>
    <x v="484"/>
    <s v="Buy Fwd"/>
    <s v="EUR"/>
    <n v="15000"/>
    <s v="PLN"/>
    <n v="62550"/>
    <s v="2026-01-19"/>
    <n v="4.17"/>
    <n v="0.23980000000000001"/>
    <n v="4.2191999999999998"/>
    <n v="1"/>
    <n v="125838"/>
    <s v="POLAND PL"/>
  </r>
  <r>
    <s v="BKMILL"/>
    <n v="157731"/>
    <n v="218253"/>
    <s v="Forward"/>
    <x v="360"/>
    <s v="Buy Fwd"/>
    <s v="EUR"/>
    <n v="20000"/>
    <s v="PLN"/>
    <n v="84200"/>
    <s v="2026-01-19"/>
    <n v="4.21"/>
    <n v="0.23749999999999999"/>
    <n v="4.2191999999999998"/>
    <n v="1"/>
    <n v="168584"/>
    <s v="POLAND PL"/>
  </r>
  <r>
    <s v="BKMILL"/>
    <n v="157732"/>
    <n v="902651"/>
    <s v="Spot"/>
    <x v="283"/>
    <s v="Sell"/>
    <s v="EUR"/>
    <n v="-100000"/>
    <s v="PLN"/>
    <n v="422650"/>
    <s v="2026-01-21"/>
    <n v="4.2264999999999997"/>
    <n v="0.2366"/>
    <n v="4.2279"/>
    <n v="1"/>
    <n v="-140"/>
    <s v="POLAND PL"/>
  </r>
  <r>
    <s v="BKMILL"/>
    <n v="157733"/>
    <n v="218256"/>
    <s v="Forward"/>
    <x v="170"/>
    <s v="Buy Fwd"/>
    <s v="EUR"/>
    <n v="20000"/>
    <s v="PLN"/>
    <n v="84448"/>
    <s v="2026-01-19"/>
    <n v="4.2229000000000001"/>
    <n v="0.23680000000000001"/>
    <n v="4.2191999999999998"/>
    <n v="1"/>
    <n v="168832"/>
    <s v="POLAND PL"/>
  </r>
  <r>
    <s v="BKMILL"/>
    <n v="157734"/>
    <n v="218261"/>
    <s v="Forward"/>
    <x v="98"/>
    <s v="Sell Fwd"/>
    <s v="EUR"/>
    <n v="-1500"/>
    <s v="USD"/>
    <n v="1783.5"/>
    <s v="2026-01-19"/>
    <n v="1.1892"/>
    <n v="0.84089999999999998"/>
    <n v="4.2191999999999998"/>
    <n v="3.6345999999999998"/>
    <n v="153.50909999999999"/>
    <s v="POLAND PL"/>
  </r>
  <r>
    <s v="BKMILL"/>
    <n v="157735"/>
    <n v="218263"/>
    <s v="Forward"/>
    <x v="27"/>
    <s v="Buy Fwd"/>
    <s v="EUR"/>
    <n v="2486.54"/>
    <s v="PLN"/>
    <n v="10491.96"/>
    <s v="2026-01-19"/>
    <n v="4.22"/>
    <n v="0.23699999999999999"/>
    <n v="4.2191999999999998"/>
    <n v="1"/>
    <n v="20983.169568000001"/>
    <s v="POLAND PL"/>
  </r>
  <r>
    <s v="BKMILL"/>
    <n v="157736"/>
    <n v="218264"/>
    <s v="Forward"/>
    <x v="485"/>
    <s v="Sell Fwd"/>
    <s v="EUR"/>
    <n v="-250000"/>
    <s v="PLN"/>
    <n v="1057375"/>
    <s v="2026-01-19"/>
    <n v="4.2294999999999998"/>
    <n v="0.2364"/>
    <n v="4.2191999999999998"/>
    <n v="1"/>
    <n v="2575"/>
    <s v="POLAND PL"/>
  </r>
  <r>
    <s v="BKMILL"/>
    <n v="157737"/>
    <n v="218265"/>
    <s v="Forward"/>
    <x v="70"/>
    <s v="Buy Fwd"/>
    <s v="EUR"/>
    <n v="16824.16"/>
    <s v="PLN"/>
    <n v="70997.960000000006"/>
    <s v="2026-01-19"/>
    <n v="4.22"/>
    <n v="0.23699999999999999"/>
    <n v="4.2191999999999998"/>
    <n v="1"/>
    <n v="141982.45587199999"/>
    <s v="POLAND PL"/>
  </r>
  <r>
    <s v="BKMILL"/>
    <n v="157738"/>
    <n v="218266"/>
    <s v="Forward"/>
    <x v="70"/>
    <s v="Buy Fwd"/>
    <s v="GBP"/>
    <n v="7123.89"/>
    <s v="PLN"/>
    <n v="34657.72"/>
    <s v="2026-01-19"/>
    <n v="4.8650000000000002"/>
    <n v="0.20549999999999999"/>
    <n v="4.8692000000000002"/>
    <n v="1"/>
    <n v="69345.365187999996"/>
    <s v="POLAND PL"/>
  </r>
  <r>
    <s v="BKMILL"/>
    <n v="157739"/>
    <n v="218267"/>
    <s v="Forward"/>
    <x v="486"/>
    <s v="Buy Fwd"/>
    <s v="EUR"/>
    <n v="12037.83"/>
    <s v="USD"/>
    <n v="14000"/>
    <s v="2026-01-19"/>
    <n v="1.1528"/>
    <n v="0.86750000000000005"/>
    <n v="4.2191999999999998"/>
    <n v="3.6345999999999998"/>
    <n v="101674.41233599999"/>
    <s v="POLAND PL"/>
  </r>
  <r>
    <s v="BKMILL"/>
    <n v="157740"/>
    <n v="218269"/>
    <s v="Forward"/>
    <x v="487"/>
    <s v="Sell Fwd"/>
    <s v="GBP"/>
    <n v="-150000"/>
    <s v="PLN"/>
    <n v="731550"/>
    <s v="2026-01-19"/>
    <n v="4.8769999999999998"/>
    <n v="0.20499999999999999"/>
    <n v="4.8692000000000002"/>
    <n v="1"/>
    <n v="1170"/>
    <s v="POLAND PL"/>
  </r>
  <r>
    <s v="BKMILL"/>
    <n v="157741"/>
    <n v="218277"/>
    <s v="Forward"/>
    <x v="401"/>
    <s v="Buy Fwd"/>
    <s v="EUR"/>
    <n v="60000"/>
    <s v="PLN"/>
    <n v="252900"/>
    <s v="2026-01-19"/>
    <n v="4.2149999999999999"/>
    <n v="0.23719999999999999"/>
    <n v="4.2191999999999998"/>
    <n v="1"/>
    <n v="506052"/>
    <s v="POLAND PL"/>
  </r>
  <r>
    <s v="BKMILL"/>
    <n v="157742"/>
    <n v="218282"/>
    <s v="Forward"/>
    <x v="488"/>
    <s v="Sell Fwd"/>
    <s v="EUR"/>
    <n v="-113000"/>
    <s v="PLN"/>
    <n v="477877"/>
    <s v="2026-01-19"/>
    <n v="4.2294"/>
    <n v="0.2364"/>
    <n v="4.2191999999999998"/>
    <n v="1"/>
    <n v="1107.4000000000001"/>
    <s v="POLAND PL"/>
  </r>
  <r>
    <s v="BKMILL"/>
    <n v="157743"/>
    <n v="218284"/>
    <s v="Forward"/>
    <x v="426"/>
    <s v="Sell Fwd"/>
    <s v="EUR"/>
    <n v="-50000"/>
    <s v="PLN"/>
    <n v="211675"/>
    <s v="2026-01-19"/>
    <n v="4.2335000000000003"/>
    <n v="0.23619999999999999"/>
    <n v="4.2191999999999998"/>
    <n v="1"/>
    <n v="715"/>
    <s v="POLAND PL"/>
  </r>
  <r>
    <s v="BKMILL"/>
    <n v="157744"/>
    <n v="218286"/>
    <s v="Forward"/>
    <x v="267"/>
    <s v="Buy Fwd"/>
    <s v="EUR"/>
    <n v="25000"/>
    <s v="PLN"/>
    <n v="105050"/>
    <s v="2026-01-19"/>
    <n v="4.202"/>
    <n v="0.23799999999999999"/>
    <n v="4.2191999999999998"/>
    <n v="1"/>
    <n v="210530"/>
    <s v="POLAND PL"/>
  </r>
  <r>
    <s v="BKMILL"/>
    <n v="157745"/>
    <n v="902758"/>
    <s v="Spot"/>
    <x v="461"/>
    <s v="Buy"/>
    <s v="EUR"/>
    <n v="10000"/>
    <s v="PLN"/>
    <n v="-42162"/>
    <s v="2026-01-21"/>
    <n v="4.2161999999999997"/>
    <n v="0.23719999999999999"/>
    <n v="4.2279"/>
    <n v="1"/>
    <n v="117"/>
    <s v="POLAND PL"/>
  </r>
  <r>
    <s v="BKMILL"/>
    <n v="157747"/>
    <n v="218290"/>
    <s v="Forward"/>
    <x v="160"/>
    <s v="Buy Fwd"/>
    <s v="EUR"/>
    <n v="400000"/>
    <s v="PLN"/>
    <n v="1685600"/>
    <s v="2026-01-19"/>
    <n v="4.2144000000000004"/>
    <n v="0.23730000000000001"/>
    <n v="4.2191999999999998"/>
    <n v="1"/>
    <n v="3373280"/>
    <s v="POLAND PL"/>
  </r>
  <r>
    <s v="BKMILL"/>
    <n v="157748"/>
    <n v="902768"/>
    <s v="Spot"/>
    <x v="489"/>
    <s v="Buy"/>
    <s v="EUR"/>
    <n v="10000"/>
    <s v="PLN"/>
    <n v="-42164"/>
    <s v="2026-01-21"/>
    <n v="4.2164000000000001"/>
    <n v="0.23719999999999999"/>
    <n v="4.2279"/>
    <n v="1"/>
    <n v="115"/>
    <s v="POLAND PL"/>
  </r>
  <r>
    <s v="BKMILL"/>
    <n v="157749"/>
    <n v="218293"/>
    <s v="Forward"/>
    <x v="72"/>
    <s v="Buy Fwd"/>
    <s v="EUR"/>
    <n v="25000"/>
    <s v="PLN"/>
    <n v="105450"/>
    <s v="2026-01-19"/>
    <n v="4.218"/>
    <n v="0.23710000000000001"/>
    <n v="4.2191999999999998"/>
    <n v="1"/>
    <n v="210930"/>
    <s v="POLAND PL"/>
  </r>
  <r>
    <s v="BKMILL"/>
    <n v="157750"/>
    <n v="218295"/>
    <s v="Forward"/>
    <x v="307"/>
    <s v="Sell Fwd"/>
    <s v="EUR"/>
    <n v="-11800"/>
    <s v="PLN"/>
    <n v="49914"/>
    <s v="2026-01-19"/>
    <n v="4.2300000000000004"/>
    <n v="0.2364"/>
    <n v="4.2191999999999998"/>
    <n v="1"/>
    <n v="127.44"/>
    <s v="POLAND PL"/>
  </r>
  <r>
    <s v="BKMILL"/>
    <n v="157751"/>
    <n v="218298"/>
    <s v="Forward"/>
    <x v="78"/>
    <s v="Buy Fwd"/>
    <s v="EUR"/>
    <n v="30000"/>
    <s v="PLN"/>
    <n v="126600"/>
    <s v="2026-01-19"/>
    <n v="4.22"/>
    <n v="0.23699999999999999"/>
    <n v="4.2191999999999998"/>
    <n v="1"/>
    <n v="253176"/>
    <s v="POLAND PL"/>
  </r>
  <r>
    <s v="BKMILL"/>
    <n v="157752"/>
    <n v="218300"/>
    <s v="Forward"/>
    <x v="490"/>
    <s v="Buy Fwd"/>
    <s v="EUR"/>
    <n v="20000"/>
    <s v="PLN"/>
    <n v="84004"/>
    <s v="2026-01-19"/>
    <n v="4.2005999999999997"/>
    <n v="0.23810000000000001"/>
    <n v="4.2191999999999998"/>
    <n v="1"/>
    <n v="168388"/>
    <s v="POLAND PL"/>
  </r>
  <r>
    <s v="BKMILL"/>
    <n v="157754"/>
    <n v="902821"/>
    <s v="Spot"/>
    <x v="40"/>
    <s v="Sell"/>
    <s v="EUR"/>
    <n v="-100000"/>
    <s v="USD"/>
    <n v="116349"/>
    <s v="2026-01-21"/>
    <n v="1.1635"/>
    <n v="0.85950000000000004"/>
    <n v="4.2279"/>
    <n v="3.6053999999999999"/>
    <n v="-3305.3154"/>
    <s v="UNITED STATES OF AMERICA US"/>
  </r>
  <r>
    <s v="BKMILL"/>
    <n v="157759"/>
    <n v="902843"/>
    <s v="Spot"/>
    <x v="50"/>
    <s v="Buy"/>
    <s v="NOK"/>
    <n v="310000"/>
    <s v="PLN"/>
    <n v="-111693"/>
    <s v="2026-01-21"/>
    <n v="0.36030000000000001"/>
    <n v="2.7755000000000001"/>
    <n v="0.35980000000000001"/>
    <n v="1"/>
    <n v="-155"/>
    <s v="POLAND PL"/>
  </r>
  <r>
    <s v="BKMILL"/>
    <n v="157769"/>
    <n v="218323"/>
    <s v="Forward"/>
    <x v="491"/>
    <s v="Sell Fwd"/>
    <s v="USD"/>
    <n v="-20000"/>
    <s v="PLN"/>
    <n v="72920"/>
    <s v="2026-01-19"/>
    <n v="3.6463000000000001"/>
    <n v="0.27429999999999999"/>
    <n v="3.6345999999999998"/>
    <n v="1"/>
    <n v="228"/>
    <s v="POLAND PL"/>
  </r>
  <r>
    <s v="BKMILL"/>
    <n v="157773"/>
    <n v="902938"/>
    <s v="Spot"/>
    <x v="41"/>
    <s v="Sell"/>
    <s v="EUR"/>
    <n v="-500000"/>
    <s v="PLN"/>
    <n v="2112350"/>
    <s v="2026-01-21"/>
    <n v="4.2247000000000003"/>
    <n v="0.23669999999999999"/>
    <n v="4.2279"/>
    <n v="1"/>
    <n v="-1600"/>
    <s v="GERMANY DE"/>
  </r>
  <r>
    <s v="BKMILL"/>
    <n v="157774"/>
    <n v="902943"/>
    <s v="Spot"/>
    <x v="43"/>
    <s v="Sell"/>
    <s v="USD"/>
    <n v="-100000"/>
    <s v="PLN"/>
    <n v="363278"/>
    <s v="2026-01-21"/>
    <n v="3.6328"/>
    <n v="0.27529999999999999"/>
    <n v="3.6053999999999999"/>
    <n v="1"/>
    <n v="2738"/>
    <s v="FRANCE FR"/>
  </r>
  <r>
    <s v="BKMILL"/>
    <n v="157777"/>
    <n v="902988"/>
    <s v="Spot"/>
    <x v="492"/>
    <s v="Buy"/>
    <s v="EUR"/>
    <n v="10000"/>
    <s v="PLN"/>
    <n v="-42185"/>
    <s v="2026-01-21"/>
    <n v="4.2184999999999997"/>
    <n v="0.23710000000000001"/>
    <n v="4.2279"/>
    <n v="1"/>
    <n v="94"/>
    <s v="POLAND PL"/>
  </r>
  <r>
    <s v="BKMILL"/>
    <n v="157779"/>
    <n v="902995"/>
    <s v="Spot"/>
    <x v="56"/>
    <s v="Buy"/>
    <s v="EUR"/>
    <n v="20000"/>
    <s v="PLN"/>
    <n v="-84352"/>
    <s v="2026-01-21"/>
    <n v="4.2176"/>
    <n v="0.23710000000000001"/>
    <n v="4.2279"/>
    <n v="1"/>
    <n v="206"/>
    <s v="POLAND PL"/>
  </r>
  <r>
    <s v="BKMILL"/>
    <n v="157780"/>
    <n v="902996"/>
    <s v="Spot"/>
    <x v="56"/>
    <s v="Buy"/>
    <s v="EUR"/>
    <n v="20000"/>
    <s v="PLN"/>
    <n v="-84352"/>
    <s v="2026-01-21"/>
    <n v="4.2176"/>
    <n v="0.23710000000000001"/>
    <n v="4.2279"/>
    <n v="1"/>
    <n v="206"/>
    <s v="POLAND PL"/>
  </r>
  <r>
    <s v="BKMILL"/>
    <n v="157782"/>
    <n v="903000"/>
    <s v="Spot"/>
    <x v="38"/>
    <s v="Sell"/>
    <s v="EUR"/>
    <n v="-100000"/>
    <s v="GBP"/>
    <n v="86723"/>
    <s v="2026-01-21"/>
    <n v="0.86719999999999997"/>
    <n v="1.1531"/>
    <n v="4.2279"/>
    <n v="4.8582999999999998"/>
    <n v="-1463.6491000000001"/>
    <s v="NETHERLANDS NL"/>
  </r>
  <r>
    <s v="BKMILL"/>
    <n v="157783"/>
    <n v="218332"/>
    <s v="Forward"/>
    <x v="388"/>
    <s v="Buy Fwd"/>
    <s v="EUR"/>
    <n v="115326.95"/>
    <s v="GBP"/>
    <n v="100000"/>
    <s v="2026-01-19"/>
    <n v="0.86399999999999999"/>
    <n v="1.1574"/>
    <n v="4.2191999999999998"/>
    <n v="4.8692000000000002"/>
    <n v="973507.46744000004"/>
    <s v="POLAND PL"/>
  </r>
  <r>
    <s v="BKMILL"/>
    <n v="157784"/>
    <n v="218333"/>
    <s v="Forward"/>
    <x v="261"/>
    <s v="Buy Fwd"/>
    <s v="EUR"/>
    <n v="20000"/>
    <s v="PLN"/>
    <n v="84420"/>
    <s v="2026-01-19"/>
    <n v="4.2214999999999998"/>
    <n v="0.2369"/>
    <n v="4.2191999999999998"/>
    <n v="1"/>
    <n v="168804"/>
    <s v="POLAND PL"/>
  </r>
  <r>
    <s v="BKMILL"/>
    <n v="157785"/>
    <n v="903011"/>
    <s v="Spot"/>
    <x v="38"/>
    <s v="Sell"/>
    <s v="EUR"/>
    <n v="-100000"/>
    <s v="GBP"/>
    <n v="86729"/>
    <s v="2026-01-21"/>
    <n v="0.86729999999999996"/>
    <n v="1.153"/>
    <n v="4.2279"/>
    <n v="4.8582999999999998"/>
    <n v="-1434.4992999999999"/>
    <s v="NETHERLANDS NL"/>
  </r>
  <r>
    <s v="BKMILL"/>
    <n v="157786"/>
    <n v="218339"/>
    <s v="Forward"/>
    <x v="97"/>
    <s v="Sell Fwd"/>
    <s v="EUR"/>
    <n v="-100000"/>
    <s v="PLN"/>
    <n v="423500"/>
    <s v="2026-01-19"/>
    <n v="4.2350000000000003"/>
    <n v="0.2361"/>
    <n v="4.2191999999999998"/>
    <n v="1"/>
    <n v="1580"/>
    <s v="POLAND PL"/>
  </r>
  <r>
    <s v="BKMILL"/>
    <n v="157787"/>
    <n v="218340"/>
    <s v="Forward"/>
    <x v="97"/>
    <s v="Sell Fwd"/>
    <s v="EUR"/>
    <n v="-240000"/>
    <s v="PLN"/>
    <n v="1016400"/>
    <s v="2026-01-19"/>
    <n v="4.2350000000000003"/>
    <n v="0.2361"/>
    <n v="4.2191999999999998"/>
    <n v="1"/>
    <n v="3792"/>
    <s v="POLAND PL"/>
  </r>
  <r>
    <s v="BKMILL"/>
    <n v="157794"/>
    <n v="218348"/>
    <s v="Forward"/>
    <x v="59"/>
    <s v="Buy Fwd"/>
    <s v="EUR"/>
    <n v="15500"/>
    <s v="PLN"/>
    <n v="65301.5"/>
    <s v="2026-01-19"/>
    <n v="4.2130000000000001"/>
    <n v="0.2374"/>
    <n v="4.2191999999999998"/>
    <n v="1"/>
    <n v="130699.1"/>
    <s v="POLAND PL"/>
  </r>
  <r>
    <s v="BKMILL"/>
    <n v="157796"/>
    <n v="218349"/>
    <s v="Forward"/>
    <x v="190"/>
    <s v="Buy Fwd"/>
    <s v="EUR"/>
    <n v="200000"/>
    <s v="PLN"/>
    <n v="844220"/>
    <s v="2026-01-20"/>
    <n v="4.2213000000000003"/>
    <n v="0.2369"/>
    <n v="4.2230999999999996"/>
    <n v="1"/>
    <n v="1688840"/>
    <s v="POLAND PL"/>
  </r>
  <r>
    <s v="BKMILL"/>
    <n v="157798"/>
    <n v="218350"/>
    <s v="Forward"/>
    <x v="190"/>
    <s v="Buy Fwd"/>
    <s v="GBP"/>
    <n v="30000"/>
    <s v="PLN"/>
    <n v="146043"/>
    <s v="2026-01-20"/>
    <n v="4.8681000000000001"/>
    <n v="0.2054"/>
    <n v="4.8704000000000001"/>
    <n v="1"/>
    <n v="292155"/>
    <s v="POLAND PL"/>
  </r>
  <r>
    <s v="BKMILL"/>
    <n v="157799"/>
    <n v="218352"/>
    <s v="Forward"/>
    <x v="30"/>
    <s v="Sell Fwd"/>
    <s v="EUR"/>
    <n v="-30000"/>
    <s v="NOK"/>
    <n v="351501"/>
    <s v="2026-01-19"/>
    <n v="11.717700000000001"/>
    <n v="8.5300000000000001E-2"/>
    <n v="4.2191999999999998"/>
    <n v="0.3599"/>
    <n v="-70.790099999999995"/>
    <s v="POLAND PL"/>
  </r>
  <r>
    <s v="BKMILL"/>
    <n v="157801"/>
    <n v="218354"/>
    <s v="Forward"/>
    <x v="140"/>
    <s v="Buy Fwd"/>
    <s v="USD"/>
    <n v="35000"/>
    <s v="PLN"/>
    <n v="126350"/>
    <s v="2026-01-19"/>
    <n v="3.6103000000000001"/>
    <n v="0.27700000000000002"/>
    <n v="3.6345999999999998"/>
    <n v="1"/>
    <n v="253561"/>
    <s v="POLAND PL"/>
  </r>
  <r>
    <s v="BKMILL"/>
    <n v="157802"/>
    <n v="218357"/>
    <s v="Forward"/>
    <x v="414"/>
    <s v="Sell Fwd"/>
    <s v="EUR"/>
    <n v="-100000"/>
    <s v="PLN"/>
    <n v="423000"/>
    <s v="2026-01-19"/>
    <n v="4.2305000000000001"/>
    <n v="0.2364"/>
    <n v="4.2191999999999998"/>
    <n v="1"/>
    <n v="1080"/>
    <s v="POLAND PL"/>
  </r>
  <r>
    <s v="BKMILL"/>
    <n v="157803"/>
    <n v="218358"/>
    <s v="Forward"/>
    <x v="429"/>
    <s v="Sell Fwd"/>
    <s v="USD"/>
    <n v="-250000"/>
    <s v="PLN"/>
    <n v="907500"/>
    <s v="2026-01-19"/>
    <n v="3.63"/>
    <n v="0.27550000000000002"/>
    <n v="3.6345999999999998"/>
    <n v="1"/>
    <n v="-1150"/>
    <s v="POLAND PL"/>
  </r>
  <r>
    <s v="BKMILL"/>
    <n v="157804"/>
    <n v="903097"/>
    <s v="Spot"/>
    <x v="47"/>
    <s v="Sell"/>
    <s v="USD"/>
    <n v="-500000"/>
    <s v="PLN"/>
    <n v="1815350"/>
    <s v="2026-01-21"/>
    <n v="3.6307"/>
    <n v="0.27539999999999998"/>
    <n v="3.6053999999999999"/>
    <n v="1"/>
    <n v="12650"/>
    <s v="FRANCE FR"/>
  </r>
  <r>
    <s v="BKMILL"/>
    <n v="157805"/>
    <n v="903098"/>
    <s v="Spot"/>
    <x v="40"/>
    <s v="Sell"/>
    <s v="USD"/>
    <n v="-500000"/>
    <s v="PLN"/>
    <n v="1815450"/>
    <s v="2026-01-21"/>
    <n v="3.6309"/>
    <n v="0.27539999999999998"/>
    <n v="3.6053999999999999"/>
    <n v="1"/>
    <n v="12750"/>
    <s v="UNITED STATES OF AMERICA US"/>
  </r>
  <r>
    <s v="BKMILL"/>
    <n v="157806"/>
    <n v="903099"/>
    <s v="Spot"/>
    <x v="44"/>
    <s v="Sell"/>
    <s v="EUR"/>
    <n v="-500000"/>
    <s v="PLN"/>
    <n v="2112300"/>
    <s v="2026-01-21"/>
    <n v="4.2245999999999997"/>
    <n v="0.23669999999999999"/>
    <n v="4.2279"/>
    <n v="1"/>
    <n v="-1650"/>
    <s v="GERMANY DE"/>
  </r>
  <r>
    <s v="BKMILL"/>
    <n v="157807"/>
    <n v="903100"/>
    <s v="Spot"/>
    <x v="44"/>
    <s v="Sell"/>
    <s v="USD"/>
    <n v="-500000"/>
    <s v="PLN"/>
    <n v="1815650"/>
    <s v="2026-01-21"/>
    <n v="3.6313"/>
    <n v="0.27539999999999998"/>
    <n v="3.6053999999999999"/>
    <n v="1"/>
    <n v="12950"/>
    <s v="GERMANY DE"/>
  </r>
  <r>
    <s v="BKMILL"/>
    <n v="157808"/>
    <n v="903102"/>
    <s v="Spot"/>
    <x v="38"/>
    <s v="Sell"/>
    <s v="USD"/>
    <n v="-500000"/>
    <s v="PLN"/>
    <n v="1815715"/>
    <s v="2026-01-21"/>
    <n v="3.6314000000000002"/>
    <n v="0.27539999999999998"/>
    <n v="3.6053999999999999"/>
    <n v="1"/>
    <n v="13015"/>
    <s v="NETHERLANDS NL"/>
  </r>
  <r>
    <s v="BKMILL"/>
    <n v="157809"/>
    <n v="903106"/>
    <s v="Spot"/>
    <x v="38"/>
    <s v="Sell"/>
    <s v="USD"/>
    <n v="-500000"/>
    <s v="PLN"/>
    <n v="1815660"/>
    <s v="2026-01-21"/>
    <n v="3.6313"/>
    <n v="0.27539999999999998"/>
    <n v="3.6053999999999999"/>
    <n v="1"/>
    <n v="12960"/>
    <s v="NETHERLANDS NL"/>
  </r>
  <r>
    <s v="BKMILL"/>
    <n v="157810"/>
    <n v="218360"/>
    <s v="Forward"/>
    <x v="394"/>
    <s v="Buy Fwd"/>
    <s v="EUR"/>
    <n v="12000"/>
    <s v="PLN"/>
    <n v="50568"/>
    <s v="2026-01-19"/>
    <n v="4.2145000000000001"/>
    <n v="0.23730000000000001"/>
    <n v="4.2191999999999998"/>
    <n v="1"/>
    <n v="101198.39999999999"/>
    <s v="POLAND PL"/>
  </r>
  <r>
    <s v="BKMILL"/>
    <n v="157811"/>
    <n v="903110"/>
    <s v="Spot"/>
    <x v="38"/>
    <s v="Sell"/>
    <s v="EUR"/>
    <n v="-500000"/>
    <s v="PLN"/>
    <n v="2112105"/>
    <s v="2026-01-21"/>
    <n v="4.2241999999999997"/>
    <n v="0.23669999999999999"/>
    <n v="4.2279"/>
    <n v="1"/>
    <n v="-1845"/>
    <s v="NETHERLANDS NL"/>
  </r>
  <r>
    <s v="BKMILL"/>
    <n v="157812"/>
    <n v="903111"/>
    <s v="Spot"/>
    <x v="38"/>
    <s v="Sell"/>
    <s v="EUR"/>
    <n v="-500000"/>
    <s v="PLN"/>
    <n v="2112125"/>
    <s v="2026-01-21"/>
    <n v="4.2241999999999997"/>
    <n v="0.23669999999999999"/>
    <n v="4.2279"/>
    <n v="1"/>
    <n v="-1825"/>
    <s v="NETHERLANDS NL"/>
  </r>
  <r>
    <s v="BKMILL"/>
    <n v="157813"/>
    <n v="218361"/>
    <s v="Forward"/>
    <x v="493"/>
    <s v="Buy Fwd"/>
    <s v="EUR"/>
    <n v="1000000"/>
    <s v="PLN"/>
    <n v="4220000"/>
    <s v="2026-01-19"/>
    <n v="4.22"/>
    <n v="0.23699999999999999"/>
    <n v="4.2191999999999998"/>
    <n v="1"/>
    <n v="8439200"/>
    <s v="POLAND PL"/>
  </r>
  <r>
    <s v="BKMILL"/>
    <n v="157815"/>
    <n v="903128"/>
    <s v="Spot"/>
    <x v="36"/>
    <s v="Sell"/>
    <s v="EUR"/>
    <n v="-132716.04999999999"/>
    <s v="PLN"/>
    <n v="560457.22"/>
    <s v="2026-01-21"/>
    <n v="4.2229999999999999"/>
    <n v="0.23680000000000001"/>
    <n v="4.2279"/>
    <n v="1"/>
    <n v="-652.96779500000002"/>
    <s v="UNITED KINGDOM GB"/>
  </r>
  <r>
    <s v="BKMILL"/>
    <n v="157816"/>
    <n v="903130"/>
    <s v="Spot"/>
    <x v="43"/>
    <s v="Sell"/>
    <s v="EUR"/>
    <n v="-101780.82"/>
    <s v="PLN"/>
    <n v="429889.61"/>
    <s v="2026-01-21"/>
    <n v="4.2237"/>
    <n v="0.23680000000000001"/>
    <n v="4.2279"/>
    <n v="1"/>
    <n v="-429.51887799999997"/>
    <s v="FRANCE FR"/>
  </r>
  <r>
    <s v="BKMILL"/>
    <n v="157817"/>
    <n v="903131"/>
    <s v="Spot"/>
    <x v="40"/>
    <s v="Sell"/>
    <s v="CHF"/>
    <n v="-2513.89"/>
    <s v="PLN"/>
    <n v="11435.59"/>
    <s v="2026-01-21"/>
    <n v="4.5490000000000004"/>
    <n v="0.2198"/>
    <n v="4.5608000000000004"/>
    <n v="1"/>
    <n v="-29.759512000000001"/>
    <s v="UNITED STATES OF AMERICA US"/>
  </r>
  <r>
    <s v="BKMILL"/>
    <n v="157818"/>
    <n v="903132"/>
    <s v="Spot"/>
    <x v="41"/>
    <s v="Sell"/>
    <s v="GBP"/>
    <n v="-2259.94"/>
    <s v="PLN"/>
    <n v="11009.07"/>
    <s v="2026-01-21"/>
    <n v="4.8714000000000004"/>
    <n v="0.20530000000000001"/>
    <n v="4.8582999999999998"/>
    <n v="1"/>
    <n v="29.603497999999998"/>
    <s v="GERMANY DE"/>
  </r>
  <r>
    <s v="BKMILL"/>
    <n v="157819"/>
    <n v="903133"/>
    <s v="Spot"/>
    <x v="40"/>
    <s v="Sell"/>
    <s v="USD"/>
    <n v="-11169.27"/>
    <s v="PLN"/>
    <n v="40518.089999999997"/>
    <s v="2026-01-21"/>
    <n v="3.6276000000000002"/>
    <n v="0.2757"/>
    <n v="3.6053999999999999"/>
    <n v="1"/>
    <n v="248.403942"/>
    <s v="UNITED STATES OF AMERICA US"/>
  </r>
  <r>
    <s v="BKMILL"/>
    <n v="157820"/>
    <n v="903134"/>
    <s v="Spot"/>
    <x v="41"/>
    <s v="Sell"/>
    <s v="EUR"/>
    <n v="-24290.47"/>
    <s v="PLN"/>
    <n v="102588.37"/>
    <s v="2026-01-21"/>
    <n v="4.2233999999999998"/>
    <n v="0.23680000000000001"/>
    <n v="4.2279"/>
    <n v="1"/>
    <n v="-109.30811300000001"/>
    <s v="GERMANY DE"/>
  </r>
  <r>
    <s v="BKMILL"/>
    <n v="157821"/>
    <n v="903140"/>
    <s v="Spot"/>
    <x v="40"/>
    <s v="Sell"/>
    <s v="EUR"/>
    <n v="-100496.82"/>
    <s v="PLN"/>
    <n v="424493.54"/>
    <s v="2026-01-21"/>
    <n v="4.2240000000000002"/>
    <n v="0.23669999999999999"/>
    <n v="4.2279"/>
    <n v="1"/>
    <n v="-396.96527800000001"/>
    <s v="UNITED STATES OF AMERICA US"/>
  </r>
  <r>
    <s v="BKMILL"/>
    <n v="157822"/>
    <n v="903142"/>
    <s v="Spot"/>
    <x v="40"/>
    <s v="Sell"/>
    <s v="EUR"/>
    <n v="-100042.58"/>
    <s v="PLN"/>
    <n v="422591.86"/>
    <s v="2026-01-21"/>
    <n v="4.2241"/>
    <n v="0.23669999999999999"/>
    <n v="4.2279"/>
    <n v="1"/>
    <n v="-378.16398199999998"/>
    <s v="UNITED STATES OF AMERICA US"/>
  </r>
  <r>
    <s v="BKMILL"/>
    <n v="157823"/>
    <n v="903144"/>
    <s v="Spot"/>
    <x v="41"/>
    <s v="Sell"/>
    <s v="EUR"/>
    <n v="-100228.11"/>
    <s v="PLN"/>
    <n v="423313.42"/>
    <s v="2026-01-21"/>
    <n v="4.2234999999999996"/>
    <n v="0.23680000000000001"/>
    <n v="4.2279"/>
    <n v="1"/>
    <n v="-441.00626899999997"/>
    <s v="GERMANY DE"/>
  </r>
  <r>
    <s v="BKMILL"/>
    <n v="157824"/>
    <n v="903145"/>
    <s v="Spot"/>
    <x v="41"/>
    <s v="Sell"/>
    <s v="USD"/>
    <n v="-113882.93"/>
    <s v="PLN"/>
    <n v="412985.06"/>
    <s v="2026-01-21"/>
    <n v="3.6263999999999998"/>
    <n v="0.27579999999999999"/>
    <n v="3.6053999999999999"/>
    <n v="1"/>
    <n v="2391.5441780000001"/>
    <s v="GERMANY DE"/>
  </r>
  <r>
    <s v="BKMILL"/>
    <n v="157825"/>
    <n v="218364"/>
    <s v="Forward"/>
    <x v="42"/>
    <s v="Buy Fwd"/>
    <s v="EUR"/>
    <n v="20000"/>
    <s v="PLN"/>
    <n v="84481"/>
    <s v="2026-01-20"/>
    <n v="4.2243000000000004"/>
    <n v="0.23669999999999999"/>
    <n v="4.2230999999999996"/>
    <n v="1"/>
    <n v="168943"/>
    <s v="SWITZERLAND CH"/>
  </r>
  <r>
    <s v="BKMILL"/>
    <n v="157826"/>
    <n v="218365"/>
    <s v="Forward"/>
    <x v="494"/>
    <s v="Sell Fwd"/>
    <s v="EUR"/>
    <n v="-20000"/>
    <s v="PLN"/>
    <n v="84582"/>
    <s v="2026-01-20"/>
    <n v="4.2293000000000003"/>
    <n v="0.2364"/>
    <n v="4.2230999999999996"/>
    <n v="1"/>
    <n v="120"/>
    <s v="POLAND PL"/>
  </r>
  <r>
    <s v="BKMILL"/>
    <n v="157827"/>
    <n v="903152"/>
    <s v="Spot"/>
    <x v="40"/>
    <s v="Sell"/>
    <s v="EUR"/>
    <n v="-100066.38"/>
    <s v="PLN"/>
    <n v="422616.35"/>
    <s v="2026-01-21"/>
    <n v="4.2233999999999998"/>
    <n v="0.23680000000000001"/>
    <n v="4.2279"/>
    <n v="1"/>
    <n v="-454.298002"/>
    <s v="UNITED STATES OF AMERICA US"/>
  </r>
  <r>
    <s v="BKMILL"/>
    <n v="157828"/>
    <n v="903153"/>
    <s v="Spot"/>
    <x v="40"/>
    <s v="Sell"/>
    <s v="GBP"/>
    <n v="-26871.79"/>
    <s v="PLN"/>
    <n v="130862.93"/>
    <s v="2026-01-21"/>
    <n v="4.8699000000000003"/>
    <n v="0.20530000000000001"/>
    <n v="4.8582999999999998"/>
    <n v="1"/>
    <n v="311.71264300000001"/>
    <s v="UNITED STATES OF AMERICA US"/>
  </r>
  <r>
    <s v="BKMILL"/>
    <n v="157829"/>
    <n v="903154"/>
    <s v="Spot"/>
    <x v="40"/>
    <s v="Sell"/>
    <s v="USD"/>
    <n v="-12336.06"/>
    <s v="PLN"/>
    <n v="44746.47"/>
    <s v="2026-01-21"/>
    <n v="3.6273"/>
    <n v="0.2757"/>
    <n v="3.6053999999999999"/>
    <n v="1"/>
    <n v="270.03927599999997"/>
    <s v="UNITED STATES OF AMERICA US"/>
  </r>
  <r>
    <s v="BKMILL"/>
    <n v="157830"/>
    <n v="903155"/>
    <s v="Spot"/>
    <x v="40"/>
    <s v="Buy"/>
    <s v="CHF"/>
    <n v="2295.29"/>
    <s v="PLN"/>
    <n v="-10443.66"/>
    <s v="2026-01-21"/>
    <n v="4.55"/>
    <n v="0.2198"/>
    <n v="4.5608000000000004"/>
    <n v="1"/>
    <n v="24.698632"/>
    <s v="UNITED STATES OF AMERICA US"/>
  </r>
  <r>
    <s v="BKMILL"/>
    <n v="157831"/>
    <n v="903156"/>
    <s v="Spot"/>
    <x v="40"/>
    <s v="Sell"/>
    <s v="EUR"/>
    <n v="-9179.6200000000008"/>
    <s v="PLN"/>
    <n v="38769.019999999997"/>
    <s v="2026-01-21"/>
    <n v="4.2233999999999998"/>
    <n v="0.23680000000000001"/>
    <n v="4.2279"/>
    <n v="1"/>
    <n v="-41.495398000000002"/>
    <s v="UNITED STATES OF AMERICA US"/>
  </r>
  <r>
    <s v="BKMILL"/>
    <n v="157832"/>
    <n v="218366"/>
    <s v="Forward"/>
    <x v="41"/>
    <s v="Sell Fwd"/>
    <s v="EUR"/>
    <n v="-30000"/>
    <s v="PLN"/>
    <n v="126689.12"/>
    <s v="2026-01-20"/>
    <n v="4.2232000000000003"/>
    <n v="0.23680000000000001"/>
    <n v="4.2230999999999996"/>
    <n v="1"/>
    <n v="-3.88"/>
    <s v="GERMANY DE"/>
  </r>
  <r>
    <s v="BKMILL"/>
    <n v="157833"/>
    <n v="218367"/>
    <s v="Forward"/>
    <x v="495"/>
    <s v="Buy Fwd"/>
    <s v="EUR"/>
    <n v="30000"/>
    <s v="PLN"/>
    <n v="126348"/>
    <s v="2026-01-20"/>
    <n v="4.2119"/>
    <n v="0.2374"/>
    <n v="4.2230999999999996"/>
    <n v="1"/>
    <n v="253041"/>
    <s v="POLAND PL"/>
  </r>
  <r>
    <s v="BKMILL"/>
    <n v="157834"/>
    <n v="903166"/>
    <s v="Spot"/>
    <x v="41"/>
    <s v="Sell"/>
    <s v="USD"/>
    <n v="-16421.91"/>
    <s v="PLN"/>
    <n v="59527.78"/>
    <s v="2026-01-22"/>
    <n v="3.6248999999999998"/>
    <n v="0.27589999999999998"/>
    <n v="3.6118000000000001"/>
    <n v="1"/>
    <n v="215.125462"/>
    <s v="GERMANY DE"/>
  </r>
  <r>
    <s v="BKMILL"/>
    <n v="157835"/>
    <n v="903167"/>
    <s v="Spot"/>
    <x v="41"/>
    <s v="Sell"/>
    <s v="CHF"/>
    <n v="-9320.7900000000009"/>
    <s v="PLN"/>
    <n v="42351.81"/>
    <s v="2026-01-22"/>
    <n v="4.5438000000000001"/>
    <n v="0.22009999999999999"/>
    <n v="4.5552999999999999"/>
    <n v="1"/>
    <n v="-107.184687"/>
    <s v="GERMANY DE"/>
  </r>
  <r>
    <s v="BKMILL"/>
    <n v="157836"/>
    <n v="903168"/>
    <s v="Spot"/>
    <x v="41"/>
    <s v="Sell"/>
    <s v="EUR"/>
    <n v="-57179.38"/>
    <s v="PLN"/>
    <n v="241399.91"/>
    <s v="2026-01-22"/>
    <n v="4.2218"/>
    <n v="0.2369"/>
    <n v="4.2271000000000001"/>
    <n v="1"/>
    <n v="-303.04719799999998"/>
    <s v="GERMANY DE"/>
  </r>
  <r>
    <s v="BKMILL"/>
    <n v="157837"/>
    <n v="903169"/>
    <s v="Spot"/>
    <x v="43"/>
    <s v="Sell"/>
    <s v="GBP"/>
    <n v="-7976.47"/>
    <s v="PLN"/>
    <n v="38800.5"/>
    <s v="2026-01-22"/>
    <n v="4.8643999999999998"/>
    <n v="0.2056"/>
    <n v="4.8433999999999999"/>
    <n v="1"/>
    <n v="167.26520199999999"/>
    <s v="FRANCE FR"/>
  </r>
  <r>
    <s v="BKMILL"/>
    <n v="157838"/>
    <n v="218368"/>
    <s v="Forward"/>
    <x v="55"/>
    <s v="Buy Fwd"/>
    <s v="EUR"/>
    <n v="2500"/>
    <s v="PLN"/>
    <n v="10559.23"/>
    <s v="2026-01-20"/>
    <n v="4.2240000000000002"/>
    <n v="0.23669999999999999"/>
    <n v="4.2230999999999996"/>
    <n v="1"/>
    <n v="21116.98"/>
    <s v="SPAIN ES"/>
  </r>
  <r>
    <s v="BKMILL"/>
    <n v="157839"/>
    <n v="903178"/>
    <s v="Spot"/>
    <x v="43"/>
    <s v="Sell"/>
    <s v="EUR"/>
    <n v="-67642"/>
    <s v="PLN"/>
    <n v="285685.31"/>
    <s v="2026-01-22"/>
    <n v="4.2234999999999996"/>
    <n v="0.23680000000000001"/>
    <n v="4.2271000000000001"/>
    <n v="1"/>
    <n v="-244.18819999999999"/>
    <s v="FRANCE FR"/>
  </r>
  <r>
    <s v="BKMILL"/>
    <n v="157840"/>
    <n v="903179"/>
    <s v="Spot"/>
    <x v="43"/>
    <s v="Sell"/>
    <s v="USD"/>
    <n v="-2304.5700000000002"/>
    <s v="PLN"/>
    <n v="8343.2099999999991"/>
    <s v="2026-01-22"/>
    <n v="3.6202999999999999"/>
    <n v="0.2762"/>
    <n v="3.6118000000000001"/>
    <n v="1"/>
    <n v="19.564074000000002"/>
    <s v="FRANCE FR"/>
  </r>
  <r>
    <s v="BKMILL"/>
    <n v="157841"/>
    <n v="903180"/>
    <s v="Spot"/>
    <x v="41"/>
    <s v="Sell"/>
    <s v="GBP"/>
    <n v="-220.91"/>
    <s v="PLN"/>
    <n v="1074.8800000000001"/>
    <s v="2026-01-22"/>
    <n v="4.8657000000000004"/>
    <n v="0.20549999999999999"/>
    <n v="4.8433999999999999"/>
    <n v="1"/>
    <n v="4.924506"/>
    <s v="GERMANY DE"/>
  </r>
  <r>
    <s v="BKMILL"/>
    <n v="157842"/>
    <n v="903181"/>
    <s v="Spot"/>
    <x v="41"/>
    <s v="Sell"/>
    <s v="CHF"/>
    <n v="-655.07000000000005"/>
    <s v="PLN"/>
    <n v="2978.41"/>
    <s v="2026-01-22"/>
    <n v="4.5467000000000004"/>
    <n v="0.21990000000000001"/>
    <n v="4.5552999999999999"/>
    <n v="1"/>
    <n v="-5.6303710000000002"/>
    <s v="GERMANY DE"/>
  </r>
  <r>
    <s v="BKMILL"/>
    <n v="157843"/>
    <n v="218370"/>
    <s v="Forward"/>
    <x v="41"/>
    <s v="Sell Fwd"/>
    <s v="EUR"/>
    <n v="-1677"/>
    <s v="PLN"/>
    <n v="7080.69"/>
    <s v="2026-01-20"/>
    <n v="4.2228000000000003"/>
    <n v="0.23680000000000001"/>
    <n v="4.2230999999999996"/>
    <n v="1"/>
    <n v="-1.4487000000000001"/>
    <s v="GERMANY DE"/>
  </r>
  <r>
    <s v="BKMILL"/>
    <n v="157844"/>
    <n v="903190"/>
    <s v="Spot"/>
    <x v="43"/>
    <s v="Sell"/>
    <s v="EUR"/>
    <n v="-106328.15"/>
    <s v="PLN"/>
    <n v="449095.02"/>
    <s v="2026-01-22"/>
    <n v="4.2237"/>
    <n v="0.23680000000000001"/>
    <n v="4.2271000000000001"/>
    <n v="1"/>
    <n v="-364.70286499999997"/>
    <s v="FRANCE FR"/>
  </r>
  <r>
    <s v="BKMILL"/>
    <n v="157845"/>
    <n v="218372"/>
    <s v="Forward"/>
    <x v="55"/>
    <s v="Buy Fwd"/>
    <s v="EUR"/>
    <n v="5800"/>
    <s v="PLN"/>
    <n v="24498.35"/>
    <s v="2026-01-20"/>
    <n v="4.2241999999999997"/>
    <n v="0.23669999999999999"/>
    <n v="4.2230999999999996"/>
    <n v="1"/>
    <n v="48992.33"/>
    <s v="SPAIN ES"/>
  </r>
  <r>
    <s v="BKMILL"/>
    <n v="157846"/>
    <n v="218374"/>
    <s v="Forward"/>
    <x v="131"/>
    <s v="Sell Fwd"/>
    <s v="USD"/>
    <n v="-27263.5"/>
    <s v="PLN"/>
    <n v="98876.54"/>
    <s v="2026-01-20"/>
    <n v="3.6267999999999998"/>
    <n v="0.2757"/>
    <n v="3.6345999999999998"/>
    <n v="1"/>
    <n v="-215.37710000000001"/>
    <s v="POLAND PL"/>
  </r>
  <r>
    <s v="BKMILL"/>
    <n v="157847"/>
    <n v="218375"/>
    <s v="Forward"/>
    <x v="40"/>
    <s v="Buy Fwd"/>
    <s v="USD"/>
    <n v="27263.5"/>
    <s v="PLN"/>
    <n v="98753.71"/>
    <s v="2026-01-20"/>
    <n v="3.6221999999999999"/>
    <n v="0.27610000000000001"/>
    <n v="3.6345999999999998"/>
    <n v="1"/>
    <n v="197845.62710000001"/>
    <s v="UNITED STATES OF AMERICA US"/>
  </r>
  <r>
    <s v="BKMILL"/>
    <n v="157848"/>
    <n v="218376"/>
    <s v="Forward"/>
    <x v="40"/>
    <s v="Sell Fwd"/>
    <s v="EUR"/>
    <n v="-6400"/>
    <s v="USD"/>
    <n v="7466.76"/>
    <s v="2026-01-20"/>
    <n v="1.1668000000000001"/>
    <n v="0.85709999999999997"/>
    <n v="4.2230999999999996"/>
    <n v="3.6345999999999998"/>
    <n v="110.845896"/>
    <s v="UNITED STATES OF AMERICA US"/>
  </r>
  <r>
    <s v="BKMILL"/>
    <n v="157849"/>
    <n v="218378"/>
    <s v="Forward"/>
    <x v="40"/>
    <s v="Sell Fwd"/>
    <s v="EUR"/>
    <n v="-5000"/>
    <s v="PLN"/>
    <n v="21116"/>
    <s v="2026-01-20"/>
    <n v="4.2237"/>
    <n v="0.23680000000000001"/>
    <n v="4.2230999999999996"/>
    <n v="1"/>
    <n v="0.5"/>
    <s v="UNITED STATES OF AMERICA US"/>
  </r>
  <r>
    <s v="BKMILL"/>
    <n v="157850"/>
    <n v="218381"/>
    <s v="Forward"/>
    <x v="40"/>
    <s v="Buy Fwd"/>
    <s v="EUR"/>
    <n v="1333"/>
    <s v="PLN"/>
    <n v="5631"/>
    <s v="2026-01-20"/>
    <n v="4.2247000000000003"/>
    <n v="0.23669999999999999"/>
    <n v="4.2230999999999996"/>
    <n v="1"/>
    <n v="11260.3923"/>
    <s v="UNITED STATES OF AMERICA US"/>
  </r>
  <r>
    <s v="BKMILL"/>
    <n v="157851"/>
    <n v="218382"/>
    <s v="Forward"/>
    <x v="40"/>
    <s v="Sell Fwd"/>
    <s v="EUR"/>
    <n v="-20000"/>
    <s v="PLN"/>
    <n v="84461.37"/>
    <s v="2026-01-20"/>
    <n v="4.2234999999999996"/>
    <n v="0.23680000000000001"/>
    <n v="4.2230999999999996"/>
    <n v="1"/>
    <n v="-0.63"/>
    <s v="UNITED STATES OF AMERICA US"/>
  </r>
  <r>
    <s v="BKMILL"/>
    <n v="157852"/>
    <n v="903217"/>
    <s v="Spot"/>
    <x v="36"/>
    <s v="Buy"/>
    <s v="USD"/>
    <n v="8128.21"/>
    <s v="PLN"/>
    <n v="-29421.599999999999"/>
    <s v="2026-01-22"/>
    <n v="3.6196999999999999"/>
    <n v="0.27629999999999999"/>
    <n v="3.6118000000000001"/>
    <n v="1"/>
    <n v="-64.131122000000005"/>
    <s v="UNITED KINGDOM GB"/>
  </r>
  <r>
    <s v="BKMILL"/>
    <n v="157853"/>
    <n v="903218"/>
    <s v="Spot"/>
    <x v="36"/>
    <s v="Buy"/>
    <s v="GBP"/>
    <n v="1382.19"/>
    <s v="PLN"/>
    <n v="-6720.65"/>
    <s v="2026-01-22"/>
    <n v="4.8623000000000003"/>
    <n v="0.20569999999999999"/>
    <n v="4.8433999999999999"/>
    <n v="1"/>
    <n v="-26.150953999999999"/>
    <s v="UNITED KINGDOM GB"/>
  </r>
  <r>
    <s v="BKMILL"/>
    <n v="157854"/>
    <n v="903219"/>
    <s v="Spot"/>
    <x v="36"/>
    <s v="Sell"/>
    <s v="EUR"/>
    <n v="-70121.350000000006"/>
    <s v="PLN"/>
    <n v="296114.75"/>
    <s v="2026-01-22"/>
    <n v="4.2229000000000001"/>
    <n v="0.23680000000000001"/>
    <n v="4.2271000000000001"/>
    <n v="1"/>
    <n v="-295.20858500000003"/>
    <s v="UNITED KINGDOM GB"/>
  </r>
  <r>
    <s v="BKMILL"/>
    <n v="157855"/>
    <n v="218385"/>
    <s v="Forward"/>
    <x v="36"/>
    <s v="Buy Fwd"/>
    <s v="EUR"/>
    <n v="62000"/>
    <s v="PLN"/>
    <n v="261816.64"/>
    <s v="2026-01-20"/>
    <n v="4.2232000000000003"/>
    <n v="0.23680000000000001"/>
    <n v="4.2230999999999996"/>
    <n v="1"/>
    <n v="523648.84"/>
    <s v="UNITED KINGDOM GB"/>
  </r>
  <r>
    <s v="BKMILL"/>
    <n v="157856"/>
    <n v="218386"/>
    <s v="Forward"/>
    <x v="36"/>
    <s v="Sell Fwd"/>
    <s v="EUR"/>
    <n v="-30000"/>
    <s v="PLN"/>
    <n v="126652.2"/>
    <s v="2026-01-20"/>
    <n v="4.2222999999999997"/>
    <n v="0.23680000000000001"/>
    <n v="4.2230999999999996"/>
    <n v="1"/>
    <n v="-40.799999999999997"/>
    <s v="UNITED KINGDOM GB"/>
  </r>
  <r>
    <s v="BKMILL"/>
    <n v="157857"/>
    <n v="218388"/>
    <s v="Forward"/>
    <x v="36"/>
    <s v="Buy Fwd"/>
    <s v="EUR"/>
    <n v="28724.19"/>
    <s v="PLN"/>
    <n v="121292.75"/>
    <s v="2026-01-20"/>
    <n v="4.2229999999999999"/>
    <n v="0.23680000000000001"/>
    <n v="4.2230999999999996"/>
    <n v="1"/>
    <n v="242597.876789"/>
    <s v="UNITED KINGDOM GB"/>
  </r>
  <r>
    <s v="BKMILL"/>
    <n v="157858"/>
    <n v="218390"/>
    <s v="Forward"/>
    <x v="42"/>
    <s v="Sell Fwd"/>
    <s v="EUR"/>
    <n v="-12000"/>
    <s v="PLN"/>
    <n v="50671.32"/>
    <s v="2026-01-20"/>
    <n v="4.2232000000000003"/>
    <n v="0.23680000000000001"/>
    <n v="4.2230999999999996"/>
    <n v="1"/>
    <n v="-5.88"/>
    <s v="SWITZERLAND CH"/>
  </r>
  <r>
    <s v="BKMILL"/>
    <n v="157859"/>
    <n v="218392"/>
    <s v="Forward"/>
    <x v="42"/>
    <s v="Sell Fwd"/>
    <s v="EUR"/>
    <n v="-37716.32"/>
    <s v="PLN"/>
    <n v="159286.92000000001"/>
    <s v="2026-01-20"/>
    <n v="4.2237999999999998"/>
    <n v="0.23680000000000001"/>
    <n v="4.2230999999999996"/>
    <n v="1"/>
    <n v="7.1290079999999998"/>
    <s v="SWITZERLAND CH"/>
  </r>
  <r>
    <s v="BKMILL"/>
    <n v="157860"/>
    <n v="218394"/>
    <s v="Forward"/>
    <x v="36"/>
    <s v="Buy Fwd"/>
    <s v="USD"/>
    <n v="25000"/>
    <s v="PLN"/>
    <n v="90459.199999999997"/>
    <s v="2026-01-20"/>
    <n v="3.6183999999999998"/>
    <n v="0.27639999999999998"/>
    <n v="3.6345999999999998"/>
    <n v="1"/>
    <n v="181324.2"/>
    <s v="UNITED KINGDOM GB"/>
  </r>
  <r>
    <s v="BKMILL"/>
    <n v="157861"/>
    <n v="218395"/>
    <s v="Forward"/>
    <x v="26"/>
    <s v="Sell Fwd"/>
    <s v="USD"/>
    <n v="-25000"/>
    <s v="PLN"/>
    <n v="90585"/>
    <s v="2026-01-20"/>
    <n v="3.6234000000000002"/>
    <n v="0.27600000000000002"/>
    <n v="3.6345999999999998"/>
    <n v="1"/>
    <n v="-280"/>
    <s v="POLAND PL"/>
  </r>
  <r>
    <s v="BKMILL"/>
    <n v="157862"/>
    <n v="218402"/>
    <s v="Forward"/>
    <x v="230"/>
    <s v="Sell Fwd"/>
    <s v="EUR"/>
    <n v="-2000"/>
    <s v="PLN"/>
    <n v="8480"/>
    <s v="2026-01-20"/>
    <n v="4.2401"/>
    <n v="0.23580000000000001"/>
    <n v="4.2230999999999996"/>
    <n v="1"/>
    <n v="33.799999999999997"/>
    <s v="POLAND PL"/>
  </r>
  <r>
    <s v="BKMILL"/>
    <n v="157865"/>
    <n v="218411"/>
    <s v="Forward"/>
    <x v="102"/>
    <s v="Sell Fwd"/>
    <s v="EUR"/>
    <n v="-25000"/>
    <s v="PLN"/>
    <n v="105625"/>
    <s v="2026-01-20"/>
    <n v="4.2253999999999996"/>
    <n v="0.23669999999999999"/>
    <n v="4.2230999999999996"/>
    <n v="1"/>
    <n v="47.5"/>
    <s v="POLAND PL"/>
  </r>
  <r>
    <s v="BKMILL"/>
    <n v="157866"/>
    <n v="218412"/>
    <s v="Forward"/>
    <x v="102"/>
    <s v="Sell Fwd"/>
    <s v="EUR"/>
    <n v="-15000"/>
    <s v="PLN"/>
    <n v="63375"/>
    <s v="2026-01-20"/>
    <n v="4.2253999999999996"/>
    <n v="0.23669999999999999"/>
    <n v="4.2230999999999996"/>
    <n v="1"/>
    <n v="28.5"/>
    <s v="POLAND PL"/>
  </r>
  <r>
    <s v="BKMILL"/>
    <n v="157868"/>
    <n v="903326"/>
    <s v="Spot"/>
    <x v="45"/>
    <s v="Buy"/>
    <s v="EUR"/>
    <n v="100000"/>
    <s v="CHF"/>
    <n v="-92754"/>
    <s v="2026-01-22"/>
    <n v="0.92749999999999999"/>
    <n v="1.0781000000000001"/>
    <n v="4.2271000000000001"/>
    <n v="4.5552999999999999"/>
    <n v="187.7038"/>
    <s v="SWITZERLAND CH"/>
  </r>
  <r>
    <s v="BKMILL"/>
    <n v="157869"/>
    <n v="218420"/>
    <s v="Forward"/>
    <x v="154"/>
    <s v="Sell Fwd"/>
    <s v="USD"/>
    <n v="-100000"/>
    <s v="PLN"/>
    <n v="362500"/>
    <s v="2026-01-20"/>
    <n v="3.625"/>
    <n v="0.27589999999999998"/>
    <n v="3.6345999999999998"/>
    <n v="1"/>
    <n v="-960"/>
    <s v="POLAND PL"/>
  </r>
  <r>
    <s v="BKMILL"/>
    <n v="157870"/>
    <n v="218426"/>
    <s v="Forward"/>
    <x v="102"/>
    <s v="Sell Fwd"/>
    <s v="EUR"/>
    <n v="-26000"/>
    <s v="PLN"/>
    <n v="109870.8"/>
    <s v="2026-01-20"/>
    <n v="4.2262000000000004"/>
    <n v="0.2366"/>
    <n v="4.2230999999999996"/>
    <n v="1"/>
    <n v="70.2"/>
    <s v="POLAND PL"/>
  </r>
  <r>
    <s v="BKMILL"/>
    <n v="157871"/>
    <n v="218427"/>
    <s v="Forward"/>
    <x v="102"/>
    <s v="Sell Fwd"/>
    <s v="EUR"/>
    <n v="-64000"/>
    <s v="PLN"/>
    <n v="270451.20000000001"/>
    <s v="2026-01-20"/>
    <n v="4.2262000000000004"/>
    <n v="0.2366"/>
    <n v="4.2230999999999996"/>
    <n v="1"/>
    <n v="172.8"/>
    <s v="POLAND PL"/>
  </r>
  <r>
    <s v="BKMILL"/>
    <n v="157872"/>
    <n v="218433"/>
    <s v="Forward"/>
    <x v="62"/>
    <s v="Sell Fwd"/>
    <s v="EUR"/>
    <n v="-565000"/>
    <s v="PLN"/>
    <n v="2390797.5"/>
    <s v="2026-01-20"/>
    <n v="4.2320000000000002"/>
    <n v="0.23630000000000001"/>
    <n v="4.2230999999999996"/>
    <n v="1"/>
    <n v="4746"/>
    <s v="POLAND PL"/>
  </r>
  <r>
    <s v="BKMILL"/>
    <n v="157873"/>
    <n v="903385"/>
    <s v="Spot"/>
    <x v="91"/>
    <s v="Sell"/>
    <s v="CNY"/>
    <n v="-30000000"/>
    <s v="PLN"/>
    <n v="15597000"/>
    <s v="2026-01-22"/>
    <n v="0.51990000000000003"/>
    <n v="1.9234"/>
    <n v="0.51859999999999995"/>
    <n v="1"/>
    <n v="39000"/>
    <s v="POLAND PL"/>
  </r>
  <r>
    <s v="BKMILL"/>
    <n v="157874"/>
    <n v="903401"/>
    <s v="Spot"/>
    <x v="41"/>
    <s v="Buy"/>
    <s v="EUR"/>
    <n v="500000"/>
    <s v="PLN"/>
    <n v="-2113000"/>
    <s v="2026-01-22"/>
    <n v="4.226"/>
    <n v="0.2366"/>
    <n v="4.2271000000000001"/>
    <n v="1"/>
    <n v="550"/>
    <s v="GERMANY DE"/>
  </r>
  <r>
    <s v="BKMILL"/>
    <n v="157875"/>
    <n v="218441"/>
    <s v="Forward"/>
    <x v="247"/>
    <s v="Sell Fwd"/>
    <s v="NOK"/>
    <n v="-57000"/>
    <s v="PLN"/>
    <n v="20571.3"/>
    <s v="2026-01-20"/>
    <n v="0.3609"/>
    <n v="2.7709000000000001"/>
    <n v="0.36009999999999998"/>
    <n v="1"/>
    <n v="45.6"/>
    <s v="POLAND PL"/>
  </r>
  <r>
    <s v="BKMILL"/>
    <n v="157876"/>
    <n v="903405"/>
    <s v="Spot"/>
    <x v="38"/>
    <s v="Buy"/>
    <s v="EUR"/>
    <n v="500000"/>
    <s v="PLN"/>
    <n v="-2112730"/>
    <s v="2026-01-22"/>
    <n v="4.2255000000000003"/>
    <n v="0.23669999999999999"/>
    <n v="4.2271000000000001"/>
    <n v="1"/>
    <n v="820"/>
    <s v="NETHERLANDS NL"/>
  </r>
  <r>
    <s v="BKMILL"/>
    <n v="157877"/>
    <n v="903406"/>
    <s v="Spot"/>
    <x v="41"/>
    <s v="Sell"/>
    <s v="EUR"/>
    <n v="-3700000"/>
    <s v="CNY"/>
    <n v="30117704"/>
    <s v="2026-01-22"/>
    <n v="8.1399000000000008"/>
    <n v="0.1229"/>
    <n v="4.2271000000000001"/>
    <n v="0.51859999999999995"/>
    <n v="-21228.705600000001"/>
    <s v="GERMANY DE"/>
  </r>
  <r>
    <s v="BKMILL"/>
    <n v="157879"/>
    <n v="218443"/>
    <s v="Forward"/>
    <x v="114"/>
    <s v="Sell Fwd"/>
    <s v="EUR"/>
    <n v="-54000"/>
    <s v="PLN"/>
    <n v="228636"/>
    <s v="2026-01-20"/>
    <n v="4.234"/>
    <n v="0.23619999999999999"/>
    <n v="4.2230999999999996"/>
    <n v="1"/>
    <n v="588.6"/>
    <s v="POLAND PL"/>
  </r>
  <r>
    <s v="BKMILL"/>
    <n v="157880"/>
    <n v="218444"/>
    <s v="Forward"/>
    <x v="160"/>
    <s v="Buy Fwd"/>
    <s v="EUR"/>
    <n v="50000"/>
    <s v="PLN"/>
    <n v="210750"/>
    <s v="2026-01-20"/>
    <n v="4.2153999999999998"/>
    <n v="0.23719999999999999"/>
    <n v="4.2230999999999996"/>
    <n v="1"/>
    <n v="421905"/>
    <s v="POLAND PL"/>
  </r>
  <r>
    <s v="BKMILL"/>
    <n v="157882"/>
    <n v="218454"/>
    <s v="Forward"/>
    <x v="154"/>
    <s v="Sell Fwd"/>
    <s v="USD"/>
    <n v="-100000"/>
    <s v="PLN"/>
    <n v="361000"/>
    <s v="2026-01-20"/>
    <n v="3.61"/>
    <n v="0.27700000000000002"/>
    <n v="3.6345999999999998"/>
    <n v="1"/>
    <n v="-2460"/>
    <s v="POLAND PL"/>
  </r>
  <r>
    <s v="BKMILL"/>
    <n v="157884"/>
    <n v="903462"/>
    <s v="Spot"/>
    <x v="38"/>
    <s v="Buy"/>
    <s v="USD"/>
    <n v="500000"/>
    <s v="PLN"/>
    <n v="-1804180"/>
    <s v="2026-01-22"/>
    <n v="3.6084000000000001"/>
    <n v="0.27710000000000001"/>
    <n v="3.6118000000000001"/>
    <n v="1"/>
    <n v="1720"/>
    <s v="NETHERLANDS NL"/>
  </r>
  <r>
    <s v="BKMILL"/>
    <n v="157885"/>
    <n v="218458"/>
    <s v="Forward"/>
    <x v="37"/>
    <s v="Sell Fwd"/>
    <s v="USD"/>
    <n v="-600000"/>
    <s v="PLN"/>
    <n v="2167200"/>
    <s v="2026-01-21"/>
    <n v="3.6120000000000001"/>
    <n v="0.27689999999999998"/>
    <n v="3.6053999999999999"/>
    <n v="1"/>
    <n v="3960"/>
    <s v="POLAND PL"/>
  </r>
  <r>
    <s v="BKMILL"/>
    <n v="157886"/>
    <n v="903466"/>
    <s v="Spot"/>
    <x v="44"/>
    <s v="Buy"/>
    <s v="USD"/>
    <n v="500000"/>
    <s v="PLN"/>
    <n v="-1803950"/>
    <s v="2026-01-22"/>
    <n v="3.6078999999999999"/>
    <n v="0.2772"/>
    <n v="3.6118000000000001"/>
    <n v="1"/>
    <n v="1950"/>
    <s v="GERMANY DE"/>
  </r>
  <r>
    <s v="BKMILL"/>
    <n v="157887"/>
    <n v="903467"/>
    <s v="Spot"/>
    <x v="101"/>
    <s v="Buy"/>
    <s v="EUR"/>
    <n v="25000"/>
    <s v="PLN"/>
    <n v="-105607.5"/>
    <s v="2026-01-22"/>
    <n v="4.2243000000000004"/>
    <n v="0.23669999999999999"/>
    <n v="4.2271000000000001"/>
    <n v="1"/>
    <n v="70"/>
    <s v="POLAND PL"/>
  </r>
  <r>
    <s v="BKMILL"/>
    <n v="157888"/>
    <n v="218459"/>
    <s v="Forward"/>
    <x v="70"/>
    <s v="Buy Fwd"/>
    <s v="EUR"/>
    <n v="12426.56"/>
    <s v="PLN"/>
    <n v="52440.08"/>
    <s v="2026-01-20"/>
    <n v="4.22"/>
    <n v="0.23699999999999999"/>
    <n v="4.2230999999999996"/>
    <n v="1"/>
    <n v="104918.685536"/>
    <s v="POLAND PL"/>
  </r>
  <r>
    <s v="BKMILL"/>
    <n v="157890"/>
    <n v="218470"/>
    <s v="Forward"/>
    <x v="91"/>
    <s v="Buy Fwd"/>
    <s v="CNY"/>
    <n v="2200000"/>
    <s v="PLN"/>
    <n v="1140700"/>
    <s v="2026-01-30"/>
    <n v="0.51849999999999996"/>
    <n v="1.9286000000000001"/>
    <n v="0.50660000000000005"/>
    <n v="1"/>
    <n v="2255220"/>
    <s v="POLAND PL"/>
  </r>
  <r>
    <s v="BKMILL"/>
    <n v="157891"/>
    <n v="218473"/>
    <s v="Forward"/>
    <x v="160"/>
    <s v="Buy Fwd"/>
    <s v="EUR"/>
    <n v="50000"/>
    <s v="PLN"/>
    <n v="210825"/>
    <s v="2026-01-20"/>
    <n v="4.2168999999999999"/>
    <n v="0.23710000000000001"/>
    <n v="4.2230999999999996"/>
    <n v="1"/>
    <n v="421980"/>
    <s v="POLAND PL"/>
  </r>
  <r>
    <s v="BKMILL"/>
    <n v="157892"/>
    <n v="903520"/>
    <s v="Spot"/>
    <x v="39"/>
    <s v="Buy"/>
    <s v="EUR"/>
    <n v="200000"/>
    <s v="CNY"/>
    <n v="-1629658"/>
    <s v="2026-01-22"/>
    <n v="8.1483000000000008"/>
    <n v="0.1227"/>
    <n v="4.2271000000000001"/>
    <n v="0.51859999999999995"/>
    <n v="279.3612"/>
    <s v="UNITED KINGDOM GB"/>
  </r>
  <r>
    <s v="BKMILL"/>
    <n v="157895"/>
    <n v="218475"/>
    <s v="Forward"/>
    <x v="28"/>
    <s v="Buy Fwd"/>
    <s v="EUR"/>
    <n v="119570"/>
    <s v="PLN"/>
    <n v="504752.8"/>
    <s v="2026-01-20"/>
    <n v="4.2218"/>
    <n v="0.2369"/>
    <n v="4.2230999999999996"/>
    <n v="1"/>
    <n v="1009708.867"/>
    <s v="POLAND PL"/>
  </r>
  <r>
    <s v="BKMILL"/>
    <n v="157896"/>
    <n v="218477"/>
    <s v="Forward"/>
    <x v="28"/>
    <s v="Buy Fwd"/>
    <s v="USD"/>
    <n v="12000"/>
    <s v="PLN"/>
    <n v="43215.6"/>
    <s v="2026-01-20"/>
    <n v="3.6013000000000002"/>
    <n v="0.2777"/>
    <n v="3.6345999999999998"/>
    <n v="1"/>
    <n v="86830.8"/>
    <s v="POLAND PL"/>
  </r>
  <r>
    <s v="BKMILL"/>
    <n v="157898"/>
    <n v="218481"/>
    <s v="Forward"/>
    <x v="496"/>
    <s v="Sell Fwd"/>
    <s v="EUR"/>
    <n v="-100000"/>
    <s v="PLN"/>
    <n v="423500"/>
    <s v="2026-01-20"/>
    <n v="4.2350000000000003"/>
    <n v="0.2361"/>
    <n v="4.2230999999999996"/>
    <n v="1"/>
    <n v="1190"/>
    <s v="POLAND PL"/>
  </r>
  <r>
    <s v="BKMILL"/>
    <n v="157899"/>
    <n v="218482"/>
    <s v="Forward"/>
    <x v="143"/>
    <s v="Buy Fwd"/>
    <s v="EUR"/>
    <n v="30000"/>
    <s v="PLN"/>
    <n v="126750"/>
    <s v="2026-01-20"/>
    <n v="4.2253999999999996"/>
    <n v="0.23669999999999999"/>
    <n v="4.2230999999999996"/>
    <n v="1"/>
    <n v="253443"/>
    <s v="POLAND PL"/>
  </r>
  <r>
    <s v="BKMILL"/>
    <n v="157900"/>
    <n v="218485"/>
    <s v="Forward"/>
    <x v="496"/>
    <s v="Sell Fwd"/>
    <s v="EUR"/>
    <n v="-23000"/>
    <s v="PLN"/>
    <n v="97405"/>
    <s v="2026-01-20"/>
    <n v="4.2350000000000003"/>
    <n v="0.2361"/>
    <n v="4.2230999999999996"/>
    <n v="1"/>
    <n v="273.7"/>
    <s v="POLAND PL"/>
  </r>
  <r>
    <s v="BKMILL"/>
    <n v="157901"/>
    <n v="218488"/>
    <s v="Forward"/>
    <x v="497"/>
    <s v="Sell Fwd"/>
    <s v="EUR"/>
    <n v="-12500"/>
    <s v="PLN"/>
    <n v="52875"/>
    <s v="2026-01-20"/>
    <n v="4.2300000000000004"/>
    <n v="0.2364"/>
    <n v="4.2230999999999996"/>
    <n v="1"/>
    <n v="86.25"/>
    <s v="POLAND PL"/>
  </r>
  <r>
    <s v="BKMILL"/>
    <n v="157904"/>
    <n v="218491"/>
    <s v="Forward"/>
    <x v="333"/>
    <s v="Buy Fwd"/>
    <s v="EUR"/>
    <n v="59337.89"/>
    <s v="PLN"/>
    <n v="250785.64"/>
    <s v="2026-01-20"/>
    <n v="4.218"/>
    <n v="0.23710000000000001"/>
    <n v="4.2230999999999996"/>
    <n v="1"/>
    <n v="501375.483259"/>
    <s v="POLAND PL"/>
  </r>
  <r>
    <s v="BKMILL"/>
    <n v="157905"/>
    <n v="903590"/>
    <s v="Spot"/>
    <x v="44"/>
    <s v="Buy"/>
    <s v="USD"/>
    <n v="500000"/>
    <s v="PLN"/>
    <n v="-1803090"/>
    <s v="2026-01-22"/>
    <n v="3.6061999999999999"/>
    <n v="0.27729999999999999"/>
    <n v="3.6118000000000001"/>
    <n v="1"/>
    <n v="2810"/>
    <s v="GERMANY DE"/>
  </r>
  <r>
    <s v="BKMILL"/>
    <n v="157906"/>
    <n v="903591"/>
    <s v="Spot"/>
    <x v="44"/>
    <s v="Buy"/>
    <s v="USD"/>
    <n v="500000"/>
    <s v="PLN"/>
    <n v="-1803150"/>
    <s v="2026-01-22"/>
    <n v="3.6063000000000001"/>
    <n v="0.27729999999999999"/>
    <n v="3.6118000000000001"/>
    <n v="1"/>
    <n v="2750"/>
    <s v="GERMANY DE"/>
  </r>
  <r>
    <s v="BKMILL"/>
    <n v="157907"/>
    <n v="218495"/>
    <s v="Forward"/>
    <x v="62"/>
    <s v="Sell Fwd"/>
    <s v="USD"/>
    <n v="-716040"/>
    <s v="PLN"/>
    <n v="2587768.56"/>
    <s v="2026-01-20"/>
    <n v="3.6139999999999999"/>
    <n v="0.2767"/>
    <n v="3.6345999999999998"/>
    <n v="1"/>
    <n v="-14750.424000000001"/>
    <s v="POLAND PL"/>
  </r>
  <r>
    <s v="BKMILL"/>
    <n v="157909"/>
    <n v="218508"/>
    <s v="Forward"/>
    <x v="498"/>
    <s v="Buy Fwd"/>
    <s v="EUR"/>
    <n v="24000"/>
    <s v="PLN"/>
    <n v="100740"/>
    <s v="2026-01-20"/>
    <n v="4.1974999999999998"/>
    <n v="0.2382"/>
    <n v="4.2230999999999996"/>
    <n v="1"/>
    <n v="202094.4"/>
    <s v="POLAND PL"/>
  </r>
  <r>
    <s v="BKMILL"/>
    <n v="157911"/>
    <n v="903640"/>
    <s v="Spot"/>
    <x v="101"/>
    <s v="Buy"/>
    <s v="EUR"/>
    <n v="25000"/>
    <s v="PLN"/>
    <n v="-105637.5"/>
    <s v="2026-01-22"/>
    <n v="4.2255000000000003"/>
    <n v="0.23669999999999999"/>
    <n v="4.2271000000000001"/>
    <n v="1"/>
    <n v="40"/>
    <s v="POLAND PL"/>
  </r>
  <r>
    <s v="BKMILL"/>
    <n v="157912"/>
    <n v="218509"/>
    <s v="Forward"/>
    <x v="388"/>
    <s v="Buy Fwd"/>
    <s v="EUR"/>
    <n v="50000"/>
    <s v="PLN"/>
    <n v="211250"/>
    <s v="2026-01-20"/>
    <n v="4.2249999999999996"/>
    <n v="0.23669999999999999"/>
    <n v="4.2230999999999996"/>
    <n v="1"/>
    <n v="422405"/>
    <s v="POLAND PL"/>
  </r>
  <r>
    <s v="BKMILL"/>
    <n v="157913"/>
    <n v="218511"/>
    <s v="Forward"/>
    <x v="316"/>
    <s v="Buy Fwd"/>
    <s v="EUR"/>
    <n v="50000"/>
    <s v="PLN"/>
    <n v="211000"/>
    <s v="2026-01-20"/>
    <n v="4.2203999999999997"/>
    <n v="0.2369"/>
    <n v="4.2230999999999996"/>
    <n v="1"/>
    <n v="422155"/>
    <s v="POLAND PL"/>
  </r>
  <r>
    <s v="BKMILL"/>
    <n v="157914"/>
    <n v="218518"/>
    <s v="Forward"/>
    <x v="132"/>
    <s v="Buy Fwd"/>
    <s v="EUR"/>
    <n v="15000"/>
    <s v="PLN"/>
    <n v="63019.5"/>
    <s v="2026-01-20"/>
    <n v="4.2016999999999998"/>
    <n v="0.23799999999999999"/>
    <n v="4.2230999999999996"/>
    <n v="1"/>
    <n v="126366"/>
    <s v="POLAND PL"/>
  </r>
  <r>
    <s v="BKMILL"/>
    <n v="157915"/>
    <n v="218520"/>
    <s v="Forward"/>
    <x v="499"/>
    <s v="Buy Fwd"/>
    <s v="GBP"/>
    <n v="10000"/>
    <s v="PLN"/>
    <n v="48281"/>
    <s v="2026-01-20"/>
    <n v="4.8285"/>
    <n v="0.20710000000000001"/>
    <n v="4.8704000000000001"/>
    <n v="1"/>
    <n v="96985"/>
    <s v="POLAND PL"/>
  </r>
  <r>
    <s v="BKMILL"/>
    <n v="157916"/>
    <n v="218530"/>
    <s v="Forward"/>
    <x v="500"/>
    <s v="Sell Fwd"/>
    <s v="USD"/>
    <n v="-16000"/>
    <s v="PLN"/>
    <n v="57952"/>
    <s v="2026-01-20"/>
    <n v="3.6223000000000001"/>
    <n v="0.27610000000000001"/>
    <n v="3.6345999999999998"/>
    <n v="1"/>
    <n v="-201.6"/>
    <s v="POLAND PL"/>
  </r>
  <r>
    <s v="BKMILL"/>
    <n v="157917"/>
    <n v="218532"/>
    <s v="Forward"/>
    <x v="501"/>
    <s v="Sell Fwd"/>
    <s v="USD"/>
    <n v="-92000"/>
    <s v="PLN"/>
    <n v="332488"/>
    <s v="2026-01-20"/>
    <n v="3.6139999999999999"/>
    <n v="0.2767"/>
    <n v="3.6345999999999998"/>
    <n v="1"/>
    <n v="-1895.2"/>
    <s v="POLAND PL"/>
  </r>
  <r>
    <s v="BKMILL"/>
    <n v="157918"/>
    <n v="218535"/>
    <s v="Forward"/>
    <x v="72"/>
    <s v="Buy Fwd"/>
    <s v="EUR"/>
    <n v="60000"/>
    <s v="PLN"/>
    <n v="253200"/>
    <s v="2026-01-20"/>
    <n v="4.22"/>
    <n v="0.23699999999999999"/>
    <n v="4.2230999999999996"/>
    <n v="1"/>
    <n v="506586"/>
    <s v="POLAND PL"/>
  </r>
  <r>
    <s v="BKMILL"/>
    <n v="157919"/>
    <n v="218540"/>
    <s v="Forward"/>
    <x v="139"/>
    <s v="Buy Fwd"/>
    <s v="EUR"/>
    <n v="235469.2"/>
    <s v="PLN"/>
    <n v="993915.49"/>
    <s v="2026-01-20"/>
    <n v="4.2214"/>
    <n v="0.2369"/>
    <n v="4.2230999999999996"/>
    <n v="1"/>
    <n v="1988325.4685200001"/>
    <s v="POLAND PL"/>
  </r>
  <r>
    <s v="BKMILL"/>
    <n v="157920"/>
    <n v="218541"/>
    <s v="Forward"/>
    <x v="486"/>
    <s v="Buy Fwd"/>
    <s v="EUR"/>
    <n v="46000"/>
    <s v="PLN"/>
    <n v="193292"/>
    <s v="2026-01-20"/>
    <n v="4.202"/>
    <n v="0.23799999999999999"/>
    <n v="4.2230999999999996"/>
    <n v="1"/>
    <n v="387554.6"/>
    <s v="POLAND PL"/>
  </r>
  <r>
    <s v="BKMILL"/>
    <n v="157921"/>
    <n v="218544"/>
    <s v="Forward"/>
    <x v="502"/>
    <s v="Sell Fwd"/>
    <s v="EUR"/>
    <n v="-10000"/>
    <s v="PLN"/>
    <n v="42420"/>
    <s v="2026-01-20"/>
    <n v="4.2423999999999999"/>
    <n v="0.23569999999999999"/>
    <n v="4.2230999999999996"/>
    <n v="1"/>
    <n v="189"/>
    <s v="POLAND PL"/>
  </r>
  <r>
    <s v="BKMILL"/>
    <n v="157922"/>
    <n v="218545"/>
    <s v="Forward"/>
    <x v="452"/>
    <s v="Buy Fwd"/>
    <s v="EUR"/>
    <n v="40000"/>
    <s v="PLN"/>
    <n v="168720"/>
    <s v="2026-01-20"/>
    <n v="4.218"/>
    <n v="0.23710000000000001"/>
    <n v="4.2230999999999996"/>
    <n v="1"/>
    <n v="337644"/>
    <s v="POLAND PL"/>
  </r>
  <r>
    <s v="BKMILL"/>
    <n v="157923"/>
    <n v="218547"/>
    <s v="Forward"/>
    <x v="197"/>
    <s v="Buy Fwd"/>
    <s v="CHF"/>
    <n v="32800"/>
    <s v="PLN"/>
    <n v="149371.20000000001"/>
    <s v="2026-01-20"/>
    <n v="4.5549999999999997"/>
    <n v="0.2195"/>
    <n v="4.5476000000000001"/>
    <n v="1"/>
    <n v="298532.47999999998"/>
    <s v="POLAND PL"/>
  </r>
  <r>
    <s v="BKMILL"/>
    <n v="157924"/>
    <n v="903771"/>
    <s v="Spot"/>
    <x v="36"/>
    <s v="Buy"/>
    <s v="EUR"/>
    <n v="100000"/>
    <s v="CHF"/>
    <n v="-92690"/>
    <s v="2026-01-22"/>
    <n v="0.92689999999999995"/>
    <n v="1.0789"/>
    <n v="4.2271000000000001"/>
    <n v="4.5552999999999999"/>
    <n v="479.24299999999999"/>
    <s v="UNITED KINGDOM GB"/>
  </r>
  <r>
    <s v="BKMILL"/>
    <n v="157925"/>
    <n v="903788"/>
    <s v="Spot"/>
    <x v="40"/>
    <s v="Sell"/>
    <s v="EUR"/>
    <n v="-500000"/>
    <s v="PLN"/>
    <n v="2114750"/>
    <s v="2026-01-22"/>
    <n v="4.2294999999999998"/>
    <n v="0.2364"/>
    <n v="4.2271000000000001"/>
    <n v="1"/>
    <n v="1200"/>
    <s v="UNITED STATES OF AMERICA US"/>
  </r>
  <r>
    <s v="BKMILL"/>
    <n v="157926"/>
    <n v="218555"/>
    <s v="Forward"/>
    <x v="503"/>
    <s v="Buy Fwd"/>
    <s v="EUR"/>
    <n v="15000"/>
    <s v="PLN"/>
    <n v="63375"/>
    <s v="2026-01-20"/>
    <n v="4.2249999999999996"/>
    <n v="0.23669999999999999"/>
    <n v="4.2230999999999996"/>
    <n v="1"/>
    <n v="126721.5"/>
    <s v="POLAND PL"/>
  </r>
  <r>
    <s v="BKMILL"/>
    <n v="157928"/>
    <n v="218557"/>
    <s v="Forward"/>
    <x v="155"/>
    <s v="Sell Fwd"/>
    <s v="EUR"/>
    <n v="-100000"/>
    <s v="PLN"/>
    <n v="423280"/>
    <s v="2026-01-20"/>
    <n v="4.2332000000000001"/>
    <n v="0.23619999999999999"/>
    <n v="4.2230999999999996"/>
    <n v="1"/>
    <n v="970"/>
    <s v="POLAND PL"/>
  </r>
  <r>
    <s v="BKMILL"/>
    <n v="157930"/>
    <n v="218561"/>
    <s v="Forward"/>
    <x v="504"/>
    <s v="Buy Fwd"/>
    <s v="EUR"/>
    <n v="150000"/>
    <s v="PLN"/>
    <n v="633795"/>
    <s v="2026-01-20"/>
    <n v="4.2252999999999998"/>
    <n v="0.23669999999999999"/>
    <n v="4.2230999999999996"/>
    <n v="1"/>
    <n v="1267260"/>
    <s v="POLAND PL"/>
  </r>
  <r>
    <s v="BKMILL"/>
    <n v="157931"/>
    <n v="218568"/>
    <s v="Forward"/>
    <x v="172"/>
    <s v="Sell Fwd"/>
    <s v="EUR"/>
    <n v="-76000"/>
    <s v="PLN"/>
    <n v="321898"/>
    <s v="2026-01-20"/>
    <n v="4.2355"/>
    <n v="0.2361"/>
    <n v="4.2230999999999996"/>
    <n v="1"/>
    <n v="942.4"/>
    <s v="POLAND PL"/>
  </r>
  <r>
    <s v="BKMILL"/>
    <n v="157938"/>
    <n v="218575"/>
    <s v="Forward"/>
    <x v="312"/>
    <s v="Sell Fwd"/>
    <s v="EUR"/>
    <n v="-27000"/>
    <s v="PLN"/>
    <n v="114534"/>
    <s v="2026-01-20"/>
    <n v="4.2423999999999999"/>
    <n v="0.23569999999999999"/>
    <n v="4.2230999999999996"/>
    <n v="1"/>
    <n v="510.3"/>
    <s v="POLAND PL"/>
  </r>
  <r>
    <s v="BKMILL"/>
    <n v="157939"/>
    <n v="903862"/>
    <s v="Spot"/>
    <x v="505"/>
    <s v="Buy"/>
    <s v="EUR"/>
    <n v="500000"/>
    <s v="PLN"/>
    <n v="-2112500"/>
    <s v="2026-01-22"/>
    <n v="4.2249999999999996"/>
    <n v="0.23669999999999999"/>
    <n v="4.2271000000000001"/>
    <n v="1"/>
    <n v="1050"/>
    <s v="POLAND PL"/>
  </r>
  <r>
    <s v="BKMILL"/>
    <n v="157940"/>
    <n v="218586"/>
    <s v="Forward"/>
    <x v="74"/>
    <s v="Buy Fwd"/>
    <s v="EUR"/>
    <n v="200000"/>
    <s v="PLN"/>
    <n v="842600"/>
    <s v="2026-01-20"/>
    <n v="4.2130000000000001"/>
    <n v="0.2374"/>
    <n v="4.2230999999999996"/>
    <n v="1"/>
    <n v="1687220"/>
    <s v="POLAND PL"/>
  </r>
  <r>
    <s v="BKMILL"/>
    <n v="157943"/>
    <n v="218590"/>
    <s v="Forward"/>
    <x v="96"/>
    <s v="Buy Fwd"/>
    <s v="EUR"/>
    <n v="25000"/>
    <s v="PLN"/>
    <n v="105375"/>
    <s v="2026-01-20"/>
    <n v="4.2153999999999998"/>
    <n v="0.23719999999999999"/>
    <n v="4.2230999999999996"/>
    <n v="1"/>
    <n v="210952.5"/>
    <s v="POLAND PL"/>
  </r>
  <r>
    <s v="BKMILL"/>
    <n v="157944"/>
    <n v="903906"/>
    <s v="Spot"/>
    <x v="44"/>
    <s v="Buy"/>
    <s v="USD"/>
    <n v="500000"/>
    <s v="PLN"/>
    <n v="-1802750"/>
    <s v="2026-01-22"/>
    <n v="3.6055000000000001"/>
    <n v="0.27739999999999998"/>
    <n v="3.6118000000000001"/>
    <n v="1"/>
    <n v="3150"/>
    <s v="GERMANY DE"/>
  </r>
  <r>
    <s v="BKMILL"/>
    <n v="157945"/>
    <n v="903907"/>
    <s v="Spot"/>
    <x v="44"/>
    <s v="Buy"/>
    <s v="USD"/>
    <n v="500000"/>
    <s v="PLN"/>
    <n v="-1802700"/>
    <s v="2026-01-22"/>
    <n v="3.6053999999999999"/>
    <n v="0.27739999999999998"/>
    <n v="3.6118000000000001"/>
    <n v="1"/>
    <n v="3200"/>
    <s v="GERMANY DE"/>
  </r>
  <r>
    <s v="BKMILL"/>
    <n v="157946"/>
    <n v="218592"/>
    <s v="Forward"/>
    <x v="366"/>
    <s v="Sell Fwd"/>
    <s v="EUR"/>
    <n v="-25000"/>
    <s v="PLN"/>
    <n v="106050"/>
    <s v="2026-01-20"/>
    <n v="4.242"/>
    <n v="0.23569999999999999"/>
    <n v="4.2230999999999996"/>
    <n v="1"/>
    <n v="472.5"/>
    <s v="POLAND PL"/>
  </r>
  <r>
    <s v="BKMILL"/>
    <n v="157948"/>
    <n v="903920"/>
    <s v="Spot"/>
    <x v="40"/>
    <s v="Buy"/>
    <s v="USD"/>
    <n v="500000"/>
    <s v="PLN"/>
    <n v="-1802800"/>
    <s v="2026-01-22"/>
    <n v="3.6055999999999999"/>
    <n v="0.27729999999999999"/>
    <n v="3.6118000000000001"/>
    <n v="1"/>
    <n v="3100"/>
    <s v="UNITED STATES OF AMERICA US"/>
  </r>
  <r>
    <s v="BKMILL"/>
    <n v="157949"/>
    <n v="903922"/>
    <s v="Spot"/>
    <x v="40"/>
    <s v="Sell"/>
    <s v="EUR"/>
    <n v="-100000"/>
    <s v="USD"/>
    <n v="117286"/>
    <s v="2026-01-22"/>
    <n v="1.1729000000000001"/>
    <n v="0.85260000000000002"/>
    <n v="4.2271000000000001"/>
    <n v="3.6118000000000001"/>
    <n v="903.57479999999998"/>
    <s v="UNITED STATES OF AMERICA US"/>
  </r>
  <r>
    <s v="BKMILL"/>
    <n v="157950"/>
    <n v="903923"/>
    <s v="Spot"/>
    <x v="40"/>
    <s v="Sell"/>
    <s v="EUR"/>
    <n v="-100000"/>
    <s v="USD"/>
    <n v="117290"/>
    <s v="2026-01-22"/>
    <n v="1.1729000000000001"/>
    <n v="0.85260000000000002"/>
    <n v="4.2271000000000001"/>
    <n v="3.6118000000000001"/>
    <n v="918.02200000000005"/>
    <s v="UNITED STATES OF AMERICA US"/>
  </r>
  <r>
    <s v="BKMILL"/>
    <n v="157951"/>
    <n v="903928"/>
    <s v="Spot"/>
    <x v="47"/>
    <s v="Sell"/>
    <s v="EUR"/>
    <n v="-100000"/>
    <s v="USD"/>
    <n v="117289"/>
    <s v="2026-01-22"/>
    <n v="1.1729000000000001"/>
    <n v="0.85260000000000002"/>
    <n v="4.2271000000000001"/>
    <n v="3.6118000000000001"/>
    <n v="914.41020000000003"/>
    <s v="FRANCE FR"/>
  </r>
  <r>
    <s v="BKMILL"/>
    <n v="157952"/>
    <n v="903945"/>
    <s v="Spot"/>
    <x v="38"/>
    <s v="Buy"/>
    <s v="USD"/>
    <n v="500000"/>
    <s v="PLN"/>
    <n v="-1802385"/>
    <s v="2026-01-22"/>
    <n v="3.6048"/>
    <n v="0.27739999999999998"/>
    <n v="3.6118000000000001"/>
    <n v="1"/>
    <n v="3515"/>
    <s v="NETHERLANDS NL"/>
  </r>
  <r>
    <s v="BKMILL"/>
    <n v="157954"/>
    <n v="903968"/>
    <s v="Spot"/>
    <x v="41"/>
    <s v="Buy"/>
    <s v="USD"/>
    <n v="500000"/>
    <s v="PLN"/>
    <n v="-1801950"/>
    <s v="2026-01-22"/>
    <n v="3.6038999999999999"/>
    <n v="0.27750000000000002"/>
    <n v="3.6118000000000001"/>
    <n v="1"/>
    <n v="3950"/>
    <s v="GERMANY DE"/>
  </r>
  <r>
    <s v="BKMILL"/>
    <n v="157957"/>
    <n v="218606"/>
    <s v="Forward"/>
    <x v="160"/>
    <s v="Buy Fwd"/>
    <s v="EUR"/>
    <n v="50000"/>
    <s v="PLN"/>
    <n v="210900"/>
    <s v="2026-01-20"/>
    <n v="4.2183999999999999"/>
    <n v="0.23710000000000001"/>
    <n v="4.2230999999999996"/>
    <n v="1"/>
    <n v="422055"/>
    <s v="POLAND PL"/>
  </r>
  <r>
    <s v="BKMILL"/>
    <n v="157958"/>
    <n v="218611"/>
    <s v="Forward"/>
    <x v="121"/>
    <s v="Buy Fwd"/>
    <s v="EUR"/>
    <n v="100000"/>
    <s v="PLN"/>
    <n v="421300"/>
    <s v="2026-01-20"/>
    <n v="4.2134999999999998"/>
    <n v="0.23730000000000001"/>
    <n v="4.2230999999999996"/>
    <n v="1"/>
    <n v="843610"/>
    <s v="POLAND PL"/>
  </r>
  <r>
    <s v="BKMILL"/>
    <n v="157959"/>
    <n v="903995"/>
    <s v="Spot"/>
    <x v="41"/>
    <s v="Sell"/>
    <s v="EUR"/>
    <n v="-500000"/>
    <s v="PLN"/>
    <n v="2114950"/>
    <s v="2026-01-22"/>
    <n v="4.2298999999999998"/>
    <n v="0.2364"/>
    <n v="4.2271000000000001"/>
    <n v="1"/>
    <n v="1400"/>
    <s v="GERMANY DE"/>
  </r>
  <r>
    <s v="BKMILL"/>
    <n v="157962"/>
    <n v="218621"/>
    <s v="Forward"/>
    <x v="506"/>
    <s v="Buy Fwd"/>
    <s v="EUR"/>
    <n v="20000"/>
    <s v="PLN"/>
    <n v="84270"/>
    <s v="2026-01-20"/>
    <n v="4.2134999999999998"/>
    <n v="0.23730000000000001"/>
    <n v="4.2230999999999996"/>
    <n v="1"/>
    <n v="168732"/>
    <s v="POLAND PL"/>
  </r>
  <r>
    <s v="BKMILL"/>
    <n v="157963"/>
    <n v="218624"/>
    <s v="Forward"/>
    <x v="122"/>
    <s v="Buy Fwd"/>
    <s v="EUR"/>
    <n v="60000"/>
    <s v="PLN"/>
    <n v="253200"/>
    <s v="2026-01-20"/>
    <n v="4.22"/>
    <n v="0.23699999999999999"/>
    <n v="4.2230999999999996"/>
    <n v="1"/>
    <n v="506586"/>
    <s v="POLAND PL"/>
  </r>
  <r>
    <s v="BKMILL"/>
    <n v="157964"/>
    <n v="904077"/>
    <s v="Spot"/>
    <x v="44"/>
    <s v="Sell"/>
    <s v="EUR"/>
    <n v="-500000"/>
    <s v="PLN"/>
    <n v="2114700"/>
    <s v="2026-01-22"/>
    <n v="4.2294"/>
    <n v="0.2364"/>
    <n v="4.2271000000000001"/>
    <n v="1"/>
    <n v="1150"/>
    <s v="GERMANY DE"/>
  </r>
  <r>
    <s v="BKMILL"/>
    <n v="157967"/>
    <n v="904100"/>
    <s v="Spot"/>
    <x v="47"/>
    <s v="Sell"/>
    <s v="EUR"/>
    <n v="-500000"/>
    <s v="PLN"/>
    <n v="2114760"/>
    <s v="2026-01-22"/>
    <n v="4.2294999999999998"/>
    <n v="0.2364"/>
    <n v="4.2271000000000001"/>
    <n v="1"/>
    <n v="1210"/>
    <s v="FRANCE FR"/>
  </r>
  <r>
    <s v="BKMILL"/>
    <n v="157968"/>
    <n v="904104"/>
    <s v="Spot"/>
    <x v="44"/>
    <s v="Buy"/>
    <s v="USD"/>
    <n v="500000"/>
    <s v="PLN"/>
    <n v="-1801100"/>
    <s v="2026-01-22"/>
    <n v="3.6021999999999998"/>
    <n v="0.27760000000000001"/>
    <n v="3.6118000000000001"/>
    <n v="1"/>
    <n v="4800"/>
    <s v="GERMANY DE"/>
  </r>
  <r>
    <s v="BKMILL"/>
    <n v="157970"/>
    <n v="904117"/>
    <s v="Spot"/>
    <x v="39"/>
    <s v="Sell"/>
    <s v="EUR"/>
    <n v="-500000"/>
    <s v="PLN"/>
    <n v="2115380"/>
    <s v="2026-01-22"/>
    <n v="4.2308000000000003"/>
    <n v="0.2364"/>
    <n v="4.2271000000000001"/>
    <n v="1"/>
    <n v="1830"/>
    <s v="UNITED KINGDOM GB"/>
  </r>
  <r>
    <s v="BKMILL"/>
    <n v="157971"/>
    <n v="904127"/>
    <s v="Spot"/>
    <x v="41"/>
    <s v="Sell"/>
    <s v="EUR"/>
    <n v="-500000"/>
    <s v="PLN"/>
    <n v="2115550"/>
    <s v="2026-01-22"/>
    <n v="4.2310999999999996"/>
    <n v="0.23630000000000001"/>
    <n v="4.2271000000000001"/>
    <n v="1"/>
    <n v="2000"/>
    <s v="GERMANY DE"/>
  </r>
  <r>
    <s v="BKMILL"/>
    <n v="157972"/>
    <n v="904128"/>
    <s v="Spot"/>
    <x v="47"/>
    <s v="Sell"/>
    <s v="EUR"/>
    <n v="-500000"/>
    <s v="PLN"/>
    <n v="2115450"/>
    <s v="2026-01-22"/>
    <n v="4.2309000000000001"/>
    <n v="0.2364"/>
    <n v="4.2271000000000001"/>
    <n v="1"/>
    <n v="1900"/>
    <s v="FRANCE FR"/>
  </r>
  <r>
    <s v="BKMILL"/>
    <n v="157973"/>
    <n v="218642"/>
    <s v="Forward"/>
    <x v="136"/>
    <s v="Buy Fwd"/>
    <s v="EUR"/>
    <n v="200000"/>
    <s v="PLN"/>
    <n v="845800"/>
    <s v="2026-01-20"/>
    <n v="4.2290000000000001"/>
    <n v="0.23649999999999999"/>
    <n v="4.2230999999999996"/>
    <n v="1"/>
    <n v="1690420"/>
    <s v="POLAND PL"/>
  </r>
  <r>
    <s v="BKMILL"/>
    <n v="157974"/>
    <n v="904133"/>
    <s v="Spot"/>
    <x v="39"/>
    <s v="Sell"/>
    <s v="EUR"/>
    <n v="-500000"/>
    <s v="PLN"/>
    <n v="2115330"/>
    <s v="2026-01-22"/>
    <n v="4.2306999999999997"/>
    <n v="0.2364"/>
    <n v="4.2271000000000001"/>
    <n v="1"/>
    <n v="1780"/>
    <s v="UNITED KINGDOM GB"/>
  </r>
  <r>
    <s v="BKMILL"/>
    <n v="157975"/>
    <n v="218643"/>
    <s v="Forward"/>
    <x v="507"/>
    <s v="Buy Fwd"/>
    <s v="EUR"/>
    <n v="200000"/>
    <s v="PLN"/>
    <n v="844800"/>
    <s v="2026-01-20"/>
    <n v="4.2240000000000002"/>
    <n v="0.23669999999999999"/>
    <n v="4.2230999999999996"/>
    <n v="1"/>
    <n v="1689420"/>
    <s v="POLAND PL"/>
  </r>
  <r>
    <s v="BKMILL"/>
    <n v="157976"/>
    <n v="218644"/>
    <s v="Forward"/>
    <x v="134"/>
    <s v="Buy Fwd"/>
    <s v="EUR"/>
    <n v="200000"/>
    <s v="PLN"/>
    <n v="845800"/>
    <s v="2026-01-20"/>
    <n v="4.2290000000000001"/>
    <n v="0.23649999999999999"/>
    <n v="4.2230999999999996"/>
    <n v="1"/>
    <n v="1690420"/>
    <s v="POLAND PL"/>
  </r>
  <r>
    <s v="BKMILL"/>
    <n v="157977"/>
    <n v="218645"/>
    <s v="Forward"/>
    <x v="370"/>
    <s v="Buy Fwd"/>
    <s v="EUR"/>
    <n v="40000"/>
    <s v="PLN"/>
    <n v="168900"/>
    <s v="2026-01-20"/>
    <n v="4.2229999999999999"/>
    <n v="0.23680000000000001"/>
    <n v="4.2230999999999996"/>
    <n v="1"/>
    <n v="337824"/>
    <s v="POLAND PL"/>
  </r>
  <r>
    <s v="BKMILL"/>
    <n v="157978"/>
    <n v="218646"/>
    <s v="Forward"/>
    <x v="135"/>
    <s v="Buy Fwd"/>
    <s v="EUR"/>
    <n v="200000"/>
    <s v="PLN"/>
    <n v="845800"/>
    <s v="2026-01-20"/>
    <n v="4.2290000000000001"/>
    <n v="0.23649999999999999"/>
    <n v="4.2230999999999996"/>
    <n v="1"/>
    <n v="1690420"/>
    <s v="POLAND PL"/>
  </r>
  <r>
    <s v="BKMILL"/>
    <n v="157979"/>
    <n v="218647"/>
    <s v="Forward"/>
    <x v="508"/>
    <s v="Buy Fwd"/>
    <s v="EUR"/>
    <n v="30000"/>
    <s v="PLN"/>
    <n v="126870"/>
    <s v="2026-01-20"/>
    <n v="4.2290000000000001"/>
    <n v="0.23649999999999999"/>
    <n v="4.2230999999999996"/>
    <n v="1"/>
    <n v="253563"/>
    <s v="POLAND PL"/>
  </r>
  <r>
    <s v="BKMILL"/>
    <n v="157981"/>
    <n v="218654"/>
    <s v="Forward"/>
    <x v="509"/>
    <s v="Buy Fwd"/>
    <s v="EUR"/>
    <n v="10000"/>
    <s v="PLN"/>
    <n v="42170"/>
    <s v="2026-01-20"/>
    <n v="4.2169999999999996"/>
    <n v="0.23710000000000001"/>
    <n v="4.2230999999999996"/>
    <n v="1"/>
    <n v="84401"/>
    <s v="POLAND PL"/>
  </r>
  <r>
    <s v="BKMILL"/>
    <n v="157982"/>
    <n v="218658"/>
    <s v="Forward"/>
    <x v="142"/>
    <s v="Buy Fwd"/>
    <s v="EUR"/>
    <n v="300000"/>
    <s v="PLN"/>
    <n v="1265250"/>
    <s v="2026-01-20"/>
    <n v="4.2175000000000002"/>
    <n v="0.23710000000000001"/>
    <n v="4.2230999999999996"/>
    <n v="1"/>
    <n v="2532180"/>
    <s v="POLAND PL"/>
  </r>
  <r>
    <s v="BKMILL"/>
    <n v="157983"/>
    <n v="218659"/>
    <s v="Forward"/>
    <x v="510"/>
    <s v="Buy Fwd"/>
    <s v="EUR"/>
    <n v="10000"/>
    <s v="PLN"/>
    <n v="42210"/>
    <s v="2026-01-20"/>
    <n v="4.2210000000000001"/>
    <n v="0.2369"/>
    <n v="4.2230999999999996"/>
    <n v="1"/>
    <n v="84441"/>
    <s v="POLAND PL"/>
  </r>
  <r>
    <s v="BKMILL"/>
    <n v="157984"/>
    <n v="904186"/>
    <s v="Spot"/>
    <x v="41"/>
    <s v="Sell"/>
    <s v="EUR"/>
    <n v="-500000"/>
    <s v="PLN"/>
    <n v="2114450"/>
    <s v="2026-01-22"/>
    <n v="4.2289000000000003"/>
    <n v="0.23649999999999999"/>
    <n v="4.2271000000000001"/>
    <n v="1"/>
    <n v="900"/>
    <s v="GERMANY DE"/>
  </r>
  <r>
    <s v="BKMILL"/>
    <n v="157985"/>
    <n v="904187"/>
    <s v="Spot"/>
    <x v="38"/>
    <s v="Sell"/>
    <s v="EUR"/>
    <n v="-500000"/>
    <s v="PLN"/>
    <n v="2114465"/>
    <s v="2026-01-22"/>
    <n v="4.2289000000000003"/>
    <n v="0.23649999999999999"/>
    <n v="4.2271000000000001"/>
    <n v="1"/>
    <n v="915"/>
    <s v="NETHERLANDS NL"/>
  </r>
  <r>
    <s v="BKMILL"/>
    <n v="157986"/>
    <n v="904188"/>
    <s v="Spot"/>
    <x v="40"/>
    <s v="Sell"/>
    <s v="EUR"/>
    <n v="-500000"/>
    <s v="PLN"/>
    <n v="2114350"/>
    <s v="2026-01-22"/>
    <n v="4.2286999999999999"/>
    <n v="0.23649999999999999"/>
    <n v="4.2271000000000001"/>
    <n v="1"/>
    <n v="800"/>
    <s v="UNITED STATES OF AMERICA US"/>
  </r>
  <r>
    <s v="BKMILL"/>
    <n v="157987"/>
    <n v="904189"/>
    <s v="Spot"/>
    <x v="41"/>
    <s v="Sell"/>
    <s v="EUR"/>
    <n v="-500000"/>
    <s v="PLN"/>
    <n v="2114400"/>
    <s v="2026-01-22"/>
    <n v="4.2287999999999997"/>
    <n v="0.23649999999999999"/>
    <n v="4.2271000000000001"/>
    <n v="1"/>
    <n v="850"/>
    <s v="GERMANY DE"/>
  </r>
  <r>
    <s v="BKMILL"/>
    <n v="157989"/>
    <n v="218660"/>
    <s v="Forward"/>
    <x v="137"/>
    <s v="Buy Fwd"/>
    <s v="EUR"/>
    <n v="2000000"/>
    <s v="PLN"/>
    <n v="8453400"/>
    <s v="2026-01-20"/>
    <n v="4.2267000000000001"/>
    <n v="0.2366"/>
    <n v="4.2230999999999996"/>
    <n v="1"/>
    <n v="16899600"/>
    <s v="POLAND PL"/>
  </r>
  <r>
    <s v="BKMILL"/>
    <n v="157992"/>
    <n v="218661"/>
    <s v="Forward"/>
    <x v="27"/>
    <s v="Buy Fwd"/>
    <s v="EUR"/>
    <n v="10108.19"/>
    <s v="PLN"/>
    <n v="42682.84"/>
    <s v="2026-01-20"/>
    <n v="4.2229999999999999"/>
    <n v="0.23680000000000001"/>
    <n v="4.2230999999999996"/>
    <n v="1"/>
    <n v="85370.737189000007"/>
    <s v="POLAND PL"/>
  </r>
  <r>
    <s v="BKMILL"/>
    <n v="157993"/>
    <n v="218662"/>
    <s v="Forward"/>
    <x v="140"/>
    <s v="Buy Fwd"/>
    <s v="USD"/>
    <n v="10000"/>
    <s v="PLN"/>
    <n v="35820"/>
    <s v="2026-01-20"/>
    <n v="3.5823"/>
    <n v="0.2792"/>
    <n v="3.6345999999999998"/>
    <n v="1"/>
    <n v="72166"/>
    <s v="POLAND PL"/>
  </r>
  <r>
    <s v="BKMILL"/>
    <n v="157994"/>
    <n v="218665"/>
    <s v="Forward"/>
    <x v="103"/>
    <s v="Sell Fwd"/>
    <s v="EUR"/>
    <n v="-36884.93"/>
    <s v="PLN"/>
    <n v="156263.01"/>
    <s v="2026-01-20"/>
    <n v="4.2365000000000004"/>
    <n v="0.23599999999999999"/>
    <n v="4.2230999999999996"/>
    <n v="1"/>
    <n v="494.26211699999999"/>
    <s v="POLAND PL"/>
  </r>
  <r>
    <s v="BKMILL"/>
    <n v="157995"/>
    <n v="904230"/>
    <s v="Spot"/>
    <x v="44"/>
    <s v="Buy"/>
    <s v="EUR"/>
    <n v="500000"/>
    <s v="PLN"/>
    <n v="-2113845"/>
    <s v="2026-01-22"/>
    <n v="4.2276999999999996"/>
    <n v="0.23649999999999999"/>
    <n v="4.2271000000000001"/>
    <n v="1"/>
    <n v="-295"/>
    <s v="GERMANY DE"/>
  </r>
  <r>
    <s v="BKMILL"/>
    <n v="157997"/>
    <n v="904231"/>
    <s v="Spot"/>
    <x v="41"/>
    <s v="Buy"/>
    <s v="EUR"/>
    <n v="500000"/>
    <s v="PLN"/>
    <n v="-2113700"/>
    <s v="2026-01-22"/>
    <n v="4.2274000000000003"/>
    <n v="0.2366"/>
    <n v="4.2271000000000001"/>
    <n v="1"/>
    <n v="-150"/>
    <s v="GERMANY DE"/>
  </r>
  <r>
    <s v="BKMILL"/>
    <n v="157998"/>
    <n v="904235"/>
    <s v="Spot"/>
    <x v="44"/>
    <s v="Buy"/>
    <s v="EUR"/>
    <n v="500000"/>
    <s v="PLN"/>
    <n v="-2113500"/>
    <s v="2026-01-22"/>
    <n v="4.2270000000000003"/>
    <n v="0.2366"/>
    <n v="4.2271000000000001"/>
    <n v="1"/>
    <n v="50"/>
    <s v="GERMANY DE"/>
  </r>
  <r>
    <s v="BKMILL"/>
    <n v="157999"/>
    <n v="904236"/>
    <s v="Spot"/>
    <x v="44"/>
    <s v="Buy"/>
    <s v="EUR"/>
    <n v="500000"/>
    <s v="PLN"/>
    <n v="-2113495"/>
    <s v="2026-01-22"/>
    <n v="4.2270000000000003"/>
    <n v="0.2366"/>
    <n v="4.2271000000000001"/>
    <n v="1"/>
    <n v="55"/>
    <s v="GERMANY DE"/>
  </r>
  <r>
    <s v="BKMILL"/>
    <n v="158000"/>
    <n v="218674"/>
    <s v="Forward"/>
    <x v="286"/>
    <s v="Buy Fwd"/>
    <s v="EUR"/>
    <n v="60000"/>
    <s v="PLN"/>
    <n v="252960"/>
    <s v="2026-01-20"/>
    <n v="4.2163000000000004"/>
    <n v="0.23719999999999999"/>
    <n v="4.2230999999999996"/>
    <n v="1"/>
    <n v="506346"/>
    <s v="POLAND PL"/>
  </r>
  <r>
    <s v="BKMILL"/>
    <n v="158002"/>
    <n v="218675"/>
    <s v="Forward"/>
    <x v="373"/>
    <s v="Sell Fwd"/>
    <s v="USD"/>
    <n v="-220000"/>
    <s v="PLN"/>
    <n v="793870"/>
    <s v="2026-01-20"/>
    <n v="3.6084999999999998"/>
    <n v="0.27710000000000001"/>
    <n v="3.6345999999999998"/>
    <n v="1"/>
    <n v="-5742"/>
    <s v="POLAND PL"/>
  </r>
  <r>
    <s v="BKMILL"/>
    <n v="158005"/>
    <n v="218679"/>
    <s v="Forward"/>
    <x v="373"/>
    <s v="Buy Fwd"/>
    <s v="EUR"/>
    <n v="49192.91"/>
    <s v="USD"/>
    <n v="57654.09"/>
    <s v="2026-01-20"/>
    <n v="1.1721999999999999"/>
    <n v="0.85309999999999997"/>
    <n v="4.2230999999999996"/>
    <n v="3.6345999999999998"/>
    <n v="417296.13373499998"/>
    <s v="POLAND PL"/>
  </r>
  <r>
    <s v="BKMILL"/>
    <n v="158007"/>
    <n v="904273"/>
    <s v="Spot"/>
    <x v="38"/>
    <s v="Sell"/>
    <s v="USD"/>
    <n v="-500000"/>
    <s v="PLN"/>
    <n v="1803670"/>
    <s v="2026-01-22"/>
    <n v="3.6073"/>
    <n v="0.2772"/>
    <n v="3.6118000000000001"/>
    <n v="1"/>
    <n v="-2230"/>
    <s v="NETHERLANDS NL"/>
  </r>
  <r>
    <s v="BKMILL"/>
    <n v="158008"/>
    <n v="904274"/>
    <s v="Spot"/>
    <x v="41"/>
    <s v="Sell"/>
    <s v="EUR"/>
    <n v="-500000"/>
    <s v="PLN"/>
    <n v="2114600"/>
    <s v="2026-01-22"/>
    <n v="4.2291999999999996"/>
    <n v="0.23649999999999999"/>
    <n v="4.2271000000000001"/>
    <n v="1"/>
    <n v="1050"/>
    <s v="GERMANY DE"/>
  </r>
  <r>
    <s v="BKMILL"/>
    <n v="158009"/>
    <n v="904278"/>
    <s v="Spot"/>
    <x v="39"/>
    <s v="Sell"/>
    <s v="USD"/>
    <n v="-500000"/>
    <s v="PLN"/>
    <n v="1804025"/>
    <s v="2026-01-22"/>
    <n v="3.6080000000000001"/>
    <n v="0.2772"/>
    <n v="3.6118000000000001"/>
    <n v="1"/>
    <n v="-1875"/>
    <s v="UNITED KINGDOM GB"/>
  </r>
  <r>
    <s v="BKMILL"/>
    <n v="158010"/>
    <n v="218689"/>
    <s v="Forward"/>
    <x v="91"/>
    <s v="Buy Fwd"/>
    <s v="CNY"/>
    <n v="4800000"/>
    <s v="PLN"/>
    <n v="2489280"/>
    <s v="2026-01-30"/>
    <n v="0.51859999999999995"/>
    <n v="1.9282999999999999"/>
    <n v="0.50660000000000005"/>
    <n v="1"/>
    <n v="4920960"/>
    <s v="POLAND PL"/>
  </r>
  <r>
    <s v="BKMILL"/>
    <n v="158011"/>
    <n v="904312"/>
    <s v="Spot"/>
    <x v="38"/>
    <s v="Sell"/>
    <s v="EUR"/>
    <n v="-500000"/>
    <s v="PLN"/>
    <n v="2115035"/>
    <s v="2026-01-22"/>
    <n v="4.2301000000000002"/>
    <n v="0.2364"/>
    <n v="4.2271000000000001"/>
    <n v="1"/>
    <n v="1485"/>
    <s v="NETHERLANDS NL"/>
  </r>
  <r>
    <s v="BKMILL"/>
    <n v="158012"/>
    <n v="904322"/>
    <s v="Spot"/>
    <x v="39"/>
    <s v="Sell"/>
    <s v="EUR"/>
    <n v="-500000"/>
    <s v="PLN"/>
    <n v="2115095"/>
    <s v="2026-01-22"/>
    <n v="4.2302"/>
    <n v="0.2364"/>
    <n v="4.2271000000000001"/>
    <n v="1"/>
    <n v="1545"/>
    <s v="UNITED KINGDOM GB"/>
  </r>
  <r>
    <s v="BKMILL"/>
    <n v="158013"/>
    <n v="904342"/>
    <s v="Spot"/>
    <x v="38"/>
    <s v="Buy"/>
    <s v="EUR"/>
    <n v="500000"/>
    <s v="PLN"/>
    <n v="-2115105"/>
    <s v="2026-01-22"/>
    <n v="4.2302"/>
    <n v="0.2364"/>
    <n v="4.2271000000000001"/>
    <n v="1"/>
    <n v="-1555"/>
    <s v="NETHERLANDS NL"/>
  </r>
  <r>
    <s v="BKMILL"/>
    <n v="158014"/>
    <n v="904343"/>
    <s v="Spot"/>
    <x v="39"/>
    <s v="Buy"/>
    <s v="EUR"/>
    <n v="500000"/>
    <s v="PLN"/>
    <n v="-2115010"/>
    <s v="2026-01-22"/>
    <n v="4.2300000000000004"/>
    <n v="0.2364"/>
    <n v="4.2271000000000001"/>
    <n v="1"/>
    <n v="-1460"/>
    <s v="UNITED KINGDOM GB"/>
  </r>
  <r>
    <s v="BKMILL"/>
    <n v="158015"/>
    <n v="904344"/>
    <s v="Spot"/>
    <x v="43"/>
    <s v="Sell"/>
    <s v="EUR"/>
    <n v="-1000000"/>
    <s v="PLN"/>
    <n v="4231500"/>
    <s v="2026-01-22"/>
    <n v="4.2314999999999996"/>
    <n v="0.23630000000000001"/>
    <n v="4.2271000000000001"/>
    <n v="1"/>
    <n v="4400"/>
    <s v="FRANCE FR"/>
  </r>
  <r>
    <s v="BKMILL"/>
    <n v="158016"/>
    <n v="218700"/>
    <s v="Forward"/>
    <x v="154"/>
    <s v="Sell Fwd"/>
    <s v="USD"/>
    <n v="-100000"/>
    <s v="PLN"/>
    <n v="360000"/>
    <s v="2026-01-20"/>
    <n v="3.6"/>
    <n v="0.27779999999999999"/>
    <n v="3.6345999999999998"/>
    <n v="1"/>
    <n v="-3460"/>
    <s v="POLAND PL"/>
  </r>
  <r>
    <s v="BKMILL"/>
    <n v="158017"/>
    <n v="904351"/>
    <s v="Spot"/>
    <x v="44"/>
    <s v="Buy"/>
    <s v="EUR"/>
    <n v="500000"/>
    <s v="PLN"/>
    <n v="-2115365"/>
    <s v="2026-01-22"/>
    <n v="4.2306999999999997"/>
    <n v="0.2364"/>
    <n v="4.2271000000000001"/>
    <n v="1"/>
    <n v="-1815"/>
    <s v="GERMANY DE"/>
  </r>
  <r>
    <s v="BKMILL"/>
    <n v="158018"/>
    <n v="904352"/>
    <s v="Spot"/>
    <x v="39"/>
    <s v="Buy"/>
    <s v="EUR"/>
    <n v="500000"/>
    <s v="PLN"/>
    <n v="-2115280"/>
    <s v="2026-01-22"/>
    <n v="4.2305999999999999"/>
    <n v="0.2364"/>
    <n v="4.2271000000000001"/>
    <n v="1"/>
    <n v="-1730"/>
    <s v="UNITED KINGDOM GB"/>
  </r>
  <r>
    <s v="BKMILL"/>
    <n v="158019"/>
    <n v="904353"/>
    <s v="Spot"/>
    <x v="40"/>
    <s v="Sell"/>
    <s v="EUR"/>
    <n v="-11000000"/>
    <s v="PLN"/>
    <n v="46546500"/>
    <s v="2026-01-22"/>
    <n v="4.2314999999999996"/>
    <n v="0.23630000000000001"/>
    <n v="4.2271000000000001"/>
    <n v="1"/>
    <n v="48400"/>
    <s v="UNITED STATES OF AMERICA US"/>
  </r>
  <r>
    <s v="BKMILL"/>
    <n v="158020"/>
    <n v="904354"/>
    <s v="Spot"/>
    <x v="38"/>
    <s v="Buy"/>
    <s v="EUR"/>
    <n v="500000"/>
    <s v="PLN"/>
    <n v="-2115295"/>
    <s v="2026-01-22"/>
    <n v="4.2305999999999999"/>
    <n v="0.2364"/>
    <n v="4.2271000000000001"/>
    <n v="1"/>
    <n v="-1745"/>
    <s v="NETHERLANDS NL"/>
  </r>
  <r>
    <s v="BKMILL"/>
    <n v="158021"/>
    <n v="904355"/>
    <s v="Spot"/>
    <x v="39"/>
    <s v="Buy"/>
    <s v="EUR"/>
    <n v="1000000"/>
    <s v="PLN"/>
    <n v="-4230670"/>
    <s v="2026-01-22"/>
    <n v="4.2306999999999997"/>
    <n v="0.2364"/>
    <n v="4.2271000000000001"/>
    <n v="1"/>
    <n v="-3570"/>
    <s v="UNITED KINGDOM GB"/>
  </r>
  <r>
    <s v="BKMILL"/>
    <n v="158022"/>
    <n v="904356"/>
    <s v="Spot"/>
    <x v="38"/>
    <s v="Buy"/>
    <s v="EUR"/>
    <n v="1000000"/>
    <s v="PLN"/>
    <n v="-4230760"/>
    <s v="2026-01-22"/>
    <n v="4.2308000000000003"/>
    <n v="0.2364"/>
    <n v="4.2271000000000001"/>
    <n v="1"/>
    <n v="-3660"/>
    <s v="NETHERLANDS NL"/>
  </r>
  <r>
    <s v="BKMILL"/>
    <n v="158023"/>
    <n v="904357"/>
    <s v="Spot"/>
    <x v="41"/>
    <s v="Buy"/>
    <s v="EUR"/>
    <n v="500000"/>
    <s v="PLN"/>
    <n v="-2115450"/>
    <s v="2026-01-22"/>
    <n v="4.2309000000000001"/>
    <n v="0.2364"/>
    <n v="4.2271000000000001"/>
    <n v="1"/>
    <n v="-1900"/>
    <s v="GERMANY DE"/>
  </r>
  <r>
    <s v="BKMILL"/>
    <n v="158024"/>
    <n v="904358"/>
    <s v="Spot"/>
    <x v="39"/>
    <s v="Buy"/>
    <s v="EUR"/>
    <n v="1000000"/>
    <s v="PLN"/>
    <n v="-4230870"/>
    <s v="2026-01-22"/>
    <n v="4.2309000000000001"/>
    <n v="0.2364"/>
    <n v="4.2271000000000001"/>
    <n v="1"/>
    <n v="-3770"/>
    <s v="UNITED KINGDOM GB"/>
  </r>
  <r>
    <s v="BKMILL"/>
    <n v="158025"/>
    <n v="904359"/>
    <s v="Spot"/>
    <x v="40"/>
    <s v="Buy"/>
    <s v="EUR"/>
    <n v="500000"/>
    <s v="PLN"/>
    <n v="-2115350"/>
    <s v="2026-01-22"/>
    <n v="4.2306999999999997"/>
    <n v="0.2364"/>
    <n v="4.2271000000000001"/>
    <n v="1"/>
    <n v="-1800"/>
    <s v="UNITED STATES OF AMERICA US"/>
  </r>
  <r>
    <s v="BKMILL"/>
    <n v="158026"/>
    <n v="904360"/>
    <s v="Spot"/>
    <x v="41"/>
    <s v="Buy"/>
    <s v="EUR"/>
    <n v="500000"/>
    <s v="PLN"/>
    <n v="-2115350"/>
    <s v="2026-01-22"/>
    <n v="4.2306999999999997"/>
    <n v="0.2364"/>
    <n v="4.2271000000000001"/>
    <n v="1"/>
    <n v="-1800"/>
    <s v="GERMANY DE"/>
  </r>
  <r>
    <s v="BKMILL"/>
    <n v="158027"/>
    <n v="904361"/>
    <s v="Spot"/>
    <x v="39"/>
    <s v="Buy"/>
    <s v="EUR"/>
    <n v="1000000"/>
    <s v="PLN"/>
    <n v="-4230800"/>
    <s v="2026-01-22"/>
    <n v="4.2308000000000003"/>
    <n v="0.2364"/>
    <n v="4.2271000000000001"/>
    <n v="1"/>
    <n v="-3700"/>
    <s v="UNITED KINGDOM GB"/>
  </r>
  <r>
    <s v="BKMILL"/>
    <n v="158028"/>
    <n v="904362"/>
    <s v="Spot"/>
    <x v="39"/>
    <s v="Buy"/>
    <s v="EUR"/>
    <n v="1000000"/>
    <s v="PLN"/>
    <n v="-4230610"/>
    <s v="2026-01-22"/>
    <n v="4.2305999999999999"/>
    <n v="0.2364"/>
    <n v="4.2271000000000001"/>
    <n v="1"/>
    <n v="-3510"/>
    <s v="UNITED KINGDOM GB"/>
  </r>
  <r>
    <s v="BKMILL"/>
    <n v="158029"/>
    <n v="904366"/>
    <s v="Spot"/>
    <x v="43"/>
    <s v="Buy"/>
    <s v="EUR"/>
    <n v="500000"/>
    <s v="PLN"/>
    <n v="-2115125"/>
    <s v="2026-01-22"/>
    <n v="4.2302"/>
    <n v="0.2364"/>
    <n v="4.2271000000000001"/>
    <n v="1"/>
    <n v="-1575"/>
    <s v="FRANCE FR"/>
  </r>
  <r>
    <s v="BKMILL"/>
    <n v="158030"/>
    <n v="904373"/>
    <s v="Spot"/>
    <x v="38"/>
    <s v="Buy"/>
    <s v="EUR"/>
    <n v="500000"/>
    <s v="PLN"/>
    <n v="-2115465"/>
    <s v="2026-01-22"/>
    <n v="4.2309000000000001"/>
    <n v="0.2364"/>
    <n v="4.2271000000000001"/>
    <n v="1"/>
    <n v="-1915"/>
    <s v="NETHERLANDS NL"/>
  </r>
  <r>
    <s v="BKMILL"/>
    <n v="158031"/>
    <n v="904380"/>
    <s v="Spot"/>
    <x v="38"/>
    <s v="Buy"/>
    <s v="EUR"/>
    <n v="500000"/>
    <s v="PLN"/>
    <n v="-2115380"/>
    <s v="2026-01-22"/>
    <n v="4.2308000000000003"/>
    <n v="0.2364"/>
    <n v="4.2271000000000001"/>
    <n v="1"/>
    <n v="-1830"/>
    <s v="NETHERLANDS NL"/>
  </r>
  <r>
    <s v="BKMILL"/>
    <n v="158034"/>
    <n v="904396"/>
    <s v="Spot"/>
    <x v="39"/>
    <s v="Sell"/>
    <s v="EUR"/>
    <n v="-500000"/>
    <s v="PLN"/>
    <n v="2115720"/>
    <s v="2026-01-22"/>
    <n v="4.2313999999999998"/>
    <n v="0.23630000000000001"/>
    <n v="4.2271000000000001"/>
    <n v="1"/>
    <n v="2170"/>
    <s v="UNITED KINGDOM GB"/>
  </r>
  <r>
    <s v="BKMILL"/>
    <n v="158037"/>
    <n v="904415"/>
    <s v="Spot"/>
    <x v="41"/>
    <s v="Sell"/>
    <s v="EUR"/>
    <n v="-2000000"/>
    <s v="PLN"/>
    <n v="8463000"/>
    <s v="2026-01-22"/>
    <n v="4.2314999999999996"/>
    <n v="0.23630000000000001"/>
    <n v="4.2271000000000001"/>
    <n v="1"/>
    <n v="8800"/>
    <s v="GERMANY DE"/>
  </r>
  <r>
    <s v="BKMILL"/>
    <n v="158039"/>
    <n v="904419"/>
    <s v="Spot"/>
    <x v="47"/>
    <s v="Buy"/>
    <s v="EUR"/>
    <n v="600000"/>
    <s v="CNY"/>
    <n v="-4894806"/>
    <s v="2026-01-22"/>
    <n v="8.1579999999999995"/>
    <n v="0.1226"/>
    <n v="4.2271000000000001"/>
    <n v="0.51859999999999995"/>
    <n v="-2186.3915999999999"/>
    <s v="FRANCE FR"/>
  </r>
  <r>
    <s v="BKMILL"/>
    <n v="158041"/>
    <n v="218718"/>
    <s v="Forward"/>
    <x v="169"/>
    <s v="Buy Fwd"/>
    <s v="EUR"/>
    <n v="80000"/>
    <s v="PLN"/>
    <n v="337840"/>
    <s v="2026-01-20"/>
    <n v="4.2234999999999996"/>
    <n v="0.23680000000000001"/>
    <n v="4.2230999999999996"/>
    <n v="1"/>
    <n v="675688"/>
    <s v="POLAND PL"/>
  </r>
  <r>
    <s v="BKMILL"/>
    <n v="158043"/>
    <n v="218722"/>
    <s v="Forward"/>
    <x v="509"/>
    <s v="Buy Fwd"/>
    <s v="EUR"/>
    <n v="5000"/>
    <s v="PLN"/>
    <n v="21092.5"/>
    <s v="2026-01-20"/>
    <n v="4.2184999999999997"/>
    <n v="0.23710000000000001"/>
    <n v="4.2230999999999996"/>
    <n v="1"/>
    <n v="42208"/>
    <s v="POLAND PL"/>
  </r>
  <r>
    <s v="BKMILL"/>
    <n v="158046"/>
    <n v="904476"/>
    <s v="Spot"/>
    <x v="41"/>
    <s v="Sell"/>
    <s v="EUR"/>
    <n v="-3000000"/>
    <s v="PLN"/>
    <n v="12694500"/>
    <s v="2026-01-22"/>
    <n v="4.2314999999999996"/>
    <n v="0.23630000000000001"/>
    <n v="4.2271000000000001"/>
    <n v="1"/>
    <n v="13200"/>
    <s v="GERMANY DE"/>
  </r>
  <r>
    <s v="BKMILL"/>
    <n v="158047"/>
    <n v="904494"/>
    <s v="Spot"/>
    <x v="44"/>
    <s v="Buy"/>
    <s v="EUR"/>
    <n v="500000"/>
    <s v="PLN"/>
    <n v="-2115000"/>
    <s v="2026-01-22"/>
    <n v="4.2300000000000004"/>
    <n v="0.2364"/>
    <n v="4.2271000000000001"/>
    <n v="1"/>
    <n v="-1450"/>
    <s v="GERMANY DE"/>
  </r>
  <r>
    <s v="BKMILL"/>
    <n v="158048"/>
    <n v="904495"/>
    <s v="Spot"/>
    <x v="44"/>
    <s v="Buy"/>
    <s v="EUR"/>
    <n v="500000"/>
    <s v="PLN"/>
    <n v="-2115050"/>
    <s v="2026-01-22"/>
    <n v="4.2301000000000002"/>
    <n v="0.2364"/>
    <n v="4.2271000000000001"/>
    <n v="1"/>
    <n v="-1500"/>
    <s v="GERMANY DE"/>
  </r>
  <r>
    <s v="BKMILL"/>
    <n v="158049"/>
    <n v="218725"/>
    <s v="Forward"/>
    <x v="78"/>
    <s v="Buy Fwd"/>
    <s v="EUR"/>
    <n v="15000"/>
    <s v="PLN"/>
    <n v="63390"/>
    <s v="2026-01-20"/>
    <n v="4.226"/>
    <n v="0.2366"/>
    <n v="4.2230999999999996"/>
    <n v="1"/>
    <n v="126736.5"/>
    <s v="POLAND PL"/>
  </r>
  <r>
    <s v="BKMILL"/>
    <n v="158050"/>
    <n v="904499"/>
    <s v="Spot"/>
    <x v="44"/>
    <s v="Buy"/>
    <s v="EUR"/>
    <n v="500000"/>
    <s v="PLN"/>
    <n v="-2114590"/>
    <s v="2026-01-22"/>
    <n v="4.2291999999999996"/>
    <n v="0.23649999999999999"/>
    <n v="4.2271000000000001"/>
    <n v="1"/>
    <n v="-1040"/>
    <s v="GERMANY DE"/>
  </r>
  <r>
    <s v="BKMILL"/>
    <n v="158051"/>
    <n v="904500"/>
    <s v="Spot"/>
    <x v="40"/>
    <s v="Sell"/>
    <s v="EUR"/>
    <n v="-1000000"/>
    <s v="PLN"/>
    <n v="4231500"/>
    <s v="2026-01-22"/>
    <n v="4.2314999999999996"/>
    <n v="0.23630000000000001"/>
    <n v="4.2271000000000001"/>
    <n v="1"/>
    <n v="4400"/>
    <s v="UNITED STATES OF AMERICA US"/>
  </r>
  <r>
    <s v="BKMILL"/>
    <n v="158052"/>
    <n v="904501"/>
    <s v="Spot"/>
    <x v="44"/>
    <s v="Buy"/>
    <s v="EUR"/>
    <n v="500000"/>
    <s v="PLN"/>
    <n v="-2114650"/>
    <s v="2026-01-22"/>
    <n v="4.2293000000000003"/>
    <n v="0.2364"/>
    <n v="4.2271000000000001"/>
    <n v="1"/>
    <n v="-1100"/>
    <s v="GERMANY DE"/>
  </r>
  <r>
    <s v="BKMILL"/>
    <n v="158053"/>
    <n v="904502"/>
    <s v="Spot"/>
    <x v="44"/>
    <s v="Buy"/>
    <s v="EUR"/>
    <n v="500000"/>
    <s v="PLN"/>
    <n v="-2114650"/>
    <s v="2026-01-22"/>
    <n v="4.2293000000000003"/>
    <n v="0.2364"/>
    <n v="4.2271000000000001"/>
    <n v="1"/>
    <n v="-1100"/>
    <s v="GERMANY DE"/>
  </r>
  <r>
    <s v="BKMILL"/>
    <n v="158054"/>
    <n v="904503"/>
    <s v="Spot"/>
    <x v="44"/>
    <s v="Buy"/>
    <s v="EUR"/>
    <n v="500000"/>
    <s v="PLN"/>
    <n v="-2114685"/>
    <s v="2026-01-22"/>
    <n v="4.2294"/>
    <n v="0.2364"/>
    <n v="4.2271000000000001"/>
    <n v="1"/>
    <n v="-1135"/>
    <s v="GERMANY DE"/>
  </r>
  <r>
    <s v="BKMILL"/>
    <n v="158055"/>
    <n v="904504"/>
    <s v="Spot"/>
    <x v="39"/>
    <s v="Buy"/>
    <s v="USD"/>
    <n v="500000"/>
    <s v="PLN"/>
    <n v="-1802790"/>
    <s v="2026-01-22"/>
    <n v="3.6055999999999999"/>
    <n v="0.27729999999999999"/>
    <n v="3.6118000000000001"/>
    <n v="1"/>
    <n v="3110"/>
    <s v="UNITED KINGDOM GB"/>
  </r>
  <r>
    <s v="BKMILL"/>
    <n v="158056"/>
    <n v="218728"/>
    <s v="Forward"/>
    <x v="349"/>
    <s v="Sell Fwd"/>
    <s v="USD"/>
    <n v="-100000"/>
    <s v="PLN"/>
    <n v="361200"/>
    <s v="2026-01-20"/>
    <n v="3.6120000000000001"/>
    <n v="0.27689999999999998"/>
    <n v="3.6345999999999998"/>
    <n v="1"/>
    <n v="-2260"/>
    <s v="POLAND PL"/>
  </r>
  <r>
    <s v="BKMILL"/>
    <n v="158057"/>
    <n v="904515"/>
    <s v="Spot"/>
    <x v="44"/>
    <s v="Buy"/>
    <s v="EUR"/>
    <n v="500000"/>
    <s v="PLN"/>
    <n v="-2114800"/>
    <s v="2026-01-22"/>
    <n v="4.2295999999999996"/>
    <n v="0.2364"/>
    <n v="4.2271000000000001"/>
    <n v="1"/>
    <n v="-1250"/>
    <s v="GERMANY DE"/>
  </r>
  <r>
    <s v="BKMILL"/>
    <n v="158058"/>
    <n v="904516"/>
    <s v="Spot"/>
    <x v="41"/>
    <s v="Buy"/>
    <s v="EUR"/>
    <n v="500000"/>
    <s v="PLN"/>
    <n v="-2114800"/>
    <s v="2026-01-22"/>
    <n v="4.2295999999999996"/>
    <n v="0.2364"/>
    <n v="4.2271000000000001"/>
    <n v="1"/>
    <n v="-1250"/>
    <s v="GERMANY DE"/>
  </r>
  <r>
    <s v="BKMILL"/>
    <n v="158059"/>
    <n v="904517"/>
    <s v="Spot"/>
    <x v="38"/>
    <s v="Buy"/>
    <s v="EUR"/>
    <n v="500000"/>
    <s v="PLN"/>
    <n v="-2114775"/>
    <s v="2026-01-22"/>
    <n v="4.2294999999999998"/>
    <n v="0.2364"/>
    <n v="4.2271000000000001"/>
    <n v="1"/>
    <n v="-1225"/>
    <s v="NETHERLANDS NL"/>
  </r>
  <r>
    <s v="BKMILL"/>
    <n v="158060"/>
    <n v="904518"/>
    <s v="Spot"/>
    <x v="41"/>
    <s v="Buy"/>
    <s v="EUR"/>
    <n v="500000"/>
    <s v="PLN"/>
    <n v="-2114500"/>
    <s v="2026-01-22"/>
    <n v="4.2290000000000001"/>
    <n v="0.23649999999999999"/>
    <n v="4.2271000000000001"/>
    <n v="1"/>
    <n v="-950"/>
    <s v="GERMANY DE"/>
  </r>
  <r>
    <s v="BKMILL"/>
    <n v="158061"/>
    <n v="904519"/>
    <s v="Spot"/>
    <x v="38"/>
    <s v="Buy"/>
    <s v="EUR"/>
    <n v="500000"/>
    <s v="PLN"/>
    <n v="-2114475"/>
    <s v="2026-01-22"/>
    <n v="4.2290000000000001"/>
    <n v="0.23649999999999999"/>
    <n v="4.2271000000000001"/>
    <n v="1"/>
    <n v="-925"/>
    <s v="NETHERLANDS NL"/>
  </r>
  <r>
    <s v="BKMILL"/>
    <n v="158062"/>
    <n v="904520"/>
    <s v="Spot"/>
    <x v="38"/>
    <s v="Buy"/>
    <s v="EUR"/>
    <n v="500000"/>
    <s v="PLN"/>
    <n v="-2114515"/>
    <s v="2026-01-22"/>
    <n v="4.2290000000000001"/>
    <n v="0.23649999999999999"/>
    <n v="4.2271000000000001"/>
    <n v="1"/>
    <n v="-965"/>
    <s v="NETHERLANDS NL"/>
  </r>
  <r>
    <s v="BKMILL"/>
    <n v="158063"/>
    <n v="218729"/>
    <s v="Forward"/>
    <x v="370"/>
    <s v="Buy Fwd"/>
    <s v="EUR"/>
    <n v="20000"/>
    <s v="PLN"/>
    <n v="84420"/>
    <s v="2026-01-20"/>
    <n v="4.2214999999999998"/>
    <n v="0.2369"/>
    <n v="4.2230999999999996"/>
    <n v="1"/>
    <n v="168882"/>
    <s v="POLAND PL"/>
  </r>
  <r>
    <s v="BKMILL"/>
    <n v="158064"/>
    <n v="904531"/>
    <s v="Spot"/>
    <x v="41"/>
    <s v="Sell"/>
    <s v="EUR"/>
    <n v="-600000"/>
    <s v="CHF"/>
    <n v="556104"/>
    <s v="2026-01-22"/>
    <n v="0.92679999999999996"/>
    <n v="1.0789"/>
    <n v="4.2271000000000001"/>
    <n v="4.5552999999999999"/>
    <n v="-3039.4488000000001"/>
    <s v="GERMANY DE"/>
  </r>
  <r>
    <s v="BKMILL"/>
    <n v="158066"/>
    <n v="904534"/>
    <s v="Spot"/>
    <x v="44"/>
    <s v="Sell"/>
    <s v="USD"/>
    <n v="-500000"/>
    <s v="PLN"/>
    <n v="1803200"/>
    <s v="2026-01-22"/>
    <n v="3.6063999999999998"/>
    <n v="0.27729999999999999"/>
    <n v="3.6118000000000001"/>
    <n v="1"/>
    <n v="-2700"/>
    <s v="GERMANY DE"/>
  </r>
  <r>
    <s v="BKMILL"/>
    <n v="158067"/>
    <n v="904543"/>
    <s v="Spot"/>
    <x v="44"/>
    <s v="Sell"/>
    <s v="EUR"/>
    <n v="-130000"/>
    <s v="PLN"/>
    <n v="549688.1"/>
    <s v="2026-01-22"/>
    <n v="4.2283999999999997"/>
    <n v="0.23649999999999999"/>
    <n v="4.2271000000000001"/>
    <n v="1"/>
    <n v="165.1"/>
    <s v="GERMANY DE"/>
  </r>
  <r>
    <s v="BKMILL"/>
    <n v="158068"/>
    <n v="904544"/>
    <s v="Spot"/>
    <x v="41"/>
    <s v="Sell"/>
    <s v="EUR"/>
    <n v="-1300000"/>
    <s v="PLN"/>
    <n v="5496530"/>
    <s v="2026-01-22"/>
    <n v="4.2281000000000004"/>
    <n v="0.23649999999999999"/>
    <n v="4.2271000000000001"/>
    <n v="1"/>
    <n v="1300"/>
    <s v="GERMANY DE"/>
  </r>
  <r>
    <s v="BKMILL"/>
    <n v="158069"/>
    <n v="904557"/>
    <s v="Spot"/>
    <x v="38"/>
    <s v="Sell"/>
    <s v="EUR"/>
    <n v="-100000"/>
    <s v="GBP"/>
    <n v="87183"/>
    <s v="2026-01-22"/>
    <n v="0.87180000000000002"/>
    <n v="1.147"/>
    <n v="4.2271000000000001"/>
    <n v="4.8433999999999999"/>
    <n v="-447.8578"/>
    <s v="NETHERLANDS NL"/>
  </r>
  <r>
    <s v="BKMILL"/>
    <n v="158071"/>
    <n v="904570"/>
    <s v="Spot"/>
    <x v="45"/>
    <s v="Buy"/>
    <s v="EUR"/>
    <n v="100000"/>
    <s v="NOK"/>
    <n v="-1169822"/>
    <s v="2026-01-22"/>
    <n v="11.6982"/>
    <n v="8.5500000000000007E-2"/>
    <n v="4.2271000000000001"/>
    <n v="0.3619"/>
    <n v="-648.58180000000004"/>
    <s v="SWITZERLAND CH"/>
  </r>
  <r>
    <s v="BKMILL"/>
    <n v="158072"/>
    <n v="904596"/>
    <s v="Spot"/>
    <x v="45"/>
    <s v="Buy"/>
    <s v="EUR"/>
    <n v="100000"/>
    <s v="NOK"/>
    <n v="-1169808"/>
    <s v="2026-01-22"/>
    <n v="11.6981"/>
    <n v="8.5500000000000007E-2"/>
    <n v="4.2271000000000001"/>
    <n v="0.3619"/>
    <n v="-643.51520000000005"/>
    <s v="SWITZERLAND CH"/>
  </r>
  <r>
    <s v="BKMILL"/>
    <n v="158074"/>
    <n v="904600"/>
    <s v="Spot"/>
    <x v="41"/>
    <s v="Buy"/>
    <s v="EUR"/>
    <n v="100000"/>
    <s v="GBP"/>
    <n v="-87092"/>
    <s v="2026-01-22"/>
    <n v="0.87090000000000001"/>
    <n v="1.1482000000000001"/>
    <n v="4.2271000000000001"/>
    <n v="4.8433999999999999"/>
    <n v="888.60720000000003"/>
    <s v="GERMANY DE"/>
  </r>
  <r>
    <s v="BKMILL"/>
    <n v="158075"/>
    <n v="218733"/>
    <s v="Forward"/>
    <x v="511"/>
    <s v="Buy Fwd"/>
    <s v="EUR"/>
    <n v="120000"/>
    <s v="PLN"/>
    <n v="506760"/>
    <s v="2026-01-20"/>
    <n v="4.2234999999999996"/>
    <n v="0.23680000000000001"/>
    <n v="4.2230999999999996"/>
    <n v="1"/>
    <n v="1013532"/>
    <s v="POLAND PL"/>
  </r>
  <r>
    <s v="BKMILL"/>
    <n v="158076"/>
    <n v="218736"/>
    <s v="Forward"/>
    <x v="138"/>
    <s v="Buy Fwd"/>
    <s v="EUR"/>
    <n v="24000"/>
    <s v="PLN"/>
    <n v="101280"/>
    <s v="2026-01-20"/>
    <n v="4.22"/>
    <n v="0.23699999999999999"/>
    <n v="4.2230999999999996"/>
    <n v="1"/>
    <n v="202634.4"/>
    <s v="POLAND PL"/>
  </r>
  <r>
    <s v="BKMILL"/>
    <n v="158077"/>
    <n v="218743"/>
    <s v="Forward"/>
    <x v="294"/>
    <s v="Buy Fwd"/>
    <s v="EUR"/>
    <n v="32900"/>
    <s v="PLN"/>
    <n v="138739.29999999999"/>
    <s v="2026-01-20"/>
    <n v="4.2173999999999996"/>
    <n v="0.23710000000000001"/>
    <n v="4.2230999999999996"/>
    <n v="1"/>
    <n v="277679.28999999998"/>
    <s v="POLAND PL"/>
  </r>
  <r>
    <s v="BKMILL"/>
    <n v="158078"/>
    <n v="218744"/>
    <s v="Forward"/>
    <x v="448"/>
    <s v="Buy Fwd"/>
    <s v="EUR"/>
    <n v="30300"/>
    <s v="PLN"/>
    <n v="127775.1"/>
    <s v="2026-01-20"/>
    <n v="4.2173999999999996"/>
    <n v="0.23710000000000001"/>
    <n v="4.2230999999999996"/>
    <n v="1"/>
    <n v="255735.03"/>
    <s v="POLAND PL"/>
  </r>
  <r>
    <s v="BKMILL"/>
    <n v="158079"/>
    <n v="218746"/>
    <s v="Forward"/>
    <x v="447"/>
    <s v="Buy Fwd"/>
    <s v="EUR"/>
    <n v="5000"/>
    <s v="PLN"/>
    <n v="21085"/>
    <s v="2026-01-20"/>
    <n v="4.2171000000000003"/>
    <n v="0.23710000000000001"/>
    <n v="4.2230999999999996"/>
    <n v="1"/>
    <n v="42200.5"/>
    <s v="POLAND PL"/>
  </r>
  <r>
    <s v="BKMILL"/>
    <n v="158084"/>
    <n v="904665"/>
    <s v="Spot"/>
    <x v="40"/>
    <s v="Sell"/>
    <s v="EUR"/>
    <n v="-100000"/>
    <s v="USD"/>
    <n v="117292"/>
    <s v="2026-01-22"/>
    <n v="1.1729000000000001"/>
    <n v="0.85260000000000002"/>
    <n v="4.2271000000000001"/>
    <n v="3.6118000000000001"/>
    <n v="925.24559999999997"/>
    <s v="UNITED STATES OF AMERICA US"/>
  </r>
  <r>
    <s v="BKMILL"/>
    <n v="158085"/>
    <n v="904666"/>
    <s v="Spot"/>
    <x v="40"/>
    <s v="Sell"/>
    <s v="EUR"/>
    <n v="-100000"/>
    <s v="USD"/>
    <n v="117308"/>
    <s v="2026-01-22"/>
    <n v="1.1731"/>
    <n v="0.85250000000000004"/>
    <n v="4.2271000000000001"/>
    <n v="3.6118000000000001"/>
    <n v="983.03440000000001"/>
    <s v="UNITED STATES OF AMERICA US"/>
  </r>
  <r>
    <s v="BKMILL"/>
    <n v="158086"/>
    <n v="904667"/>
    <s v="Spot"/>
    <x v="40"/>
    <s v="Sell"/>
    <s v="EUR"/>
    <n v="-100000"/>
    <s v="USD"/>
    <n v="117314"/>
    <s v="2026-01-22"/>
    <n v="1.1731"/>
    <n v="0.85240000000000005"/>
    <n v="4.2271000000000001"/>
    <n v="3.6118000000000001"/>
    <n v="1004.7052"/>
    <s v="UNITED STATES OF AMERICA US"/>
  </r>
  <r>
    <s v="BKMILL"/>
    <n v="158087"/>
    <n v="904668"/>
    <s v="Spot"/>
    <x v="40"/>
    <s v="Sell"/>
    <s v="EUR"/>
    <n v="-100000"/>
    <s v="USD"/>
    <n v="117325"/>
    <s v="2026-01-22"/>
    <n v="1.1732"/>
    <n v="0.85229999999999995"/>
    <n v="4.2271000000000001"/>
    <n v="3.6118000000000001"/>
    <n v="1044.4349999999999"/>
    <s v="UNITED STATES OF AMERICA US"/>
  </r>
  <r>
    <s v="BKMILL"/>
    <n v="158088"/>
    <n v="904669"/>
    <s v="Spot"/>
    <x v="40"/>
    <s v="Sell"/>
    <s v="EUR"/>
    <n v="-100000"/>
    <s v="USD"/>
    <n v="117322"/>
    <s v="2026-01-22"/>
    <n v="1.1732"/>
    <n v="0.85240000000000005"/>
    <n v="4.2271000000000001"/>
    <n v="3.6118000000000001"/>
    <n v="1033.5996"/>
    <s v="UNITED STATES OF AMERICA US"/>
  </r>
  <r>
    <s v="BKMILL"/>
    <n v="158089"/>
    <n v="904676"/>
    <s v="Spot"/>
    <x v="38"/>
    <s v="Sell"/>
    <s v="EUR"/>
    <n v="-100000"/>
    <s v="PLN"/>
    <n v="422724"/>
    <s v="2026-01-22"/>
    <n v="4.2271999999999998"/>
    <n v="0.2366"/>
    <n v="4.2271000000000001"/>
    <n v="1"/>
    <n v="14"/>
    <s v="NETHERLANDS NL"/>
  </r>
  <r>
    <s v="BKMILL"/>
    <n v="158090"/>
    <n v="904677"/>
    <s v="Spot"/>
    <x v="39"/>
    <s v="Sell"/>
    <s v="EUR"/>
    <n v="-500000"/>
    <s v="PLN"/>
    <n v="2113680"/>
    <s v="2026-01-22"/>
    <n v="4.2274000000000003"/>
    <n v="0.2366"/>
    <n v="4.2271000000000001"/>
    <n v="1"/>
    <n v="130"/>
    <s v="UNITED KINGDOM GB"/>
  </r>
  <r>
    <s v="BKMILL"/>
    <n v="158091"/>
    <n v="218754"/>
    <s v="Forward"/>
    <x v="431"/>
    <s v="Buy Fwd"/>
    <s v="EUR"/>
    <n v="500000"/>
    <s v="PLN"/>
    <n v="2111000"/>
    <s v="2026-01-20"/>
    <n v="4.2220000000000004"/>
    <n v="0.2369"/>
    <n v="4.2230999999999996"/>
    <n v="1"/>
    <n v="4222550"/>
    <s v="POLAND PL"/>
  </r>
  <r>
    <s v="BKMILL"/>
    <n v="158092"/>
    <n v="904681"/>
    <s v="Spot"/>
    <x v="512"/>
    <s v="Buy"/>
    <s v="EUR"/>
    <n v="300000"/>
    <s v="PLN"/>
    <n v="-1267500"/>
    <s v="2026-01-22"/>
    <n v="4.2249999999999996"/>
    <n v="0.23669999999999999"/>
    <n v="4.2271000000000001"/>
    <n v="1"/>
    <n v="630"/>
    <s v="POLAND PL"/>
  </r>
  <r>
    <s v="BKMILL"/>
    <n v="158093"/>
    <n v="218756"/>
    <s v="Forward"/>
    <x v="355"/>
    <s v="Buy Fwd"/>
    <s v="EUR"/>
    <n v="3000"/>
    <s v="PLN"/>
    <n v="12645"/>
    <s v="2026-01-20"/>
    <n v="4.2149999999999999"/>
    <n v="0.23719999999999999"/>
    <n v="4.2230999999999996"/>
    <n v="1"/>
    <n v="25314.3"/>
    <s v="POLAND PL"/>
  </r>
  <r>
    <s v="BKMILL"/>
    <n v="158094"/>
    <n v="218757"/>
    <s v="Forward"/>
    <x v="513"/>
    <s v="Buy Fwd"/>
    <s v="EUR"/>
    <n v="500000"/>
    <s v="PLN"/>
    <n v="2100550"/>
    <s v="2026-01-21"/>
    <n v="4.2012999999999998"/>
    <n v="0.23799999999999999"/>
    <n v="4.2279"/>
    <n v="1"/>
    <n v="4214500"/>
    <s v="POLAND PL"/>
  </r>
  <r>
    <s v="BKMILL"/>
    <n v="158095"/>
    <n v="218758"/>
    <s v="Forward"/>
    <x v="40"/>
    <s v="Buy Fwd"/>
    <s v="USD"/>
    <n v="2950"/>
    <s v="PLN"/>
    <n v="10626.37"/>
    <s v="2026-01-21"/>
    <n v="3.6021999999999998"/>
    <n v="0.27760000000000001"/>
    <n v="3.6053999999999999"/>
    <n v="1"/>
    <n v="21262.3"/>
    <s v="UNITED STATES OF AMERICA US"/>
  </r>
  <r>
    <s v="BKMILL"/>
    <n v="158096"/>
    <n v="218759"/>
    <s v="Forward"/>
    <x v="415"/>
    <s v="Sell Fwd"/>
    <s v="USD"/>
    <n v="-2950"/>
    <s v="PLN"/>
    <n v="10644.19"/>
    <s v="2026-01-21"/>
    <n v="3.6082000000000001"/>
    <n v="0.27710000000000001"/>
    <n v="3.6053999999999999"/>
    <n v="1"/>
    <n v="8.26"/>
    <s v="POLAND PL"/>
  </r>
  <r>
    <s v="BKMILL"/>
    <n v="158097"/>
    <n v="218760"/>
    <s v="Forward"/>
    <x v="40"/>
    <s v="Buy Fwd"/>
    <s v="EUR"/>
    <n v="2000"/>
    <s v="PLN"/>
    <n v="8453"/>
    <s v="2026-01-21"/>
    <n v="4.2267000000000001"/>
    <n v="0.2366"/>
    <n v="4.2279"/>
    <n v="1"/>
    <n v="16908.8"/>
    <s v="UNITED STATES OF AMERICA US"/>
  </r>
  <r>
    <s v="BKMILL"/>
    <n v="158098"/>
    <n v="218761"/>
    <s v="Forward"/>
    <x v="514"/>
    <s v="Sell Fwd"/>
    <s v="EUR"/>
    <n v="-2000"/>
    <s v="PLN"/>
    <n v="8465"/>
    <s v="2026-01-21"/>
    <n v="4.2327000000000004"/>
    <n v="0.23630000000000001"/>
    <n v="4.2279"/>
    <n v="1"/>
    <n v="9.1999999999999993"/>
    <s v="POLAND PL"/>
  </r>
  <r>
    <s v="BKMILL"/>
    <n v="158099"/>
    <n v="904704"/>
    <s v="Spot"/>
    <x v="41"/>
    <s v="Sell"/>
    <s v="EUR"/>
    <n v="-100751.29"/>
    <s v="PLN"/>
    <n v="425664.13"/>
    <s v="2026-01-22"/>
    <n v="4.2248999999999999"/>
    <n v="0.23669999999999999"/>
    <n v="4.2271000000000001"/>
    <n v="1"/>
    <n v="-221.64795899999999"/>
    <s v="GERMANY DE"/>
  </r>
  <r>
    <s v="BKMILL"/>
    <n v="158100"/>
    <n v="904706"/>
    <s v="Spot"/>
    <x v="41"/>
    <s v="Buy"/>
    <s v="GBP"/>
    <n v="2793.45"/>
    <s v="PLN"/>
    <n v="-13544.04"/>
    <s v="2026-01-22"/>
    <n v="4.8484999999999996"/>
    <n v="0.20619999999999999"/>
    <n v="4.8433999999999999"/>
    <n v="1"/>
    <n v="-14.24427"/>
    <s v="GERMANY DE"/>
  </r>
  <r>
    <s v="BKMILL"/>
    <n v="158101"/>
    <n v="904707"/>
    <s v="Spot"/>
    <x v="40"/>
    <s v="Sell"/>
    <s v="USD"/>
    <n v="-8142.22"/>
    <s v="PLN"/>
    <n v="29308.41"/>
    <s v="2026-01-22"/>
    <n v="3.5996000000000001"/>
    <n v="0.27779999999999999"/>
    <n v="3.6118000000000001"/>
    <n v="1"/>
    <n v="-99.660195999999999"/>
    <s v="UNITED STATES OF AMERICA US"/>
  </r>
  <r>
    <s v="BKMILL"/>
    <n v="158102"/>
    <n v="904708"/>
    <s v="Spot"/>
    <x v="40"/>
    <s v="Sell"/>
    <s v="EUR"/>
    <n v="-65320.39"/>
    <s v="PLN"/>
    <n v="275976.03000000003"/>
    <s v="2026-01-22"/>
    <n v="4.2249999999999996"/>
    <n v="0.23669999999999999"/>
    <n v="4.2271000000000001"/>
    <n v="1"/>
    <n v="-139.790569"/>
    <s v="UNITED STATES OF AMERICA US"/>
  </r>
  <r>
    <s v="BKMILL"/>
    <n v="158103"/>
    <n v="904712"/>
    <s v="Spot"/>
    <x v="40"/>
    <s v="Sell"/>
    <s v="EUR"/>
    <n v="-104013.96"/>
    <s v="PLN"/>
    <n v="439534.91"/>
    <s v="2026-01-22"/>
    <n v="4.2256999999999998"/>
    <n v="0.2366"/>
    <n v="4.2271000000000001"/>
    <n v="1"/>
    <n v="-142.500316"/>
    <s v="UNITED STATES OF AMERICA US"/>
  </r>
  <r>
    <s v="BKMILL"/>
    <n v="158104"/>
    <n v="904714"/>
    <s v="Spot"/>
    <x v="40"/>
    <s v="Sell"/>
    <s v="EUR"/>
    <n v="-100145.84"/>
    <s v="PLN"/>
    <n v="423035.06"/>
    <s v="2026-01-22"/>
    <n v="4.2241999999999997"/>
    <n v="0.23669999999999999"/>
    <n v="4.2271000000000001"/>
    <n v="1"/>
    <n v="-291.42026399999997"/>
    <s v="UNITED STATES OF AMERICA US"/>
  </r>
  <r>
    <s v="BKMILL"/>
    <n v="158105"/>
    <n v="904716"/>
    <s v="Spot"/>
    <x v="40"/>
    <s v="Sell"/>
    <s v="EUR"/>
    <n v="-71512.27"/>
    <s v="PLN"/>
    <n v="302099.28999999998"/>
    <s v="2026-01-22"/>
    <n v="4.2244000000000002"/>
    <n v="0.23669999999999999"/>
    <n v="4.2271000000000001"/>
    <n v="1"/>
    <n v="-190.226517"/>
    <s v="UNITED STATES OF AMERICA US"/>
  </r>
  <r>
    <s v="BKMILL"/>
    <n v="158106"/>
    <n v="904717"/>
    <s v="Spot"/>
    <x v="40"/>
    <s v="Sell"/>
    <s v="USD"/>
    <n v="-83364.92"/>
    <s v="PLN"/>
    <n v="300688.93"/>
    <s v="2026-01-22"/>
    <n v="3.6069"/>
    <n v="0.2772"/>
    <n v="3.6118000000000001"/>
    <n v="1"/>
    <n v="-408.48805599999997"/>
    <s v="UNITED STATES OF AMERICA US"/>
  </r>
  <r>
    <s v="BKMILL"/>
    <n v="158107"/>
    <n v="904718"/>
    <s v="Spot"/>
    <x v="42"/>
    <s v="Buy"/>
    <s v="GBP"/>
    <n v="31623.49"/>
    <s v="PLN"/>
    <n v="-153177.23000000001"/>
    <s v="2026-01-22"/>
    <n v="4.8437999999999999"/>
    <n v="0.20649999999999999"/>
    <n v="4.8433999999999999"/>
    <n v="1"/>
    <n v="-12.018534000000001"/>
    <s v="SWITZERLAND CH"/>
  </r>
  <r>
    <s v="BKMILL"/>
    <n v="158108"/>
    <n v="904719"/>
    <s v="Spot"/>
    <x v="42"/>
    <s v="Sell"/>
    <s v="CHF"/>
    <n v="-50523.85"/>
    <s v="PLN"/>
    <n v="230539.82"/>
    <s v="2026-01-22"/>
    <n v="4.5629999999999997"/>
    <n v="0.21920000000000001"/>
    <n v="4.5552999999999999"/>
    <n v="1"/>
    <n v="388.526095"/>
    <s v="SWITZERLAND CH"/>
  </r>
  <r>
    <s v="BKMILL"/>
    <n v="158109"/>
    <n v="904724"/>
    <s v="Spot"/>
    <x v="40"/>
    <s v="Sell"/>
    <s v="EUR"/>
    <n v="-115778.96"/>
    <s v="PLN"/>
    <n v="489015.59"/>
    <s v="2026-01-22"/>
    <n v="4.2237"/>
    <n v="0.23680000000000001"/>
    <n v="4.2271000000000001"/>
    <n v="1"/>
    <n v="-393.651816"/>
    <s v="UNITED STATES OF AMERICA US"/>
  </r>
  <r>
    <s v="BKMILL"/>
    <n v="158110"/>
    <n v="904726"/>
    <s v="Spot"/>
    <x v="43"/>
    <s v="Sell"/>
    <s v="USD"/>
    <n v="-7200.29"/>
    <s v="PLN"/>
    <n v="25939.98"/>
    <s v="2026-01-23"/>
    <n v="3.6025999999999998"/>
    <n v="0.27760000000000001"/>
    <n v="3.6027999999999998"/>
    <n v="1"/>
    <n v="-1.224812"/>
    <s v="FRANCE FR"/>
  </r>
  <r>
    <s v="BKMILL"/>
    <n v="158111"/>
    <n v="904727"/>
    <s v="Spot"/>
    <x v="41"/>
    <s v="Sell"/>
    <s v="EUR"/>
    <n v="-39049.15"/>
    <s v="PLN"/>
    <n v="164927.99"/>
    <s v="2026-01-23"/>
    <n v="4.2236000000000002"/>
    <n v="0.23680000000000001"/>
    <n v="4.2127999999999997"/>
    <n v="1"/>
    <n v="421.73088000000001"/>
    <s v="GERMANY DE"/>
  </r>
  <r>
    <s v="BKMILL"/>
    <n v="158112"/>
    <n v="904728"/>
    <s v="Spot"/>
    <x v="43"/>
    <s v="Buy"/>
    <s v="GBP"/>
    <n v="12580.17"/>
    <s v="PLN"/>
    <n v="-60989.04"/>
    <s v="2026-01-23"/>
    <n v="4.8479999999999999"/>
    <n v="0.20630000000000001"/>
    <n v="4.8433999999999999"/>
    <n v="1"/>
    <n v="-58.244622"/>
    <s v="FRANCE FR"/>
  </r>
  <r>
    <s v="BKMILL"/>
    <n v="158113"/>
    <n v="904729"/>
    <s v="Spot"/>
    <x v="43"/>
    <s v="Buy"/>
    <s v="CHF"/>
    <n v="5817.99"/>
    <s v="PLN"/>
    <n v="-26572.799999999999"/>
    <s v="2026-01-23"/>
    <n v="4.5674000000000001"/>
    <n v="0.21890000000000001"/>
    <n v="4.5419"/>
    <n v="1"/>
    <n v="-148.07121900000001"/>
    <s v="FRANCE FR"/>
  </r>
  <r>
    <s v="BKMILL"/>
    <n v="158114"/>
    <n v="218762"/>
    <s v="Forward"/>
    <x v="42"/>
    <s v="Buy Fwd"/>
    <s v="USD"/>
    <n v="1000000"/>
    <s v="PLN"/>
    <n v="3604670"/>
    <s v="2026-01-21"/>
    <n v="3.6046"/>
    <n v="0.27739999999999998"/>
    <n v="3.6053999999999999"/>
    <n v="1"/>
    <n v="7210070"/>
    <s v="SWITZERLAND CH"/>
  </r>
  <r>
    <s v="BKMILL"/>
    <n v="158115"/>
    <n v="904768"/>
    <s v="Spot"/>
    <x v="43"/>
    <s v="Sell"/>
    <s v="EUR"/>
    <n v="-21089.39"/>
    <s v="PLN"/>
    <n v="89064.71"/>
    <s v="2026-01-23"/>
    <n v="4.2232000000000003"/>
    <n v="0.23680000000000001"/>
    <n v="4.2127999999999997"/>
    <n v="1"/>
    <n v="219.327808"/>
    <s v="FRANCE FR"/>
  </r>
  <r>
    <s v="BKMILL"/>
    <n v="158116"/>
    <n v="904769"/>
    <s v="Spot"/>
    <x v="41"/>
    <s v="Buy"/>
    <s v="GBP"/>
    <n v="1083.24"/>
    <s v="PLN"/>
    <n v="-5247.76"/>
    <s v="2026-01-23"/>
    <n v="4.8445"/>
    <n v="0.2064"/>
    <n v="4.8433999999999999"/>
    <n v="1"/>
    <n v="-1.195384"/>
    <s v="GERMANY DE"/>
  </r>
  <r>
    <s v="BKMILL"/>
    <n v="158117"/>
    <n v="904770"/>
    <s v="Spot"/>
    <x v="43"/>
    <s v="Buy"/>
    <s v="USD"/>
    <n v="27369.4"/>
    <s v="PLN"/>
    <n v="-98664.22"/>
    <s v="2026-01-23"/>
    <n v="3.6049000000000002"/>
    <n v="0.27739999999999998"/>
    <n v="3.6027999999999998"/>
    <n v="1"/>
    <n v="-57.74568"/>
    <s v="FRANCE FR"/>
  </r>
  <r>
    <s v="BKMILL"/>
    <n v="158118"/>
    <n v="904771"/>
    <s v="Spot"/>
    <x v="43"/>
    <s v="Buy"/>
    <s v="CHF"/>
    <n v="193"/>
    <s v="PLN"/>
    <n v="-879.79"/>
    <s v="2026-01-23"/>
    <n v="4.5585000000000004"/>
    <n v="0.21940000000000001"/>
    <n v="4.5419"/>
    <n v="1"/>
    <n v="-3.2033"/>
    <s v="FRANCE FR"/>
  </r>
  <r>
    <s v="BKMILL"/>
    <n v="158119"/>
    <n v="218763"/>
    <s v="Forward"/>
    <x v="41"/>
    <s v="Buy Fwd"/>
    <s v="EUR"/>
    <n v="1000"/>
    <s v="PLN"/>
    <n v="4224.3999999999996"/>
    <s v="2026-01-21"/>
    <n v="4.2247000000000003"/>
    <n v="0.23669999999999999"/>
    <n v="4.2279"/>
    <n v="1"/>
    <n v="8452.2999999999993"/>
    <s v="GERMANY DE"/>
  </r>
  <r>
    <s v="BKMILL"/>
    <n v="158120"/>
    <n v="218765"/>
    <s v="Forward"/>
    <x v="40"/>
    <s v="Sell Fwd"/>
    <s v="EUR"/>
    <n v="-263003.88"/>
    <s v="PLN"/>
    <n v="1110720.04"/>
    <s v="2026-01-21"/>
    <n v="4.2237"/>
    <n v="0.23680000000000001"/>
    <n v="4.2279"/>
    <n v="1"/>
    <n v="-1234.0642519999999"/>
    <s v="UNITED STATES OF AMERICA US"/>
  </r>
  <r>
    <s v="BKMILL"/>
    <n v="158121"/>
    <n v="218767"/>
    <s v="Forward"/>
    <x v="55"/>
    <s v="Buy Fwd"/>
    <s v="EUR"/>
    <n v="3916.68"/>
    <s v="PLN"/>
    <n v="16544.59"/>
    <s v="2026-01-21"/>
    <n v="4.2244000000000002"/>
    <n v="0.23669999999999999"/>
    <n v="4.2279"/>
    <n v="1"/>
    <n v="33103.921371999997"/>
    <s v="SPAIN ES"/>
  </r>
  <r>
    <s v="BKMILL"/>
    <n v="158122"/>
    <n v="218769"/>
    <s v="Forward"/>
    <x v="41"/>
    <s v="Buy Fwd"/>
    <s v="EUR"/>
    <n v="15000"/>
    <s v="PLN"/>
    <n v="63361.55"/>
    <s v="2026-01-21"/>
    <n v="4.2244000000000002"/>
    <n v="0.23669999999999999"/>
    <n v="4.2279"/>
    <n v="1"/>
    <n v="126780.05"/>
    <s v="GERMANY DE"/>
  </r>
  <r>
    <s v="BKMILL"/>
    <n v="158123"/>
    <n v="904792"/>
    <s v="Spot"/>
    <x v="41"/>
    <s v="Buy"/>
    <s v="USD"/>
    <n v="2500"/>
    <s v="PLN"/>
    <n v="-9009.25"/>
    <s v="2026-01-23"/>
    <n v="3.6036999999999999"/>
    <n v="0.27750000000000002"/>
    <n v="3.6027999999999998"/>
    <n v="1"/>
    <n v="-2.25"/>
    <s v="GERMANY DE"/>
  </r>
  <r>
    <s v="BKMILL"/>
    <n v="158124"/>
    <n v="218771"/>
    <s v="Forward"/>
    <x v="41"/>
    <s v="Buy Fwd"/>
    <s v="EUR"/>
    <n v="5227.5"/>
    <s v="PLN"/>
    <n v="22083.59"/>
    <s v="2026-01-21"/>
    <n v="4.2248000000000001"/>
    <n v="0.23669999999999999"/>
    <n v="4.2279"/>
    <n v="1"/>
    <n v="44184.937250000003"/>
    <s v="GERMANY DE"/>
  </r>
  <r>
    <s v="BKMILL"/>
    <n v="158125"/>
    <n v="904794"/>
    <s v="Spot"/>
    <x v="515"/>
    <s v="Sell"/>
    <s v="USD"/>
    <n v="-2500"/>
    <s v="PLN"/>
    <n v="9050.5"/>
    <s v="2026-01-23"/>
    <n v="3.6202000000000001"/>
    <n v="0.2762"/>
    <n v="3.6027999999999998"/>
    <n v="1"/>
    <n v="43.5"/>
    <s v="POLAND PL"/>
  </r>
  <r>
    <s v="BKMILL"/>
    <n v="158126"/>
    <n v="218774"/>
    <s v="Forward"/>
    <x v="55"/>
    <s v="Buy Fwd"/>
    <s v="USD"/>
    <n v="2500"/>
    <s v="PLN"/>
    <n v="9015.5300000000007"/>
    <s v="2026-01-21"/>
    <n v="3.6059999999999999"/>
    <n v="0.27729999999999999"/>
    <n v="3.6053999999999999"/>
    <n v="1"/>
    <n v="18029.03"/>
    <s v="SPAIN ES"/>
  </r>
  <r>
    <s v="BKMILL"/>
    <n v="158127"/>
    <n v="218775"/>
    <s v="Forward"/>
    <x v="42"/>
    <s v="Buy Fwd"/>
    <s v="EUR"/>
    <n v="3700"/>
    <s v="PLN"/>
    <n v="15626.61"/>
    <s v="2026-01-21"/>
    <n v="4.2237999999999998"/>
    <n v="0.23680000000000001"/>
    <n v="4.2279"/>
    <n v="1"/>
    <n v="31269.84"/>
    <s v="SWITZERLAND CH"/>
  </r>
  <r>
    <s v="BKMILL"/>
    <n v="158128"/>
    <n v="904806"/>
    <s v="Spot"/>
    <x v="40"/>
    <s v="Sell"/>
    <s v="EUR"/>
    <n v="-29703.58"/>
    <s v="PLN"/>
    <n v="125423.96"/>
    <s v="2026-01-23"/>
    <n v="4.2225000000000001"/>
    <n v="0.23680000000000001"/>
    <n v="4.2127999999999997"/>
    <n v="1"/>
    <n v="288.71817600000003"/>
    <s v="UNITED STATES OF AMERICA US"/>
  </r>
  <r>
    <s v="BKMILL"/>
    <n v="158129"/>
    <n v="904807"/>
    <s v="Spot"/>
    <x v="41"/>
    <s v="Buy"/>
    <s v="GBP"/>
    <n v="5056.18"/>
    <s v="PLN"/>
    <n v="-24490.11"/>
    <s v="2026-01-23"/>
    <n v="4.8436000000000003"/>
    <n v="0.20649999999999999"/>
    <n v="4.8433999999999999"/>
    <n v="1"/>
    <n v="-1.0077879999999999"/>
    <s v="GERMANY DE"/>
  </r>
  <r>
    <s v="BKMILL"/>
    <n v="158130"/>
    <n v="904808"/>
    <s v="Spot"/>
    <x v="40"/>
    <s v="Sell"/>
    <s v="CHF"/>
    <n v="-800"/>
    <s v="PLN"/>
    <n v="3641.42"/>
    <s v="2026-01-23"/>
    <n v="4.5518000000000001"/>
    <n v="0.21970000000000001"/>
    <n v="4.5419"/>
    <n v="1"/>
    <n v="7.9"/>
    <s v="UNITED STATES OF AMERICA US"/>
  </r>
  <r>
    <s v="BKMILL"/>
    <n v="158131"/>
    <n v="904809"/>
    <s v="Spot"/>
    <x v="41"/>
    <s v="Buy"/>
    <s v="USD"/>
    <n v="26326.6"/>
    <s v="PLN"/>
    <n v="-94899.5"/>
    <s v="2026-01-23"/>
    <n v="3.6046999999999998"/>
    <n v="0.27739999999999998"/>
    <n v="3.6027999999999998"/>
    <n v="1"/>
    <n v="-50.02552"/>
    <s v="GERMANY DE"/>
  </r>
  <r>
    <s v="BKMILL"/>
    <n v="158132"/>
    <n v="218778"/>
    <s v="Forward"/>
    <x v="36"/>
    <s v="Sell Fwd"/>
    <s v="EUR"/>
    <n v="-1150"/>
    <s v="PLN"/>
    <n v="4854.2299999999996"/>
    <s v="2026-01-21"/>
    <n v="4.2214999999999998"/>
    <n v="0.2369"/>
    <n v="4.2279"/>
    <n v="1"/>
    <n v="-7.8550000000000004"/>
    <s v="UNITED KINGDOM GB"/>
  </r>
  <r>
    <s v="BKMILL"/>
    <n v="158133"/>
    <n v="218779"/>
    <s v="Forward"/>
    <x v="36"/>
    <s v="Sell Fwd"/>
    <s v="EUR"/>
    <n v="-20000"/>
    <s v="PLN"/>
    <n v="84418.6"/>
    <s v="2026-01-21"/>
    <n v="4.2214"/>
    <n v="0.2369"/>
    <n v="4.2279"/>
    <n v="1"/>
    <n v="-139.4"/>
    <s v="UNITED KINGDOM GB"/>
  </r>
  <r>
    <s v="BKMILL"/>
    <n v="158134"/>
    <n v="218781"/>
    <s v="Forward"/>
    <x v="41"/>
    <s v="Buy Fwd"/>
    <s v="EUR"/>
    <n v="158000"/>
    <s v="PLN"/>
    <n v="667013.56000000006"/>
    <s v="2026-01-21"/>
    <n v="4.2220000000000004"/>
    <n v="0.2369"/>
    <n v="4.2279"/>
    <n v="1"/>
    <n v="1335021.76"/>
    <s v="GERMANY DE"/>
  </r>
  <r>
    <s v="BKMILL"/>
    <n v="158135"/>
    <n v="218786"/>
    <s v="Forward"/>
    <x v="106"/>
    <s v="Sell Fwd"/>
    <s v="EUR"/>
    <n v="-22420"/>
    <s v="PLN"/>
    <n v="94769.34"/>
    <s v="2026-01-21"/>
    <n v="4.2274000000000003"/>
    <n v="0.2366"/>
    <n v="4.2279"/>
    <n v="1"/>
    <n v="-20.178000000000001"/>
    <s v="POLAND PL"/>
  </r>
  <r>
    <s v="BKMILL"/>
    <n v="158136"/>
    <n v="218793"/>
    <s v="Forward"/>
    <x v="99"/>
    <s v="Buy Fwd"/>
    <s v="EUR"/>
    <n v="10990"/>
    <s v="PLN"/>
    <n v="46267.9"/>
    <s v="2026-01-21"/>
    <n v="4.2103999999999999"/>
    <n v="0.23749999999999999"/>
    <n v="4.2279"/>
    <n v="1"/>
    <n v="92732.520999999993"/>
    <s v="POLAND PL"/>
  </r>
  <r>
    <s v="BKMILL"/>
    <n v="158137"/>
    <n v="218805"/>
    <s v="Forward"/>
    <x v="516"/>
    <s v="Sell Fwd"/>
    <s v="EUR"/>
    <n v="-10000"/>
    <s v="PLN"/>
    <n v="42420"/>
    <s v="2026-01-21"/>
    <n v="4.2424999999999997"/>
    <n v="0.23569999999999999"/>
    <n v="4.2279"/>
    <n v="1"/>
    <n v="141"/>
    <s v="POLAND PL"/>
  </r>
  <r>
    <s v="BKMILL"/>
    <n v="158138"/>
    <n v="218808"/>
    <s v="Forward"/>
    <x v="439"/>
    <s v="Buy Fwd"/>
    <s v="EUR"/>
    <n v="8293.76"/>
    <s v="PLN"/>
    <n v="35011.279999999999"/>
    <s v="2026-01-21"/>
    <n v="4.1859999999999999"/>
    <n v="0.2389"/>
    <n v="4.2279"/>
    <n v="1"/>
    <n v="70076.467904000005"/>
    <s v="POLAND PL"/>
  </r>
  <r>
    <s v="BKMILL"/>
    <n v="158139"/>
    <n v="218809"/>
    <s v="Forward"/>
    <x v="439"/>
    <s v="Buy Fwd"/>
    <s v="EUR"/>
    <n v="5581.23"/>
    <s v="PLN"/>
    <n v="23560.59"/>
    <s v="2026-01-21"/>
    <n v="4.1859999999999999"/>
    <n v="0.2389"/>
    <n v="4.2279"/>
    <n v="1"/>
    <n v="47157.472317"/>
    <s v="POLAND PL"/>
  </r>
  <r>
    <s v="BKMILL"/>
    <n v="158140"/>
    <n v="218811"/>
    <s v="Forward"/>
    <x v="439"/>
    <s v="Buy Fwd"/>
    <s v="EUR"/>
    <n v="1033.56"/>
    <s v="PLN"/>
    <n v="4363.09"/>
    <s v="2026-01-21"/>
    <n v="4.1859999999999999"/>
    <n v="0.2389"/>
    <n v="4.2279"/>
    <n v="1"/>
    <n v="8732.8783239999993"/>
    <s v="POLAND PL"/>
  </r>
  <r>
    <s v="BKMILL"/>
    <n v="158141"/>
    <n v="218812"/>
    <s v="Forward"/>
    <x v="439"/>
    <s v="Buy Fwd"/>
    <s v="EUR"/>
    <n v="380.87"/>
    <s v="PLN"/>
    <n v="1607.82"/>
    <s v="2026-01-21"/>
    <n v="4.1859999999999999"/>
    <n v="0.2389"/>
    <n v="4.2279"/>
    <n v="1"/>
    <n v="3218.100273"/>
    <s v="POLAND PL"/>
  </r>
  <r>
    <s v="BKMILL"/>
    <n v="158142"/>
    <n v="218818"/>
    <s v="Forward"/>
    <x v="517"/>
    <s v="Sell Fwd"/>
    <s v="EUR"/>
    <n v="-30000"/>
    <s v="PLN"/>
    <n v="126840"/>
    <s v="2026-01-21"/>
    <n v="4.2279999999999998"/>
    <n v="0.23649999999999999"/>
    <n v="4.2279"/>
    <n v="1"/>
    <n v="3"/>
    <s v="POLAND PL"/>
  </r>
  <r>
    <s v="BKMILL"/>
    <n v="158143"/>
    <n v="218821"/>
    <s v="Forward"/>
    <x v="488"/>
    <s v="Sell Fwd"/>
    <s v="EUR"/>
    <n v="-28000"/>
    <s v="PLN"/>
    <n v="118384"/>
    <s v="2026-01-21"/>
    <n v="4.2283999999999997"/>
    <n v="0.23649999999999999"/>
    <n v="4.2279"/>
    <n v="1"/>
    <n v="2.8"/>
    <s v="POLAND PL"/>
  </r>
  <r>
    <s v="BKMILL"/>
    <n v="158144"/>
    <n v="904962"/>
    <s v="Spot"/>
    <x v="38"/>
    <s v="Buy"/>
    <s v="EUR"/>
    <n v="100000"/>
    <s v="GBP"/>
    <n v="-87094"/>
    <s v="2026-01-23"/>
    <n v="0.87090000000000001"/>
    <n v="1.1482000000000001"/>
    <n v="4.2127999999999997"/>
    <n v="4.8433999999999999"/>
    <n v="-551.07960000000003"/>
    <s v="NETHERLANDS NL"/>
  </r>
  <r>
    <s v="BKMILL"/>
    <n v="158145"/>
    <n v="904964"/>
    <s v="Spot"/>
    <x v="38"/>
    <s v="Sell"/>
    <s v="USD"/>
    <n v="-500000"/>
    <s v="PLN"/>
    <n v="1803830"/>
    <s v="2026-01-23"/>
    <n v="3.6076999999999999"/>
    <n v="0.2772"/>
    <n v="3.6027999999999998"/>
    <n v="1"/>
    <n v="2430"/>
    <s v="NETHERLANDS NL"/>
  </r>
  <r>
    <s v="BKMILL"/>
    <n v="158146"/>
    <n v="218822"/>
    <s v="Forward"/>
    <x v="68"/>
    <s v="Sell Fwd"/>
    <s v="EUR"/>
    <n v="-19071.36"/>
    <s v="PLN"/>
    <n v="80572.679999999993"/>
    <s v="2026-01-21"/>
    <n v="4.2252000000000001"/>
    <n v="0.23669999999999999"/>
    <n v="4.2279"/>
    <n v="1"/>
    <n v="-59.122943999999997"/>
    <s v="POLAND PL"/>
  </r>
  <r>
    <s v="BKMILL"/>
    <n v="158147"/>
    <n v="218829"/>
    <s v="Forward"/>
    <x v="68"/>
    <s v="Sell Fwd"/>
    <s v="CAD"/>
    <n v="-35096"/>
    <s v="PLN"/>
    <n v="91572.479999999996"/>
    <s v="2026-01-21"/>
    <n v="2.6093999999999999"/>
    <n v="0.38319999999999999"/>
    <n v="2.6074999999999999"/>
    <n v="1"/>
    <n v="59.66"/>
    <s v="POLAND PL"/>
  </r>
  <r>
    <s v="BKMILL"/>
    <n v="158148"/>
    <n v="218830"/>
    <s v="Forward"/>
    <x v="68"/>
    <s v="Sell Fwd"/>
    <s v="EUR"/>
    <n v="-170000"/>
    <s v="PLN"/>
    <n v="718199"/>
    <s v="2026-01-21"/>
    <n v="4.2251000000000003"/>
    <n v="0.23669999999999999"/>
    <n v="4.2279"/>
    <n v="1"/>
    <n v="-544"/>
    <s v="POLAND PL"/>
  </r>
  <r>
    <s v="BKMILL"/>
    <n v="158149"/>
    <n v="904996"/>
    <s v="Spot"/>
    <x v="518"/>
    <s v="Buy"/>
    <s v="EUR"/>
    <n v="35500"/>
    <s v="PLN"/>
    <n v="-149820.65"/>
    <s v="2026-01-23"/>
    <n v="4.2202999999999999"/>
    <n v="0.2369"/>
    <n v="4.2127999999999997"/>
    <n v="1"/>
    <n v="-266.25"/>
    <s v="POLAND PL"/>
  </r>
  <r>
    <s v="BKMILL"/>
    <n v="158150"/>
    <n v="218831"/>
    <s v="Forward"/>
    <x v="100"/>
    <s v="Sell Fwd"/>
    <s v="USD"/>
    <n v="-267000"/>
    <s v="PLN"/>
    <n v="964243.8"/>
    <s v="2026-01-21"/>
    <n v="3.6114000000000002"/>
    <n v="0.27689999999999998"/>
    <n v="3.6053999999999999"/>
    <n v="1"/>
    <n v="1602"/>
    <s v="POLAND PL"/>
  </r>
  <r>
    <s v="BKMILL"/>
    <n v="158151"/>
    <n v="218833"/>
    <s v="Forward"/>
    <x v="132"/>
    <s v="Buy Fwd"/>
    <s v="EUR"/>
    <n v="85005"/>
    <s v="PLN"/>
    <n v="357871.05"/>
    <s v="2026-01-21"/>
    <n v="4.2103999999999999"/>
    <n v="0.23749999999999999"/>
    <n v="4.2279"/>
    <n v="1"/>
    <n v="717263.68949999998"/>
    <s v="POLAND PL"/>
  </r>
  <r>
    <s v="BKMILL"/>
    <n v="158152"/>
    <n v="905006"/>
    <s v="Spot"/>
    <x v="101"/>
    <s v="Buy"/>
    <s v="EUR"/>
    <n v="25000"/>
    <s v="PLN"/>
    <n v="-105557.5"/>
    <s v="2026-01-23"/>
    <n v="4.2222999999999997"/>
    <n v="0.23680000000000001"/>
    <n v="4.2127999999999997"/>
    <n v="1"/>
    <n v="-237.5"/>
    <s v="POLAND PL"/>
  </r>
  <r>
    <s v="BKMILL"/>
    <n v="158153"/>
    <n v="218836"/>
    <s v="Forward"/>
    <x v="329"/>
    <s v="Sell Fwd"/>
    <s v="EUR"/>
    <n v="-300000"/>
    <s v="PLN"/>
    <n v="1269300"/>
    <s v="2026-01-21"/>
    <n v="4.2313999999999998"/>
    <n v="0.23630000000000001"/>
    <n v="4.2279"/>
    <n v="1"/>
    <n v="930"/>
    <s v="POLAND PL"/>
  </r>
  <r>
    <s v="BKMILL"/>
    <n v="158154"/>
    <n v="218839"/>
    <s v="Forward"/>
    <x v="519"/>
    <s v="Sell Fwd"/>
    <s v="EUR"/>
    <n v="-7981.49"/>
    <s v="USD"/>
    <n v="9346.32"/>
    <s v="2026-01-21"/>
    <n v="1.1739999999999999"/>
    <n v="0.8518"/>
    <n v="4.2279"/>
    <n v="3.6053999999999999"/>
    <n v="-47.719442999999998"/>
    <s v="POLAND PL"/>
  </r>
  <r>
    <s v="BKMILL"/>
    <n v="158155"/>
    <n v="905038"/>
    <s v="Spot"/>
    <x v="40"/>
    <s v="Buy"/>
    <s v="EUR"/>
    <n v="100000"/>
    <s v="USD"/>
    <n v="-117095"/>
    <s v="2026-01-23"/>
    <n v="1.1709000000000001"/>
    <n v="0.85399999999999998"/>
    <n v="4.2127999999999997"/>
    <n v="3.6027999999999998"/>
    <n v="-589.86599999999999"/>
    <s v="UNITED STATES OF AMERICA US"/>
  </r>
  <r>
    <s v="BKMILL"/>
    <n v="158156"/>
    <n v="218843"/>
    <s v="Forward"/>
    <x v="520"/>
    <s v="Buy Fwd"/>
    <s v="EUR"/>
    <n v="160000"/>
    <s v="PLN"/>
    <n v="675200"/>
    <s v="2026-01-21"/>
    <n v="4.22"/>
    <n v="0.23699999999999999"/>
    <n v="4.2279"/>
    <n v="1"/>
    <n v="1351664"/>
    <s v="POLAND PL"/>
  </r>
  <r>
    <s v="BKMILL"/>
    <n v="158159"/>
    <n v="218851"/>
    <s v="Forward"/>
    <x v="123"/>
    <s v="Sell Fwd"/>
    <s v="USD"/>
    <n v="-100000"/>
    <s v="PLN"/>
    <n v="361300"/>
    <s v="2026-01-21"/>
    <n v="3.613"/>
    <n v="0.27679999999999999"/>
    <n v="3.6053999999999999"/>
    <n v="1"/>
    <n v="760"/>
    <s v="POLAND PL"/>
  </r>
  <r>
    <s v="BKMILL"/>
    <n v="158160"/>
    <n v="218856"/>
    <s v="Forward"/>
    <x v="267"/>
    <s v="Buy Fwd"/>
    <s v="EUR"/>
    <n v="20000"/>
    <s v="PLN"/>
    <n v="84000"/>
    <s v="2026-01-21"/>
    <n v="4.2"/>
    <n v="0.23810000000000001"/>
    <n v="4.2279"/>
    <n v="1"/>
    <n v="168558"/>
    <s v="POLAND PL"/>
  </r>
  <r>
    <s v="BKMILL"/>
    <n v="158161"/>
    <n v="905091"/>
    <s v="Spot"/>
    <x v="40"/>
    <s v="Buy"/>
    <s v="EUR"/>
    <n v="100000"/>
    <s v="USD"/>
    <n v="-117067"/>
    <s v="2026-01-23"/>
    <n v="1.1707000000000001"/>
    <n v="0.85419999999999996"/>
    <n v="4.2127999999999997"/>
    <n v="3.6027999999999998"/>
    <n v="-488.98759999999999"/>
    <s v="UNITED STATES OF AMERICA US"/>
  </r>
  <r>
    <s v="BKMILL"/>
    <n v="158162"/>
    <n v="905092"/>
    <s v="Spot"/>
    <x v="44"/>
    <s v="Sell"/>
    <s v="EUR"/>
    <n v="-500000"/>
    <s v="PLN"/>
    <n v="2112970"/>
    <s v="2026-01-23"/>
    <n v="4.2259000000000002"/>
    <n v="0.2366"/>
    <n v="4.2127999999999997"/>
    <n v="1"/>
    <n v="6570"/>
    <s v="GERMANY DE"/>
  </r>
  <r>
    <s v="BKMILL"/>
    <n v="158165"/>
    <n v="218862"/>
    <s v="Forward"/>
    <x v="521"/>
    <s v="Sell Fwd"/>
    <s v="EUR"/>
    <n v="-139100"/>
    <s v="PLN"/>
    <n v="588253.9"/>
    <s v="2026-01-21"/>
    <n v="4.2290000000000001"/>
    <n v="0.23649999999999999"/>
    <n v="4.2279"/>
    <n v="1"/>
    <n v="153.01"/>
    <s v="POLAND PL"/>
  </r>
  <r>
    <s v="BKMILL"/>
    <n v="158168"/>
    <n v="218865"/>
    <s v="Forward"/>
    <x v="154"/>
    <s v="Buy Fwd"/>
    <s v="USD"/>
    <n v="100000"/>
    <s v="PLN"/>
    <n v="361000"/>
    <s v="2026-01-21"/>
    <n v="3.61"/>
    <n v="0.27700000000000002"/>
    <n v="3.6053999999999999"/>
    <n v="1"/>
    <n v="721540"/>
    <s v="POLAND PL"/>
  </r>
  <r>
    <s v="BKMILL"/>
    <n v="158171"/>
    <n v="218866"/>
    <s v="Forward"/>
    <x v="20"/>
    <s v="Sell Fwd"/>
    <s v="EUR"/>
    <n v="-8634.89"/>
    <s v="PLN"/>
    <n v="36509.18"/>
    <s v="2026-01-21"/>
    <n v="4.2285000000000004"/>
    <n v="0.23649999999999999"/>
    <n v="4.2279"/>
    <n v="1"/>
    <n v="1.728569"/>
    <s v="POLAND PL"/>
  </r>
  <r>
    <s v="BKMILL"/>
    <n v="158174"/>
    <n v="218867"/>
    <s v="Forward"/>
    <x v="62"/>
    <s v="Sell Fwd"/>
    <s v="USD"/>
    <n v="-157400"/>
    <s v="PLN"/>
    <n v="569315.80000000005"/>
    <s v="2026-01-21"/>
    <n v="3.617"/>
    <n v="0.27650000000000002"/>
    <n v="3.6053999999999999"/>
    <n v="1"/>
    <n v="1825.84"/>
    <s v="POLAND PL"/>
  </r>
  <r>
    <s v="BKMILL"/>
    <n v="158179"/>
    <n v="218878"/>
    <s v="Forward"/>
    <x v="452"/>
    <s v="Buy Fwd"/>
    <s v="EUR"/>
    <n v="40000"/>
    <s v="PLN"/>
    <n v="168640"/>
    <s v="2026-01-21"/>
    <n v="4.2160000000000002"/>
    <n v="0.23719999999999999"/>
    <n v="4.2279"/>
    <n v="1"/>
    <n v="337756"/>
    <s v="POLAND PL"/>
  </r>
  <r>
    <s v="BKMILL"/>
    <n v="158180"/>
    <n v="218881"/>
    <s v="Forward"/>
    <x v="298"/>
    <s v="Sell Fwd"/>
    <s v="EUR"/>
    <n v="-10000"/>
    <s v="PLN"/>
    <n v="42900"/>
    <s v="2026-01-21"/>
    <n v="4.29"/>
    <n v="0.2331"/>
    <n v="4.2279"/>
    <n v="1"/>
    <n v="621"/>
    <s v="POLAND PL"/>
  </r>
  <r>
    <s v="BKMILL"/>
    <n v="158181"/>
    <n v="218882"/>
    <s v="Forward"/>
    <x v="522"/>
    <s v="Sell Fwd"/>
    <s v="EUR"/>
    <n v="-55000"/>
    <s v="PLN"/>
    <n v="233035"/>
    <s v="2026-01-21"/>
    <n v="4.2374000000000001"/>
    <n v="0.23599999999999999"/>
    <n v="4.2279"/>
    <n v="1"/>
    <n v="500.5"/>
    <s v="POLAND PL"/>
  </r>
  <r>
    <s v="BKMILL"/>
    <n v="158182"/>
    <n v="218883"/>
    <s v="Forward"/>
    <x v="523"/>
    <s v="Buy Fwd"/>
    <s v="EUR"/>
    <n v="8000"/>
    <s v="PLN"/>
    <n v="33704"/>
    <s v="2026-01-21"/>
    <n v="4.2134"/>
    <n v="0.23730000000000001"/>
    <n v="4.2279"/>
    <n v="1"/>
    <n v="67527.199999999997"/>
    <s v="POLAND PL"/>
  </r>
  <r>
    <s v="BKMILL"/>
    <n v="158183"/>
    <n v="218884"/>
    <s v="Forward"/>
    <x v="128"/>
    <s v="Buy Fwd"/>
    <s v="USD"/>
    <n v="13849.26"/>
    <s v="PLN"/>
    <n v="50000"/>
    <s v="2026-01-21"/>
    <n v="3.609"/>
    <n v="0.27710000000000001"/>
    <n v="3.6053999999999999"/>
    <n v="1"/>
    <n v="99932.122004000004"/>
    <s v="POLAND PL"/>
  </r>
  <r>
    <s v="BKMILL"/>
    <n v="158184"/>
    <n v="905190"/>
    <s v="Spot"/>
    <x v="44"/>
    <s v="Sell"/>
    <s v="EUR"/>
    <n v="-500000"/>
    <s v="PLN"/>
    <n v="2112860"/>
    <s v="2026-01-23"/>
    <n v="4.2256999999999998"/>
    <n v="0.2366"/>
    <n v="4.2127999999999997"/>
    <n v="1"/>
    <n v="6460"/>
    <s v="GERMANY DE"/>
  </r>
  <r>
    <s v="BKMILL"/>
    <n v="158185"/>
    <n v="905191"/>
    <s v="Spot"/>
    <x v="44"/>
    <s v="Sell"/>
    <s v="EUR"/>
    <n v="-500000"/>
    <s v="PLN"/>
    <n v="2112900"/>
    <s v="2026-01-23"/>
    <n v="4.2257999999999996"/>
    <n v="0.2366"/>
    <n v="4.2127999999999997"/>
    <n v="1"/>
    <n v="6500"/>
    <s v="GERMANY DE"/>
  </r>
  <r>
    <s v="BKMILL"/>
    <n v="158186"/>
    <n v="905192"/>
    <s v="Spot"/>
    <x v="101"/>
    <s v="Buy"/>
    <s v="EUR"/>
    <n v="25000"/>
    <s v="PLN"/>
    <n v="-105577.5"/>
    <s v="2026-01-23"/>
    <n v="4.2230999999999996"/>
    <n v="0.23680000000000001"/>
    <n v="4.2127999999999997"/>
    <n v="1"/>
    <n v="-257.5"/>
    <s v="POLAND PL"/>
  </r>
  <r>
    <s v="BKMILL"/>
    <n v="158187"/>
    <n v="905193"/>
    <s v="Spot"/>
    <x v="41"/>
    <s v="Sell"/>
    <s v="EUR"/>
    <n v="-500000"/>
    <s v="PLN"/>
    <n v="2112850"/>
    <s v="2026-01-23"/>
    <n v="4.2256999999999998"/>
    <n v="0.2366"/>
    <n v="4.2127999999999997"/>
    <n v="1"/>
    <n v="6450"/>
    <s v="GERMANY DE"/>
  </r>
  <r>
    <s v="BKMILL"/>
    <n v="158188"/>
    <n v="218887"/>
    <s v="Forward"/>
    <x v="302"/>
    <s v="Buy Fwd"/>
    <s v="EUR"/>
    <n v="2850000"/>
    <s v="PLN"/>
    <n v="12032700"/>
    <s v="2026-01-21"/>
    <n v="4.2224000000000004"/>
    <n v="0.23680000000000001"/>
    <n v="4.2279"/>
    <n v="1"/>
    <n v="24082215"/>
    <s v="POLAND PL"/>
  </r>
  <r>
    <s v="BKMILL"/>
    <n v="158189"/>
    <n v="905225"/>
    <s v="Spot"/>
    <x v="226"/>
    <s v="Buy"/>
    <s v="EUR"/>
    <n v="15000"/>
    <s v="PLN"/>
    <n v="-63327"/>
    <s v="2026-01-23"/>
    <n v="4.2218"/>
    <n v="0.2369"/>
    <n v="4.2127999999999997"/>
    <n v="1"/>
    <n v="-135"/>
    <s v="POLAND PL"/>
  </r>
  <r>
    <s v="BKMILL"/>
    <n v="158190"/>
    <n v="218901"/>
    <s v="Forward"/>
    <x v="139"/>
    <s v="Buy Fwd"/>
    <s v="EUR"/>
    <n v="332295.27"/>
    <s v="PLN"/>
    <n v="1401422.07"/>
    <s v="2026-01-21"/>
    <n v="4.2178000000000004"/>
    <n v="0.23710000000000001"/>
    <n v="4.2279"/>
    <n v="1"/>
    <n v="2806333.2420330001"/>
    <s v="POLAND PL"/>
  </r>
  <r>
    <s v="BKMILL"/>
    <n v="158191"/>
    <n v="218902"/>
    <s v="Forward"/>
    <x v="28"/>
    <s v="Buy Fwd"/>
    <s v="EUR"/>
    <n v="196640"/>
    <s v="PLN"/>
    <n v="829565.17"/>
    <s v="2026-01-21"/>
    <n v="4.2191000000000001"/>
    <n v="0.23699999999999999"/>
    <n v="4.2279"/>
    <n v="1"/>
    <n v="1660939.426"/>
    <s v="POLAND PL"/>
  </r>
  <r>
    <s v="BKMILL"/>
    <n v="158192"/>
    <n v="218909"/>
    <s v="Forward"/>
    <x v="333"/>
    <s v="Buy Fwd"/>
    <s v="EUR"/>
    <n v="21071.97"/>
    <s v="PLN"/>
    <n v="89039.61"/>
    <s v="2026-01-21"/>
    <n v="4.2173999999999996"/>
    <n v="0.23710000000000001"/>
    <n v="4.2279"/>
    <n v="1"/>
    <n v="178129.791963"/>
    <s v="POLAND PL"/>
  </r>
  <r>
    <s v="BKMILL"/>
    <n v="158193"/>
    <n v="905267"/>
    <s v="Spot"/>
    <x v="40"/>
    <s v="Sell"/>
    <s v="EUR"/>
    <n v="-500000"/>
    <s v="PLN"/>
    <n v="2113150"/>
    <s v="2026-01-23"/>
    <n v="4.2263000000000002"/>
    <n v="0.2366"/>
    <n v="4.2127999999999997"/>
    <n v="1"/>
    <n v="6750"/>
    <s v="UNITED STATES OF AMERICA US"/>
  </r>
  <r>
    <s v="BKMILL"/>
    <n v="158194"/>
    <n v="905268"/>
    <s v="Spot"/>
    <x v="44"/>
    <s v="Sell"/>
    <s v="EUR"/>
    <n v="-500000"/>
    <s v="PLN"/>
    <n v="2113150"/>
    <s v="2026-01-23"/>
    <n v="4.2263000000000002"/>
    <n v="0.2366"/>
    <n v="4.2127999999999997"/>
    <n v="1"/>
    <n v="6750"/>
    <s v="GERMANY DE"/>
  </r>
  <r>
    <s v="BKMILL"/>
    <n v="158195"/>
    <n v="218910"/>
    <s v="Forward"/>
    <x v="106"/>
    <s v="Sell Fwd"/>
    <s v="EUR"/>
    <n v="-4100"/>
    <s v="PLN"/>
    <n v="17334.8"/>
    <s v="2026-01-21"/>
    <n v="4.2283999999999997"/>
    <n v="0.23649999999999999"/>
    <n v="4.2279"/>
    <n v="1"/>
    <n v="0.41"/>
    <s v="POLAND PL"/>
  </r>
  <r>
    <s v="BKMILL"/>
    <n v="158196"/>
    <n v="218912"/>
    <s v="Forward"/>
    <x v="524"/>
    <s v="Sell Fwd"/>
    <s v="CZK"/>
    <n v="-500000"/>
    <s v="PLN"/>
    <n v="87150"/>
    <s v="2026-01-21"/>
    <n v="0.17430000000000001"/>
    <n v="5.7371999999999996"/>
    <n v="0.1739"/>
    <n v="1"/>
    <n v="200"/>
    <s v="POLAND PL"/>
  </r>
  <r>
    <s v="BKMILL"/>
    <n v="158198"/>
    <n v="218916"/>
    <s v="Forward"/>
    <x v="525"/>
    <s v="Sell Fwd"/>
    <s v="EUR"/>
    <n v="-50000"/>
    <s v="PLN"/>
    <n v="211600"/>
    <s v="2026-01-21"/>
    <n v="4.2320000000000002"/>
    <n v="0.23630000000000001"/>
    <n v="4.2279"/>
    <n v="1"/>
    <n v="205"/>
    <s v="POLAND PL"/>
  </r>
  <r>
    <s v="BKMILL"/>
    <n v="158199"/>
    <n v="218917"/>
    <s v="Forward"/>
    <x v="28"/>
    <s v="Buy Fwd"/>
    <s v="EUR"/>
    <n v="182160"/>
    <s v="PLN"/>
    <n v="768715.2"/>
    <s v="2026-01-21"/>
    <n v="4.2203999999999997"/>
    <n v="0.2369"/>
    <n v="4.2279"/>
    <n v="1"/>
    <n v="1538869.4639999999"/>
    <s v="POLAND PL"/>
  </r>
  <r>
    <s v="BKMILL"/>
    <n v="158200"/>
    <n v="905298"/>
    <s v="Spot"/>
    <x v="44"/>
    <s v="Sell"/>
    <s v="EUR"/>
    <n v="-500000"/>
    <s v="PLN"/>
    <n v="2113170"/>
    <s v="2026-01-23"/>
    <n v="4.2263000000000002"/>
    <n v="0.2366"/>
    <n v="4.2127999999999997"/>
    <n v="1"/>
    <n v="6770"/>
    <s v="GERMANY DE"/>
  </r>
  <r>
    <s v="BKMILL"/>
    <n v="158201"/>
    <n v="218918"/>
    <s v="Forward"/>
    <x v="414"/>
    <s v="Sell Fwd"/>
    <s v="EUR"/>
    <n v="-350000"/>
    <s v="PLN"/>
    <n v="1481200"/>
    <s v="2026-01-21"/>
    <n v="4.2324000000000002"/>
    <n v="0.23630000000000001"/>
    <n v="4.2279"/>
    <n v="1"/>
    <n v="1435"/>
    <s v="POLAND PL"/>
  </r>
  <r>
    <s v="BKMILL"/>
    <n v="158202"/>
    <n v="218931"/>
    <s v="Forward"/>
    <x v="432"/>
    <s v="Buy Fwd"/>
    <s v="EUR"/>
    <n v="23300"/>
    <s v="PLN"/>
    <n v="98291.05"/>
    <s v="2026-01-21"/>
    <n v="4.2184999999999997"/>
    <n v="0.23710000000000001"/>
    <n v="4.2279"/>
    <n v="1"/>
    <n v="196801.12"/>
    <s v="POLAND PL"/>
  </r>
  <r>
    <s v="BKMILL"/>
    <n v="158203"/>
    <n v="905341"/>
    <s v="Spot"/>
    <x v="40"/>
    <s v="Sell"/>
    <s v="EUR"/>
    <n v="-100000"/>
    <s v="USD"/>
    <n v="117125"/>
    <s v="2026-01-23"/>
    <n v="1.1712"/>
    <n v="0.8538"/>
    <n v="4.2127999999999997"/>
    <n v="3.6027999999999998"/>
    <n v="697.95"/>
    <s v="UNITED STATES OF AMERICA US"/>
  </r>
  <r>
    <s v="BKMILL"/>
    <n v="158204"/>
    <n v="905342"/>
    <s v="Spot"/>
    <x v="461"/>
    <s v="Buy"/>
    <s v="EUR"/>
    <n v="10000"/>
    <s v="PLN"/>
    <n v="-42177"/>
    <s v="2026-01-23"/>
    <n v="4.2176999999999998"/>
    <n v="0.23710000000000001"/>
    <n v="4.2127999999999997"/>
    <n v="1"/>
    <n v="-49"/>
    <s v="POLAND PL"/>
  </r>
  <r>
    <s v="BKMILL"/>
    <n v="158205"/>
    <n v="905343"/>
    <s v="Spot"/>
    <x v="39"/>
    <s v="Sell"/>
    <s v="EUR"/>
    <n v="-500000"/>
    <s v="PLN"/>
    <n v="2113525"/>
    <s v="2026-01-23"/>
    <n v="4.2271000000000001"/>
    <n v="0.2366"/>
    <n v="4.2127999999999997"/>
    <n v="1"/>
    <n v="7125"/>
    <s v="UNITED KINGDOM GB"/>
  </r>
  <r>
    <s v="BKMILL"/>
    <n v="158206"/>
    <n v="218933"/>
    <s v="Forward"/>
    <x v="526"/>
    <s v="Sell Fwd"/>
    <s v="EUR"/>
    <n v="-700"/>
    <s v="PLN"/>
    <n v="2966.25"/>
    <s v="2026-01-21"/>
    <n v="4.2378999999999998"/>
    <n v="0.23599999999999999"/>
    <n v="4.2279"/>
    <n v="1"/>
    <n v="6.72"/>
    <s v="POLAND PL"/>
  </r>
  <r>
    <s v="BKMILL"/>
    <n v="158207"/>
    <n v="218937"/>
    <s v="Forward"/>
    <x v="70"/>
    <s v="Buy Fwd"/>
    <s v="GBP"/>
    <n v="33884.959999999999"/>
    <s v="PLN"/>
    <n v="163732.13"/>
    <s v="2026-01-21"/>
    <n v="4.8319999999999999"/>
    <n v="0.20699999999999999"/>
    <n v="4.8582999999999998"/>
    <n v="1"/>
    <n v="328355.43116799998"/>
    <s v="POLAND PL"/>
  </r>
  <r>
    <s v="BKMILL"/>
    <n v="158208"/>
    <n v="218948"/>
    <s v="Forward"/>
    <x v="68"/>
    <s v="Sell Fwd"/>
    <s v="CAD"/>
    <n v="-54000"/>
    <s v="PLN"/>
    <n v="140918.39999999999"/>
    <s v="2026-01-21"/>
    <n v="2.6097999999999999"/>
    <n v="0.38319999999999999"/>
    <n v="2.6074999999999999"/>
    <n v="1"/>
    <n v="113.4"/>
    <s v="POLAND PL"/>
  </r>
  <r>
    <s v="BKMILL"/>
    <n v="158212"/>
    <n v="218953"/>
    <s v="Forward"/>
    <x v="348"/>
    <s v="Buy Fwd"/>
    <s v="EUR"/>
    <n v="5900"/>
    <s v="PLN"/>
    <n v="24856.7"/>
    <s v="2026-01-21"/>
    <n v="4.2134"/>
    <n v="0.23730000000000001"/>
    <n v="4.2279"/>
    <n v="1"/>
    <n v="49801.31"/>
    <s v="POLAND PL"/>
  </r>
  <r>
    <s v="BKMILL"/>
    <n v="158213"/>
    <n v="905421"/>
    <s v="Spot"/>
    <x v="527"/>
    <s v="Sell"/>
    <s v="EUR"/>
    <n v="-16942"/>
    <s v="PLN"/>
    <n v="72145.81"/>
    <s v="2026-01-23"/>
    <n v="4.2584"/>
    <n v="0.23480000000000001"/>
    <n v="4.2127999999999997"/>
    <n v="1"/>
    <n v="772.55240000000003"/>
    <s v="POLAND PL"/>
  </r>
  <r>
    <s v="BKMILL"/>
    <n v="158214"/>
    <n v="218955"/>
    <s v="Forward"/>
    <x v="277"/>
    <s v="Buy Fwd"/>
    <s v="EUR"/>
    <n v="100000"/>
    <s v="PLN"/>
    <n v="422100"/>
    <s v="2026-01-21"/>
    <n v="4.2210000000000001"/>
    <n v="0.2369"/>
    <n v="4.2279"/>
    <n v="1"/>
    <n v="844890"/>
    <s v="POLAND PL"/>
  </r>
  <r>
    <s v="BKMILL"/>
    <n v="158215"/>
    <n v="905431"/>
    <s v="Spot"/>
    <x v="39"/>
    <s v="Sell"/>
    <s v="EUR"/>
    <n v="-500000"/>
    <s v="PLN"/>
    <n v="2113675"/>
    <s v="2026-01-23"/>
    <n v="4.2274000000000003"/>
    <n v="0.2366"/>
    <n v="4.2127999999999997"/>
    <n v="1"/>
    <n v="7275"/>
    <s v="UNITED KINGDOM GB"/>
  </r>
  <r>
    <s v="BKMILL"/>
    <n v="158216"/>
    <n v="218960"/>
    <s v="Forward"/>
    <x v="131"/>
    <s v="Sell Fwd"/>
    <s v="EUR"/>
    <n v="-12155.44"/>
    <s v="PLN"/>
    <n v="51406.57"/>
    <s v="2026-01-21"/>
    <n v="4.2294999999999998"/>
    <n v="0.2364"/>
    <n v="4.2279"/>
    <n v="1"/>
    <n v="14.585224"/>
    <s v="POLAND PL"/>
  </r>
  <r>
    <s v="BKMILL"/>
    <n v="158217"/>
    <n v="218961"/>
    <s v="Forward"/>
    <x v="205"/>
    <s v="Buy Fwd"/>
    <s v="EUR"/>
    <n v="250000"/>
    <s v="PLN"/>
    <n v="1053875"/>
    <s v="2026-01-21"/>
    <n v="4.2154999999999996"/>
    <n v="0.23719999999999999"/>
    <n v="4.2279"/>
    <n v="1"/>
    <n v="2110850"/>
    <s v="POLAND PL"/>
  </r>
  <r>
    <s v="BKMILL"/>
    <n v="158219"/>
    <n v="218964"/>
    <s v="Forward"/>
    <x v="528"/>
    <s v="Sell Fwd"/>
    <s v="USD"/>
    <n v="-10000"/>
    <s v="PLN"/>
    <n v="36230"/>
    <s v="2026-01-21"/>
    <n v="3.6233"/>
    <n v="0.27600000000000002"/>
    <n v="3.6053999999999999"/>
    <n v="1"/>
    <n v="176"/>
    <s v="POLAND PL"/>
  </r>
  <r>
    <s v="BKMILL"/>
    <n v="158220"/>
    <n v="905468"/>
    <s v="Spot"/>
    <x v="39"/>
    <s v="Sell"/>
    <s v="EUR"/>
    <n v="-500000"/>
    <s v="PLN"/>
    <n v="2113420"/>
    <s v="2026-01-23"/>
    <n v="4.2267999999999999"/>
    <n v="0.2366"/>
    <n v="4.2127999999999997"/>
    <n v="1"/>
    <n v="7020"/>
    <s v="UNITED KINGDOM GB"/>
  </r>
  <r>
    <s v="BKMILL"/>
    <n v="158221"/>
    <n v="905469"/>
    <s v="Spot"/>
    <x v="43"/>
    <s v="Buy"/>
    <s v="EUR"/>
    <n v="100000"/>
    <s v="CHF"/>
    <n v="-92660"/>
    <s v="2026-01-23"/>
    <n v="0.92659999999999998"/>
    <n v="1.0791999999999999"/>
    <n v="4.2127999999999997"/>
    <n v="4.5419"/>
    <n v="427.54599999999999"/>
    <s v="FRANCE FR"/>
  </r>
  <r>
    <s v="BKMILL"/>
    <n v="158223"/>
    <n v="905470"/>
    <s v="Spot"/>
    <x v="101"/>
    <s v="Buy"/>
    <s v="EUR"/>
    <n v="20000"/>
    <s v="PLN"/>
    <n v="-84464"/>
    <s v="2026-01-23"/>
    <n v="4.2232000000000003"/>
    <n v="0.23680000000000001"/>
    <n v="4.2127999999999997"/>
    <n v="1"/>
    <n v="-208"/>
    <s v="POLAND PL"/>
  </r>
  <r>
    <s v="BKMILL"/>
    <n v="158224"/>
    <n v="218967"/>
    <s v="Forward"/>
    <x v="529"/>
    <s v="Buy Fwd"/>
    <s v="EUR"/>
    <n v="50000"/>
    <s v="PLN"/>
    <n v="210340"/>
    <s v="2026-01-21"/>
    <n v="4.2072000000000003"/>
    <n v="0.23769999999999999"/>
    <n v="4.2279"/>
    <n v="1"/>
    <n v="421735"/>
    <s v="POLAND PL"/>
  </r>
  <r>
    <s v="BKMILL"/>
    <n v="158225"/>
    <n v="905480"/>
    <s v="Spot"/>
    <x v="41"/>
    <s v="Buy"/>
    <s v="USD"/>
    <n v="200000"/>
    <s v="NOK"/>
    <n v="-1986410"/>
    <s v="2026-01-23"/>
    <n v="9.9321000000000002"/>
    <n v="0.1007"/>
    <n v="3.6027999999999998"/>
    <n v="0.36380000000000001"/>
    <n v="-2095.9580000000001"/>
    <s v="GERMANY DE"/>
  </r>
  <r>
    <s v="BKMILL"/>
    <n v="158227"/>
    <n v="218970"/>
    <s v="Forward"/>
    <x v="307"/>
    <s v="Sell Fwd"/>
    <s v="EUR"/>
    <n v="-31400"/>
    <s v="PLN"/>
    <n v="132822"/>
    <s v="2026-01-21"/>
    <n v="4.2300000000000004"/>
    <n v="0.2364"/>
    <n v="4.2279"/>
    <n v="1"/>
    <n v="65.94"/>
    <s v="POLAND PL"/>
  </r>
  <r>
    <s v="BKMILL"/>
    <n v="158229"/>
    <n v="905510"/>
    <s v="Spot"/>
    <x v="40"/>
    <s v="Sell"/>
    <s v="EUR"/>
    <n v="-100000"/>
    <s v="USD"/>
    <n v="117275"/>
    <s v="2026-01-23"/>
    <n v="1.1727000000000001"/>
    <n v="0.85270000000000001"/>
    <n v="4.2127999999999997"/>
    <n v="3.6027999999999998"/>
    <n v="1238.3699999999999"/>
    <s v="UNITED STATES OF AMERICA US"/>
  </r>
  <r>
    <s v="BKMILL"/>
    <n v="158231"/>
    <n v="218983"/>
    <s v="Forward"/>
    <x v="288"/>
    <s v="Sell Fwd"/>
    <s v="EUR"/>
    <n v="-2000"/>
    <s v="PLN"/>
    <n v="8469"/>
    <s v="2026-01-21"/>
    <n v="4.2344999999999997"/>
    <n v="0.23619999999999999"/>
    <n v="4.2279"/>
    <n v="1"/>
    <n v="13.2"/>
    <s v="POLAND PL"/>
  </r>
  <r>
    <s v="BKMILL"/>
    <n v="158232"/>
    <n v="905545"/>
    <s v="Spot"/>
    <x v="226"/>
    <s v="Buy"/>
    <s v="EUR"/>
    <n v="15000"/>
    <s v="PLN"/>
    <n v="-63366"/>
    <s v="2026-01-23"/>
    <n v="4.2244000000000002"/>
    <n v="0.23669999999999999"/>
    <n v="4.2127999999999997"/>
    <n v="1"/>
    <n v="-174"/>
    <s v="POLAND PL"/>
  </r>
  <r>
    <s v="BKMILL"/>
    <n v="158233"/>
    <n v="218987"/>
    <s v="Forward"/>
    <x v="388"/>
    <s v="Buy Fwd"/>
    <s v="EUR"/>
    <n v="15000"/>
    <s v="PLN"/>
    <n v="63360"/>
    <s v="2026-01-21"/>
    <n v="4.2240000000000002"/>
    <n v="0.23669999999999999"/>
    <n v="4.2279"/>
    <n v="1"/>
    <n v="126778.5"/>
    <s v="POLAND PL"/>
  </r>
  <r>
    <s v="BKMILL"/>
    <n v="158235"/>
    <n v="905552"/>
    <s v="Spot"/>
    <x v="40"/>
    <s v="Sell"/>
    <s v="EUR"/>
    <n v="-100000"/>
    <s v="USD"/>
    <n v="117345"/>
    <s v="2026-01-23"/>
    <n v="1.1735"/>
    <n v="0.85219999999999996"/>
    <n v="4.2127999999999997"/>
    <n v="3.6027999999999998"/>
    <n v="1490.566"/>
    <s v="UNITED STATES OF AMERICA US"/>
  </r>
  <r>
    <s v="BKMILL"/>
    <n v="158236"/>
    <n v="905553"/>
    <s v="Spot"/>
    <x v="40"/>
    <s v="Sell"/>
    <s v="EUR"/>
    <n v="-100000"/>
    <s v="USD"/>
    <n v="117343"/>
    <s v="2026-01-23"/>
    <n v="1.1734"/>
    <n v="0.85219999999999996"/>
    <n v="4.2127999999999997"/>
    <n v="3.6027999999999998"/>
    <n v="1483.3604"/>
    <s v="UNITED STATES OF AMERICA US"/>
  </r>
  <r>
    <s v="BKMILL"/>
    <n v="158237"/>
    <n v="218990"/>
    <s v="Forward"/>
    <x v="530"/>
    <s v="Sell Fwd"/>
    <s v="EUR"/>
    <n v="-13000"/>
    <s v="PLN"/>
    <n v="55087.5"/>
    <s v="2026-01-21"/>
    <n v="4.2374999999999998"/>
    <n v="0.23599999999999999"/>
    <n v="4.2279"/>
    <n v="1"/>
    <n v="124.8"/>
    <s v="POLAND PL"/>
  </r>
  <r>
    <s v="BKMILL"/>
    <n v="158238"/>
    <n v="905581"/>
    <s v="Spot"/>
    <x v="38"/>
    <s v="Sell"/>
    <s v="EUR"/>
    <n v="-500000"/>
    <s v="PLN"/>
    <n v="2113905"/>
    <s v="2026-01-23"/>
    <n v="4.2278000000000002"/>
    <n v="0.23649999999999999"/>
    <n v="4.2127999999999997"/>
    <n v="1"/>
    <n v="7505"/>
    <s v="NETHERLANDS NL"/>
  </r>
  <r>
    <s v="BKMILL"/>
    <n v="158239"/>
    <n v="218994"/>
    <s v="Forward"/>
    <x v="359"/>
    <s v="Buy Fwd"/>
    <s v="EUR"/>
    <n v="55000"/>
    <s v="PLN"/>
    <n v="231825"/>
    <s v="2026-01-21"/>
    <n v="4.2149999999999999"/>
    <n v="0.23719999999999999"/>
    <n v="4.2279"/>
    <n v="1"/>
    <n v="464359.5"/>
    <s v="POLAND PL"/>
  </r>
  <r>
    <s v="BKMILL"/>
    <n v="158241"/>
    <n v="218998"/>
    <s v="Forward"/>
    <x v="180"/>
    <s v="Sell Fwd"/>
    <s v="USD"/>
    <n v="-20000"/>
    <s v="PLN"/>
    <n v="72082"/>
    <s v="2026-01-21"/>
    <n v="3.6040999999999999"/>
    <n v="0.27750000000000002"/>
    <n v="3.6053999999999999"/>
    <n v="1"/>
    <n v="-26"/>
    <s v="POLAND PL"/>
  </r>
  <r>
    <s v="BKMILL"/>
    <n v="158243"/>
    <n v="219010"/>
    <s v="Forward"/>
    <x v="81"/>
    <s v="Buy Fwd"/>
    <s v="EUR"/>
    <n v="83000"/>
    <s v="PLN"/>
    <n v="350260"/>
    <s v="2026-01-21"/>
    <n v="4.22"/>
    <n v="0.23699999999999999"/>
    <n v="4.2279"/>
    <n v="1"/>
    <n v="701175.7"/>
    <s v="POLAND PL"/>
  </r>
  <r>
    <s v="BKMILL"/>
    <n v="158244"/>
    <n v="219013"/>
    <s v="Forward"/>
    <x v="160"/>
    <s v="Buy Fwd"/>
    <s v="EUR"/>
    <n v="40000"/>
    <s v="PLN"/>
    <n v="168680"/>
    <s v="2026-01-21"/>
    <n v="4.2173999999999996"/>
    <n v="0.23710000000000001"/>
    <n v="4.2279"/>
    <n v="1"/>
    <n v="337796"/>
    <s v="POLAND PL"/>
  </r>
  <r>
    <s v="BKMILL"/>
    <n v="158246"/>
    <n v="219015"/>
    <s v="Forward"/>
    <x v="241"/>
    <s v="Buy Fwd"/>
    <s v="EUR"/>
    <n v="20000"/>
    <s v="PLN"/>
    <n v="84330"/>
    <s v="2026-01-21"/>
    <n v="4.2164999999999999"/>
    <n v="0.23719999999999999"/>
    <n v="4.2279"/>
    <n v="1"/>
    <n v="168888"/>
    <s v="POLAND PL"/>
  </r>
  <r>
    <s v="BKMILL"/>
    <n v="158248"/>
    <n v="905660"/>
    <s v="Spot"/>
    <x v="40"/>
    <s v="Sell"/>
    <s v="EUR"/>
    <n v="-100000"/>
    <s v="USD"/>
    <n v="117382"/>
    <s v="2026-01-23"/>
    <n v="1.1738"/>
    <n v="0.85189999999999999"/>
    <n v="4.2127999999999997"/>
    <n v="3.6027999999999998"/>
    <n v="1623.8696"/>
    <s v="UNITED STATES OF AMERICA US"/>
  </r>
  <r>
    <s v="BKMILL"/>
    <n v="158253"/>
    <n v="905674"/>
    <s v="Spot"/>
    <x v="40"/>
    <s v="Sell"/>
    <s v="EUR"/>
    <n v="-100000"/>
    <s v="USD"/>
    <n v="117424"/>
    <s v="2026-01-23"/>
    <n v="1.1741999999999999"/>
    <n v="0.85160000000000002"/>
    <n v="4.2127999999999997"/>
    <n v="3.6027999999999998"/>
    <n v="1775.1872000000001"/>
    <s v="UNITED STATES OF AMERICA US"/>
  </r>
  <r>
    <s v="BKMILL"/>
    <n v="158255"/>
    <n v="219023"/>
    <s v="Forward"/>
    <x v="349"/>
    <s v="Sell Fwd"/>
    <s v="USD"/>
    <n v="-100000"/>
    <s v="PLN"/>
    <n v="360500"/>
    <s v="2026-01-21"/>
    <n v="3.605"/>
    <n v="0.27739999999999998"/>
    <n v="3.6053999999999999"/>
    <n v="1"/>
    <n v="-40"/>
    <s v="POLAND PL"/>
  </r>
  <r>
    <s v="BKMILL"/>
    <n v="158256"/>
    <n v="905687"/>
    <s v="Spot"/>
    <x v="50"/>
    <s v="Buy"/>
    <s v="NOK"/>
    <n v="200000"/>
    <s v="PLN"/>
    <n v="-72560"/>
    <s v="2026-01-23"/>
    <n v="0.36280000000000001"/>
    <n v="2.7563"/>
    <n v="0.36380000000000001"/>
    <n v="1"/>
    <n v="200"/>
    <s v="POLAND PL"/>
  </r>
  <r>
    <s v="BKMILL"/>
    <n v="158272"/>
    <n v="905697"/>
    <s v="Spot"/>
    <x v="50"/>
    <s v="Buy"/>
    <s v="DKK"/>
    <n v="210000"/>
    <s v="PLN"/>
    <n v="-118797"/>
    <s v="2026-01-23"/>
    <n v="0.56569999999999998"/>
    <n v="1.7677"/>
    <n v="0.56399999999999995"/>
    <n v="1"/>
    <n v="-357"/>
    <s v="POLAND PL"/>
  </r>
  <r>
    <s v="BKMILL"/>
    <n v="158275"/>
    <n v="219031"/>
    <s v="Forward"/>
    <x v="315"/>
    <s v="Sell Fwd"/>
    <s v="EUR"/>
    <n v="-100000"/>
    <s v="PLN"/>
    <n v="422500"/>
    <s v="2026-01-21"/>
    <n v="4.2253999999999996"/>
    <n v="0.23669999999999999"/>
    <n v="4.2279"/>
    <n v="1"/>
    <n v="-290"/>
    <s v="POLAND PL"/>
  </r>
  <r>
    <s v="BKMILL"/>
    <n v="158276"/>
    <n v="219033"/>
    <s v="Forward"/>
    <x v="531"/>
    <s v="Buy Fwd"/>
    <s v="EUR"/>
    <n v="55523.91"/>
    <s v="PLN"/>
    <n v="233589.09"/>
    <s v="2026-01-21"/>
    <n v="4.2069999999999999"/>
    <n v="0.23769999999999999"/>
    <n v="4.2279"/>
    <n v="1"/>
    <n v="468338.62908899999"/>
    <s v="POLAND PL"/>
  </r>
  <r>
    <s v="BKMILL"/>
    <n v="158277"/>
    <n v="219034"/>
    <s v="Forward"/>
    <x v="367"/>
    <s v="Sell Fwd"/>
    <s v="EUR"/>
    <n v="-22000"/>
    <s v="PLN"/>
    <n v="93170"/>
    <s v="2026-01-21"/>
    <n v="4.2355"/>
    <n v="0.2361"/>
    <n v="4.2279"/>
    <n v="1"/>
    <n v="156.19999999999999"/>
    <s v="POLAND PL"/>
  </r>
  <r>
    <s v="BKMILL"/>
    <n v="158278"/>
    <n v="219035"/>
    <s v="Forward"/>
    <x v="151"/>
    <s v="Sell Fwd"/>
    <s v="EUR"/>
    <n v="-192775.2"/>
    <s v="PLN"/>
    <n v="816402.97"/>
    <s v="2026-01-21"/>
    <n v="4.2350000000000003"/>
    <n v="0.2361"/>
    <n v="4.2279"/>
    <n v="1"/>
    <n v="1368.70192"/>
    <s v="POLAND PL"/>
  </r>
  <r>
    <s v="BKMILL"/>
    <n v="158279"/>
    <n v="219036"/>
    <s v="Forward"/>
    <x v="532"/>
    <s v="Sell Fwd"/>
    <s v="EUR"/>
    <n v="-300000"/>
    <s v="PLN"/>
    <n v="1269600"/>
    <s v="2026-01-21"/>
    <n v="4.2320000000000002"/>
    <n v="0.23630000000000001"/>
    <n v="4.2279"/>
    <n v="1"/>
    <n v="1230"/>
    <s v="POLAND PL"/>
  </r>
  <r>
    <s v="BKMILL"/>
    <n v="158280"/>
    <n v="905792"/>
    <s v="Spot"/>
    <x v="39"/>
    <s v="Buy"/>
    <s v="EUR"/>
    <n v="500000"/>
    <s v="PLN"/>
    <n v="-2111540"/>
    <s v="2026-01-23"/>
    <n v="4.2230999999999996"/>
    <n v="0.23680000000000001"/>
    <n v="4.2127999999999997"/>
    <n v="1"/>
    <n v="-5140"/>
    <s v="UNITED KINGDOM GB"/>
  </r>
  <r>
    <s v="BKMILL"/>
    <n v="158281"/>
    <n v="219037"/>
    <s v="Forward"/>
    <x v="491"/>
    <s v="Sell Fwd"/>
    <s v="USD"/>
    <n v="-20000"/>
    <s v="PLN"/>
    <n v="72260"/>
    <s v="2026-01-21"/>
    <n v="3.613"/>
    <n v="0.27679999999999999"/>
    <n v="3.6053999999999999"/>
    <n v="1"/>
    <n v="152"/>
    <s v="POLAND PL"/>
  </r>
  <r>
    <s v="BKMILL"/>
    <n v="158282"/>
    <n v="905799"/>
    <s v="Spot"/>
    <x v="39"/>
    <s v="Buy"/>
    <s v="EUR"/>
    <n v="500000"/>
    <s v="PLN"/>
    <n v="-2111425"/>
    <s v="2026-01-23"/>
    <n v="4.2229000000000001"/>
    <n v="0.23680000000000001"/>
    <n v="4.2127999999999997"/>
    <n v="1"/>
    <n v="-5025"/>
    <s v="UNITED KINGDOM GB"/>
  </r>
  <r>
    <s v="BKMILL"/>
    <n v="158283"/>
    <n v="219040"/>
    <s v="Forward"/>
    <x v="169"/>
    <s v="Buy Fwd"/>
    <s v="EUR"/>
    <n v="60000"/>
    <s v="PLN"/>
    <n v="252930"/>
    <s v="2026-01-21"/>
    <n v="4.2160000000000002"/>
    <n v="0.23719999999999999"/>
    <n v="4.2279"/>
    <n v="1"/>
    <n v="506604"/>
    <s v="POLAND PL"/>
  </r>
  <r>
    <s v="BKMILL"/>
    <n v="158284"/>
    <n v="219042"/>
    <s v="Forward"/>
    <x v="533"/>
    <s v="Buy Fwd"/>
    <s v="EUR"/>
    <n v="300000"/>
    <s v="PLN"/>
    <n v="1265100"/>
    <s v="2026-01-21"/>
    <n v="4.2169999999999996"/>
    <n v="0.23710000000000001"/>
    <n v="4.2279"/>
    <n v="1"/>
    <n v="2533470"/>
    <s v="POLAND PL"/>
  </r>
  <r>
    <s v="BKMILL"/>
    <n v="158285"/>
    <n v="905818"/>
    <s v="Spot"/>
    <x v="44"/>
    <s v="Sell"/>
    <s v="EUR"/>
    <n v="-500000"/>
    <s v="PLN"/>
    <n v="2111850"/>
    <s v="2026-01-23"/>
    <n v="4.2237"/>
    <n v="0.23680000000000001"/>
    <n v="4.2127999999999997"/>
    <n v="1"/>
    <n v="5450"/>
    <s v="GERMANY DE"/>
  </r>
  <r>
    <s v="BKMILL"/>
    <n v="158290"/>
    <n v="905823"/>
    <s v="Spot"/>
    <x v="39"/>
    <s v="Sell"/>
    <s v="EUR"/>
    <n v="-500000"/>
    <s v="PLN"/>
    <n v="2111715"/>
    <s v="2026-01-23"/>
    <n v="4.2233999999999998"/>
    <n v="0.23680000000000001"/>
    <n v="4.2127999999999997"/>
    <n v="1"/>
    <n v="5315"/>
    <s v="UNITED KINGDOM GB"/>
  </r>
  <r>
    <s v="BKMILL"/>
    <n v="158291"/>
    <n v="905826"/>
    <s v="Spot"/>
    <x v="39"/>
    <s v="Sell"/>
    <s v="EUR"/>
    <n v="-500000"/>
    <s v="PLN"/>
    <n v="2111665"/>
    <s v="2026-01-23"/>
    <n v="4.2233000000000001"/>
    <n v="0.23680000000000001"/>
    <n v="4.2127999999999997"/>
    <n v="1"/>
    <n v="5265"/>
    <s v="UNITED KINGDOM GB"/>
  </r>
  <r>
    <s v="BKMILL"/>
    <n v="158292"/>
    <n v="905829"/>
    <s v="Spot"/>
    <x v="40"/>
    <s v="Sell"/>
    <s v="EUR"/>
    <n v="-300000"/>
    <s v="USD"/>
    <n v="351747"/>
    <s v="2026-01-23"/>
    <n v="1.1725000000000001"/>
    <n v="0.85289999999999999"/>
    <n v="4.2127999999999997"/>
    <n v="3.6027999999999998"/>
    <n v="3434.0916000000002"/>
    <s v="UNITED STATES OF AMERICA US"/>
  </r>
  <r>
    <s v="BKMILL"/>
    <n v="158293"/>
    <n v="219044"/>
    <s v="Forward"/>
    <x v="149"/>
    <s v="Sell Fwd"/>
    <s v="EUR"/>
    <n v="-50000"/>
    <s v="PLN"/>
    <n v="211350"/>
    <s v="2026-01-21"/>
    <n v="4.2275"/>
    <n v="0.23649999999999999"/>
    <n v="4.2279"/>
    <n v="1"/>
    <n v="-45"/>
    <s v="POLAND PL"/>
  </r>
  <r>
    <s v="BKMILL"/>
    <n v="158294"/>
    <n v="905850"/>
    <s v="Spot"/>
    <x v="43"/>
    <s v="Sell"/>
    <s v="EUR"/>
    <n v="-100000"/>
    <s v="AUD"/>
    <n v="173239"/>
    <s v="2026-01-23"/>
    <n v="1.7323999999999999"/>
    <n v="0.57720000000000005"/>
    <n v="4.2127999999999997"/>
    <n v="2.4504999999999999"/>
    <n v="3242.1695"/>
    <s v="FRANCE FR"/>
  </r>
  <r>
    <s v="BKMILL"/>
    <n v="158296"/>
    <n v="905859"/>
    <s v="Spot"/>
    <x v="36"/>
    <s v="Sell"/>
    <s v="EUR"/>
    <n v="-100000"/>
    <s v="GBP"/>
    <n v="87182"/>
    <s v="2026-01-23"/>
    <n v="0.87180000000000002"/>
    <n v="1.147"/>
    <n v="4.2127999999999997"/>
    <n v="4.8433999999999999"/>
    <n v="977.29880000000003"/>
    <s v="UNITED KINGDOM GB"/>
  </r>
  <r>
    <s v="BKMILL"/>
    <n v="158297"/>
    <n v="905880"/>
    <s v="Spot"/>
    <x v="36"/>
    <s v="Buy"/>
    <s v="EUR"/>
    <n v="250000"/>
    <s v="SEK"/>
    <n v="-2659142.5"/>
    <s v="2026-01-23"/>
    <n v="10.6366"/>
    <n v="9.4E-2"/>
    <n v="4.2127999999999997"/>
    <n v="0.39750000000000002"/>
    <n v="-3809.1437500000002"/>
    <s v="UNITED KINGDOM GB"/>
  </r>
  <r>
    <s v="BKMILL"/>
    <n v="158298"/>
    <n v="219046"/>
    <s v="Forward"/>
    <x v="139"/>
    <s v="Buy Fwd"/>
    <s v="EUR"/>
    <n v="85806"/>
    <s v="PLN"/>
    <n v="361723.77"/>
    <s v="2026-01-21"/>
    <n v="4.2160000000000002"/>
    <n v="0.23719999999999999"/>
    <n v="4.2279"/>
    <n v="1"/>
    <n v="724502.95739999996"/>
    <s v="POLAND PL"/>
  </r>
  <r>
    <s v="BKMILL"/>
    <n v="158299"/>
    <n v="905901"/>
    <s v="Spot"/>
    <x v="38"/>
    <s v="Buy"/>
    <s v="EUR"/>
    <n v="500000"/>
    <s v="PLN"/>
    <n v="-2111230"/>
    <s v="2026-01-23"/>
    <n v="4.2225000000000001"/>
    <n v="0.23680000000000001"/>
    <n v="4.2127999999999997"/>
    <n v="1"/>
    <n v="-4830"/>
    <s v="NETHERLANDS NL"/>
  </r>
  <r>
    <s v="BKMILL"/>
    <n v="158300"/>
    <n v="905902"/>
    <s v="Spot"/>
    <x v="38"/>
    <s v="Buy"/>
    <s v="EUR"/>
    <n v="500000"/>
    <s v="PLN"/>
    <n v="-2111220"/>
    <s v="2026-01-23"/>
    <n v="4.2224000000000004"/>
    <n v="0.23680000000000001"/>
    <n v="4.2127999999999997"/>
    <n v="1"/>
    <n v="-4820"/>
    <s v="NETHERLANDS NL"/>
  </r>
  <r>
    <s v="BKMILL"/>
    <n v="158301"/>
    <n v="905903"/>
    <s v="Spot"/>
    <x v="44"/>
    <s v="Sell"/>
    <s v="EUR"/>
    <n v="-900000"/>
    <s v="PLN"/>
    <n v="3799980"/>
    <s v="2026-01-23"/>
    <n v="4.2222"/>
    <n v="0.23680000000000001"/>
    <n v="4.2127999999999997"/>
    <n v="1"/>
    <n v="8460"/>
    <s v="GERMANY DE"/>
  </r>
  <r>
    <s v="BKMILL"/>
    <n v="158302"/>
    <n v="219049"/>
    <s v="Forward"/>
    <x v="232"/>
    <s v="Buy Fwd"/>
    <s v="EUR"/>
    <n v="30000"/>
    <s v="PLN"/>
    <n v="126210"/>
    <s v="2026-01-21"/>
    <n v="4.2069999999999999"/>
    <n v="0.23769999999999999"/>
    <n v="4.2279"/>
    <n v="1"/>
    <n v="253047"/>
    <s v="POLAND PL"/>
  </r>
  <r>
    <s v="BKMILL"/>
    <n v="158303"/>
    <n v="219050"/>
    <s v="Forward"/>
    <x v="315"/>
    <s v="Sell Fwd"/>
    <s v="EUR"/>
    <n v="-100000"/>
    <s v="PLN"/>
    <n v="422300"/>
    <s v="2026-01-21"/>
    <n v="4.2233999999999998"/>
    <n v="0.23680000000000001"/>
    <n v="4.2279"/>
    <n v="1"/>
    <n v="-490"/>
    <s v="POLAND PL"/>
  </r>
  <r>
    <s v="BKMILL"/>
    <n v="158307"/>
    <n v="219053"/>
    <s v="Forward"/>
    <x v="315"/>
    <s v="Sell Fwd"/>
    <s v="EUR"/>
    <n v="-100000"/>
    <s v="PLN"/>
    <n v="422200"/>
    <s v="2026-01-21"/>
    <n v="4.2224000000000004"/>
    <n v="0.23680000000000001"/>
    <n v="4.2279"/>
    <n v="1"/>
    <n v="-590"/>
    <s v="POLAND PL"/>
  </r>
  <r>
    <s v="BKMILL"/>
    <n v="158308"/>
    <n v="905925"/>
    <s v="Spot"/>
    <x v="40"/>
    <s v="Sell"/>
    <s v="EUR"/>
    <n v="-300000"/>
    <s v="USD"/>
    <n v="351831"/>
    <s v="2026-01-23"/>
    <n v="1.1728000000000001"/>
    <n v="0.85270000000000001"/>
    <n v="4.2127999999999997"/>
    <n v="3.6027999999999998"/>
    <n v="3736.7267999999999"/>
    <s v="UNITED STATES OF AMERICA US"/>
  </r>
  <r>
    <s v="BKMILL"/>
    <n v="158309"/>
    <n v="905926"/>
    <s v="Spot"/>
    <x v="40"/>
    <s v="Sell"/>
    <s v="EUR"/>
    <n v="-300000"/>
    <s v="USD"/>
    <n v="351840"/>
    <s v="2026-01-23"/>
    <n v="1.1728000000000001"/>
    <n v="0.85270000000000001"/>
    <n v="4.2127999999999997"/>
    <n v="3.6027999999999998"/>
    <n v="3769.152"/>
    <s v="UNITED STATES OF AMERICA US"/>
  </r>
  <r>
    <s v="BKMILL"/>
    <n v="158310"/>
    <n v="905927"/>
    <s v="Spot"/>
    <x v="40"/>
    <s v="Buy"/>
    <s v="EUR"/>
    <n v="100000"/>
    <s v="USD"/>
    <n v="-117272"/>
    <s v="2026-01-23"/>
    <n v="1.1727000000000001"/>
    <n v="0.85270000000000001"/>
    <n v="4.2127999999999997"/>
    <n v="3.6027999999999998"/>
    <n v="-1227.5616"/>
    <s v="UNITED STATES OF AMERICA US"/>
  </r>
  <r>
    <s v="BKMILL"/>
    <n v="158311"/>
    <n v="905928"/>
    <s v="Spot"/>
    <x v="40"/>
    <s v="Buy"/>
    <s v="EUR"/>
    <n v="100000"/>
    <s v="USD"/>
    <n v="-117265"/>
    <s v="2026-01-23"/>
    <n v="1.1726000000000001"/>
    <n v="0.8528"/>
    <n v="4.2127999999999997"/>
    <n v="3.6027999999999998"/>
    <n v="-1202.3420000000001"/>
    <s v="UNITED STATES OF AMERICA US"/>
  </r>
  <r>
    <s v="BKMILL"/>
    <n v="158312"/>
    <n v="905929"/>
    <s v="Spot"/>
    <x v="40"/>
    <s v="Buy"/>
    <s v="EUR"/>
    <n v="100000"/>
    <s v="USD"/>
    <n v="-117260"/>
    <s v="2026-01-23"/>
    <n v="1.1726000000000001"/>
    <n v="0.8528"/>
    <n v="4.2127999999999997"/>
    <n v="3.6027999999999998"/>
    <n v="-1184.328"/>
    <s v="UNITED STATES OF AMERICA US"/>
  </r>
  <r>
    <s v="BKMILL"/>
    <n v="158313"/>
    <n v="905930"/>
    <s v="Spot"/>
    <x v="40"/>
    <s v="Buy"/>
    <s v="EUR"/>
    <n v="100000"/>
    <s v="USD"/>
    <n v="-117264"/>
    <s v="2026-01-23"/>
    <n v="1.1726000000000001"/>
    <n v="0.8528"/>
    <n v="4.2127999999999997"/>
    <n v="3.6027999999999998"/>
    <n v="-1198.7392"/>
    <s v="UNITED STATES OF AMERICA US"/>
  </r>
  <r>
    <s v="BKMILL"/>
    <n v="158314"/>
    <n v="219054"/>
    <s v="Forward"/>
    <x v="129"/>
    <s v="Buy Fwd"/>
    <s v="EUR"/>
    <n v="63000"/>
    <s v="USD"/>
    <n v="73791.899999999994"/>
    <s v="2026-01-21"/>
    <n v="1.1715"/>
    <n v="0.85360000000000003"/>
    <n v="4.2279"/>
    <n v="3.6053999999999999"/>
    <n v="532407.01625999995"/>
    <s v="POLAND PL"/>
  </r>
  <r>
    <s v="BKMILL"/>
    <n v="158315"/>
    <n v="219055"/>
    <s v="Forward"/>
    <x v="129"/>
    <s v="Buy Fwd"/>
    <s v="EUR"/>
    <n v="1000"/>
    <s v="USD"/>
    <n v="1171.3"/>
    <s v="2026-01-21"/>
    <n v="1.1715"/>
    <n v="0.85360000000000003"/>
    <n v="4.2279"/>
    <n v="3.6053999999999999"/>
    <n v="8450.9050200000001"/>
    <s v="POLAND PL"/>
  </r>
  <r>
    <s v="BKMILL"/>
    <n v="158316"/>
    <n v="219058"/>
    <s v="Forward"/>
    <x v="87"/>
    <s v="Sell Fwd"/>
    <s v="EUR"/>
    <n v="-20000"/>
    <s v="PLN"/>
    <n v="84460"/>
    <s v="2026-01-21"/>
    <n v="4.2229999999999999"/>
    <n v="0.23680000000000001"/>
    <n v="4.2279"/>
    <n v="1"/>
    <n v="-98"/>
    <s v="POLAND PL"/>
  </r>
  <r>
    <s v="BKMILL"/>
    <n v="158318"/>
    <n v="905954"/>
    <s v="Spot"/>
    <x v="38"/>
    <s v="Buy"/>
    <s v="EUR"/>
    <n v="500000"/>
    <s v="PLN"/>
    <n v="-2110195"/>
    <s v="2026-01-23"/>
    <n v="4.2203999999999997"/>
    <n v="0.2369"/>
    <n v="4.2127999999999997"/>
    <n v="1"/>
    <n v="-3795"/>
    <s v="NETHERLANDS NL"/>
  </r>
  <r>
    <s v="BKMILL"/>
    <n v="158319"/>
    <n v="905955"/>
    <s v="Spot"/>
    <x v="43"/>
    <s v="Buy"/>
    <s v="EUR"/>
    <n v="500000"/>
    <s v="PLN"/>
    <n v="-2110150"/>
    <s v="2026-01-23"/>
    <n v="4.2202999999999999"/>
    <n v="0.2369"/>
    <n v="4.2127999999999997"/>
    <n v="1"/>
    <n v="-3750"/>
    <s v="FRANCE FR"/>
  </r>
  <r>
    <s v="BKMILL"/>
    <n v="158320"/>
    <n v="905956"/>
    <s v="Spot"/>
    <x v="534"/>
    <s v="Buy"/>
    <s v="EUR"/>
    <n v="500000"/>
    <s v="PLN"/>
    <n v="-2110270"/>
    <s v="2026-01-23"/>
    <n v="4.2205000000000004"/>
    <n v="0.2369"/>
    <n v="4.2127999999999997"/>
    <n v="1"/>
    <n v="-3870"/>
    <s v="POLAND PL"/>
  </r>
  <r>
    <s v="BKMILL"/>
    <n v="158321"/>
    <n v="905957"/>
    <s v="Spot"/>
    <x v="43"/>
    <s v="Buy"/>
    <s v="EUR"/>
    <n v="500000"/>
    <s v="PLN"/>
    <n v="-2110270"/>
    <s v="2026-01-23"/>
    <n v="4.2205000000000004"/>
    <n v="0.2369"/>
    <n v="4.2127999999999997"/>
    <n v="1"/>
    <n v="-3870"/>
    <s v="FRANCE FR"/>
  </r>
  <r>
    <s v="BKMILL"/>
    <n v="158322"/>
    <n v="219060"/>
    <s v="Forward"/>
    <x v="63"/>
    <s v="Sell Fwd"/>
    <s v="USD"/>
    <n v="-18850"/>
    <s v="PLN"/>
    <n v="67984.41"/>
    <s v="2026-01-21"/>
    <n v="3.6065999999999998"/>
    <n v="0.27729999999999999"/>
    <n v="3.6053999999999999"/>
    <n v="1"/>
    <n v="22.62"/>
    <s v="POLAND PL"/>
  </r>
  <r>
    <s v="BKMILL"/>
    <n v="158323"/>
    <n v="905961"/>
    <s v="Spot"/>
    <x v="40"/>
    <s v="Buy"/>
    <s v="EUR"/>
    <n v="500000"/>
    <s v="PLN"/>
    <n v="-2110250"/>
    <s v="2026-01-23"/>
    <n v="4.2205000000000004"/>
    <n v="0.2369"/>
    <n v="4.2127999999999997"/>
    <n v="1"/>
    <n v="-3850"/>
    <s v="UNITED STATES OF AMERICA US"/>
  </r>
  <r>
    <s v="BKMILL"/>
    <n v="158324"/>
    <n v="219061"/>
    <s v="Forward"/>
    <x v="12"/>
    <s v="Sell Fwd"/>
    <s v="EUR"/>
    <n v="-1000000"/>
    <s v="PLN"/>
    <n v="4222500"/>
    <s v="2026-01-21"/>
    <n v="4.2229000000000001"/>
    <n v="0.23680000000000001"/>
    <n v="4.2279"/>
    <n v="1"/>
    <n v="-5400"/>
    <s v="POLAND PL"/>
  </r>
  <r>
    <s v="BKMILL"/>
    <n v="158325"/>
    <n v="219062"/>
    <s v="Forward"/>
    <x v="12"/>
    <s v="Sell Fwd"/>
    <s v="EUR"/>
    <n v="-1000000"/>
    <s v="PLN"/>
    <n v="4222500"/>
    <s v="2026-01-21"/>
    <n v="4.2229000000000001"/>
    <n v="0.23680000000000001"/>
    <n v="4.2279"/>
    <n v="1"/>
    <n v="-5400"/>
    <s v="POLAND PL"/>
  </r>
  <r>
    <s v="BKMILL"/>
    <n v="158326"/>
    <n v="219063"/>
    <s v="Forward"/>
    <x v="63"/>
    <s v="Sell Fwd"/>
    <s v="EUR"/>
    <n v="-1000"/>
    <s v="PLN"/>
    <n v="4226.5"/>
    <s v="2026-01-22"/>
    <n v="4.2267000000000001"/>
    <n v="0.2366"/>
    <n v="4.2271000000000001"/>
    <n v="1"/>
    <n v="-0.6"/>
    <s v="POLAND PL"/>
  </r>
  <r>
    <s v="BKMILL"/>
    <n v="158330"/>
    <n v="219066"/>
    <s v="Forward"/>
    <x v="76"/>
    <s v="Buy Fwd"/>
    <s v="EUR"/>
    <n v="8000"/>
    <s v="PLN"/>
    <n v="33680"/>
    <s v="2026-01-21"/>
    <n v="4.21"/>
    <n v="0.23749999999999999"/>
    <n v="4.2279"/>
    <n v="1"/>
    <n v="67503.199999999997"/>
    <s v="POLAND PL"/>
  </r>
  <r>
    <s v="BKMILL"/>
    <n v="158331"/>
    <n v="219068"/>
    <s v="Forward"/>
    <x v="535"/>
    <s v="Sell Fwd"/>
    <s v="EUR"/>
    <n v="-274706.96000000002"/>
    <s v="PLN"/>
    <n v="1162834.56"/>
    <s v="2026-01-21"/>
    <n v="4.2333999999999996"/>
    <n v="0.23619999999999999"/>
    <n v="4.2279"/>
    <n v="1"/>
    <n v="1401.0038159999999"/>
    <s v="POLAND PL"/>
  </r>
  <r>
    <s v="BKMILL"/>
    <n v="158332"/>
    <n v="905992"/>
    <s v="Spot"/>
    <x v="40"/>
    <s v="Buy"/>
    <s v="EUR"/>
    <n v="200000"/>
    <s v="PLN"/>
    <n v="-843700"/>
    <s v="2026-01-23"/>
    <n v="4.2184999999999997"/>
    <n v="0.23710000000000001"/>
    <n v="4.2127999999999997"/>
    <n v="1"/>
    <n v="-1140"/>
    <s v="UNITED STATES OF AMERICA US"/>
  </r>
  <r>
    <s v="BKMILL"/>
    <n v="158333"/>
    <n v="219071"/>
    <s v="Forward"/>
    <x v="315"/>
    <s v="Sell Fwd"/>
    <s v="EUR"/>
    <n v="-100000"/>
    <s v="PLN"/>
    <n v="422000"/>
    <s v="2026-01-21"/>
    <n v="4.2203999999999997"/>
    <n v="0.2369"/>
    <n v="4.2279"/>
    <n v="1"/>
    <n v="-790"/>
    <s v="POLAND PL"/>
  </r>
  <r>
    <s v="BKMILL"/>
    <n v="158335"/>
    <n v="219072"/>
    <s v="Forward"/>
    <x v="139"/>
    <s v="Buy Fwd"/>
    <s v="EUR"/>
    <n v="77220"/>
    <s v="PLN"/>
    <n v="325157.98"/>
    <s v="2026-01-21"/>
    <n v="4.2111999999999998"/>
    <n v="0.23749999999999999"/>
    <n v="4.2279"/>
    <n v="1"/>
    <n v="651636.41799999995"/>
    <s v="POLAND PL"/>
  </r>
  <r>
    <s v="BKMILL"/>
    <n v="158340"/>
    <n v="906008"/>
    <s v="Spot"/>
    <x v="41"/>
    <s v="Sell"/>
    <s v="EUR"/>
    <n v="-68501.06"/>
    <s v="PLN"/>
    <n v="288964.87"/>
    <s v="2026-01-23"/>
    <n v="4.2183999999999999"/>
    <n v="0.23710000000000001"/>
    <n v="4.2127999999999997"/>
    <n v="1"/>
    <n v="383.60443199999997"/>
    <s v="GERMANY DE"/>
  </r>
  <r>
    <s v="BKMILL"/>
    <n v="158341"/>
    <n v="906009"/>
    <s v="Spot"/>
    <x v="40"/>
    <s v="Buy"/>
    <s v="USD"/>
    <n v="22429.41"/>
    <s v="PLN"/>
    <n v="-80848.83"/>
    <s v="2026-01-23"/>
    <n v="3.6046"/>
    <n v="0.27739999999999998"/>
    <n v="3.6027999999999998"/>
    <n v="1"/>
    <n v="-40.151651999999999"/>
    <s v="UNITED STATES OF AMERICA US"/>
  </r>
  <r>
    <s v="BKMILL"/>
    <n v="158342"/>
    <n v="906010"/>
    <s v="Spot"/>
    <x v="40"/>
    <s v="Buy"/>
    <s v="CHF"/>
    <n v="1640.72"/>
    <s v="PLN"/>
    <n v="-7458.04"/>
    <s v="2026-01-23"/>
    <n v="4.5456000000000003"/>
    <n v="0.22"/>
    <n v="4.5419"/>
    <n v="1"/>
    <n v="-6.0538319999999999"/>
    <s v="UNITED STATES OF AMERICA US"/>
  </r>
  <r>
    <s v="BKMILL"/>
    <n v="158343"/>
    <n v="906011"/>
    <s v="Spot"/>
    <x v="41"/>
    <s v="Sell"/>
    <s v="GBP"/>
    <n v="-1306.57"/>
    <s v="PLN"/>
    <n v="6323.28"/>
    <s v="2026-01-23"/>
    <n v="4.8395999999999999"/>
    <n v="0.20660000000000001"/>
    <n v="4.8433999999999999"/>
    <n v="1"/>
    <n v="-4.961138"/>
    <s v="GERMANY DE"/>
  </r>
  <r>
    <s v="BKMILL"/>
    <n v="158344"/>
    <n v="906016"/>
    <s v="Spot"/>
    <x v="42"/>
    <s v="Buy"/>
    <s v="USD"/>
    <n v="59857.9"/>
    <s v="PLN"/>
    <n v="-215810.48"/>
    <s v="2026-01-23"/>
    <n v="3.6053999999999999"/>
    <n v="0.27739999999999998"/>
    <n v="3.6027999999999998"/>
    <n v="1"/>
    <n v="-154.43788000000001"/>
    <s v="SWITZERLAND CH"/>
  </r>
  <r>
    <s v="BKMILL"/>
    <n v="158345"/>
    <n v="906017"/>
    <s v="Spot"/>
    <x v="41"/>
    <s v="Sell"/>
    <s v="EUR"/>
    <n v="-27329.96"/>
    <s v="PLN"/>
    <n v="115187.58"/>
    <s v="2026-01-23"/>
    <n v="4.2146999999999997"/>
    <n v="0.23730000000000001"/>
    <n v="4.2127999999999997"/>
    <n v="1"/>
    <n v="51.924512"/>
    <s v="GERMANY DE"/>
  </r>
  <r>
    <s v="BKMILL"/>
    <n v="158346"/>
    <n v="906018"/>
    <s v="Spot"/>
    <x v="41"/>
    <s v="Sell"/>
    <s v="GBP"/>
    <n v="-2231.0100000000002"/>
    <s v="PLN"/>
    <n v="10796.75"/>
    <s v="2026-01-23"/>
    <n v="4.8394000000000004"/>
    <n v="0.20660000000000001"/>
    <n v="4.8433999999999999"/>
    <n v="1"/>
    <n v="-8.9238339999999994"/>
    <s v="GERMANY DE"/>
  </r>
  <r>
    <s v="BKMILL"/>
    <n v="158347"/>
    <n v="906019"/>
    <s v="Spot"/>
    <x v="42"/>
    <s v="Buy"/>
    <s v="CHF"/>
    <n v="5862.65"/>
    <s v="PLN"/>
    <n v="-26567.71"/>
    <s v="2026-01-23"/>
    <n v="4.5316999999999998"/>
    <n v="0.22070000000000001"/>
    <n v="4.5419"/>
    <n v="1"/>
    <n v="59.860035000000003"/>
    <s v="SWITZERLAND CH"/>
  </r>
  <r>
    <s v="BKMILL"/>
    <n v="158348"/>
    <n v="219074"/>
    <s v="Forward"/>
    <x v="315"/>
    <s v="Sell Fwd"/>
    <s v="EUR"/>
    <n v="-100000"/>
    <s v="PLN"/>
    <n v="421500"/>
    <s v="2026-01-21"/>
    <n v="4.2153999999999998"/>
    <n v="0.23719999999999999"/>
    <n v="4.2279"/>
    <n v="1"/>
    <n v="-1290"/>
    <s v="POLAND PL"/>
  </r>
  <r>
    <s v="BKMILL"/>
    <n v="158349"/>
    <n v="906027"/>
    <s v="Spot"/>
    <x v="40"/>
    <s v="Sell"/>
    <s v="GBP"/>
    <n v="-775.02"/>
    <s v="PLN"/>
    <n v="3748.85"/>
    <s v="2026-01-26"/>
    <n v="4.8371000000000004"/>
    <n v="0.20669999999999999"/>
    <n v="4.8478000000000003"/>
    <n v="1"/>
    <n v="-8.2919560000000008"/>
    <s v="UNITED STATES OF AMERICA US"/>
  </r>
  <r>
    <s v="BKMILL"/>
    <n v="158350"/>
    <n v="906028"/>
    <s v="Spot"/>
    <x v="41"/>
    <s v="Buy"/>
    <s v="EUR"/>
    <n v="20595.599999999999"/>
    <s v="PLN"/>
    <n v="-86775.44"/>
    <s v="2026-01-26"/>
    <n v="4.2133000000000003"/>
    <n v="0.23730000000000001"/>
    <n v="4.2050000000000001"/>
    <n v="1"/>
    <n v="-170.94200000000001"/>
    <s v="GERMANY DE"/>
  </r>
  <r>
    <s v="BKMILL"/>
    <n v="158351"/>
    <n v="906029"/>
    <s v="Spot"/>
    <x v="41"/>
    <s v="Buy"/>
    <s v="USD"/>
    <n v="15354.93"/>
    <s v="PLN"/>
    <n v="-55366.81"/>
    <s v="2026-01-26"/>
    <n v="3.6057999999999999"/>
    <n v="0.27729999999999999"/>
    <n v="3.5831"/>
    <n v="1"/>
    <n v="-348.560317"/>
    <s v="GERMANY DE"/>
  </r>
  <r>
    <s v="BKMILL"/>
    <n v="158352"/>
    <n v="906030"/>
    <s v="Spot"/>
    <x v="40"/>
    <s v="Sell"/>
    <s v="CHF"/>
    <n v="-599"/>
    <s v="PLN"/>
    <n v="2711.52"/>
    <s v="2026-01-26"/>
    <n v="4.5266999999999999"/>
    <n v="0.22090000000000001"/>
    <n v="4.5297999999999998"/>
    <n v="1"/>
    <n v="-1.8302"/>
    <s v="UNITED STATES OF AMERICA US"/>
  </r>
  <r>
    <s v="BKMILL"/>
    <n v="158353"/>
    <n v="906035"/>
    <s v="Spot"/>
    <x v="42"/>
    <s v="Buy"/>
    <s v="GBP"/>
    <n v="658.11"/>
    <s v="PLN"/>
    <n v="-3188.95"/>
    <s v="2026-01-26"/>
    <n v="4.8456000000000001"/>
    <n v="0.2064"/>
    <n v="4.8478000000000003"/>
    <n v="1"/>
    <n v="1.4356580000000001"/>
    <s v="SWITZERLAND CH"/>
  </r>
  <r>
    <s v="BKMILL"/>
    <n v="158354"/>
    <n v="906036"/>
    <s v="Spot"/>
    <x v="43"/>
    <s v="Buy"/>
    <s v="EUR"/>
    <n v="54478.27"/>
    <s v="PLN"/>
    <n v="-229764.28"/>
    <s v="2026-01-26"/>
    <n v="4.2175000000000002"/>
    <n v="0.23710000000000001"/>
    <n v="4.2050000000000001"/>
    <n v="1"/>
    <n v="-683.15464999999995"/>
    <s v="FRANCE FR"/>
  </r>
  <r>
    <s v="BKMILL"/>
    <n v="158355"/>
    <n v="906037"/>
    <s v="Spot"/>
    <x v="43"/>
    <s v="Buy"/>
    <s v="USD"/>
    <n v="4494.05"/>
    <s v="PLN"/>
    <n v="-16212.91"/>
    <s v="2026-01-26"/>
    <n v="3.6076000000000001"/>
    <n v="0.2772"/>
    <n v="3.5831"/>
    <n v="1"/>
    <n v="-110.279445"/>
    <s v="FRANCE FR"/>
  </r>
  <r>
    <s v="BKMILL"/>
    <n v="158356"/>
    <n v="906038"/>
    <s v="Spot"/>
    <x v="42"/>
    <s v="Buy"/>
    <s v="CHF"/>
    <n v="100"/>
    <s v="PLN"/>
    <n v="-453.98"/>
    <s v="2026-01-26"/>
    <n v="4.5397999999999996"/>
    <n v="0.2203"/>
    <n v="4.5297999999999998"/>
    <n v="1"/>
    <n v="-1"/>
    <s v="SWITZERLAND CH"/>
  </r>
  <r>
    <s v="BKMILL"/>
    <n v="158357"/>
    <n v="219076"/>
    <s v="Forward"/>
    <x v="55"/>
    <s v="Buy Fwd"/>
    <s v="EUR"/>
    <n v="5700"/>
    <s v="PLN"/>
    <n v="24028"/>
    <s v="2026-01-22"/>
    <n v="4.2161999999999997"/>
    <n v="0.23719999999999999"/>
    <n v="4.2271000000000001"/>
    <n v="1"/>
    <n v="48122.47"/>
    <s v="SPAIN ES"/>
  </r>
  <r>
    <s v="BKMILL"/>
    <n v="158358"/>
    <n v="219077"/>
    <s v="Forward"/>
    <x v="55"/>
    <s v="Buy Fwd"/>
    <s v="EUR"/>
    <n v="30000"/>
    <s v="PLN"/>
    <n v="126466.47"/>
    <s v="2026-01-22"/>
    <n v="4.2164000000000001"/>
    <n v="0.23719999999999999"/>
    <n v="4.2271000000000001"/>
    <n v="1"/>
    <n v="253279.47"/>
    <s v="SPAIN ES"/>
  </r>
  <r>
    <s v="BKMILL"/>
    <n v="158359"/>
    <n v="219078"/>
    <s v="Forward"/>
    <x v="55"/>
    <s v="Sell Fwd"/>
    <s v="EUR"/>
    <n v="-21200"/>
    <s v="PLN"/>
    <n v="89342.44"/>
    <s v="2026-01-22"/>
    <n v="4.2153"/>
    <n v="0.23719999999999999"/>
    <n v="4.2271000000000001"/>
    <n v="1"/>
    <n v="-272.08"/>
    <s v="SPAIN ES"/>
  </r>
  <r>
    <s v="BKMILL"/>
    <n v="158360"/>
    <n v="219079"/>
    <s v="Forward"/>
    <x v="55"/>
    <s v="Buy Fwd"/>
    <s v="EUR"/>
    <n v="8289"/>
    <s v="PLN"/>
    <n v="34940.53"/>
    <s v="2026-01-22"/>
    <n v="4.2161"/>
    <n v="0.23719999999999999"/>
    <n v="4.2271000000000001"/>
    <n v="1"/>
    <n v="69978.961899999995"/>
    <s v="SPAIN ES"/>
  </r>
  <r>
    <s v="BKMILL"/>
    <n v="158361"/>
    <n v="219080"/>
    <s v="Forward"/>
    <x v="55"/>
    <s v="Buy Fwd"/>
    <s v="EUR"/>
    <n v="13000"/>
    <s v="PLN"/>
    <n v="54797.05"/>
    <s v="2026-01-22"/>
    <n v="4.2160000000000002"/>
    <n v="0.23719999999999999"/>
    <n v="4.2271000000000001"/>
    <n v="1"/>
    <n v="109749.35"/>
    <s v="SPAIN ES"/>
  </r>
  <r>
    <s v="BKMILL"/>
    <n v="158362"/>
    <n v="219081"/>
    <s v="Forward"/>
    <x v="55"/>
    <s v="Buy Fwd"/>
    <s v="EUR"/>
    <n v="2500"/>
    <s v="PLN"/>
    <n v="10535.22"/>
    <s v="2026-01-22"/>
    <n v="4.2149000000000001"/>
    <n v="0.23730000000000001"/>
    <n v="4.2271000000000001"/>
    <n v="1"/>
    <n v="21102.97"/>
    <s v="SPAIN ES"/>
  </r>
  <r>
    <s v="BKMILL"/>
    <n v="158363"/>
    <n v="219082"/>
    <s v="Forward"/>
    <x v="40"/>
    <s v="Sell Fwd"/>
    <s v="EUR"/>
    <n v="-12000"/>
    <s v="PLN"/>
    <n v="50553.55"/>
    <s v="2026-01-22"/>
    <n v="4.2137000000000002"/>
    <n v="0.23730000000000001"/>
    <n v="4.2271000000000001"/>
    <n v="1"/>
    <n v="-171.65"/>
    <s v="UNITED STATES OF AMERICA US"/>
  </r>
  <r>
    <s v="BKMILL"/>
    <n v="158364"/>
    <n v="219083"/>
    <s v="Forward"/>
    <x v="42"/>
    <s v="Sell Fwd"/>
    <s v="EUR"/>
    <n v="-7000"/>
    <s v="PLN"/>
    <n v="29494.11"/>
    <s v="2026-01-22"/>
    <n v="4.2144000000000004"/>
    <n v="0.23730000000000001"/>
    <n v="4.2271000000000001"/>
    <n v="1"/>
    <n v="-95.59"/>
    <s v="SWITZERLAND CH"/>
  </r>
  <r>
    <s v="BKMILL"/>
    <n v="158365"/>
    <n v="219086"/>
    <s v="Forward"/>
    <x v="55"/>
    <s v="Buy Fwd"/>
    <s v="EUR"/>
    <n v="1000"/>
    <s v="PLN"/>
    <n v="4214.1400000000003"/>
    <s v="2026-01-22"/>
    <n v="4.2146999999999997"/>
    <n v="0.23730000000000001"/>
    <n v="4.2271000000000001"/>
    <n v="1"/>
    <n v="8441.24"/>
    <s v="SPAIN ES"/>
  </r>
  <r>
    <s v="BKMILL"/>
    <n v="158366"/>
    <n v="906062"/>
    <s v="Spot"/>
    <x v="42"/>
    <s v="Sell"/>
    <s v="EUR"/>
    <n v="-21705.919999999998"/>
    <s v="PLN"/>
    <n v="91469.18"/>
    <s v="2026-01-26"/>
    <n v="4.2140000000000004"/>
    <n v="0.23730000000000001"/>
    <n v="4.2050000000000001"/>
    <n v="1"/>
    <n v="195.78639999999999"/>
    <s v="SWITZERLAND CH"/>
  </r>
  <r>
    <s v="BKMILL"/>
    <n v="158367"/>
    <n v="906063"/>
    <s v="Spot"/>
    <x v="42"/>
    <s v="Sell"/>
    <s v="CHF"/>
    <n v="-1530"/>
    <s v="PLN"/>
    <n v="6938.83"/>
    <s v="2026-01-26"/>
    <n v="4.5351999999999997"/>
    <n v="0.2205"/>
    <n v="4.5297999999999998"/>
    <n v="1"/>
    <n v="8.2360000000000007"/>
    <s v="SWITZERLAND CH"/>
  </r>
  <r>
    <s v="BKMILL"/>
    <n v="158368"/>
    <n v="906064"/>
    <s v="Spot"/>
    <x v="40"/>
    <s v="Sell"/>
    <s v="GBP"/>
    <n v="-2190.1"/>
    <s v="PLN"/>
    <n v="10601.84"/>
    <s v="2026-01-26"/>
    <n v="4.8407999999999998"/>
    <n v="0.20660000000000001"/>
    <n v="4.8478000000000003"/>
    <n v="1"/>
    <n v="-15.326779999999999"/>
    <s v="UNITED STATES OF AMERICA US"/>
  </r>
  <r>
    <s v="BKMILL"/>
    <n v="158369"/>
    <n v="906065"/>
    <s v="Spot"/>
    <x v="43"/>
    <s v="Buy"/>
    <s v="USD"/>
    <n v="4317.22"/>
    <s v="PLN"/>
    <n v="-15571.61"/>
    <s v="2026-01-26"/>
    <n v="3.6069"/>
    <n v="0.2772"/>
    <n v="3.5831"/>
    <n v="1"/>
    <n v="-102.579018"/>
    <s v="FRANCE FR"/>
  </r>
  <r>
    <s v="BKMILL"/>
    <n v="158370"/>
    <n v="219092"/>
    <s v="Forward"/>
    <x v="128"/>
    <s v="Buy Fwd"/>
    <s v="USD"/>
    <n v="38280.17"/>
    <s v="PLN"/>
    <n v="138000"/>
    <s v="2026-01-22"/>
    <n v="3.6030000000000002"/>
    <n v="0.27750000000000002"/>
    <n v="3.6118000000000001"/>
    <n v="1"/>
    <n v="276260.31800600002"/>
    <s v="POLAND PL"/>
  </r>
  <r>
    <s v="BKMILL"/>
    <n v="158371"/>
    <n v="219097"/>
    <s v="Forward"/>
    <x v="63"/>
    <s v="Sell Fwd"/>
    <s v="EUR"/>
    <n v="-1000"/>
    <s v="PLN"/>
    <n v="4225.8999999999996"/>
    <s v="2026-01-22"/>
    <n v="4.2267000000000001"/>
    <n v="0.2366"/>
    <n v="4.2271000000000001"/>
    <n v="1"/>
    <n v="-1.2"/>
    <s v="POLAND PL"/>
  </r>
  <r>
    <s v="BKMILL"/>
    <n v="158372"/>
    <n v="219098"/>
    <s v="Forward"/>
    <x v="32"/>
    <s v="Sell Fwd"/>
    <s v="EUR"/>
    <n v="-10000"/>
    <s v="PLN"/>
    <n v="42188"/>
    <s v="2026-01-22"/>
    <n v="4.2195999999999998"/>
    <n v="0.23699999999999999"/>
    <n v="4.2271000000000001"/>
    <n v="1"/>
    <n v="-83"/>
    <s v="POLAND PL"/>
  </r>
  <r>
    <s v="BKMILL"/>
    <n v="158373"/>
    <n v="219099"/>
    <s v="Forward"/>
    <x v="32"/>
    <s v="Sell Fwd"/>
    <s v="EUR"/>
    <n v="-10000"/>
    <s v="PLN"/>
    <n v="42189"/>
    <s v="2026-01-22"/>
    <n v="4.2196999999999996"/>
    <n v="0.23699999999999999"/>
    <n v="4.2271000000000001"/>
    <n v="1"/>
    <n v="-82"/>
    <s v="POLAND PL"/>
  </r>
  <r>
    <s v="BKMILL"/>
    <n v="158374"/>
    <n v="219101"/>
    <s v="Forward"/>
    <x v="536"/>
    <s v="Buy Fwd"/>
    <s v="EUR"/>
    <n v="5000"/>
    <s v="PLN"/>
    <n v="21015"/>
    <s v="2026-01-22"/>
    <n v="4.2030000000000003"/>
    <n v="0.2379"/>
    <n v="4.2271000000000001"/>
    <n v="1"/>
    <n v="42150.5"/>
    <s v="POLAND PL"/>
  </r>
  <r>
    <s v="BKMILL"/>
    <n v="158375"/>
    <n v="906146"/>
    <s v="Spot"/>
    <x v="51"/>
    <s v="Sell"/>
    <s v="EUR"/>
    <n v="-100000"/>
    <s v="PLN"/>
    <n v="422300"/>
    <s v="2026-01-26"/>
    <n v="4.2229999999999999"/>
    <n v="0.23680000000000001"/>
    <n v="4.2050000000000001"/>
    <n v="1"/>
    <n v="1800"/>
    <s v="POLAND PL"/>
  </r>
  <r>
    <s v="BKMILL"/>
    <n v="158376"/>
    <n v="219107"/>
    <s v="Forward"/>
    <x v="106"/>
    <s v="Sell Fwd"/>
    <s v="EUR"/>
    <n v="-23950"/>
    <s v="PLN"/>
    <n v="101001.94"/>
    <s v="2026-01-22"/>
    <n v="4.218"/>
    <n v="0.23710000000000001"/>
    <n v="4.2271000000000001"/>
    <n v="1"/>
    <n v="-237.10499999999999"/>
    <s v="POLAND PL"/>
  </r>
  <r>
    <s v="BKMILL"/>
    <n v="158377"/>
    <n v="906183"/>
    <s v="Spot"/>
    <x v="51"/>
    <s v="Sell"/>
    <s v="EUR"/>
    <n v="-200000"/>
    <s v="PLN"/>
    <n v="844000"/>
    <s v="2026-01-26"/>
    <n v="4.22"/>
    <n v="0.23699999999999999"/>
    <n v="4.2050000000000001"/>
    <n v="1"/>
    <n v="3000"/>
    <s v="POLAND PL"/>
  </r>
  <r>
    <s v="BKMILL"/>
    <n v="158378"/>
    <n v="219117"/>
    <s v="Forward"/>
    <x v="106"/>
    <s v="Sell Fwd"/>
    <s v="EUR"/>
    <n v="-1000"/>
    <s v="PLN"/>
    <n v="4217"/>
    <s v="2026-01-22"/>
    <n v="4.2178000000000004"/>
    <n v="0.23710000000000001"/>
    <n v="4.2271000000000001"/>
    <n v="1"/>
    <n v="-10.1"/>
    <s v="POLAND PL"/>
  </r>
  <r>
    <s v="BKMILL"/>
    <n v="158379"/>
    <n v="219118"/>
    <s v="Forward"/>
    <x v="429"/>
    <s v="Sell Fwd"/>
    <s v="USD"/>
    <n v="-250000"/>
    <s v="PLN"/>
    <n v="902375"/>
    <s v="2026-01-22"/>
    <n v="3.6095000000000002"/>
    <n v="0.27700000000000002"/>
    <n v="3.6118000000000001"/>
    <n v="1"/>
    <n v="-575"/>
    <s v="POLAND PL"/>
  </r>
  <r>
    <s v="BKMILL"/>
    <n v="158380"/>
    <n v="219119"/>
    <s v="Forward"/>
    <x v="160"/>
    <s v="Buy Fwd"/>
    <s v="EUR"/>
    <n v="200000"/>
    <s v="PLN"/>
    <n v="841200"/>
    <s v="2026-01-22"/>
    <n v="4.2068000000000003"/>
    <n v="0.23769999999999999"/>
    <n v="4.2271000000000001"/>
    <n v="1"/>
    <n v="1686620"/>
    <s v="POLAND PL"/>
  </r>
  <r>
    <s v="BKMILL"/>
    <n v="158381"/>
    <n v="219135"/>
    <s v="Forward"/>
    <x v="313"/>
    <s v="Sell Fwd"/>
    <s v="EUR"/>
    <n v="-50000"/>
    <s v="PLN"/>
    <n v="210925"/>
    <s v="2026-01-22"/>
    <n v="4.2192999999999996"/>
    <n v="0.23699999999999999"/>
    <n v="4.2271000000000001"/>
    <n v="1"/>
    <n v="-430"/>
    <s v="POLAND PL"/>
  </r>
  <r>
    <s v="BKMILL"/>
    <n v="158382"/>
    <n v="219136"/>
    <s v="Forward"/>
    <x v="323"/>
    <s v="Buy Fwd"/>
    <s v="EUR"/>
    <n v="30000"/>
    <s v="PLN"/>
    <n v="123525"/>
    <s v="2026-01-22"/>
    <n v="4.1174999999999997"/>
    <n v="0.2429"/>
    <n v="4.2271000000000001"/>
    <n v="1"/>
    <n v="250338"/>
    <s v="POLAND PL"/>
  </r>
  <r>
    <s v="BKMILL"/>
    <n v="158383"/>
    <n v="906247"/>
    <s v="Spot"/>
    <x v="63"/>
    <s v="Sell"/>
    <s v="USD"/>
    <n v="-5000"/>
    <s v="PLN"/>
    <n v="18069"/>
    <s v="2026-01-26"/>
    <n v="3.6137999999999999"/>
    <n v="0.2767"/>
    <n v="3.5831"/>
    <n v="1"/>
    <n v="153.5"/>
    <s v="POLAND PL"/>
  </r>
  <r>
    <s v="BKMILL"/>
    <n v="158384"/>
    <n v="906257"/>
    <s v="Spot"/>
    <x v="44"/>
    <s v="Sell"/>
    <s v="EUR"/>
    <n v="-500000"/>
    <s v="PLN"/>
    <n v="2108215"/>
    <s v="2026-01-26"/>
    <n v="4.2164000000000001"/>
    <n v="0.23719999999999999"/>
    <n v="4.2050000000000001"/>
    <n v="1"/>
    <n v="5715"/>
    <s v="GERMANY DE"/>
  </r>
  <r>
    <s v="BKMILL"/>
    <n v="158386"/>
    <n v="906265"/>
    <s v="Spot"/>
    <x v="44"/>
    <s v="Sell"/>
    <s v="EUR"/>
    <n v="-500000"/>
    <s v="PLN"/>
    <n v="2108900"/>
    <s v="2026-01-26"/>
    <n v="4.2178000000000004"/>
    <n v="0.23710000000000001"/>
    <n v="4.2050000000000001"/>
    <n v="1"/>
    <n v="6400"/>
    <s v="GERMANY DE"/>
  </r>
  <r>
    <s v="BKMILL"/>
    <n v="158389"/>
    <n v="219141"/>
    <s v="Forward"/>
    <x v="27"/>
    <s v="Sell Fwd"/>
    <s v="USD"/>
    <n v="-14073.83"/>
    <s v="PLN"/>
    <n v="50860.01"/>
    <s v="2026-01-22"/>
    <n v="3.6137999999999999"/>
    <n v="0.2767"/>
    <n v="3.6118000000000001"/>
    <n v="1"/>
    <n v="28.150805999999999"/>
    <s v="POLAND PL"/>
  </r>
  <r>
    <s v="BKMILL"/>
    <n v="158390"/>
    <n v="219142"/>
    <s v="Forward"/>
    <x v="76"/>
    <s v="Buy Fwd"/>
    <s v="EUR"/>
    <n v="8000"/>
    <s v="PLN"/>
    <n v="33624"/>
    <s v="2026-01-22"/>
    <n v="4.2030000000000003"/>
    <n v="0.2379"/>
    <n v="4.2271000000000001"/>
    <n v="1"/>
    <n v="67440.800000000003"/>
    <s v="POLAND PL"/>
  </r>
  <r>
    <s v="BKMILL"/>
    <n v="158392"/>
    <n v="219143"/>
    <s v="Forward"/>
    <x v="403"/>
    <s v="Buy Fwd"/>
    <s v="EUR"/>
    <n v="7000"/>
    <s v="PLN"/>
    <n v="29407"/>
    <s v="2026-01-22"/>
    <n v="4.2018000000000004"/>
    <n v="0.23799999999999999"/>
    <n v="4.2271000000000001"/>
    <n v="1"/>
    <n v="58996.7"/>
    <s v="POLAND PL"/>
  </r>
  <r>
    <s v="BKMILL"/>
    <n v="158394"/>
    <n v="219144"/>
    <s v="Forward"/>
    <x v="114"/>
    <s v="Sell Fwd"/>
    <s v="EUR"/>
    <n v="-45000"/>
    <s v="PLN"/>
    <n v="190125"/>
    <s v="2026-01-22"/>
    <n v="4.2249999999999996"/>
    <n v="0.23669999999999999"/>
    <n v="4.2271000000000001"/>
    <n v="1"/>
    <n v="-94.5"/>
    <s v="POLAND PL"/>
  </r>
  <r>
    <s v="BKMILL"/>
    <n v="158395"/>
    <n v="219146"/>
    <s v="Forward"/>
    <x v="537"/>
    <s v="Sell Fwd"/>
    <s v="EUR"/>
    <n v="-7928.6"/>
    <s v="PLN"/>
    <n v="33514.19"/>
    <s v="2026-01-22"/>
    <n v="4.2270000000000003"/>
    <n v="0.2366"/>
    <n v="4.2271000000000001"/>
    <n v="1"/>
    <n v="-0.79505999999999999"/>
    <s v="POLAND PL"/>
  </r>
  <r>
    <s v="BKMILL"/>
    <n v="158396"/>
    <n v="906292"/>
    <s v="Spot"/>
    <x v="38"/>
    <s v="Buy"/>
    <s v="EUR"/>
    <n v="100000"/>
    <s v="GBP"/>
    <n v="-87104"/>
    <s v="2026-01-26"/>
    <n v="0.871"/>
    <n v="1.1480999999999999"/>
    <n v="4.2050000000000001"/>
    <n v="4.8478000000000003"/>
    <n v="-1762.7711999999999"/>
    <s v="NETHERLANDS NL"/>
  </r>
  <r>
    <s v="BKMILL"/>
    <n v="158397"/>
    <n v="906296"/>
    <s v="Spot"/>
    <x v="45"/>
    <s v="Buy"/>
    <s v="EUR"/>
    <n v="100000"/>
    <s v="NOK"/>
    <n v="-1158605"/>
    <s v="2026-01-26"/>
    <n v="11.5861"/>
    <n v="8.6300000000000002E-2"/>
    <n v="4.2050000000000001"/>
    <n v="0.36320000000000002"/>
    <n v="-305.33600000000001"/>
    <s v="SWITZERLAND CH"/>
  </r>
  <r>
    <s v="BKMILL"/>
    <n v="158398"/>
    <n v="906297"/>
    <s v="Spot"/>
    <x v="404"/>
    <s v="Sell"/>
    <s v="EUR"/>
    <n v="-500000"/>
    <s v="PLN"/>
    <n v="2108465"/>
    <s v="2026-01-26"/>
    <n v="4.2168999999999999"/>
    <n v="0.23710000000000001"/>
    <n v="4.2050000000000001"/>
    <n v="1"/>
    <n v="5965"/>
    <s v="ITALY IT"/>
  </r>
  <r>
    <s v="BKMILL"/>
    <n v="158399"/>
    <n v="906298"/>
    <s v="Spot"/>
    <x v="40"/>
    <s v="Sell"/>
    <s v="EUR"/>
    <n v="-100000"/>
    <s v="USD"/>
    <n v="116897"/>
    <s v="2026-01-26"/>
    <n v="1.169"/>
    <n v="0.85550000000000004"/>
    <n v="4.2050000000000001"/>
    <n v="3.5831"/>
    <n v="-1646.3593000000001"/>
    <s v="UNITED STATES OF AMERICA US"/>
  </r>
  <r>
    <s v="BKMILL"/>
    <n v="158400"/>
    <n v="906299"/>
    <s v="Spot"/>
    <x v="40"/>
    <s v="Sell"/>
    <s v="EUR"/>
    <n v="-100000"/>
    <s v="USD"/>
    <n v="116895"/>
    <s v="2026-01-26"/>
    <n v="1.1689000000000001"/>
    <n v="0.85550000000000004"/>
    <n v="4.2050000000000001"/>
    <n v="3.5831"/>
    <n v="-1653.5255"/>
    <s v="UNITED STATES OF AMERICA US"/>
  </r>
  <r>
    <s v="BKMILL"/>
    <n v="158401"/>
    <n v="219161"/>
    <s v="Forward"/>
    <x v="243"/>
    <s v="Sell Fwd"/>
    <s v="USD"/>
    <n v="-63000"/>
    <s v="PLN"/>
    <n v="227398.5"/>
    <s v="2026-01-22"/>
    <n v="3.6095000000000002"/>
    <n v="0.27700000000000002"/>
    <n v="3.6118000000000001"/>
    <n v="1"/>
    <n v="-144.9"/>
    <s v="POLAND PL"/>
  </r>
  <r>
    <s v="BKMILL"/>
    <n v="158402"/>
    <n v="906346"/>
    <s v="Spot"/>
    <x v="40"/>
    <s v="Sell"/>
    <s v="EUR"/>
    <n v="-100000"/>
    <s v="USD"/>
    <n v="116905"/>
    <s v="2026-01-26"/>
    <n v="1.169"/>
    <n v="0.85540000000000005"/>
    <n v="4.2050000000000001"/>
    <n v="3.5831"/>
    <n v="-1617.6945000000001"/>
    <s v="UNITED STATES OF AMERICA US"/>
  </r>
  <r>
    <s v="BKMILL"/>
    <n v="158404"/>
    <n v="219166"/>
    <s v="Forward"/>
    <x v="371"/>
    <s v="Buy Fwd"/>
    <s v="EUR"/>
    <n v="20000"/>
    <s v="PLN"/>
    <n v="84000"/>
    <s v="2026-01-22"/>
    <n v="4.2008000000000001"/>
    <n v="0.23799999999999999"/>
    <n v="4.2271000000000001"/>
    <n v="1"/>
    <n v="168542"/>
    <s v="POLAND PL"/>
  </r>
  <r>
    <s v="BKMILL"/>
    <n v="158406"/>
    <n v="219171"/>
    <s v="Forward"/>
    <x v="127"/>
    <s v="Buy Fwd"/>
    <s v="EUR"/>
    <n v="4500"/>
    <s v="USD"/>
    <n v="5254.65"/>
    <s v="2026-01-22"/>
    <n v="1.1679999999999999"/>
    <n v="0.85619999999999996"/>
    <n v="4.2271000000000001"/>
    <n v="3.6118000000000001"/>
    <n v="38000.694869999999"/>
    <s v="POLAND PL"/>
  </r>
  <r>
    <s v="BKMILL"/>
    <n v="158407"/>
    <n v="219172"/>
    <s v="Forward"/>
    <x v="32"/>
    <s v="Sell Fwd"/>
    <s v="EUR"/>
    <n v="-10000"/>
    <s v="PLN"/>
    <n v="42154"/>
    <s v="2026-01-22"/>
    <n v="4.2161999999999997"/>
    <n v="0.23719999999999999"/>
    <n v="4.2271000000000001"/>
    <n v="1"/>
    <n v="-117"/>
    <s v="POLAND PL"/>
  </r>
  <r>
    <s v="BKMILL"/>
    <n v="158408"/>
    <n v="219173"/>
    <s v="Forward"/>
    <x v="32"/>
    <s v="Sell Fwd"/>
    <s v="EUR"/>
    <n v="-10000"/>
    <s v="PLN"/>
    <n v="42154"/>
    <s v="2026-01-22"/>
    <n v="4.2161999999999997"/>
    <n v="0.23719999999999999"/>
    <n v="4.2271000000000001"/>
    <n v="1"/>
    <n v="-117"/>
    <s v="POLAND PL"/>
  </r>
  <r>
    <s v="BKMILL"/>
    <n v="158409"/>
    <n v="219174"/>
    <s v="Forward"/>
    <x v="32"/>
    <s v="Sell Fwd"/>
    <s v="EUR"/>
    <n v="-10000"/>
    <s v="PLN"/>
    <n v="42154"/>
    <s v="2026-01-22"/>
    <n v="4.2161999999999997"/>
    <n v="0.23719999999999999"/>
    <n v="4.2271000000000001"/>
    <n v="1"/>
    <n v="-117"/>
    <s v="POLAND PL"/>
  </r>
  <r>
    <s v="BKMILL"/>
    <n v="158410"/>
    <n v="906403"/>
    <s v="Spot"/>
    <x v="39"/>
    <s v="Buy"/>
    <s v="USD"/>
    <n v="1000000"/>
    <s v="PLN"/>
    <n v="-3603200"/>
    <s v="2026-01-26"/>
    <n v="3.6032000000000002"/>
    <n v="0.27750000000000002"/>
    <n v="3.5831"/>
    <n v="1"/>
    <n v="-20100"/>
    <s v="UNITED KINGDOM GB"/>
  </r>
  <r>
    <s v="BKMILL"/>
    <n v="158411"/>
    <n v="219180"/>
    <s v="Forward"/>
    <x v="349"/>
    <s v="Sell Fwd"/>
    <s v="USD"/>
    <n v="-900000"/>
    <s v="PLN"/>
    <n v="3248100"/>
    <s v="2026-01-22"/>
    <n v="3.609"/>
    <n v="0.27710000000000001"/>
    <n v="3.6118000000000001"/>
    <n v="1"/>
    <n v="-2520"/>
    <s v="POLAND PL"/>
  </r>
  <r>
    <s v="BKMILL"/>
    <n v="158412"/>
    <n v="219182"/>
    <s v="Forward"/>
    <x v="538"/>
    <s v="Sell Fwd"/>
    <s v="USD"/>
    <n v="-13123.87"/>
    <s v="PLN"/>
    <n v="47307.61"/>
    <s v="2026-01-23"/>
    <n v="3.6046999999999998"/>
    <n v="0.27739999999999998"/>
    <n v="3.6027999999999998"/>
    <n v="1"/>
    <n v="24.931163999999999"/>
    <s v="POLAND PL"/>
  </r>
  <r>
    <s v="BKMILL"/>
    <n v="158413"/>
    <n v="219184"/>
    <s v="Forward"/>
    <x v="539"/>
    <s v="Sell Fwd"/>
    <s v="EUR"/>
    <n v="-47461.97"/>
    <s v="PLN"/>
    <n v="200000"/>
    <s v="2026-01-22"/>
    <n v="4.2645"/>
    <n v="0.23449999999999999"/>
    <n v="4.2271000000000001"/>
    <n v="1"/>
    <n v="-626.49338699999998"/>
    <s v="POLAND PL"/>
  </r>
  <r>
    <s v="BKMILL"/>
    <n v="158414"/>
    <n v="906441"/>
    <s v="Spot"/>
    <x v="51"/>
    <s v="Sell"/>
    <s v="EUR"/>
    <n v="-160000"/>
    <s v="PLN"/>
    <n v="674352"/>
    <s v="2026-01-26"/>
    <n v="4.2146999999999997"/>
    <n v="0.23730000000000001"/>
    <n v="4.2050000000000001"/>
    <n v="1"/>
    <n v="1552"/>
    <s v="POLAND PL"/>
  </r>
  <r>
    <s v="BKMILL"/>
    <n v="158417"/>
    <n v="219201"/>
    <s v="Forward"/>
    <x v="32"/>
    <s v="Sell Fwd"/>
    <s v="EUR"/>
    <n v="-10000"/>
    <s v="PLN"/>
    <n v="42136"/>
    <s v="2026-01-22"/>
    <n v="4.2144000000000004"/>
    <n v="0.23730000000000001"/>
    <n v="4.2271000000000001"/>
    <n v="1"/>
    <n v="-135"/>
    <s v="POLAND PL"/>
  </r>
  <r>
    <s v="BKMILL"/>
    <n v="158418"/>
    <n v="906499"/>
    <s v="Spot"/>
    <x v="43"/>
    <s v="Buy"/>
    <s v="EUR"/>
    <n v="500000"/>
    <s v="PLN"/>
    <n v="-2106015"/>
    <s v="2026-01-26"/>
    <n v="4.2119999999999997"/>
    <n v="0.2374"/>
    <n v="4.2050000000000001"/>
    <n v="1"/>
    <n v="-3515"/>
    <s v="FRANCE FR"/>
  </r>
  <r>
    <s v="BKMILL"/>
    <n v="158419"/>
    <n v="906500"/>
    <s v="Spot"/>
    <x v="38"/>
    <s v="Buy"/>
    <s v="EUR"/>
    <n v="500000"/>
    <s v="PLN"/>
    <n v="-2106040"/>
    <s v="2026-01-26"/>
    <n v="4.2121000000000004"/>
    <n v="0.2374"/>
    <n v="4.2050000000000001"/>
    <n v="1"/>
    <n v="-3540"/>
    <s v="NETHERLANDS NL"/>
  </r>
  <r>
    <s v="BKMILL"/>
    <n v="158420"/>
    <n v="906501"/>
    <s v="Spot"/>
    <x v="38"/>
    <s v="Buy"/>
    <s v="EUR"/>
    <n v="500000"/>
    <s v="PLN"/>
    <n v="-2106030"/>
    <s v="2026-01-26"/>
    <n v="4.2121000000000004"/>
    <n v="0.2374"/>
    <n v="4.2050000000000001"/>
    <n v="1"/>
    <n v="-3530"/>
    <s v="NETHERLANDS NL"/>
  </r>
  <r>
    <s v="BKMILL"/>
    <n v="158421"/>
    <n v="906502"/>
    <s v="Spot"/>
    <x v="41"/>
    <s v="Buy"/>
    <s v="EUR"/>
    <n v="500000"/>
    <s v="PLN"/>
    <n v="-2106000"/>
    <s v="2026-01-26"/>
    <n v="4.2119999999999997"/>
    <n v="0.2374"/>
    <n v="4.2050000000000001"/>
    <n v="1"/>
    <n v="-3500"/>
    <s v="GERMANY DE"/>
  </r>
  <r>
    <s v="BKMILL"/>
    <n v="158422"/>
    <n v="906503"/>
    <s v="Spot"/>
    <x v="43"/>
    <s v="Buy"/>
    <s v="EUR"/>
    <n v="500000"/>
    <s v="PLN"/>
    <n v="-2106010"/>
    <s v="2026-01-26"/>
    <n v="4.2119999999999997"/>
    <n v="0.2374"/>
    <n v="4.2050000000000001"/>
    <n v="1"/>
    <n v="-3510"/>
    <s v="FRANCE FR"/>
  </r>
  <r>
    <s v="BKMILL"/>
    <n v="158423"/>
    <n v="906504"/>
    <s v="Spot"/>
    <x v="38"/>
    <s v="Buy"/>
    <s v="EUR"/>
    <n v="500000"/>
    <s v="PLN"/>
    <n v="-2106050"/>
    <s v="2026-01-26"/>
    <n v="4.2121000000000004"/>
    <n v="0.2374"/>
    <n v="4.2050000000000001"/>
    <n v="1"/>
    <n v="-3550"/>
    <s v="NETHERLANDS NL"/>
  </r>
  <r>
    <s v="BKMILL"/>
    <n v="158424"/>
    <n v="219205"/>
    <s v="Forward"/>
    <x v="32"/>
    <s v="Sell Fwd"/>
    <s v="EUR"/>
    <n v="-10000"/>
    <s v="PLN"/>
    <n v="42140"/>
    <s v="2026-01-22"/>
    <n v="4.2148000000000003"/>
    <n v="0.23730000000000001"/>
    <n v="4.2271000000000001"/>
    <n v="1"/>
    <n v="-131"/>
    <s v="POLAND PL"/>
  </r>
  <r>
    <s v="BKMILL"/>
    <n v="158425"/>
    <n v="906508"/>
    <s v="Spot"/>
    <x v="43"/>
    <s v="Buy"/>
    <s v="EUR"/>
    <n v="500000"/>
    <s v="PLN"/>
    <n v="-2106245"/>
    <s v="2026-01-26"/>
    <n v="4.2125000000000004"/>
    <n v="0.2374"/>
    <n v="4.2050000000000001"/>
    <n v="1"/>
    <n v="-3745"/>
    <s v="FRANCE FR"/>
  </r>
  <r>
    <s v="BKMILL"/>
    <n v="158426"/>
    <n v="906509"/>
    <s v="Spot"/>
    <x v="38"/>
    <s v="Buy"/>
    <s v="EUR"/>
    <n v="500000"/>
    <s v="PLN"/>
    <n v="-2106240"/>
    <s v="2026-01-26"/>
    <n v="4.2125000000000004"/>
    <n v="0.2374"/>
    <n v="4.2050000000000001"/>
    <n v="1"/>
    <n v="-3740"/>
    <s v="NETHERLANDS NL"/>
  </r>
  <r>
    <s v="BKMILL"/>
    <n v="158427"/>
    <n v="219207"/>
    <s v="Forward"/>
    <x v="12"/>
    <s v="Sell Fwd"/>
    <s v="EUR"/>
    <n v="-1000000"/>
    <s v="PLN"/>
    <n v="4214000"/>
    <s v="2026-01-22"/>
    <n v="4.2148000000000003"/>
    <n v="0.23730000000000001"/>
    <n v="4.2271000000000001"/>
    <n v="1"/>
    <n v="-13100"/>
    <s v="POLAND PL"/>
  </r>
  <r>
    <s v="BKMILL"/>
    <n v="158428"/>
    <n v="219208"/>
    <s v="Forward"/>
    <x v="12"/>
    <s v="Sell Fwd"/>
    <s v="EUR"/>
    <n v="-1000000"/>
    <s v="PLN"/>
    <n v="4214000"/>
    <s v="2026-01-22"/>
    <n v="4.2148000000000003"/>
    <n v="0.23730000000000001"/>
    <n v="4.2271000000000001"/>
    <n v="1"/>
    <n v="-13100"/>
    <s v="POLAND PL"/>
  </r>
  <r>
    <s v="BKMILL"/>
    <n v="158429"/>
    <n v="219209"/>
    <s v="Forward"/>
    <x v="12"/>
    <s v="Sell Fwd"/>
    <s v="EUR"/>
    <n v="-1000000"/>
    <s v="PLN"/>
    <n v="4214000"/>
    <s v="2026-01-22"/>
    <n v="4.2148000000000003"/>
    <n v="0.23730000000000001"/>
    <n v="4.2271000000000001"/>
    <n v="1"/>
    <n v="-13100"/>
    <s v="POLAND PL"/>
  </r>
  <r>
    <s v="BKMILL"/>
    <n v="158430"/>
    <n v="219210"/>
    <s v="Forward"/>
    <x v="12"/>
    <s v="Sell Fwd"/>
    <s v="EUR"/>
    <n v="-1000000"/>
    <s v="PLN"/>
    <n v="4214500"/>
    <s v="2026-01-22"/>
    <n v="4.2153"/>
    <n v="0.23719999999999999"/>
    <n v="4.2271000000000001"/>
    <n v="1"/>
    <n v="-12600"/>
    <s v="POLAND PL"/>
  </r>
  <r>
    <s v="BKMILL"/>
    <n v="158431"/>
    <n v="219217"/>
    <s v="Forward"/>
    <x v="41"/>
    <s v="Buy Fwd"/>
    <s v="EUR"/>
    <n v="1660"/>
    <s v="PLN"/>
    <n v="6998.63"/>
    <s v="2026-01-22"/>
    <n v="4.2118000000000002"/>
    <n v="0.2374"/>
    <n v="4.2271000000000001"/>
    <n v="1"/>
    <n v="14015.616"/>
    <s v="GERMANY DE"/>
  </r>
  <r>
    <s v="BKMILL"/>
    <n v="158432"/>
    <n v="219220"/>
    <s v="Forward"/>
    <x v="503"/>
    <s v="Sell Fwd"/>
    <s v="EUR"/>
    <n v="-5000"/>
    <s v="PLN"/>
    <n v="21089.5"/>
    <s v="2026-01-23"/>
    <n v="4.2184999999999997"/>
    <n v="0.23710000000000001"/>
    <n v="4.2127999999999997"/>
    <n v="1"/>
    <n v="25.5"/>
    <s v="POLAND PL"/>
  </r>
  <r>
    <s v="BKMILL"/>
    <n v="158433"/>
    <n v="219222"/>
    <s v="Forward"/>
    <x v="540"/>
    <s v="Buy Fwd"/>
    <s v="EUR"/>
    <n v="5000"/>
    <s v="PLN"/>
    <n v="21000"/>
    <s v="2026-01-22"/>
    <n v="4.2"/>
    <n v="0.23810000000000001"/>
    <n v="4.2271000000000001"/>
    <n v="1"/>
    <n v="42135.5"/>
    <s v="POLAND PL"/>
  </r>
  <r>
    <s v="BKMILL"/>
    <n v="158434"/>
    <n v="219224"/>
    <s v="Forward"/>
    <x v="503"/>
    <s v="Sell Fwd"/>
    <s v="EUR"/>
    <n v="-3000"/>
    <s v="PLN"/>
    <n v="12657.3"/>
    <s v="2026-01-23"/>
    <n v="4.2196999999999996"/>
    <n v="0.23699999999999999"/>
    <n v="4.2127999999999997"/>
    <n v="1"/>
    <n v="18.899999999999999"/>
    <s v="POLAND PL"/>
  </r>
  <r>
    <s v="BKMILL"/>
    <n v="158437"/>
    <n v="906585"/>
    <s v="Spot"/>
    <x v="47"/>
    <s v="Buy"/>
    <s v="EUR"/>
    <n v="500000"/>
    <s v="PLN"/>
    <n v="-2106050"/>
    <s v="2026-01-26"/>
    <n v="4.2121000000000004"/>
    <n v="0.2374"/>
    <n v="4.2050000000000001"/>
    <n v="1"/>
    <n v="-3550"/>
    <s v="FRANCE FR"/>
  </r>
  <r>
    <s v="BKMILL"/>
    <n v="158438"/>
    <n v="219234"/>
    <s v="Forward"/>
    <x v="121"/>
    <s v="Buy Fwd"/>
    <s v="EUR"/>
    <n v="150000"/>
    <s v="PLN"/>
    <n v="629400"/>
    <s v="2026-01-22"/>
    <n v="4.1967999999999996"/>
    <n v="0.23830000000000001"/>
    <n v="4.2271000000000001"/>
    <n v="1"/>
    <n v="1263465"/>
    <s v="POLAND PL"/>
  </r>
  <r>
    <s v="BKMILL"/>
    <n v="158440"/>
    <n v="906599"/>
    <s v="Spot"/>
    <x v="63"/>
    <s v="Sell"/>
    <s v="USD"/>
    <n v="-5000"/>
    <s v="PLN"/>
    <n v="18038.5"/>
    <s v="2026-01-26"/>
    <n v="3.6076999999999999"/>
    <n v="0.2772"/>
    <n v="3.5831"/>
    <n v="1"/>
    <n v="123"/>
    <s v="POLAND PL"/>
  </r>
  <r>
    <s v="BKMILL"/>
    <n v="158441"/>
    <n v="906600"/>
    <s v="Spot"/>
    <x v="40"/>
    <s v="Sell"/>
    <s v="EUR"/>
    <n v="-100000"/>
    <s v="USD"/>
    <n v="116938"/>
    <s v="2026-01-26"/>
    <n v="1.1694"/>
    <n v="0.85519999999999996"/>
    <n v="4.2050000000000001"/>
    <n v="3.5831"/>
    <n v="-1499.4521999999999"/>
    <s v="UNITED STATES OF AMERICA US"/>
  </r>
  <r>
    <s v="BKMILL"/>
    <n v="158442"/>
    <n v="219236"/>
    <s v="Forward"/>
    <x v="63"/>
    <s v="Sell Fwd"/>
    <s v="EUR"/>
    <n v="-1000"/>
    <s v="PLN"/>
    <n v="4216.8999999999996"/>
    <s v="2026-01-22"/>
    <n v="4.2176999999999998"/>
    <n v="0.23710000000000001"/>
    <n v="4.2271000000000001"/>
    <n v="1"/>
    <n v="-10.199999999999999"/>
    <s v="POLAND PL"/>
  </r>
  <r>
    <s v="BKMILL"/>
    <n v="158443"/>
    <n v="219239"/>
    <s v="Forward"/>
    <x v="329"/>
    <s v="Sell Fwd"/>
    <s v="CZK"/>
    <n v="-2000000"/>
    <s v="PLN"/>
    <n v="347400"/>
    <s v="2026-01-22"/>
    <n v="0.17369999999999999"/>
    <n v="5.7571000000000003"/>
    <n v="0.1736"/>
    <n v="1"/>
    <n v="200"/>
    <s v="POLAND PL"/>
  </r>
  <r>
    <s v="BKMILL"/>
    <n v="158444"/>
    <n v="906629"/>
    <s v="Spot"/>
    <x v="41"/>
    <s v="Sell"/>
    <s v="EUR"/>
    <n v="-100000"/>
    <s v="CNY"/>
    <n v="815284"/>
    <s v="2026-01-26"/>
    <n v="8.1527999999999992"/>
    <n v="0.1227"/>
    <n v="4.2050000000000001"/>
    <n v="0.51449999999999996"/>
    <n v="-1036.3820000000001"/>
    <s v="GERMANY DE"/>
  </r>
  <r>
    <s v="BKMILL"/>
    <n v="158445"/>
    <n v="906636"/>
    <s v="Spot"/>
    <x v="40"/>
    <s v="Sell"/>
    <s v="EUR"/>
    <n v="-100000"/>
    <s v="USD"/>
    <n v="116959"/>
    <s v="2026-01-26"/>
    <n v="1.1696"/>
    <n v="0.85499999999999998"/>
    <n v="4.2050000000000001"/>
    <n v="3.5831"/>
    <n v="-1424.2071000000001"/>
    <s v="UNITED STATES OF AMERICA US"/>
  </r>
  <r>
    <s v="BKMILL"/>
    <n v="158446"/>
    <n v="906640"/>
    <s v="Spot"/>
    <x v="43"/>
    <s v="Sell"/>
    <s v="EUR"/>
    <n v="-100000"/>
    <s v="USD"/>
    <n v="116961"/>
    <s v="2026-01-26"/>
    <n v="1.1696"/>
    <n v="0.85499999999999998"/>
    <n v="4.2050000000000001"/>
    <n v="3.5831"/>
    <n v="-1417.0409"/>
    <s v="FRANCE FR"/>
  </r>
  <r>
    <s v="BKMILL"/>
    <n v="158447"/>
    <n v="906641"/>
    <s v="Spot"/>
    <x v="40"/>
    <s v="Buy"/>
    <s v="EUR"/>
    <n v="200000"/>
    <s v="PLN"/>
    <n v="-842100"/>
    <s v="2026-01-26"/>
    <n v="4.2104999999999997"/>
    <n v="0.23749999999999999"/>
    <n v="4.2050000000000001"/>
    <n v="1"/>
    <n v="-1100"/>
    <s v="UNITED STATES OF AMERICA US"/>
  </r>
  <r>
    <s v="BKMILL"/>
    <n v="158448"/>
    <n v="906654"/>
    <s v="Spot"/>
    <x v="63"/>
    <s v="Sell"/>
    <s v="USD"/>
    <n v="-5000"/>
    <s v="PLN"/>
    <n v="18029.5"/>
    <s v="2026-01-26"/>
    <n v="3.6059000000000001"/>
    <n v="0.27729999999999999"/>
    <n v="3.5831"/>
    <n v="1"/>
    <n v="114"/>
    <s v="POLAND PL"/>
  </r>
  <r>
    <s v="BKMILL"/>
    <n v="158449"/>
    <n v="906661"/>
    <s v="Spot"/>
    <x v="46"/>
    <s v="Buy"/>
    <s v="EUR"/>
    <n v="7300"/>
    <s v="PLN"/>
    <n v="-30700.15"/>
    <s v="2026-01-26"/>
    <n v="4.2054999999999998"/>
    <n v="0.23780000000000001"/>
    <n v="4.2050000000000001"/>
    <n v="1"/>
    <n v="-3.65"/>
    <s v="POLAND PL"/>
  </r>
  <r>
    <s v="BKMILL"/>
    <n v="158451"/>
    <n v="906665"/>
    <s v="Spot"/>
    <x v="39"/>
    <s v="Buy"/>
    <s v="EUR"/>
    <n v="50000"/>
    <s v="HUF"/>
    <n v="-19174900"/>
    <s v="2026-01-26"/>
    <n v="383.49799999999999"/>
    <n v="2.5999999999999999E-3"/>
    <n v="4.2050000000000001"/>
    <n v="1.0992"/>
    <n v="-20866800.079999998"/>
    <s v="UNITED KINGDOM GB"/>
  </r>
  <r>
    <s v="BKMILL"/>
    <n v="158454"/>
    <n v="219249"/>
    <s v="Forward"/>
    <x v="139"/>
    <s v="Buy Fwd"/>
    <s v="EUR"/>
    <n v="219778.54"/>
    <s v="PLN"/>
    <n v="924014.92"/>
    <s v="2026-01-22"/>
    <n v="4.2051999999999996"/>
    <n v="0.23780000000000001"/>
    <n v="4.2271000000000001"/>
    <n v="1"/>
    <n v="1853040.7864339999"/>
    <s v="POLAND PL"/>
  </r>
  <r>
    <s v="BKMILL"/>
    <n v="158455"/>
    <n v="219250"/>
    <s v="Forward"/>
    <x v="243"/>
    <s v="Sell Fwd"/>
    <s v="USD"/>
    <n v="-37000"/>
    <s v="PLN"/>
    <n v="133385"/>
    <s v="2026-01-22"/>
    <n v="3.605"/>
    <n v="0.27739999999999998"/>
    <n v="3.6118000000000001"/>
    <n v="1"/>
    <n v="-251.6"/>
    <s v="POLAND PL"/>
  </r>
  <r>
    <s v="BKMILL"/>
    <n v="158456"/>
    <n v="906681"/>
    <s v="Spot"/>
    <x v="40"/>
    <s v="Buy"/>
    <s v="USD"/>
    <n v="200000"/>
    <s v="PLN"/>
    <n v="-719600"/>
    <s v="2026-01-26"/>
    <n v="3.5979999999999999"/>
    <n v="0.27789999999999998"/>
    <n v="3.5831"/>
    <n v="1"/>
    <n v="-2980"/>
    <s v="UNITED STATES OF AMERICA US"/>
  </r>
  <r>
    <s v="BKMILL"/>
    <n v="158457"/>
    <n v="219252"/>
    <s v="Forward"/>
    <x v="315"/>
    <s v="Sell Fwd"/>
    <s v="EUR"/>
    <n v="-100000"/>
    <s v="PLN"/>
    <n v="421100"/>
    <s v="2026-01-22"/>
    <n v="4.2118000000000002"/>
    <n v="0.2374"/>
    <n v="4.2271000000000001"/>
    <n v="1"/>
    <n v="-1610"/>
    <s v="POLAND PL"/>
  </r>
  <r>
    <s v="BKMILL"/>
    <n v="158458"/>
    <n v="906685"/>
    <s v="Spot"/>
    <x v="235"/>
    <s v="Sell"/>
    <s v="EUR"/>
    <n v="-20000"/>
    <s v="PLN"/>
    <n v="84346"/>
    <s v="2026-01-26"/>
    <n v="4.2172999999999998"/>
    <n v="0.23710000000000001"/>
    <n v="4.2050000000000001"/>
    <n v="1"/>
    <n v="246"/>
    <s v="POLAND PL"/>
  </r>
  <r>
    <s v="BKMILL"/>
    <n v="158461"/>
    <n v="219260"/>
    <s v="Forward"/>
    <x v="170"/>
    <s v="Buy Fwd"/>
    <s v="EUR"/>
    <n v="30000"/>
    <s v="PLN"/>
    <n v="126180"/>
    <s v="2026-01-22"/>
    <n v="4.2069000000000001"/>
    <n v="0.23769999999999999"/>
    <n v="4.2271000000000001"/>
    <n v="1"/>
    <n v="252993"/>
    <s v="POLAND PL"/>
  </r>
  <r>
    <s v="BKMILL"/>
    <n v="158463"/>
    <n v="219263"/>
    <s v="Forward"/>
    <x v="154"/>
    <s v="Sell Fwd"/>
    <s v="USD"/>
    <n v="-200000"/>
    <s v="PLN"/>
    <n v="720000"/>
    <s v="2026-01-22"/>
    <n v="3.6"/>
    <n v="0.27779999999999999"/>
    <n v="3.6118000000000001"/>
    <n v="1"/>
    <n v="-2360"/>
    <s v="POLAND PL"/>
  </r>
  <r>
    <s v="BKMILL"/>
    <n v="158464"/>
    <n v="906720"/>
    <s v="Spot"/>
    <x v="503"/>
    <s v="Sell"/>
    <s v="EUR"/>
    <n v="-10000"/>
    <s v="PLN"/>
    <n v="42170"/>
    <s v="2026-01-26"/>
    <n v="4.2169999999999996"/>
    <n v="0.23710000000000001"/>
    <n v="4.2050000000000001"/>
    <n v="1"/>
    <n v="120"/>
    <s v="POLAND PL"/>
  </r>
  <r>
    <s v="BKMILL"/>
    <n v="158465"/>
    <n v="219265"/>
    <s v="Forward"/>
    <x v="128"/>
    <s v="Buy Fwd"/>
    <s v="USD"/>
    <n v="100055.59"/>
    <s v="PLN"/>
    <n v="360000"/>
    <s v="2026-01-22"/>
    <n v="3.5960000000000001"/>
    <n v="0.27810000000000001"/>
    <n v="3.6118000000000001"/>
    <n v="1"/>
    <n v="721380.77996199997"/>
    <s v="POLAND PL"/>
  </r>
  <r>
    <s v="BKMILL"/>
    <n v="158467"/>
    <n v="219266"/>
    <s v="Forward"/>
    <x v="116"/>
    <s v="Buy Fwd"/>
    <s v="PLN"/>
    <n v="450000"/>
    <s v="EUR"/>
    <n v="106587.08"/>
    <s v="2026-01-22"/>
    <n v="4.2226999999999997"/>
    <n v="0.23680000000000001"/>
    <n v="1"/>
    <n v="4.2271000000000001"/>
    <n v="900554.24586799997"/>
    <s v="POLAND PL"/>
  </r>
  <r>
    <s v="BKMILL"/>
    <n v="158469"/>
    <n v="219268"/>
    <s v="Forward"/>
    <x v="541"/>
    <s v="Sell Fwd"/>
    <s v="EUR"/>
    <n v="-19600"/>
    <s v="PLN"/>
    <n v="82663"/>
    <s v="2026-01-22"/>
    <n v="4.2175000000000002"/>
    <n v="0.23710000000000001"/>
    <n v="4.2271000000000001"/>
    <n v="1"/>
    <n v="-188.16"/>
    <s v="POLAND PL"/>
  </r>
  <r>
    <s v="BKMILL"/>
    <n v="158472"/>
    <n v="219271"/>
    <s v="Forward"/>
    <x v="115"/>
    <s v="Sell Fwd"/>
    <s v="USD"/>
    <n v="-20000"/>
    <s v="PLN"/>
    <n v="72120"/>
    <s v="2026-01-22"/>
    <n v="3.6059999999999999"/>
    <n v="0.27729999999999999"/>
    <n v="3.6118000000000001"/>
    <n v="1"/>
    <n v="-116"/>
    <s v="POLAND PL"/>
  </r>
  <r>
    <s v="BKMILL"/>
    <n v="158473"/>
    <n v="219274"/>
    <s v="Forward"/>
    <x v="115"/>
    <s v="Buy Fwd"/>
    <s v="EUR"/>
    <n v="1000"/>
    <s v="PLN"/>
    <n v="4193"/>
    <s v="2026-01-22"/>
    <n v="4.1938000000000004"/>
    <n v="0.2384"/>
    <n v="4.2271000000000001"/>
    <n v="1"/>
    <n v="8420.1"/>
    <s v="POLAND PL"/>
  </r>
  <r>
    <s v="BKMILL"/>
    <n v="158474"/>
    <n v="906762"/>
    <s v="Spot"/>
    <x v="40"/>
    <s v="Buy"/>
    <s v="USD"/>
    <n v="300000"/>
    <s v="PLN"/>
    <n v="-1078950"/>
    <s v="2026-01-26"/>
    <n v="3.5964999999999998"/>
    <n v="0.27800000000000002"/>
    <n v="3.5831"/>
    <n v="1"/>
    <n v="-4020"/>
    <s v="UNITED STATES OF AMERICA US"/>
  </r>
  <r>
    <s v="BKMILL"/>
    <n v="158475"/>
    <n v="906763"/>
    <s v="Spot"/>
    <x v="40"/>
    <s v="Buy"/>
    <s v="USD"/>
    <n v="300000"/>
    <s v="PLN"/>
    <n v="-1078950"/>
    <s v="2026-01-26"/>
    <n v="3.5964999999999998"/>
    <n v="0.27800000000000002"/>
    <n v="3.5831"/>
    <n v="1"/>
    <n v="-4020"/>
    <s v="UNITED STATES OF AMERICA US"/>
  </r>
  <r>
    <s v="BKMILL"/>
    <n v="158477"/>
    <n v="906771"/>
    <s v="Spot"/>
    <x v="43"/>
    <s v="Buy"/>
    <s v="EUR"/>
    <n v="100000"/>
    <s v="NOK"/>
    <n v="-1156750"/>
    <s v="2026-01-26"/>
    <n v="11.567500000000001"/>
    <n v="8.6400000000000005E-2"/>
    <n v="4.2050000000000001"/>
    <n v="0.36320000000000002"/>
    <n v="368.4"/>
    <s v="FRANCE FR"/>
  </r>
  <r>
    <s v="BKMILL"/>
    <n v="158478"/>
    <n v="906775"/>
    <s v="Spot"/>
    <x v="43"/>
    <s v="Buy"/>
    <s v="EUR"/>
    <n v="100000"/>
    <s v="NOK"/>
    <n v="-1156750"/>
    <s v="2026-01-26"/>
    <n v="11.567500000000001"/>
    <n v="8.6400000000000005E-2"/>
    <n v="4.2050000000000001"/>
    <n v="0.36320000000000002"/>
    <n v="368.4"/>
    <s v="FRANCE FR"/>
  </r>
  <r>
    <s v="BKMILL"/>
    <n v="158479"/>
    <n v="906776"/>
    <s v="Spot"/>
    <x v="40"/>
    <s v="Sell"/>
    <s v="EUR"/>
    <n v="-100000"/>
    <s v="USD"/>
    <n v="117039"/>
    <s v="2026-01-26"/>
    <n v="1.1704000000000001"/>
    <n v="0.85440000000000005"/>
    <n v="4.2050000000000001"/>
    <n v="3.5831"/>
    <n v="-1137.5590999999999"/>
    <s v="UNITED STATES OF AMERICA US"/>
  </r>
  <r>
    <s v="BKMILL"/>
    <n v="158481"/>
    <n v="219279"/>
    <s v="Forward"/>
    <x v="315"/>
    <s v="Sell Fwd"/>
    <s v="EUR"/>
    <n v="-100000"/>
    <s v="PLN"/>
    <n v="421000"/>
    <s v="2026-01-22"/>
    <n v="4.2107999999999999"/>
    <n v="0.23749999999999999"/>
    <n v="4.2271000000000001"/>
    <n v="1"/>
    <n v="-1710"/>
    <s v="POLAND PL"/>
  </r>
  <r>
    <s v="BKMILL"/>
    <n v="158482"/>
    <n v="219280"/>
    <s v="Forward"/>
    <x v="315"/>
    <s v="Sell Fwd"/>
    <s v="EUR"/>
    <n v="-100000"/>
    <s v="PLN"/>
    <n v="421000"/>
    <s v="2026-01-22"/>
    <n v="4.2107999999999999"/>
    <n v="0.23749999999999999"/>
    <n v="4.2271000000000001"/>
    <n v="1"/>
    <n v="-1710"/>
    <s v="POLAND PL"/>
  </r>
  <r>
    <s v="BKMILL"/>
    <n v="158483"/>
    <n v="219281"/>
    <s v="Forward"/>
    <x v="315"/>
    <s v="Sell Fwd"/>
    <s v="EUR"/>
    <n v="-100000"/>
    <s v="PLN"/>
    <n v="421000"/>
    <s v="2026-01-22"/>
    <n v="4.2107999999999999"/>
    <n v="0.23749999999999999"/>
    <n v="4.2271000000000001"/>
    <n v="1"/>
    <n v="-1710"/>
    <s v="POLAND PL"/>
  </r>
  <r>
    <s v="BKMILL"/>
    <n v="158484"/>
    <n v="219282"/>
    <s v="Forward"/>
    <x v="32"/>
    <s v="Sell Fwd"/>
    <s v="EUR"/>
    <n v="-10000"/>
    <s v="PLN"/>
    <n v="42103"/>
    <s v="2026-01-22"/>
    <n v="4.2111000000000001"/>
    <n v="0.23749999999999999"/>
    <n v="4.2271000000000001"/>
    <n v="1"/>
    <n v="-168"/>
    <s v="POLAND PL"/>
  </r>
  <r>
    <s v="BKMILL"/>
    <n v="158485"/>
    <n v="219284"/>
    <s v="Forward"/>
    <x v="32"/>
    <s v="Sell Fwd"/>
    <s v="EUR"/>
    <n v="-10000"/>
    <s v="PLN"/>
    <n v="42105"/>
    <s v="2026-01-23"/>
    <n v="4.2111000000000001"/>
    <n v="0.23749999999999999"/>
    <n v="4.2127999999999997"/>
    <n v="1"/>
    <n v="-23"/>
    <s v="POLAND PL"/>
  </r>
  <r>
    <s v="BKMILL"/>
    <n v="158486"/>
    <n v="219285"/>
    <s v="Forward"/>
    <x v="32"/>
    <s v="Sell Fwd"/>
    <s v="EUR"/>
    <n v="-10000"/>
    <s v="PLN"/>
    <n v="42105"/>
    <s v="2026-01-23"/>
    <n v="4.2111000000000001"/>
    <n v="0.23749999999999999"/>
    <n v="4.2127999999999997"/>
    <n v="1"/>
    <n v="-23"/>
    <s v="POLAND PL"/>
  </r>
  <r>
    <s v="BKMILL"/>
    <n v="158489"/>
    <n v="219290"/>
    <s v="Forward"/>
    <x v="338"/>
    <s v="Sell Fwd"/>
    <s v="EUR"/>
    <n v="-10000"/>
    <s v="PLN"/>
    <n v="42200"/>
    <s v="2026-01-22"/>
    <n v="4.2207999999999997"/>
    <n v="0.2369"/>
    <n v="4.2271000000000001"/>
    <n v="1"/>
    <n v="-71"/>
    <s v="POLAND PL"/>
  </r>
  <r>
    <s v="BKMILL"/>
    <n v="158492"/>
    <n v="906828"/>
    <s v="Spot"/>
    <x v="38"/>
    <s v="Buy"/>
    <s v="EUR"/>
    <n v="500000"/>
    <s v="PLN"/>
    <n v="-2104635"/>
    <s v="2026-01-26"/>
    <n v="4.2092999999999998"/>
    <n v="0.23760000000000001"/>
    <n v="4.2050000000000001"/>
    <n v="1"/>
    <n v="-2135"/>
    <s v="NETHERLANDS NL"/>
  </r>
  <r>
    <s v="BKMILL"/>
    <n v="158493"/>
    <n v="906847"/>
    <s v="Spot"/>
    <x v="38"/>
    <s v="Buy"/>
    <s v="EUR"/>
    <n v="500000"/>
    <s v="PLN"/>
    <n v="-2104180"/>
    <s v="2026-01-26"/>
    <n v="4.2084000000000001"/>
    <n v="0.23760000000000001"/>
    <n v="4.2050000000000001"/>
    <n v="1"/>
    <n v="-1680"/>
    <s v="NETHERLANDS NL"/>
  </r>
  <r>
    <s v="BKMILL"/>
    <n v="158494"/>
    <n v="906849"/>
    <s v="Spot"/>
    <x v="38"/>
    <s v="Buy"/>
    <s v="EUR"/>
    <n v="500000"/>
    <s v="PLN"/>
    <n v="-2104175"/>
    <s v="2026-01-26"/>
    <n v="4.2084000000000001"/>
    <n v="0.23760000000000001"/>
    <n v="4.2050000000000001"/>
    <n v="1"/>
    <n v="-1675"/>
    <s v="NETHERLANDS NL"/>
  </r>
  <r>
    <s v="BKMILL"/>
    <n v="158495"/>
    <n v="906852"/>
    <s v="Spot"/>
    <x v="40"/>
    <s v="Buy"/>
    <s v="EUR"/>
    <n v="500000"/>
    <s v="PLN"/>
    <n v="-2104150"/>
    <s v="2026-01-26"/>
    <n v="4.2083000000000004"/>
    <n v="0.23760000000000001"/>
    <n v="4.2050000000000001"/>
    <n v="1"/>
    <n v="-1650"/>
    <s v="UNITED STATES OF AMERICA US"/>
  </r>
  <r>
    <s v="BKMILL"/>
    <n v="158496"/>
    <n v="219305"/>
    <s v="Forward"/>
    <x v="315"/>
    <s v="Sell Fwd"/>
    <s v="EUR"/>
    <n v="-100000"/>
    <s v="PLN"/>
    <n v="420900"/>
    <s v="2026-01-22"/>
    <n v="4.2098000000000004"/>
    <n v="0.23749999999999999"/>
    <n v="4.2271000000000001"/>
    <n v="1"/>
    <n v="-1810"/>
    <s v="POLAND PL"/>
  </r>
  <r>
    <s v="BKMILL"/>
    <n v="158497"/>
    <n v="906866"/>
    <s v="Spot"/>
    <x v="40"/>
    <s v="Buy"/>
    <s v="EUR"/>
    <n v="1000000"/>
    <s v="PLN"/>
    <n v="-4207500"/>
    <s v="2026-01-26"/>
    <n v="4.2074999999999996"/>
    <n v="0.23769999999999999"/>
    <n v="4.2050000000000001"/>
    <n v="1"/>
    <n v="-2500"/>
    <s v="UNITED STATES OF AMERICA US"/>
  </r>
  <r>
    <s v="BKMILL"/>
    <n v="158498"/>
    <n v="906867"/>
    <s v="Spot"/>
    <x v="44"/>
    <s v="Sell"/>
    <s v="EUR"/>
    <n v="-500000"/>
    <s v="PLN"/>
    <n v="2103950"/>
    <s v="2026-01-26"/>
    <n v="4.2079000000000004"/>
    <n v="0.23760000000000001"/>
    <n v="4.2050000000000001"/>
    <n v="1"/>
    <n v="1450"/>
    <s v="GERMANY DE"/>
  </r>
  <r>
    <s v="BKMILL"/>
    <n v="158500"/>
    <n v="906868"/>
    <s v="Spot"/>
    <x v="44"/>
    <s v="Sell"/>
    <s v="EUR"/>
    <n v="-500000"/>
    <s v="PLN"/>
    <n v="2104000"/>
    <s v="2026-01-26"/>
    <n v="4.2080000000000002"/>
    <n v="0.23760000000000001"/>
    <n v="4.2050000000000001"/>
    <n v="1"/>
    <n v="1500"/>
    <s v="GERMANY DE"/>
  </r>
  <r>
    <s v="BKMILL"/>
    <n v="158501"/>
    <n v="906869"/>
    <s v="Spot"/>
    <x v="51"/>
    <s v="Sell"/>
    <s v="EUR"/>
    <n v="-70000"/>
    <s v="PLN"/>
    <n v="294721"/>
    <s v="2026-01-26"/>
    <n v="4.2103000000000002"/>
    <n v="0.23749999999999999"/>
    <n v="4.2050000000000001"/>
    <n v="1"/>
    <n v="371"/>
    <s v="POLAND PL"/>
  </r>
  <r>
    <s v="BKMILL"/>
    <n v="158502"/>
    <n v="906876"/>
    <s v="Spot"/>
    <x v="40"/>
    <s v="Buy"/>
    <s v="EUR"/>
    <n v="1000000"/>
    <s v="PLN"/>
    <n v="-4207500"/>
    <s v="2026-01-26"/>
    <n v="4.2074999999999996"/>
    <n v="0.23769999999999999"/>
    <n v="4.2050000000000001"/>
    <n v="1"/>
    <n v="-2500"/>
    <s v="UNITED STATES OF AMERICA US"/>
  </r>
  <r>
    <s v="BKMILL"/>
    <n v="158503"/>
    <n v="906877"/>
    <s v="Spot"/>
    <x v="61"/>
    <s v="Sell"/>
    <s v="EUR"/>
    <n v="-200000"/>
    <s v="PLN"/>
    <n v="841880"/>
    <s v="2026-01-26"/>
    <n v="4.2093999999999996"/>
    <n v="0.23760000000000001"/>
    <n v="4.2050000000000001"/>
    <n v="1"/>
    <n v="880"/>
    <s v="POLAND PL"/>
  </r>
  <r>
    <s v="BKMILL"/>
    <n v="158504"/>
    <n v="219309"/>
    <s v="Forward"/>
    <x v="291"/>
    <s v="Sell Fwd"/>
    <s v="USD"/>
    <n v="-28000"/>
    <s v="PLN"/>
    <n v="100996"/>
    <s v="2026-01-22"/>
    <n v="3.6070000000000002"/>
    <n v="0.2772"/>
    <n v="3.6118000000000001"/>
    <n v="1"/>
    <n v="-134.4"/>
    <s v="POLAND PL"/>
  </r>
  <r>
    <s v="BKMILL"/>
    <n v="158505"/>
    <n v="219310"/>
    <s v="Forward"/>
    <x v="134"/>
    <s v="Buy Fwd"/>
    <s v="EUR"/>
    <n v="400000"/>
    <s v="PLN"/>
    <n v="1682000"/>
    <s v="2026-01-22"/>
    <n v="4.2050000000000001"/>
    <n v="0.23780000000000001"/>
    <n v="4.2271000000000001"/>
    <n v="1"/>
    <n v="3372840"/>
    <s v="POLAND PL"/>
  </r>
  <r>
    <s v="BKMILL"/>
    <n v="158506"/>
    <n v="219313"/>
    <s v="Forward"/>
    <x v="89"/>
    <s v="Buy Fwd"/>
    <s v="EUR"/>
    <n v="25000"/>
    <s v="PLN"/>
    <n v="105010"/>
    <s v="2026-01-22"/>
    <n v="4.2012999999999998"/>
    <n v="0.23799999999999999"/>
    <n v="4.2271000000000001"/>
    <n v="1"/>
    <n v="210687.5"/>
    <s v="POLAND PL"/>
  </r>
  <r>
    <s v="BKMILL"/>
    <n v="158507"/>
    <n v="906904"/>
    <s v="Spot"/>
    <x v="87"/>
    <s v="Sell"/>
    <s v="EUR"/>
    <n v="-100000"/>
    <s v="PLN"/>
    <n v="421000"/>
    <s v="2026-01-26"/>
    <n v="4.21"/>
    <n v="0.23749999999999999"/>
    <n v="4.2050000000000001"/>
    <n v="1"/>
    <n v="500"/>
    <s v="POLAND PL"/>
  </r>
  <r>
    <s v="BKMILL"/>
    <n v="158509"/>
    <n v="219318"/>
    <s v="Forward"/>
    <x v="315"/>
    <s v="Sell Fwd"/>
    <s v="EUR"/>
    <n v="-100000"/>
    <s v="PLN"/>
    <n v="420800"/>
    <s v="2026-01-22"/>
    <n v="4.2088000000000001"/>
    <n v="0.23760000000000001"/>
    <n v="4.2271000000000001"/>
    <n v="1"/>
    <n v="-1910"/>
    <s v="POLAND PL"/>
  </r>
  <r>
    <s v="BKMILL"/>
    <n v="158511"/>
    <n v="219320"/>
    <s v="Forward"/>
    <x v="315"/>
    <s v="Sell Fwd"/>
    <s v="EUR"/>
    <n v="-100000"/>
    <s v="PLN"/>
    <n v="420700"/>
    <s v="2026-01-22"/>
    <n v="4.2077999999999998"/>
    <n v="0.23769999999999999"/>
    <n v="4.2271000000000001"/>
    <n v="1"/>
    <n v="-2010"/>
    <s v="POLAND PL"/>
  </r>
  <r>
    <s v="BKMILL"/>
    <n v="158512"/>
    <n v="906923"/>
    <s v="Spot"/>
    <x v="47"/>
    <s v="Buy"/>
    <s v="USD"/>
    <n v="500000"/>
    <s v="PLN"/>
    <n v="-1796650"/>
    <s v="2026-01-26"/>
    <n v="3.5933000000000002"/>
    <n v="0.27829999999999999"/>
    <n v="3.5831"/>
    <n v="1"/>
    <n v="-5100"/>
    <s v="FRANCE FR"/>
  </r>
  <r>
    <s v="BKMILL"/>
    <n v="158513"/>
    <n v="219322"/>
    <s v="Forward"/>
    <x v="57"/>
    <s v="Sell Fwd"/>
    <s v="EUR"/>
    <n v="-30000"/>
    <s v="PLN"/>
    <n v="126297"/>
    <s v="2026-01-22"/>
    <n v="4.2099000000000002"/>
    <n v="0.23749999999999999"/>
    <n v="4.2271000000000001"/>
    <n v="1"/>
    <n v="-516"/>
    <s v="POLAND PL"/>
  </r>
  <r>
    <s v="BKMILL"/>
    <n v="158514"/>
    <n v="219323"/>
    <s v="Forward"/>
    <x v="12"/>
    <s v="Sell Fwd"/>
    <s v="EUR"/>
    <n v="-1000000"/>
    <s v="PLN"/>
    <n v="4209000"/>
    <s v="2026-01-22"/>
    <n v="4.2098000000000004"/>
    <n v="0.23749999999999999"/>
    <n v="4.2271000000000001"/>
    <n v="1"/>
    <n v="-18100"/>
    <s v="POLAND PL"/>
  </r>
  <r>
    <s v="BKMILL"/>
    <n v="158515"/>
    <n v="219324"/>
    <s v="Forward"/>
    <x v="154"/>
    <s v="Sell Fwd"/>
    <s v="USD"/>
    <n v="-100000"/>
    <s v="PLN"/>
    <n v="359500"/>
    <s v="2026-01-22"/>
    <n v="3.5950000000000002"/>
    <n v="0.2782"/>
    <n v="3.6118000000000001"/>
    <n v="1"/>
    <n v="-1680"/>
    <s v="POLAND PL"/>
  </r>
  <r>
    <s v="BKMILL"/>
    <n v="158517"/>
    <n v="219326"/>
    <s v="Forward"/>
    <x v="542"/>
    <s v="Sell Fwd"/>
    <s v="USD"/>
    <n v="-35100"/>
    <s v="PLN"/>
    <n v="126570.6"/>
    <s v="2026-01-22"/>
    <n v="3.6059999999999999"/>
    <n v="0.27729999999999999"/>
    <n v="3.6118000000000001"/>
    <n v="1"/>
    <n v="-203.58"/>
    <s v="POLAND PL"/>
  </r>
  <r>
    <s v="BKMILL"/>
    <n v="158518"/>
    <n v="219327"/>
    <s v="Forward"/>
    <x v="388"/>
    <s v="Buy Fwd"/>
    <s v="EUR"/>
    <n v="22922.639999999999"/>
    <s v="GBP"/>
    <n v="20000"/>
    <s v="2026-01-22"/>
    <n v="0.87"/>
    <n v="1.1494"/>
    <n v="4.2271000000000001"/>
    <n v="4.8433999999999999"/>
    <n v="193764.29154400001"/>
    <s v="POLAND PL"/>
  </r>
  <r>
    <s v="BKMILL"/>
    <n v="158520"/>
    <n v="219334"/>
    <s v="Forward"/>
    <x v="116"/>
    <s v="Buy Fwd"/>
    <s v="PLN"/>
    <n v="200000"/>
    <s v="EUR"/>
    <n v="47413.59"/>
    <s v="2026-01-22"/>
    <n v="4.2186000000000003"/>
    <n v="0.23699999999999999"/>
    <n v="1"/>
    <n v="4.2271000000000001"/>
    <n v="400421.98628900002"/>
    <s v="POLAND PL"/>
  </r>
  <r>
    <s v="BKMILL"/>
    <n v="158527"/>
    <n v="906989"/>
    <s v="Spot"/>
    <x v="87"/>
    <s v="Sell"/>
    <s v="EUR"/>
    <n v="-50000"/>
    <s v="PLN"/>
    <n v="210475"/>
    <s v="2026-01-26"/>
    <n v="4.2095000000000002"/>
    <n v="0.23760000000000001"/>
    <n v="4.2050000000000001"/>
    <n v="1"/>
    <n v="225"/>
    <s v="POLAND PL"/>
  </r>
  <r>
    <s v="BKMILL"/>
    <n v="158528"/>
    <n v="219342"/>
    <s v="Forward"/>
    <x v="307"/>
    <s v="Sell Fwd"/>
    <s v="EUR"/>
    <n v="-14000"/>
    <s v="PLN"/>
    <n v="59010"/>
    <s v="2026-01-22"/>
    <n v="4.2149999999999999"/>
    <n v="0.23719999999999999"/>
    <n v="4.2271000000000001"/>
    <n v="1"/>
    <n v="-169.4"/>
    <s v="POLAND PL"/>
  </r>
  <r>
    <s v="BKMILL"/>
    <n v="158529"/>
    <n v="907010"/>
    <s v="Spot"/>
    <x v="38"/>
    <s v="Buy"/>
    <s v="EUR"/>
    <n v="500000"/>
    <s v="PLN"/>
    <n v="-2103195"/>
    <s v="2026-01-26"/>
    <n v="4.2064000000000004"/>
    <n v="0.23769999999999999"/>
    <n v="4.2050000000000001"/>
    <n v="1"/>
    <n v="-695"/>
    <s v="NETHERLANDS NL"/>
  </r>
  <r>
    <s v="BKMILL"/>
    <n v="158530"/>
    <n v="907011"/>
    <s v="Spot"/>
    <x v="283"/>
    <s v="Sell"/>
    <s v="EUR"/>
    <n v="-100000"/>
    <s v="PLN"/>
    <n v="420650"/>
    <s v="2026-01-26"/>
    <n v="4.2065000000000001"/>
    <n v="0.23769999999999999"/>
    <n v="4.2050000000000001"/>
    <n v="1"/>
    <n v="150"/>
    <s v="POLAND PL"/>
  </r>
  <r>
    <s v="BKMILL"/>
    <n v="158531"/>
    <n v="907012"/>
    <s v="Spot"/>
    <x v="39"/>
    <s v="Buy"/>
    <s v="USD"/>
    <n v="500000"/>
    <s v="PLN"/>
    <n v="-1795075"/>
    <s v="2026-01-26"/>
    <n v="3.5901000000000001"/>
    <n v="0.27850000000000003"/>
    <n v="3.5831"/>
    <n v="1"/>
    <n v="-3525"/>
    <s v="UNITED KINGDOM GB"/>
  </r>
  <r>
    <s v="BKMILL"/>
    <n v="158532"/>
    <n v="219350"/>
    <s v="Forward"/>
    <x v="543"/>
    <s v="Buy Fwd"/>
    <s v="EUR"/>
    <n v="250000"/>
    <s v="PLN"/>
    <n v="1038750"/>
    <s v="2026-01-22"/>
    <n v="4.1550000000000002"/>
    <n v="0.2407"/>
    <n v="4.2271000000000001"/>
    <n v="1"/>
    <n v="2095525"/>
    <s v="POLAND PL"/>
  </r>
  <r>
    <s v="BKMILL"/>
    <n v="158533"/>
    <n v="219352"/>
    <s v="Forward"/>
    <x v="116"/>
    <s v="Buy Fwd"/>
    <s v="GBP"/>
    <n v="120000"/>
    <s v="PLN"/>
    <n v="576564"/>
    <s v="2026-01-22"/>
    <n v="4.8053999999999997"/>
    <n v="0.20810000000000001"/>
    <n v="4.8433999999999999"/>
    <n v="1"/>
    <n v="1157772"/>
    <s v="POLAND PL"/>
  </r>
  <r>
    <s v="BKMILL"/>
    <n v="158534"/>
    <n v="219354"/>
    <s v="Forward"/>
    <x v="331"/>
    <s v="Buy Fwd"/>
    <s v="EUR"/>
    <n v="5000"/>
    <s v="PLN"/>
    <n v="20740"/>
    <s v="2026-01-22"/>
    <n v="4.1479999999999997"/>
    <n v="0.24110000000000001"/>
    <n v="4.2271000000000001"/>
    <n v="1"/>
    <n v="41875.5"/>
    <s v="POLAND PL"/>
  </r>
  <r>
    <s v="BKMILL"/>
    <n v="158537"/>
    <n v="219361"/>
    <s v="Forward"/>
    <x v="483"/>
    <s v="Sell Fwd"/>
    <s v="EUR"/>
    <n v="-1500"/>
    <s v="PLN"/>
    <n v="6316.5"/>
    <s v="2026-01-22"/>
    <n v="4.2110000000000003"/>
    <n v="0.23749999999999999"/>
    <n v="4.2271000000000001"/>
    <n v="1"/>
    <n v="-24.15"/>
    <s v="POLAND PL"/>
  </r>
  <r>
    <s v="BKMILL"/>
    <n v="158538"/>
    <n v="219362"/>
    <s v="Forward"/>
    <x v="247"/>
    <s v="Sell Fwd"/>
    <s v="EUR"/>
    <n v="-100000"/>
    <s v="PLN"/>
    <n v="420830"/>
    <s v="2026-01-22"/>
    <n v="4.2091000000000003"/>
    <n v="0.23760000000000001"/>
    <n v="4.2271000000000001"/>
    <n v="1"/>
    <n v="-1880"/>
    <s v="POLAND PL"/>
  </r>
  <r>
    <s v="BKMILL"/>
    <n v="158540"/>
    <n v="907070"/>
    <s v="Spot"/>
    <x v="50"/>
    <s v="Buy"/>
    <s v="NOK"/>
    <n v="350000"/>
    <s v="PLN"/>
    <n v="-127330"/>
    <s v="2026-01-26"/>
    <n v="0.36380000000000001"/>
    <n v="2.7488000000000001"/>
    <n v="0.36320000000000002"/>
    <n v="1"/>
    <n v="-210"/>
    <s v="POLAND PL"/>
  </r>
  <r>
    <s v="BKMILL"/>
    <n v="158541"/>
    <n v="907074"/>
    <s v="Spot"/>
    <x v="36"/>
    <s v="Buy"/>
    <s v="EUR"/>
    <n v="100000"/>
    <s v="GBP"/>
    <n v="-87266"/>
    <s v="2026-01-26"/>
    <n v="0.87270000000000003"/>
    <n v="1.1458999999999999"/>
    <n v="4.2050000000000001"/>
    <n v="4.8478000000000003"/>
    <n v="-2548.1147999999998"/>
    <s v="UNITED KINGDOM GB"/>
  </r>
  <r>
    <s v="BKMILL"/>
    <n v="158542"/>
    <n v="907075"/>
    <s v="Spot"/>
    <x v="50"/>
    <s v="Buy"/>
    <s v="DKK"/>
    <n v="760000"/>
    <s v="PLN"/>
    <n v="-428108"/>
    <s v="2026-01-26"/>
    <n v="0.56330000000000002"/>
    <n v="1.7753000000000001"/>
    <n v="0.56299999999999994"/>
    <n v="1"/>
    <n v="-228"/>
    <s v="POLAND PL"/>
  </r>
  <r>
    <s v="BKMILL"/>
    <n v="158543"/>
    <n v="907082"/>
    <s v="Spot"/>
    <x v="55"/>
    <s v="Buy"/>
    <s v="EUR"/>
    <n v="100000"/>
    <s v="NOK"/>
    <n v="-1155980"/>
    <s v="2026-01-26"/>
    <n v="11.559799999999999"/>
    <n v="8.6499999999999994E-2"/>
    <n v="4.2050000000000001"/>
    <n v="0.36320000000000002"/>
    <n v="648.06399999999996"/>
    <s v="SPAIN ES"/>
  </r>
  <r>
    <s v="BKMILL"/>
    <n v="158544"/>
    <n v="907083"/>
    <s v="Spot"/>
    <x v="41"/>
    <s v="Buy"/>
    <s v="EUR"/>
    <n v="100000"/>
    <s v="NOK"/>
    <n v="-1155940"/>
    <s v="2026-01-26"/>
    <n v="11.5594"/>
    <n v="8.6499999999999994E-2"/>
    <n v="4.2050000000000001"/>
    <n v="0.36320000000000002"/>
    <n v="662.59199999999998"/>
    <s v="GERMANY DE"/>
  </r>
  <r>
    <s v="BKMILL"/>
    <n v="158546"/>
    <n v="907087"/>
    <s v="Spot"/>
    <x v="39"/>
    <s v="Buy"/>
    <s v="EUR"/>
    <n v="100000"/>
    <s v="DKK"/>
    <n v="-746844"/>
    <s v="2026-01-26"/>
    <n v="7.4683999999999999"/>
    <n v="0.13389999999999999"/>
    <n v="4.2050000000000001"/>
    <n v="0.56299999999999994"/>
    <n v="26.827999999999999"/>
    <s v="UNITED KINGDOM GB"/>
  </r>
  <r>
    <s v="BKMILL"/>
    <n v="158547"/>
    <n v="907088"/>
    <s v="Spot"/>
    <x v="40"/>
    <s v="Sell"/>
    <s v="EUR"/>
    <n v="-100000"/>
    <s v="USD"/>
    <n v="117170"/>
    <s v="2026-01-26"/>
    <n v="1.1717"/>
    <n v="0.85350000000000004"/>
    <n v="4.2050000000000001"/>
    <n v="3.5831"/>
    <n v="-668.173"/>
    <s v="UNITED STATES OF AMERICA US"/>
  </r>
  <r>
    <s v="BKMILL"/>
    <n v="158548"/>
    <n v="907089"/>
    <s v="Spot"/>
    <x v="43"/>
    <s v="Sell"/>
    <s v="EUR"/>
    <n v="-100000"/>
    <s v="USD"/>
    <n v="117172"/>
    <s v="2026-01-26"/>
    <n v="1.1717"/>
    <n v="0.85340000000000005"/>
    <n v="4.2050000000000001"/>
    <n v="3.5831"/>
    <n v="-661.0068"/>
    <s v="FRANCE FR"/>
  </r>
  <r>
    <s v="BKMILL"/>
    <n v="158550"/>
    <n v="219366"/>
    <s v="Forward"/>
    <x v="116"/>
    <s v="Buy Fwd"/>
    <s v="PLN"/>
    <n v="576564"/>
    <s v="EUR"/>
    <n v="136785.37"/>
    <s v="2026-01-22"/>
    <n v="4.2159000000000004"/>
    <n v="0.23719999999999999"/>
    <n v="1"/>
    <n v="4.2271000000000001"/>
    <n v="1154769.437527"/>
    <s v="POLAND PL"/>
  </r>
  <r>
    <s v="BKMILL"/>
    <n v="158552"/>
    <n v="219367"/>
    <s v="Forward"/>
    <x v="544"/>
    <s v="Sell Fwd"/>
    <s v="EUR"/>
    <n v="-1215"/>
    <s v="PLN"/>
    <n v="5123.66"/>
    <s v="2026-01-22"/>
    <n v="4.2169999999999996"/>
    <n v="0.23710000000000001"/>
    <n v="4.2271000000000001"/>
    <n v="1"/>
    <n v="-12.266500000000001"/>
    <s v="POLAND PL"/>
  </r>
  <r>
    <s v="BKMILL"/>
    <n v="158553"/>
    <n v="907168"/>
    <s v="Spot"/>
    <x v="44"/>
    <s v="Sell"/>
    <s v="EUR"/>
    <n v="-500000"/>
    <s v="PLN"/>
    <n v="2103625"/>
    <s v="2026-01-26"/>
    <n v="4.2073"/>
    <n v="0.23769999999999999"/>
    <n v="4.2050000000000001"/>
    <n v="1"/>
    <n v="1125"/>
    <s v="GERMANY DE"/>
  </r>
  <r>
    <s v="BKMILL"/>
    <n v="158554"/>
    <n v="907169"/>
    <s v="Spot"/>
    <x v="44"/>
    <s v="Sell"/>
    <s v="EUR"/>
    <n v="-500000"/>
    <s v="PLN"/>
    <n v="2103525"/>
    <s v="2026-01-26"/>
    <n v="4.2069999999999999"/>
    <n v="0.23769999999999999"/>
    <n v="4.2050000000000001"/>
    <n v="1"/>
    <n v="1025"/>
    <s v="GERMANY DE"/>
  </r>
  <r>
    <s v="BKMILL"/>
    <n v="158555"/>
    <n v="907170"/>
    <s v="Spot"/>
    <x v="39"/>
    <s v="Sell"/>
    <s v="EUR"/>
    <n v="-500000"/>
    <s v="PLN"/>
    <n v="2103455"/>
    <s v="2026-01-26"/>
    <n v="4.2069000000000001"/>
    <n v="0.23769999999999999"/>
    <n v="4.2050000000000001"/>
    <n v="1"/>
    <n v="955"/>
    <s v="UNITED KINGDOM GB"/>
  </r>
  <r>
    <s v="BKMILL"/>
    <n v="158557"/>
    <n v="907171"/>
    <s v="Spot"/>
    <x v="44"/>
    <s v="Sell"/>
    <s v="EUR"/>
    <n v="-500000"/>
    <s v="PLN"/>
    <n v="2103505"/>
    <s v="2026-01-26"/>
    <n v="4.2069999999999999"/>
    <n v="0.23769999999999999"/>
    <n v="4.2050000000000001"/>
    <n v="1"/>
    <n v="1005"/>
    <s v="GERMANY DE"/>
  </r>
  <r>
    <s v="BKMILL"/>
    <n v="158558"/>
    <n v="907175"/>
    <s v="Spot"/>
    <x v="44"/>
    <s v="Sell"/>
    <s v="EUR"/>
    <n v="-500000"/>
    <s v="PLN"/>
    <n v="2103505"/>
    <s v="2026-01-26"/>
    <n v="4.2069999999999999"/>
    <n v="0.23769999999999999"/>
    <n v="4.2050000000000001"/>
    <n v="1"/>
    <n v="1005"/>
    <s v="GERMANY DE"/>
  </r>
  <r>
    <s v="BKMILL"/>
    <n v="158561"/>
    <n v="907197"/>
    <s v="Spot"/>
    <x v="38"/>
    <s v="Buy"/>
    <s v="EUR"/>
    <n v="100000"/>
    <s v="GBP"/>
    <n v="-87218"/>
    <s v="2026-01-26"/>
    <n v="0.87219999999999998"/>
    <n v="1.1466000000000001"/>
    <n v="4.2050000000000001"/>
    <n v="4.8478000000000003"/>
    <n v="-2315.4204"/>
    <s v="NETHERLANDS NL"/>
  </r>
  <r>
    <s v="BKMILL"/>
    <n v="158562"/>
    <n v="907208"/>
    <s v="Spot"/>
    <x v="41"/>
    <s v="Buy"/>
    <s v="EUR"/>
    <n v="100000"/>
    <s v="NOK"/>
    <n v="-1156310"/>
    <s v="2026-01-26"/>
    <n v="11.5631"/>
    <n v="8.6499999999999994E-2"/>
    <n v="4.2050000000000001"/>
    <n v="0.36320000000000002"/>
    <n v="528.20799999999997"/>
    <s v="GERMANY DE"/>
  </r>
  <r>
    <s v="BKMILL"/>
    <n v="158563"/>
    <n v="907229"/>
    <s v="Spot"/>
    <x v="41"/>
    <s v="Sell"/>
    <s v="EUR"/>
    <n v="-400000"/>
    <s v="PLN"/>
    <n v="1683080"/>
    <s v="2026-01-26"/>
    <n v="4.2077"/>
    <n v="0.23769999999999999"/>
    <n v="4.2050000000000001"/>
    <n v="1"/>
    <n v="1080"/>
    <s v="GERMANY DE"/>
  </r>
  <r>
    <s v="BKMILL"/>
    <n v="158564"/>
    <n v="907230"/>
    <s v="Spot"/>
    <x v="40"/>
    <s v="Buy"/>
    <s v="EUR"/>
    <n v="100000"/>
    <s v="USD"/>
    <n v="-117141"/>
    <s v="2026-01-26"/>
    <n v="1.1714"/>
    <n v="0.85370000000000001"/>
    <n v="4.2050000000000001"/>
    <n v="3.5831"/>
    <n v="772.0829"/>
    <s v="UNITED STATES OF AMERICA US"/>
  </r>
  <r>
    <s v="BKMILL"/>
    <n v="158565"/>
    <n v="219374"/>
    <s v="Forward"/>
    <x v="97"/>
    <s v="Sell Fwd"/>
    <s v="EUR"/>
    <n v="-200000"/>
    <s v="PLN"/>
    <n v="842620"/>
    <s v="2026-01-22"/>
    <n v="4.2119999999999997"/>
    <n v="0.2374"/>
    <n v="4.2271000000000001"/>
    <n v="1"/>
    <n v="-2800"/>
    <s v="POLAND PL"/>
  </r>
  <r>
    <s v="BKMILL"/>
    <n v="158567"/>
    <n v="219375"/>
    <s v="Forward"/>
    <x v="97"/>
    <s v="Sell Fwd"/>
    <s v="USD"/>
    <n v="-200000"/>
    <s v="PLN"/>
    <n v="719760"/>
    <s v="2026-01-22"/>
    <n v="3.5979999999999999"/>
    <n v="0.27789999999999998"/>
    <n v="3.6118000000000001"/>
    <n v="1"/>
    <n v="-2600"/>
    <s v="POLAND PL"/>
  </r>
  <r>
    <s v="BKMILL"/>
    <n v="158571"/>
    <n v="219382"/>
    <s v="Forward"/>
    <x v="545"/>
    <s v="Sell Fwd"/>
    <s v="EUR"/>
    <n v="-150000"/>
    <s v="PLN"/>
    <n v="631500"/>
    <s v="2026-01-22"/>
    <n v="4.2107999999999999"/>
    <n v="0.23749999999999999"/>
    <n v="4.2271000000000001"/>
    <n v="1"/>
    <n v="-2565"/>
    <s v="POLAND PL"/>
  </r>
  <r>
    <s v="BKMILL"/>
    <n v="158577"/>
    <n v="907263"/>
    <s v="Spot"/>
    <x v="40"/>
    <s v="Buy"/>
    <s v="EUR"/>
    <n v="1500000"/>
    <s v="PLN"/>
    <n v="-6306750"/>
    <s v="2026-01-26"/>
    <n v="4.2045000000000003"/>
    <n v="0.23780000000000001"/>
    <n v="4.2050000000000001"/>
    <n v="1"/>
    <n v="750"/>
    <s v="UNITED STATES OF AMERICA US"/>
  </r>
  <r>
    <s v="BKMILL"/>
    <n v="158578"/>
    <n v="907264"/>
    <s v="Spot"/>
    <x v="40"/>
    <s v="Buy"/>
    <s v="EUR"/>
    <n v="1500000"/>
    <s v="PLN"/>
    <n v="-6306750"/>
    <s v="2026-01-26"/>
    <n v="4.2045000000000003"/>
    <n v="0.23780000000000001"/>
    <n v="4.2050000000000001"/>
    <n v="1"/>
    <n v="750"/>
    <s v="UNITED STATES OF AMERICA US"/>
  </r>
  <r>
    <s v="BKMILL"/>
    <n v="158579"/>
    <n v="907265"/>
    <s v="Spot"/>
    <x v="71"/>
    <s v="Sell"/>
    <s v="EUR"/>
    <n v="-100000"/>
    <s v="PLN"/>
    <n v="420780"/>
    <s v="2026-01-26"/>
    <n v="4.2077999999999998"/>
    <n v="0.23769999999999999"/>
    <n v="4.2050000000000001"/>
    <n v="1"/>
    <n v="280"/>
    <s v="POLAND PL"/>
  </r>
  <r>
    <s v="BKMILL"/>
    <n v="158581"/>
    <n v="907266"/>
    <s v="Spot"/>
    <x v="39"/>
    <s v="Sell"/>
    <s v="EUR"/>
    <n v="-400000"/>
    <s v="PLN"/>
    <n v="1681988"/>
    <s v="2026-01-26"/>
    <n v="4.2050000000000001"/>
    <n v="0.23780000000000001"/>
    <n v="4.2050000000000001"/>
    <n v="1"/>
    <n v="-12"/>
    <s v="UNITED KINGDOM GB"/>
  </r>
  <r>
    <s v="BKMILL"/>
    <n v="158582"/>
    <n v="907267"/>
    <s v="Spot"/>
    <x v="39"/>
    <s v="Sell"/>
    <s v="EUR"/>
    <n v="-400000"/>
    <s v="PLN"/>
    <n v="1681968"/>
    <s v="2026-01-26"/>
    <n v="4.2049000000000003"/>
    <n v="0.23780000000000001"/>
    <n v="4.2050000000000001"/>
    <n v="1"/>
    <n v="-32"/>
    <s v="UNITED KINGDOM GB"/>
  </r>
  <r>
    <s v="BKMILL"/>
    <n v="158583"/>
    <n v="907268"/>
    <s v="Spot"/>
    <x v="44"/>
    <s v="Sell"/>
    <s v="EUR"/>
    <n v="-400000"/>
    <s v="PLN"/>
    <n v="1682160"/>
    <s v="2026-01-26"/>
    <n v="4.2054"/>
    <n v="0.23780000000000001"/>
    <n v="4.2050000000000001"/>
    <n v="1"/>
    <n v="160"/>
    <s v="GERMANY DE"/>
  </r>
  <r>
    <s v="BKMILL"/>
    <n v="158584"/>
    <n v="907269"/>
    <s v="Spot"/>
    <x v="44"/>
    <s v="Sell"/>
    <s v="EUR"/>
    <n v="-400000"/>
    <s v="PLN"/>
    <n v="1682160"/>
    <s v="2026-01-26"/>
    <n v="4.2054"/>
    <n v="0.23780000000000001"/>
    <n v="4.2050000000000001"/>
    <n v="1"/>
    <n v="160"/>
    <s v="GERMANY DE"/>
  </r>
  <r>
    <s v="BKMILL"/>
    <n v="158585"/>
    <n v="907271"/>
    <s v="Spot"/>
    <x v="44"/>
    <s v="Sell"/>
    <s v="EUR"/>
    <n v="-400000"/>
    <s v="PLN"/>
    <n v="1682160"/>
    <s v="2026-01-26"/>
    <n v="4.2054"/>
    <n v="0.23780000000000001"/>
    <n v="4.2050000000000001"/>
    <n v="1"/>
    <n v="160"/>
    <s v="GERMANY DE"/>
  </r>
  <r>
    <s v="BKMILL"/>
    <n v="158586"/>
    <n v="907274"/>
    <s v="Spot"/>
    <x v="39"/>
    <s v="Sell"/>
    <s v="EUR"/>
    <n v="-400000"/>
    <s v="PLN"/>
    <n v="1682200"/>
    <s v="2026-01-26"/>
    <n v="4.2054999999999998"/>
    <n v="0.23780000000000001"/>
    <n v="4.2050000000000001"/>
    <n v="1"/>
    <n v="200"/>
    <s v="UNITED KINGDOM GB"/>
  </r>
  <r>
    <s v="BKMILL"/>
    <n v="158587"/>
    <n v="907275"/>
    <s v="Spot"/>
    <x v="39"/>
    <s v="Sell"/>
    <s v="EUR"/>
    <n v="-400000"/>
    <s v="PLN"/>
    <n v="1682136"/>
    <s v="2026-01-26"/>
    <n v="4.2053000000000003"/>
    <n v="0.23780000000000001"/>
    <n v="4.2050000000000001"/>
    <n v="1"/>
    <n v="136"/>
    <s v="UNITED KINGDOM GB"/>
  </r>
  <r>
    <s v="BKMILL"/>
    <n v="158588"/>
    <n v="907276"/>
    <s v="Spot"/>
    <x v="41"/>
    <s v="Sell"/>
    <s v="EUR"/>
    <n v="-400000"/>
    <s v="PLN"/>
    <n v="1682080"/>
    <s v="2026-01-26"/>
    <n v="4.2051999999999996"/>
    <n v="0.23780000000000001"/>
    <n v="4.2050000000000001"/>
    <n v="1"/>
    <n v="80"/>
    <s v="GERMANY DE"/>
  </r>
  <r>
    <s v="BKMILL"/>
    <n v="158589"/>
    <n v="907277"/>
    <s v="Spot"/>
    <x v="40"/>
    <s v="Buy"/>
    <s v="EUR"/>
    <n v="1500000"/>
    <s v="PLN"/>
    <n v="-6306705"/>
    <s v="2026-01-26"/>
    <n v="4.2045000000000003"/>
    <n v="0.23780000000000001"/>
    <n v="4.2050000000000001"/>
    <n v="1"/>
    <n v="795"/>
    <s v="UNITED STATES OF AMERICA US"/>
  </r>
  <r>
    <s v="BKMILL"/>
    <n v="158590"/>
    <n v="907281"/>
    <s v="Spot"/>
    <x v="40"/>
    <s v="Buy"/>
    <s v="EUR"/>
    <n v="1500000"/>
    <s v="PLN"/>
    <n v="-6306450"/>
    <s v="2026-01-26"/>
    <n v="4.2042999999999999"/>
    <n v="0.2379"/>
    <n v="4.2050000000000001"/>
    <n v="1"/>
    <n v="1050"/>
    <s v="UNITED STATES OF AMERICA US"/>
  </r>
  <r>
    <s v="BKMILL"/>
    <n v="158591"/>
    <n v="907282"/>
    <s v="Spot"/>
    <x v="546"/>
    <s v="Sell"/>
    <s v="EUR"/>
    <n v="-2000"/>
    <s v="PLN"/>
    <n v="8460"/>
    <s v="2026-01-26"/>
    <n v="4.2300000000000004"/>
    <n v="0.2364"/>
    <n v="4.2050000000000001"/>
    <n v="1"/>
    <n v="50"/>
    <s v="POLAND PL"/>
  </r>
  <r>
    <s v="BKMILL"/>
    <n v="158592"/>
    <n v="219385"/>
    <s v="Forward"/>
    <x v="547"/>
    <s v="Sell Fwd"/>
    <s v="EUR"/>
    <n v="-50000"/>
    <s v="PLN"/>
    <n v="210500"/>
    <s v="2026-01-22"/>
    <n v="4.2107999999999999"/>
    <n v="0.23749999999999999"/>
    <n v="4.2271000000000001"/>
    <n v="1"/>
    <n v="-855"/>
    <s v="POLAND PL"/>
  </r>
  <r>
    <s v="BKMILL"/>
    <n v="158593"/>
    <n v="219387"/>
    <s v="Forward"/>
    <x v="315"/>
    <s v="Sell Fwd"/>
    <s v="EUR"/>
    <n v="-100000"/>
    <s v="PLN"/>
    <n v="420500"/>
    <s v="2026-01-22"/>
    <n v="4.2058"/>
    <n v="0.23780000000000001"/>
    <n v="4.2271000000000001"/>
    <n v="1"/>
    <n v="-2210"/>
    <s v="POLAND PL"/>
  </r>
  <r>
    <s v="BKMILL"/>
    <n v="158594"/>
    <n v="219388"/>
    <s v="Forward"/>
    <x v="315"/>
    <s v="Sell Fwd"/>
    <s v="EUR"/>
    <n v="-100000"/>
    <s v="PLN"/>
    <n v="420500"/>
    <s v="2026-01-22"/>
    <n v="4.2058"/>
    <n v="0.23780000000000001"/>
    <n v="4.2271000000000001"/>
    <n v="1"/>
    <n v="-2210"/>
    <s v="POLAND PL"/>
  </r>
  <r>
    <s v="BKMILL"/>
    <n v="158596"/>
    <n v="219390"/>
    <s v="Forward"/>
    <x v="518"/>
    <s v="Buy Fwd"/>
    <s v="EUR"/>
    <n v="309111.65999999997"/>
    <s v="PLN"/>
    <n v="1300000"/>
    <s v="2026-01-22"/>
    <n v="4.2046000000000001"/>
    <n v="0.23780000000000001"/>
    <n v="4.2271000000000001"/>
    <n v="1"/>
    <n v="2606645.8979859999"/>
    <s v="POLAND PL"/>
  </r>
  <r>
    <s v="BKMILL"/>
    <n v="158597"/>
    <n v="219395"/>
    <s v="Forward"/>
    <x v="12"/>
    <s v="Sell Fwd"/>
    <s v="EUR"/>
    <n v="-1500000"/>
    <s v="PLN"/>
    <n v="6309000"/>
    <s v="2026-01-23"/>
    <n v="4.2065999999999999"/>
    <n v="0.23769999999999999"/>
    <n v="4.2127999999999997"/>
    <n v="1"/>
    <n v="-10200"/>
    <s v="POLAND PL"/>
  </r>
  <r>
    <s v="BKMILL"/>
    <n v="158599"/>
    <n v="219398"/>
    <s v="Forward"/>
    <x v="548"/>
    <s v="Buy Fwd"/>
    <s v="EUR"/>
    <n v="14000"/>
    <s v="PLN"/>
    <n v="58772"/>
    <s v="2026-01-22"/>
    <n v="4.1989000000000001"/>
    <n v="0.2382"/>
    <n v="4.2271000000000001"/>
    <n v="1"/>
    <n v="117951.4"/>
    <s v="POLAND PL"/>
  </r>
  <r>
    <s v="BKMILL"/>
    <n v="158602"/>
    <n v="219405"/>
    <s v="Forward"/>
    <x v="330"/>
    <s v="Buy Fwd"/>
    <s v="EUR"/>
    <n v="5000"/>
    <s v="PLN"/>
    <n v="21000"/>
    <s v="2026-01-23"/>
    <n v="4.2"/>
    <n v="0.23810000000000001"/>
    <n v="4.2127999999999997"/>
    <n v="1"/>
    <n v="42064"/>
    <s v="POLAND PL"/>
  </r>
  <r>
    <s v="BKMILL"/>
    <n v="158606"/>
    <n v="219411"/>
    <s v="Forward"/>
    <x v="12"/>
    <s v="Sell Fwd"/>
    <s v="EUR"/>
    <n v="-1500000"/>
    <s v="PLN"/>
    <n v="6309000"/>
    <s v="2026-01-23"/>
    <n v="4.2065999999999999"/>
    <n v="0.23769999999999999"/>
    <n v="4.2127999999999997"/>
    <n v="1"/>
    <n v="-10200"/>
    <s v="POLAND PL"/>
  </r>
  <r>
    <s v="BKMILL"/>
    <n v="158607"/>
    <n v="907384"/>
    <s v="Spot"/>
    <x v="40"/>
    <s v="Buy"/>
    <s v="EUR"/>
    <n v="2000000"/>
    <s v="PLN"/>
    <n v="-8403000"/>
    <s v="2026-01-26"/>
    <n v="4.2015000000000002"/>
    <n v="0.23799999999999999"/>
    <n v="4.2050000000000001"/>
    <n v="1"/>
    <n v="7000"/>
    <s v="UNITED STATES OF AMERICA US"/>
  </r>
  <r>
    <s v="BKMILL"/>
    <n v="158608"/>
    <n v="907400"/>
    <s v="Spot"/>
    <x v="12"/>
    <s v="Sell"/>
    <s v="EUR"/>
    <n v="-2000000"/>
    <s v="PLN"/>
    <n v="8406000"/>
    <s v="2026-01-26"/>
    <n v="4.2030000000000003"/>
    <n v="0.2379"/>
    <n v="4.2050000000000001"/>
    <n v="1"/>
    <n v="-4000"/>
    <s v="POLAND PL"/>
  </r>
  <r>
    <s v="BKMILL"/>
    <n v="158609"/>
    <n v="219421"/>
    <s v="Forward"/>
    <x v="547"/>
    <s v="Sell Fwd"/>
    <s v="EUR"/>
    <n v="-50000"/>
    <s v="PLN"/>
    <n v="210250"/>
    <s v="2026-01-22"/>
    <n v="4.2058"/>
    <n v="0.23780000000000001"/>
    <n v="4.2271000000000001"/>
    <n v="1"/>
    <n v="-1105"/>
    <s v="POLAND PL"/>
  </r>
  <r>
    <s v="BKMILL"/>
    <n v="158610"/>
    <n v="907410"/>
    <s v="Spot"/>
    <x v="40"/>
    <s v="Buy"/>
    <s v="EUR"/>
    <n v="2500000"/>
    <s v="PLN"/>
    <n v="-10496250"/>
    <s v="2026-01-26"/>
    <n v="4.1985000000000001"/>
    <n v="0.2382"/>
    <n v="4.2050000000000001"/>
    <n v="1"/>
    <n v="16250"/>
    <s v="UNITED STATES OF AMERICA US"/>
  </r>
  <r>
    <s v="BKMILL"/>
    <n v="158611"/>
    <n v="219423"/>
    <s v="Forward"/>
    <x v="315"/>
    <s v="Sell Fwd"/>
    <s v="EUR"/>
    <n v="-100000"/>
    <s v="PLN"/>
    <n v="420000"/>
    <s v="2026-01-22"/>
    <n v="4.2008000000000001"/>
    <n v="0.23799999999999999"/>
    <n v="4.2271000000000001"/>
    <n v="1"/>
    <n v="-2710"/>
    <s v="POLAND PL"/>
  </r>
  <r>
    <s v="BKMILL"/>
    <n v="158612"/>
    <n v="219424"/>
    <s v="Forward"/>
    <x v="549"/>
    <s v="Sell Fwd"/>
    <s v="EUR"/>
    <n v="-5000"/>
    <s v="PLN"/>
    <n v="21000"/>
    <s v="2026-01-22"/>
    <n v="4.2008000000000001"/>
    <n v="0.23799999999999999"/>
    <n v="4.2271000000000001"/>
    <n v="1"/>
    <n v="-135.5"/>
    <s v="POLAND PL"/>
  </r>
  <r>
    <s v="BKMILL"/>
    <n v="158614"/>
    <n v="219425"/>
    <s v="Forward"/>
    <x v="47"/>
    <s v="Buy Fwd"/>
    <s v="EUR"/>
    <n v="20000"/>
    <s v="PLN"/>
    <n v="83979.56"/>
    <s v="2026-01-23"/>
    <n v="4.1996000000000002"/>
    <n v="0.23810000000000001"/>
    <n v="4.2127999999999997"/>
    <n v="1"/>
    <n v="168235.56"/>
    <s v="FRANCE FR"/>
  </r>
  <r>
    <s v="BKMILL"/>
    <n v="158615"/>
    <n v="219426"/>
    <s v="Forward"/>
    <x v="550"/>
    <s v="Sell Fwd"/>
    <s v="EUR"/>
    <n v="-20000"/>
    <s v="PLN"/>
    <n v="84080"/>
    <s v="2026-01-23"/>
    <n v="4.2046999999999999"/>
    <n v="0.23780000000000001"/>
    <n v="4.2127999999999997"/>
    <n v="1"/>
    <n v="-176"/>
    <s v="POLAND PL"/>
  </r>
  <r>
    <s v="BKMILL"/>
    <n v="158616"/>
    <n v="219427"/>
    <s v="Forward"/>
    <x v="36"/>
    <s v="Buy Fwd"/>
    <s v="EUR"/>
    <n v="3000"/>
    <s v="PLN"/>
    <n v="12596.98"/>
    <s v="2026-01-23"/>
    <n v="4.1996000000000002"/>
    <n v="0.23810000000000001"/>
    <n v="4.2127999999999997"/>
    <n v="1"/>
    <n v="25235.38"/>
    <s v="UNITED KINGDOM GB"/>
  </r>
  <r>
    <s v="BKMILL"/>
    <n v="158617"/>
    <n v="219428"/>
    <s v="Forward"/>
    <x v="503"/>
    <s v="Sell Fwd"/>
    <s v="EUR"/>
    <n v="-3000"/>
    <s v="PLN"/>
    <n v="12615"/>
    <s v="2026-01-23"/>
    <n v="4.2055999999999996"/>
    <n v="0.23780000000000001"/>
    <n v="4.2127999999999997"/>
    <n v="1"/>
    <n v="-23.4"/>
    <s v="POLAND PL"/>
  </r>
  <r>
    <s v="BKMILL"/>
    <n v="158618"/>
    <n v="219429"/>
    <s v="Forward"/>
    <x v="42"/>
    <s v="Buy Fwd"/>
    <s v="EUR"/>
    <n v="10000"/>
    <s v="PLN"/>
    <n v="41979.56"/>
    <s v="2026-01-23"/>
    <n v="4.1985999999999999"/>
    <n v="0.2382"/>
    <n v="4.2127999999999997"/>
    <n v="1"/>
    <n v="84107.56"/>
    <s v="SWITZERLAND CH"/>
  </r>
  <r>
    <s v="BKMILL"/>
    <n v="158619"/>
    <n v="219430"/>
    <s v="Forward"/>
    <x v="551"/>
    <s v="Sell Fwd"/>
    <s v="EUR"/>
    <n v="-10000"/>
    <s v="PLN"/>
    <n v="42093"/>
    <s v="2026-01-23"/>
    <n v="4.21"/>
    <n v="0.23749999999999999"/>
    <n v="4.2127999999999997"/>
    <n v="1"/>
    <n v="-35"/>
    <s v="POLAND PL"/>
  </r>
  <r>
    <s v="BKMILL"/>
    <n v="158620"/>
    <n v="907436"/>
    <s v="Spot"/>
    <x v="41"/>
    <s v="Sell"/>
    <s v="EUR"/>
    <n v="-9878.83"/>
    <s v="PLN"/>
    <n v="41471.33"/>
    <s v="2026-01-26"/>
    <n v="4.1980000000000004"/>
    <n v="0.2382"/>
    <n v="4.2050000000000001"/>
    <n v="1"/>
    <n v="-69.150149999999996"/>
    <s v="GERMANY DE"/>
  </r>
  <r>
    <s v="BKMILL"/>
    <n v="158621"/>
    <n v="907437"/>
    <s v="Spot"/>
    <x v="43"/>
    <s v="Buy"/>
    <s v="CHF"/>
    <n v="220"/>
    <s v="PLN"/>
    <n v="-995.49"/>
    <s v="2026-01-26"/>
    <n v="4.5250000000000004"/>
    <n v="0.221"/>
    <n v="4.5297999999999998"/>
    <n v="1"/>
    <n v="1.0660000000000001"/>
    <s v="FRANCE FR"/>
  </r>
  <r>
    <s v="BKMILL"/>
    <n v="158622"/>
    <n v="907438"/>
    <s v="Spot"/>
    <x v="36"/>
    <s v="Buy"/>
    <s v="USD"/>
    <n v="94413.83"/>
    <s v="PLN"/>
    <n v="-337704.11"/>
    <s v="2026-01-26"/>
    <n v="3.5768"/>
    <n v="0.27960000000000002"/>
    <n v="3.5831"/>
    <n v="1"/>
    <n v="590.08427300000005"/>
    <s v="UNITED KINGDOM GB"/>
  </r>
  <r>
    <s v="BKMILL"/>
    <n v="158623"/>
    <n v="907439"/>
    <s v="Spot"/>
    <x v="41"/>
    <s v="Sell"/>
    <s v="GBP"/>
    <n v="-598.84"/>
    <s v="PLN"/>
    <n v="2888.92"/>
    <s v="2026-01-26"/>
    <n v="4.8242000000000003"/>
    <n v="0.20730000000000001"/>
    <n v="4.8478000000000003"/>
    <n v="1"/>
    <n v="-14.136552"/>
    <s v="GERMANY DE"/>
  </r>
  <r>
    <s v="BKMILL"/>
    <n v="158624"/>
    <n v="907444"/>
    <s v="Spot"/>
    <x v="42"/>
    <s v="Buy"/>
    <s v="EUR"/>
    <n v="185184.72"/>
    <s v="PLN"/>
    <n v="-777322.12"/>
    <s v="2026-01-26"/>
    <n v="4.1974999999999998"/>
    <n v="0.2382"/>
    <n v="4.2050000000000001"/>
    <n v="1"/>
    <n v="1379.6276"/>
    <s v="SWITZERLAND CH"/>
  </r>
  <r>
    <s v="BKMILL"/>
    <n v="158625"/>
    <n v="907446"/>
    <s v="Spot"/>
    <x v="40"/>
    <s v="Buy"/>
    <s v="USD"/>
    <n v="112715.16"/>
    <s v="PLN"/>
    <n v="-402810.17"/>
    <s v="2026-01-26"/>
    <n v="3.5737000000000001"/>
    <n v="0.27979999999999999"/>
    <n v="3.5831"/>
    <n v="1"/>
    <n v="1059.519796"/>
    <s v="UNITED STATES OF AMERICA US"/>
  </r>
  <r>
    <s v="BKMILL"/>
    <n v="158626"/>
    <n v="907448"/>
    <s v="Spot"/>
    <x v="41"/>
    <s v="Buy"/>
    <s v="USD"/>
    <n v="110352.97"/>
    <s v="PLN"/>
    <n v="-394434.62"/>
    <s v="2026-01-26"/>
    <n v="3.5743"/>
    <n v="0.27979999999999999"/>
    <n v="3.5831"/>
    <n v="1"/>
    <n v="971.106807"/>
    <s v="GERMANY DE"/>
  </r>
  <r>
    <s v="BKMILL"/>
    <n v="158627"/>
    <n v="907449"/>
    <s v="Spot"/>
    <x v="41"/>
    <s v="Buy"/>
    <s v="GBP"/>
    <n v="28192.98"/>
    <s v="PLN"/>
    <n v="-135943.73000000001"/>
    <s v="2026-01-26"/>
    <n v="4.8219000000000003"/>
    <n v="0.2074"/>
    <n v="4.8478000000000003"/>
    <n v="1"/>
    <n v="730.19844399999999"/>
    <s v="GERMANY DE"/>
  </r>
  <r>
    <s v="BKMILL"/>
    <n v="158628"/>
    <n v="907450"/>
    <s v="Spot"/>
    <x v="40"/>
    <s v="Buy"/>
    <s v="EUR"/>
    <n v="57727.59"/>
    <s v="PLN"/>
    <n v="-242320.22"/>
    <s v="2026-01-26"/>
    <n v="4.1977000000000002"/>
    <n v="0.2382"/>
    <n v="4.2050000000000001"/>
    <n v="1"/>
    <n v="424.29595"/>
    <s v="UNITED STATES OF AMERICA US"/>
  </r>
  <r>
    <s v="BKMILL"/>
    <n v="158629"/>
    <n v="907451"/>
    <s v="Spot"/>
    <x v="40"/>
    <s v="Buy"/>
    <s v="CHF"/>
    <n v="2794.29"/>
    <s v="PLN"/>
    <n v="-12642.07"/>
    <s v="2026-01-26"/>
    <n v="4.5243000000000002"/>
    <n v="0.221"/>
    <n v="4.5297999999999998"/>
    <n v="1"/>
    <n v="15.504842"/>
    <s v="UNITED STATES OF AMERICA US"/>
  </r>
  <r>
    <s v="BKMILL"/>
    <n v="158630"/>
    <n v="907456"/>
    <s v="Spot"/>
    <x v="41"/>
    <s v="Buy"/>
    <s v="EUR"/>
    <n v="103677.38"/>
    <s v="PLN"/>
    <n v="-435341.32"/>
    <s v="2026-01-26"/>
    <n v="4.1989999999999998"/>
    <n v="0.2382"/>
    <n v="4.2050000000000001"/>
    <n v="1"/>
    <n v="622.06290000000001"/>
    <s v="GERMANY DE"/>
  </r>
  <r>
    <s v="BKMILL"/>
    <n v="158631"/>
    <n v="907458"/>
    <s v="Spot"/>
    <x v="40"/>
    <s v="Buy"/>
    <s v="USD"/>
    <n v="200000"/>
    <s v="PLN"/>
    <n v="-714480"/>
    <s v="2026-01-27"/>
    <n v="3.5724"/>
    <n v="0.27989999999999998"/>
    <n v="3.5499000000000001"/>
    <n v="1"/>
    <n v="-4500"/>
    <s v="UNITED STATES OF AMERICA US"/>
  </r>
  <r>
    <s v="BKMILL"/>
    <n v="158632"/>
    <n v="907459"/>
    <s v="Spot"/>
    <x v="43"/>
    <s v="Sell"/>
    <s v="CHF"/>
    <n v="-202.72"/>
    <s v="PLN"/>
    <n v="917.15"/>
    <s v="2026-01-27"/>
    <n v="4.5242000000000004"/>
    <n v="0.221"/>
    <n v="4.5758000000000001"/>
    <n v="1"/>
    <n v="-10.456175999999999"/>
    <s v="FRANCE FR"/>
  </r>
  <r>
    <s v="BKMILL"/>
    <n v="158633"/>
    <n v="907460"/>
    <s v="Spot"/>
    <x v="41"/>
    <s v="Buy"/>
    <s v="EUR"/>
    <n v="87097.76"/>
    <s v="PLN"/>
    <n v="-365810.59"/>
    <s v="2026-01-27"/>
    <n v="4.2"/>
    <n v="0.23810000000000001"/>
    <n v="4.2118000000000002"/>
    <n v="1"/>
    <n v="1027.755568"/>
    <s v="GERMANY DE"/>
  </r>
  <r>
    <s v="BKMILL"/>
    <n v="158634"/>
    <n v="907461"/>
    <s v="Spot"/>
    <x v="41"/>
    <s v="Buy"/>
    <s v="USD"/>
    <n v="78436.63"/>
    <s v="PLN"/>
    <n v="-280238.39"/>
    <s v="2026-01-27"/>
    <n v="3.5728"/>
    <n v="0.27989999999999998"/>
    <n v="3.5499000000000001"/>
    <n v="1"/>
    <n v="-1796.197163"/>
    <s v="GERMANY DE"/>
  </r>
  <r>
    <s v="BKMILL"/>
    <n v="158635"/>
    <n v="907462"/>
    <s v="Spot"/>
    <x v="41"/>
    <s v="Sell"/>
    <s v="GBP"/>
    <n v="-5440.35"/>
    <s v="PLN"/>
    <n v="26223.03"/>
    <s v="2026-01-27"/>
    <n v="4.8201000000000001"/>
    <n v="0.20749999999999999"/>
    <n v="4.8536999999999999"/>
    <n v="1"/>
    <n v="-182.796795"/>
    <s v="GERMANY DE"/>
  </r>
  <r>
    <s v="BKMILL"/>
    <n v="158636"/>
    <n v="907499"/>
    <s v="Spot"/>
    <x v="43"/>
    <s v="Buy"/>
    <s v="EUR"/>
    <n v="87076.3"/>
    <s v="PLN"/>
    <n v="-365725.68"/>
    <s v="2026-01-27"/>
    <n v="4.2000999999999999"/>
    <n v="0.23810000000000001"/>
    <n v="4.2118000000000002"/>
    <n v="1"/>
    <n v="1022.28034"/>
    <s v="FRANCE FR"/>
  </r>
  <r>
    <s v="BKMILL"/>
    <n v="158637"/>
    <n v="907500"/>
    <s v="Spot"/>
    <x v="43"/>
    <s v="Buy"/>
    <s v="USD"/>
    <n v="76130.240000000005"/>
    <s v="PLN"/>
    <n v="-272142.01"/>
    <s v="2026-01-27"/>
    <n v="3.5747"/>
    <n v="0.2797"/>
    <n v="3.5499000000000001"/>
    <n v="1"/>
    <n v="-1887.2710239999999"/>
    <s v="FRANCE FR"/>
  </r>
  <r>
    <s v="BKMILL"/>
    <n v="158638"/>
    <n v="907501"/>
    <s v="Spot"/>
    <x v="41"/>
    <s v="Sell"/>
    <s v="GBP"/>
    <n v="-235.33"/>
    <s v="PLN"/>
    <n v="1135.1099999999999"/>
    <s v="2026-01-27"/>
    <n v="4.8235000000000001"/>
    <n v="0.20730000000000001"/>
    <n v="4.8536999999999999"/>
    <n v="1"/>
    <n v="-7.1112209999999996"/>
    <s v="GERMANY DE"/>
  </r>
  <r>
    <s v="BKMILL"/>
    <n v="158639"/>
    <n v="219431"/>
    <s v="Forward"/>
    <x v="55"/>
    <s v="Sell Fwd"/>
    <s v="GBP"/>
    <n v="-12489"/>
    <s v="PLN"/>
    <n v="60230.7"/>
    <s v="2026-01-23"/>
    <n v="4.8228999999999997"/>
    <n v="0.20730000000000001"/>
    <n v="4.8433999999999999"/>
    <n v="1"/>
    <n v="-258.52260000000001"/>
    <s v="SPAIN ES"/>
  </r>
  <r>
    <s v="BKMILL"/>
    <n v="158640"/>
    <n v="219434"/>
    <s v="Forward"/>
    <x v="41"/>
    <s v="Buy Fwd"/>
    <s v="EUR"/>
    <n v="10000"/>
    <s v="PLN"/>
    <n v="41995.68"/>
    <s v="2026-01-23"/>
    <n v="4.2000999999999999"/>
    <n v="0.23810000000000001"/>
    <n v="4.2127999999999997"/>
    <n v="1"/>
    <n v="84123.68"/>
    <s v="GERMANY DE"/>
  </r>
  <r>
    <s v="BKMILL"/>
    <n v="158641"/>
    <n v="219436"/>
    <s v="Forward"/>
    <x v="55"/>
    <s v="Buy Fwd"/>
    <s v="USD"/>
    <n v="1000000"/>
    <s v="PLN"/>
    <n v="3573966"/>
    <s v="2026-01-23"/>
    <n v="3.5739999999999998"/>
    <n v="0.27979999999999999"/>
    <n v="3.6027999999999998"/>
    <n v="1"/>
    <n v="7176766"/>
    <s v="SPAIN ES"/>
  </r>
  <r>
    <s v="BKMILL"/>
    <n v="158642"/>
    <n v="219437"/>
    <s v="Forward"/>
    <x v="40"/>
    <s v="Sell Fwd"/>
    <s v="EUR"/>
    <n v="-1100"/>
    <s v="PLN"/>
    <n v="4617.8599999999997"/>
    <s v="2026-01-23"/>
    <n v="4.1989999999999998"/>
    <n v="0.2382"/>
    <n v="4.2127999999999997"/>
    <n v="1"/>
    <n v="-16.22"/>
    <s v="UNITED STATES OF AMERICA US"/>
  </r>
  <r>
    <s v="BKMILL"/>
    <n v="158643"/>
    <n v="219439"/>
    <s v="Forward"/>
    <x v="55"/>
    <s v="Buy Fwd"/>
    <s v="EUR"/>
    <n v="50000"/>
    <s v="PLN"/>
    <n v="209946.95"/>
    <s v="2026-01-23"/>
    <n v="4.1997"/>
    <n v="0.23810000000000001"/>
    <n v="4.2127999999999997"/>
    <n v="1"/>
    <n v="420586.95"/>
    <s v="SPAIN ES"/>
  </r>
  <r>
    <s v="BKMILL"/>
    <n v="158644"/>
    <n v="219442"/>
    <s v="Forward"/>
    <x v="55"/>
    <s v="Buy Fwd"/>
    <s v="EUR"/>
    <n v="50000"/>
    <s v="PLN"/>
    <n v="209946.95"/>
    <s v="2026-01-23"/>
    <n v="4.1997"/>
    <n v="0.23810000000000001"/>
    <n v="4.2127999999999997"/>
    <n v="1"/>
    <n v="420586.95"/>
    <s v="SPAIN ES"/>
  </r>
  <r>
    <s v="BKMILL"/>
    <n v="158645"/>
    <n v="219443"/>
    <s v="Forward"/>
    <x v="40"/>
    <s v="Buy Fwd"/>
    <s v="USD"/>
    <n v="20000"/>
    <s v="PLN"/>
    <n v="71538.59"/>
    <s v="2026-01-23"/>
    <n v="3.577"/>
    <n v="0.27960000000000002"/>
    <n v="3.6027999999999998"/>
    <n v="1"/>
    <n v="143594.59"/>
    <s v="UNITED STATES OF AMERICA US"/>
  </r>
  <r>
    <s v="BKMILL"/>
    <n v="158646"/>
    <n v="219445"/>
    <s v="Forward"/>
    <x v="40"/>
    <s v="Buy Fwd"/>
    <s v="USD"/>
    <n v="30000"/>
    <s v="PLN"/>
    <n v="107315.68"/>
    <s v="2026-01-23"/>
    <n v="3.5773000000000001"/>
    <n v="0.27950000000000003"/>
    <n v="3.6027999999999998"/>
    <n v="1"/>
    <n v="215399.67999999999"/>
    <s v="UNITED STATES OF AMERICA US"/>
  </r>
  <r>
    <s v="BKMILL"/>
    <n v="158647"/>
    <n v="219448"/>
    <s v="Forward"/>
    <x v="40"/>
    <s v="Buy Fwd"/>
    <s v="EUR"/>
    <n v="30000"/>
    <s v="PLN"/>
    <n v="125990.39"/>
    <s v="2026-01-23"/>
    <n v="4.2004999999999999"/>
    <n v="0.23810000000000001"/>
    <n v="4.2127999999999997"/>
    <n v="1"/>
    <n v="252374.39"/>
    <s v="UNITED STATES OF AMERICA US"/>
  </r>
  <r>
    <s v="BKMILL"/>
    <n v="158648"/>
    <n v="907541"/>
    <s v="Spot"/>
    <x v="42"/>
    <s v="Sell"/>
    <s v="CHF"/>
    <n v="-27290.02"/>
    <s v="PLN"/>
    <n v="123558.29"/>
    <s v="2026-01-27"/>
    <n v="4.5275999999999996"/>
    <n v="0.22090000000000001"/>
    <n v="4.5758000000000001"/>
    <n v="1"/>
    <n v="-1315.3835160000001"/>
    <s v="SWITZERLAND CH"/>
  </r>
  <r>
    <s v="BKMILL"/>
    <n v="158649"/>
    <n v="907542"/>
    <s v="Spot"/>
    <x v="41"/>
    <s v="Buy"/>
    <s v="EUR"/>
    <n v="14328.33"/>
    <s v="PLN"/>
    <n v="-60211.94"/>
    <s v="2026-01-27"/>
    <n v="4.2023000000000001"/>
    <n v="0.23799999999999999"/>
    <n v="4.2118000000000002"/>
    <n v="1"/>
    <n v="136.120294"/>
    <s v="GERMANY DE"/>
  </r>
  <r>
    <s v="BKMILL"/>
    <n v="158650"/>
    <n v="907543"/>
    <s v="Spot"/>
    <x v="41"/>
    <s v="Buy"/>
    <s v="USD"/>
    <n v="88527.71"/>
    <s v="PLN"/>
    <n v="-316831.82"/>
    <s v="2026-01-27"/>
    <n v="3.5789"/>
    <n v="0.27939999999999998"/>
    <n v="3.5499000000000001"/>
    <n v="1"/>
    <n v="-2567.302271"/>
    <s v="GERMANY DE"/>
  </r>
  <r>
    <s v="BKMILL"/>
    <n v="158651"/>
    <n v="907544"/>
    <s v="Spot"/>
    <x v="41"/>
    <s v="Buy"/>
    <s v="GBP"/>
    <n v="5995.65"/>
    <s v="PLN"/>
    <n v="-28946.400000000001"/>
    <s v="2026-01-27"/>
    <n v="4.8278999999999996"/>
    <n v="0.20710000000000001"/>
    <n v="4.8536999999999999"/>
    <n v="1"/>
    <n v="154.68640500000001"/>
    <s v="GERMANY DE"/>
  </r>
  <r>
    <s v="BKMILL"/>
    <n v="158652"/>
    <n v="219449"/>
    <s v="Forward"/>
    <x v="55"/>
    <s v="Buy Fwd"/>
    <s v="EUR"/>
    <n v="8151.8"/>
    <s v="PLN"/>
    <n v="34251.43"/>
    <s v="2026-01-23"/>
    <n v="4.2023999999999999"/>
    <n v="0.23799999999999999"/>
    <n v="4.2127999999999997"/>
    <n v="1"/>
    <n v="68593.333039999998"/>
    <s v="SPAIN ES"/>
  </r>
  <r>
    <s v="BKMILL"/>
    <n v="158653"/>
    <n v="219451"/>
    <s v="Forward"/>
    <x v="131"/>
    <s v="Sell Fwd"/>
    <s v="EUR"/>
    <n v="-54120"/>
    <s v="PLN"/>
    <n v="227639.54"/>
    <s v="2026-01-23"/>
    <n v="4.2069000000000001"/>
    <n v="0.23769999999999999"/>
    <n v="4.2127999999999997"/>
    <n v="1"/>
    <n v="-357.19600000000003"/>
    <s v="POLAND PL"/>
  </r>
  <r>
    <s v="BKMILL"/>
    <n v="158654"/>
    <n v="219452"/>
    <s v="Forward"/>
    <x v="55"/>
    <s v="Buy Fwd"/>
    <s v="EUR"/>
    <n v="54120"/>
    <s v="PLN"/>
    <n v="227390.81"/>
    <s v="2026-01-23"/>
    <n v="4.2023000000000001"/>
    <n v="0.23799999999999999"/>
    <n v="4.2127999999999997"/>
    <n v="1"/>
    <n v="455387.54599999997"/>
    <s v="SPAIN ES"/>
  </r>
  <r>
    <s v="BKMILL"/>
    <n v="158655"/>
    <n v="219453"/>
    <s v="Forward"/>
    <x v="36"/>
    <s v="Buy Fwd"/>
    <s v="USD"/>
    <n v="100000"/>
    <s v="PLN"/>
    <n v="358059.3"/>
    <s v="2026-01-23"/>
    <n v="3.5806"/>
    <n v="0.27929999999999999"/>
    <n v="3.6027999999999998"/>
    <n v="1"/>
    <n v="718339.3"/>
    <s v="UNITED KINGDOM GB"/>
  </r>
  <r>
    <s v="BKMILL"/>
    <n v="158656"/>
    <n v="219454"/>
    <s v="Forward"/>
    <x v="26"/>
    <s v="Sell Fwd"/>
    <s v="USD"/>
    <n v="-100000"/>
    <s v="PLN"/>
    <n v="358560"/>
    <s v="2026-01-23"/>
    <n v="3.5855999999999999"/>
    <n v="0.27889999999999998"/>
    <n v="3.6027999999999998"/>
    <n v="1"/>
    <n v="-1720"/>
    <s v="POLAND PL"/>
  </r>
  <r>
    <s v="BKMILL"/>
    <n v="158657"/>
    <n v="219455"/>
    <s v="Forward"/>
    <x v="41"/>
    <s v="Sell Fwd"/>
    <s v="EUR"/>
    <n v="-120000"/>
    <s v="PLN"/>
    <n v="504056.02"/>
    <s v="2026-01-23"/>
    <n v="4.2013999999999996"/>
    <n v="0.23799999999999999"/>
    <n v="4.2127999999999997"/>
    <n v="1"/>
    <n v="-1479.98"/>
    <s v="GERMANY DE"/>
  </r>
  <r>
    <s v="BKMILL"/>
    <n v="158660"/>
    <n v="219460"/>
    <s v="Forward"/>
    <x v="36"/>
    <s v="Sell Fwd"/>
    <s v="EUR"/>
    <n v="-30000"/>
    <s v="PLN"/>
    <n v="126013.32"/>
    <s v="2026-01-23"/>
    <n v="4.2015000000000002"/>
    <n v="0.23799999999999999"/>
    <n v="4.2127999999999997"/>
    <n v="1"/>
    <n v="-370.68"/>
    <s v="UNITED KINGDOM GB"/>
  </r>
  <r>
    <s v="BKMILL"/>
    <n v="158661"/>
    <n v="219461"/>
    <s v="Forward"/>
    <x v="40"/>
    <s v="Buy Fwd"/>
    <s v="USD"/>
    <n v="585800"/>
    <s v="PLN"/>
    <n v="2097238.34"/>
    <s v="2026-01-23"/>
    <n v="3.5802"/>
    <n v="0.27929999999999999"/>
    <n v="3.6027999999999998"/>
    <n v="1"/>
    <n v="4207758.58"/>
    <s v="UNITED STATES OF AMERICA US"/>
  </r>
  <r>
    <s v="BKMILL"/>
    <n v="158663"/>
    <n v="219472"/>
    <s v="Forward"/>
    <x v="154"/>
    <s v="Sell Fwd"/>
    <s v="USD"/>
    <n v="-100000"/>
    <s v="PLN"/>
    <n v="358000"/>
    <s v="2026-01-23"/>
    <n v="3.58"/>
    <n v="0.27929999999999999"/>
    <n v="3.6027999999999998"/>
    <n v="1"/>
    <n v="-2280"/>
    <s v="POLAND PL"/>
  </r>
  <r>
    <s v="BKMILL"/>
    <n v="158664"/>
    <n v="907629"/>
    <s v="Spot"/>
    <x v="47"/>
    <s v="Buy"/>
    <s v="USD"/>
    <n v="1000000"/>
    <s v="PLN"/>
    <n v="-3581900"/>
    <s v="2026-01-27"/>
    <n v="3.5819000000000001"/>
    <n v="0.2792"/>
    <n v="3.5499000000000001"/>
    <n v="1"/>
    <n v="-32000"/>
    <s v="FRANCE FR"/>
  </r>
  <r>
    <s v="BKMILL"/>
    <n v="158665"/>
    <n v="219483"/>
    <s v="Forward"/>
    <x v="32"/>
    <s v="Sell Fwd"/>
    <s v="EUR"/>
    <n v="-10000"/>
    <s v="PLN"/>
    <n v="42081"/>
    <s v="2026-01-23"/>
    <n v="4.2088999999999999"/>
    <n v="0.23760000000000001"/>
    <n v="4.2127999999999997"/>
    <n v="1"/>
    <n v="-47"/>
    <s v="POLAND PL"/>
  </r>
  <r>
    <s v="BKMILL"/>
    <n v="158666"/>
    <n v="219484"/>
    <s v="Forward"/>
    <x v="32"/>
    <s v="Sell Fwd"/>
    <s v="EUR"/>
    <n v="-10000"/>
    <s v="PLN"/>
    <n v="42088"/>
    <s v="2026-01-26"/>
    <n v="4.2089999999999996"/>
    <n v="0.23760000000000001"/>
    <n v="4.2050000000000001"/>
    <n v="1"/>
    <n v="38"/>
    <s v="POLAND PL"/>
  </r>
  <r>
    <s v="BKMILL"/>
    <n v="158667"/>
    <n v="219485"/>
    <s v="Forward"/>
    <x v="32"/>
    <s v="Sell Fwd"/>
    <s v="EUR"/>
    <n v="-10000"/>
    <s v="PLN"/>
    <n v="42092"/>
    <s v="2026-01-23"/>
    <n v="4.21"/>
    <n v="0.23749999999999999"/>
    <n v="4.2127999999999997"/>
    <n v="1"/>
    <n v="-36"/>
    <s v="POLAND PL"/>
  </r>
  <r>
    <s v="BKMILL"/>
    <n v="158668"/>
    <n v="219486"/>
    <s v="Forward"/>
    <x v="497"/>
    <s v="Sell Fwd"/>
    <s v="EUR"/>
    <n v="-19000"/>
    <s v="PLN"/>
    <n v="80066"/>
    <s v="2026-01-23"/>
    <n v="4.2140000000000004"/>
    <n v="0.23730000000000001"/>
    <n v="4.2127999999999997"/>
    <n v="1"/>
    <n v="22.8"/>
    <s v="POLAND PL"/>
  </r>
  <r>
    <s v="BKMILL"/>
    <n v="158669"/>
    <n v="219487"/>
    <s v="Forward"/>
    <x v="249"/>
    <s v="Sell Fwd"/>
    <s v="EUR"/>
    <n v="-28415.82"/>
    <s v="PLN"/>
    <n v="120000.01"/>
    <s v="2026-01-23"/>
    <n v="4.2241"/>
    <n v="0.23669999999999999"/>
    <n v="4.2127999999999997"/>
    <n v="1"/>
    <n v="289.843504"/>
    <s v="POLAND PL"/>
  </r>
  <r>
    <s v="BKMILL"/>
    <n v="158670"/>
    <n v="219488"/>
    <s v="Forward"/>
    <x v="552"/>
    <s v="Buy Fwd"/>
    <s v="EUR"/>
    <n v="150000"/>
    <s v="PLN"/>
    <n v="627450"/>
    <s v="2026-01-23"/>
    <n v="4.1829999999999998"/>
    <n v="0.23910000000000001"/>
    <n v="4.2127999999999997"/>
    <n v="1"/>
    <n v="1259370"/>
    <s v="POLAND PL"/>
  </r>
  <r>
    <s v="BKMILL"/>
    <n v="158671"/>
    <n v="219489"/>
    <s v="Forward"/>
    <x v="32"/>
    <s v="Sell Fwd"/>
    <s v="EUR"/>
    <n v="-20000"/>
    <s v="PLN"/>
    <n v="84174"/>
    <s v="2026-01-23"/>
    <n v="4.2095000000000002"/>
    <n v="0.23760000000000001"/>
    <n v="4.2127999999999997"/>
    <n v="1"/>
    <n v="-82"/>
    <s v="POLAND PL"/>
  </r>
  <r>
    <s v="BKMILL"/>
    <n v="158672"/>
    <n v="219494"/>
    <s v="Forward"/>
    <x v="32"/>
    <s v="Sell Fwd"/>
    <s v="EUR"/>
    <n v="-20000"/>
    <s v="PLN"/>
    <n v="84176"/>
    <s v="2026-01-23"/>
    <n v="4.2096"/>
    <n v="0.23760000000000001"/>
    <n v="4.2127999999999997"/>
    <n v="1"/>
    <n v="-80"/>
    <s v="POLAND PL"/>
  </r>
  <r>
    <s v="BKMILL"/>
    <n v="158674"/>
    <n v="219495"/>
    <s v="Forward"/>
    <x v="32"/>
    <s v="Sell Fwd"/>
    <s v="EUR"/>
    <n v="-20000"/>
    <s v="PLN"/>
    <n v="84174"/>
    <s v="2026-01-23"/>
    <n v="4.2095000000000002"/>
    <n v="0.23760000000000001"/>
    <n v="4.2127999999999997"/>
    <n v="1"/>
    <n v="-82"/>
    <s v="POLAND PL"/>
  </r>
  <r>
    <s v="BKMILL"/>
    <n v="158676"/>
    <n v="907698"/>
    <s v="Spot"/>
    <x v="40"/>
    <s v="Buy"/>
    <s v="EUR"/>
    <n v="100000"/>
    <s v="USD"/>
    <n v="-117305"/>
    <s v="2026-01-27"/>
    <n v="1.173"/>
    <n v="0.85250000000000004"/>
    <n v="4.2118000000000002"/>
    <n v="3.5499000000000001"/>
    <n v="4758.9804999999997"/>
    <s v="UNITED STATES OF AMERICA US"/>
  </r>
  <r>
    <s v="BKMILL"/>
    <n v="158677"/>
    <n v="907702"/>
    <s v="Spot"/>
    <x v="40"/>
    <s v="Buy"/>
    <s v="EUR"/>
    <n v="100000"/>
    <s v="USD"/>
    <n v="-117294"/>
    <s v="2026-01-27"/>
    <n v="1.1729000000000001"/>
    <n v="0.85260000000000002"/>
    <n v="4.2118000000000002"/>
    <n v="3.5499000000000001"/>
    <n v="4798.0294000000004"/>
    <s v="UNITED STATES OF AMERICA US"/>
  </r>
  <r>
    <s v="BKMILL"/>
    <n v="158678"/>
    <n v="219501"/>
    <s v="Forward"/>
    <x v="32"/>
    <s v="Sell Fwd"/>
    <s v="EUR"/>
    <n v="-20000"/>
    <s v="PLN"/>
    <n v="84154"/>
    <s v="2026-01-23"/>
    <n v="4.2084999999999999"/>
    <n v="0.23760000000000001"/>
    <n v="4.2127999999999997"/>
    <n v="1"/>
    <n v="-102"/>
    <s v="POLAND PL"/>
  </r>
  <r>
    <s v="BKMILL"/>
    <n v="158679"/>
    <n v="907715"/>
    <s v="Spot"/>
    <x v="534"/>
    <s v="Buy"/>
    <s v="USD"/>
    <n v="500000"/>
    <s v="PLN"/>
    <n v="-1792625"/>
    <s v="2026-01-27"/>
    <n v="3.5851999999999999"/>
    <n v="0.27889999999999998"/>
    <n v="3.5499000000000001"/>
    <n v="1"/>
    <n v="-17675"/>
    <s v="POLAND PL"/>
  </r>
  <r>
    <s v="BKMILL"/>
    <n v="158681"/>
    <n v="219506"/>
    <s v="Forward"/>
    <x v="333"/>
    <s v="Buy Fwd"/>
    <s v="EUR"/>
    <n v="29584.6"/>
    <s v="PLN"/>
    <n v="124403.26"/>
    <s v="2026-01-23"/>
    <n v="4.1967999999999996"/>
    <n v="0.23830000000000001"/>
    <n v="4.2127999999999997"/>
    <n v="1"/>
    <n v="249037.26287999999"/>
    <s v="POLAND PL"/>
  </r>
  <r>
    <s v="BKMILL"/>
    <n v="158683"/>
    <n v="219510"/>
    <s v="Forward"/>
    <x v="553"/>
    <s v="Sell Fwd"/>
    <s v="EUR"/>
    <n v="-190195.43"/>
    <s v="PLN"/>
    <n v="800000"/>
    <s v="2026-01-23"/>
    <n v="4.2149999999999999"/>
    <n v="0.23719999999999999"/>
    <n v="4.2127999999999997"/>
    <n v="1"/>
    <n v="-1255.3075040000001"/>
    <s v="POLAND PL"/>
  </r>
  <r>
    <s v="BKMILL"/>
    <n v="158685"/>
    <n v="219512"/>
    <s v="Forward"/>
    <x v="32"/>
    <s v="Sell Fwd"/>
    <s v="EUR"/>
    <n v="-20000"/>
    <s v="PLN"/>
    <n v="84128"/>
    <s v="2026-01-23"/>
    <n v="4.2072000000000003"/>
    <n v="0.23769999999999999"/>
    <n v="4.2127999999999997"/>
    <n v="1"/>
    <n v="-128"/>
    <s v="POLAND PL"/>
  </r>
  <r>
    <s v="BKMILL"/>
    <n v="158686"/>
    <n v="219514"/>
    <s v="Forward"/>
    <x v="32"/>
    <s v="Sell Fwd"/>
    <s v="EUR"/>
    <n v="-20000"/>
    <s v="PLN"/>
    <n v="84128"/>
    <s v="2026-01-23"/>
    <n v="4.2072000000000003"/>
    <n v="0.23769999999999999"/>
    <n v="4.2127999999999997"/>
    <n v="1"/>
    <n v="-128"/>
    <s v="POLAND PL"/>
  </r>
  <r>
    <s v="BKMILL"/>
    <n v="158687"/>
    <n v="219515"/>
    <s v="Forward"/>
    <x v="554"/>
    <s v="Sell Fwd"/>
    <s v="USD"/>
    <n v="-150000"/>
    <s v="PLN"/>
    <n v="537300"/>
    <s v="2026-01-23"/>
    <n v="3.5819999999999999"/>
    <n v="0.2792"/>
    <n v="3.6027999999999998"/>
    <n v="1"/>
    <n v="-3120"/>
    <s v="POLAND PL"/>
  </r>
  <r>
    <s v="BKMILL"/>
    <n v="158688"/>
    <n v="219516"/>
    <s v="Forward"/>
    <x v="132"/>
    <s v="Buy Fwd"/>
    <s v="PLN"/>
    <n v="180000"/>
    <s v="EUR"/>
    <n v="42680.32"/>
    <s v="2026-01-23"/>
    <n v="4.2184999999999997"/>
    <n v="0.23710000000000001"/>
    <n v="1"/>
    <n v="4.2127999999999997"/>
    <n v="359803.65209599998"/>
    <s v="POLAND PL"/>
  </r>
  <r>
    <s v="BKMILL"/>
    <n v="158689"/>
    <n v="219517"/>
    <s v="Forward"/>
    <x v="550"/>
    <s v="Sell Fwd"/>
    <s v="EUR"/>
    <n v="-20000"/>
    <s v="PLN"/>
    <n v="84174"/>
    <s v="2026-01-26"/>
    <n v="4.2088999999999999"/>
    <n v="0.23760000000000001"/>
    <n v="4.2050000000000001"/>
    <n v="1"/>
    <n v="74"/>
    <s v="POLAND PL"/>
  </r>
  <r>
    <s v="BKMILL"/>
    <n v="158691"/>
    <n v="907788"/>
    <s v="Spot"/>
    <x v="46"/>
    <s v="Buy"/>
    <s v="EUR"/>
    <n v="3100"/>
    <s v="PLN"/>
    <n v="-13018.76"/>
    <s v="2026-01-27"/>
    <n v="4.1996000000000002"/>
    <n v="0.23810000000000001"/>
    <n v="4.2118000000000002"/>
    <n v="1"/>
    <n v="37.82"/>
    <s v="POLAND PL"/>
  </r>
  <r>
    <s v="BKMILL"/>
    <n v="158692"/>
    <n v="219525"/>
    <s v="Forward"/>
    <x v="70"/>
    <s v="Buy Fwd"/>
    <s v="EUR"/>
    <n v="36246.94"/>
    <s v="PLN"/>
    <n v="152237.15"/>
    <s v="2026-01-23"/>
    <n v="4.2"/>
    <n v="0.23810000000000001"/>
    <n v="4.2127999999999997"/>
    <n v="1"/>
    <n v="304938.25883200002"/>
    <s v="POLAND PL"/>
  </r>
  <r>
    <s v="BKMILL"/>
    <n v="158693"/>
    <n v="219526"/>
    <s v="Forward"/>
    <x v="555"/>
    <s v="Sell Fwd"/>
    <s v="EUR"/>
    <n v="-50000"/>
    <s v="PLN"/>
    <n v="210575"/>
    <s v="2026-01-23"/>
    <n v="4.2122999999999999"/>
    <n v="0.2374"/>
    <n v="4.2127999999999997"/>
    <n v="1"/>
    <n v="-65"/>
    <s v="POLAND PL"/>
  </r>
  <r>
    <s v="BKMILL"/>
    <n v="158694"/>
    <n v="219527"/>
    <s v="Forward"/>
    <x v="556"/>
    <s v="Sell Fwd"/>
    <s v="EUR"/>
    <n v="-60000"/>
    <s v="PLN"/>
    <n v="252438"/>
    <s v="2026-01-23"/>
    <n v="4.2073"/>
    <n v="0.23769999999999999"/>
    <n v="4.2127999999999997"/>
    <n v="1"/>
    <n v="-330"/>
    <s v="POLAND PL"/>
  </r>
  <r>
    <s v="BKMILL"/>
    <n v="158695"/>
    <n v="219529"/>
    <s v="Forward"/>
    <x v="289"/>
    <s v="Sell Fwd"/>
    <s v="EUR"/>
    <n v="-70000"/>
    <s v="PLN"/>
    <n v="294462"/>
    <s v="2026-01-30"/>
    <n v="4.2057000000000002"/>
    <n v="0.23780000000000001"/>
    <n v="4.2072000000000003"/>
    <n v="1"/>
    <n v="-42"/>
    <s v="POLAND PL"/>
  </r>
  <r>
    <s v="BKMILL"/>
    <n v="158696"/>
    <n v="219531"/>
    <s v="Forward"/>
    <x v="292"/>
    <s v="Buy Fwd"/>
    <s v="EUR"/>
    <n v="6000"/>
    <s v="PLN"/>
    <n v="24900"/>
    <s v="2026-01-23"/>
    <n v="4.1509"/>
    <n v="0.2409"/>
    <n v="4.2127999999999997"/>
    <n v="1"/>
    <n v="50176.800000000003"/>
    <s v="POLAND PL"/>
  </r>
  <r>
    <s v="BKMILL"/>
    <n v="158697"/>
    <n v="907816"/>
    <s v="Spot"/>
    <x v="47"/>
    <s v="Buy"/>
    <s v="EUR"/>
    <n v="500000"/>
    <s v="PLN"/>
    <n v="-2101750"/>
    <s v="2026-01-27"/>
    <n v="4.2035"/>
    <n v="0.2379"/>
    <n v="4.2118000000000002"/>
    <n v="1"/>
    <n v="4150"/>
    <s v="FRANCE FR"/>
  </r>
  <r>
    <s v="BKMILL"/>
    <n v="158698"/>
    <n v="219535"/>
    <s v="Forward"/>
    <x v="32"/>
    <s v="Sell Fwd"/>
    <s v="EUR"/>
    <n v="-20000"/>
    <s v="PLN"/>
    <n v="84114"/>
    <s v="2026-01-23"/>
    <n v="4.2065000000000001"/>
    <n v="0.23769999999999999"/>
    <n v="4.2127999999999997"/>
    <n v="1"/>
    <n v="-142"/>
    <s v="POLAND PL"/>
  </r>
  <r>
    <s v="BKMILL"/>
    <n v="158699"/>
    <n v="219536"/>
    <s v="Forward"/>
    <x v="32"/>
    <s v="Sell Fwd"/>
    <s v="EUR"/>
    <n v="-20000"/>
    <s v="PLN"/>
    <n v="84114"/>
    <s v="2026-01-23"/>
    <n v="4.2065000000000001"/>
    <n v="0.23769999999999999"/>
    <n v="4.2127999999999997"/>
    <n v="1"/>
    <n v="-142"/>
    <s v="POLAND PL"/>
  </r>
  <r>
    <s v="BKMILL"/>
    <n v="158700"/>
    <n v="907838"/>
    <s v="Spot"/>
    <x v="557"/>
    <s v="Buy"/>
    <s v="EUR"/>
    <n v="3000"/>
    <s v="PLN"/>
    <n v="-12603.3"/>
    <s v="2026-01-27"/>
    <n v="4.2011000000000003"/>
    <n v="0.23799999999999999"/>
    <n v="4.2118000000000002"/>
    <n v="1"/>
    <n v="32.1"/>
    <s v="POLAND PL"/>
  </r>
  <r>
    <s v="BKMILL"/>
    <n v="158704"/>
    <n v="219541"/>
    <s v="Forward"/>
    <x v="32"/>
    <s v="Sell Fwd"/>
    <s v="EUR"/>
    <n v="-20000"/>
    <s v="PLN"/>
    <n v="84120"/>
    <s v="2026-01-26"/>
    <n v="4.2061999999999999"/>
    <n v="0.23769999999999999"/>
    <n v="4.2050000000000001"/>
    <n v="1"/>
    <n v="20"/>
    <s v="POLAND PL"/>
  </r>
  <r>
    <s v="BKMILL"/>
    <n v="158705"/>
    <n v="219542"/>
    <s v="Forward"/>
    <x v="32"/>
    <s v="Sell Fwd"/>
    <s v="EUR"/>
    <n v="-20000"/>
    <s v="PLN"/>
    <n v="84122"/>
    <s v="2026-01-26"/>
    <n v="4.2062999999999997"/>
    <n v="0.23769999999999999"/>
    <n v="4.2050000000000001"/>
    <n v="1"/>
    <n v="22"/>
    <s v="POLAND PL"/>
  </r>
  <r>
    <s v="BKMILL"/>
    <n v="158706"/>
    <n v="219543"/>
    <s v="Forward"/>
    <x v="558"/>
    <s v="Sell Fwd"/>
    <s v="EUR"/>
    <n v="-50000"/>
    <s v="PLN"/>
    <n v="210575"/>
    <s v="2026-01-23"/>
    <n v="4.2115"/>
    <n v="0.2374"/>
    <n v="4.2127999999999997"/>
    <n v="1"/>
    <n v="-65"/>
    <s v="POLAND PL"/>
  </r>
  <r>
    <s v="BKMILL"/>
    <n v="158709"/>
    <n v="219548"/>
    <s v="Forward"/>
    <x v="199"/>
    <s v="Buy Fwd"/>
    <s v="EUR"/>
    <n v="30000"/>
    <s v="PLN"/>
    <n v="125805"/>
    <s v="2026-01-23"/>
    <n v="4.1935000000000002"/>
    <n v="0.23849999999999999"/>
    <n v="4.2127999999999997"/>
    <n v="1"/>
    <n v="252189"/>
    <s v="POLAND PL"/>
  </r>
  <r>
    <s v="BKMILL"/>
    <n v="158710"/>
    <n v="219550"/>
    <s v="Forward"/>
    <x v="24"/>
    <s v="Buy Fwd"/>
    <s v="EUR"/>
    <n v="15000"/>
    <s v="PLN"/>
    <n v="63010.5"/>
    <s v="2026-01-23"/>
    <n v="4.2016"/>
    <n v="0.23799999999999999"/>
    <n v="4.2127999999999997"/>
    <n v="1"/>
    <n v="126202.5"/>
    <s v="POLAND PL"/>
  </r>
  <r>
    <s v="BKMILL"/>
    <n v="158711"/>
    <n v="219551"/>
    <s v="Forward"/>
    <x v="439"/>
    <s v="Sell Fwd"/>
    <s v="USD"/>
    <n v="-500000"/>
    <s v="PLN"/>
    <n v="1806000"/>
    <s v="2026-01-23"/>
    <n v="3.6120000000000001"/>
    <n v="0.27689999999999998"/>
    <n v="3.6027999999999998"/>
    <n v="1"/>
    <n v="4600"/>
    <s v="POLAND PL"/>
  </r>
  <r>
    <s v="BKMILL"/>
    <n v="158712"/>
    <n v="907883"/>
    <s v="Spot"/>
    <x v="44"/>
    <s v="Buy"/>
    <s v="USD"/>
    <n v="500000"/>
    <s v="PLN"/>
    <n v="-1791000"/>
    <s v="2026-01-27"/>
    <n v="3.5819999999999999"/>
    <n v="0.2792"/>
    <n v="3.5499000000000001"/>
    <n v="1"/>
    <n v="-16050"/>
    <s v="GERMANY DE"/>
  </r>
  <r>
    <s v="BKMILL"/>
    <n v="158713"/>
    <n v="907884"/>
    <s v="Spot"/>
    <x v="38"/>
    <s v="Buy"/>
    <s v="USD"/>
    <n v="500000"/>
    <s v="PLN"/>
    <n v="-1791125"/>
    <s v="2026-01-27"/>
    <n v="3.5823"/>
    <n v="0.2792"/>
    <n v="3.5499000000000001"/>
    <n v="1"/>
    <n v="-16175"/>
    <s v="NETHERLANDS NL"/>
  </r>
  <r>
    <s v="BKMILL"/>
    <n v="158714"/>
    <n v="219552"/>
    <s v="Forward"/>
    <x v="32"/>
    <s v="Sell Fwd"/>
    <s v="EUR"/>
    <n v="-20000"/>
    <s v="PLN"/>
    <n v="84130"/>
    <s v="2026-01-26"/>
    <n v="4.2066999999999997"/>
    <n v="0.23769999999999999"/>
    <n v="4.2050000000000001"/>
    <n v="1"/>
    <n v="30"/>
    <s v="POLAND PL"/>
  </r>
  <r>
    <s v="BKMILL"/>
    <n v="158715"/>
    <n v="219553"/>
    <s v="Forward"/>
    <x v="32"/>
    <s v="Sell Fwd"/>
    <s v="EUR"/>
    <n v="-20000"/>
    <s v="PLN"/>
    <n v="84130"/>
    <s v="2026-01-26"/>
    <n v="4.2066999999999997"/>
    <n v="0.23769999999999999"/>
    <n v="4.2050000000000001"/>
    <n v="1"/>
    <n v="30"/>
    <s v="POLAND PL"/>
  </r>
  <r>
    <s v="BKMILL"/>
    <n v="158716"/>
    <n v="219554"/>
    <s v="Forward"/>
    <x v="32"/>
    <s v="Sell Fwd"/>
    <s v="EUR"/>
    <n v="-20000"/>
    <s v="PLN"/>
    <n v="84130"/>
    <s v="2026-01-26"/>
    <n v="4.2066999999999997"/>
    <n v="0.23769999999999999"/>
    <n v="4.2050000000000001"/>
    <n v="1"/>
    <n v="30"/>
    <s v="POLAND PL"/>
  </r>
  <r>
    <s v="BKMILL"/>
    <n v="158717"/>
    <n v="219555"/>
    <s v="Forward"/>
    <x v="93"/>
    <s v="Sell Fwd"/>
    <s v="EUR"/>
    <n v="-50000"/>
    <s v="PLN"/>
    <n v="210300"/>
    <s v="2026-01-23"/>
    <n v="4.2068000000000003"/>
    <n v="0.23769999999999999"/>
    <n v="4.2127999999999997"/>
    <n v="1"/>
    <n v="-340"/>
    <s v="POLAND PL"/>
  </r>
  <r>
    <s v="BKMILL"/>
    <n v="158718"/>
    <n v="219556"/>
    <s v="Forward"/>
    <x v="32"/>
    <s v="Sell Fwd"/>
    <s v="EUR"/>
    <n v="-20000"/>
    <s v="PLN"/>
    <n v="84134"/>
    <s v="2026-01-26"/>
    <n v="4.2069000000000001"/>
    <n v="0.23769999999999999"/>
    <n v="4.2050000000000001"/>
    <n v="1"/>
    <n v="34"/>
    <s v="POLAND PL"/>
  </r>
  <r>
    <s v="BKMILL"/>
    <n v="158719"/>
    <n v="219558"/>
    <s v="Forward"/>
    <x v="172"/>
    <s v="Buy Fwd"/>
    <s v="EUR"/>
    <n v="70000"/>
    <s v="PLN"/>
    <n v="293790"/>
    <s v="2026-01-23"/>
    <n v="4.1970000000000001"/>
    <n v="0.23830000000000001"/>
    <n v="4.2127999999999997"/>
    <n v="1"/>
    <n v="588686"/>
    <s v="POLAND PL"/>
  </r>
  <r>
    <s v="BKMILL"/>
    <n v="158720"/>
    <n v="219560"/>
    <s v="Forward"/>
    <x v="288"/>
    <s v="Buy Fwd"/>
    <s v="EUR"/>
    <n v="50000"/>
    <s v="PLN"/>
    <n v="209850"/>
    <s v="2026-01-23"/>
    <n v="4.1970000000000001"/>
    <n v="0.23830000000000001"/>
    <n v="4.2127999999999997"/>
    <n v="1"/>
    <n v="420490"/>
    <s v="POLAND PL"/>
  </r>
  <r>
    <s v="BKMILL"/>
    <n v="158723"/>
    <n v="219562"/>
    <s v="Forward"/>
    <x v="32"/>
    <s v="Sell Fwd"/>
    <s v="EUR"/>
    <n v="-20000"/>
    <s v="PLN"/>
    <n v="84132"/>
    <s v="2026-01-26"/>
    <n v="4.2068000000000003"/>
    <n v="0.23769999999999999"/>
    <n v="4.2050000000000001"/>
    <n v="1"/>
    <n v="32"/>
    <s v="POLAND PL"/>
  </r>
  <r>
    <s v="BKMILL"/>
    <n v="158724"/>
    <n v="219563"/>
    <s v="Forward"/>
    <x v="32"/>
    <s v="Sell Fwd"/>
    <s v="EUR"/>
    <n v="-20000"/>
    <s v="PLN"/>
    <n v="84130"/>
    <s v="2026-01-26"/>
    <n v="4.2066999999999997"/>
    <n v="0.23769999999999999"/>
    <n v="4.2050000000000001"/>
    <n v="1"/>
    <n v="30"/>
    <s v="POLAND PL"/>
  </r>
  <r>
    <s v="BKMILL"/>
    <n v="158725"/>
    <n v="907921"/>
    <s v="Spot"/>
    <x v="32"/>
    <s v="Sell"/>
    <s v="EUR"/>
    <n v="-20000"/>
    <s v="PLN"/>
    <n v="84130"/>
    <s v="2026-01-27"/>
    <n v="4.2065000000000001"/>
    <n v="0.23769999999999999"/>
    <n v="4.2118000000000002"/>
    <n v="1"/>
    <n v="-106"/>
    <s v="POLAND PL"/>
  </r>
  <r>
    <s v="BKMILL"/>
    <n v="158726"/>
    <n v="219565"/>
    <s v="Forward"/>
    <x v="32"/>
    <s v="Sell Fwd"/>
    <s v="EUR"/>
    <n v="-20000"/>
    <s v="PLN"/>
    <n v="84134"/>
    <s v="2026-01-28"/>
    <n v="4.2065000000000001"/>
    <n v="0.23769999999999999"/>
    <n v="4.2031999999999998"/>
    <n v="1"/>
    <n v="70"/>
    <s v="POLAND PL"/>
  </r>
  <r>
    <s v="BKMILL"/>
    <n v="158727"/>
    <n v="219567"/>
    <s v="Forward"/>
    <x v="246"/>
    <s v="Buy Fwd"/>
    <s v="EUR"/>
    <n v="51000"/>
    <s v="PLN"/>
    <n v="213690"/>
    <s v="2026-01-23"/>
    <n v="4.1910999999999996"/>
    <n v="0.23860000000000001"/>
    <n v="4.2127999999999997"/>
    <n v="1"/>
    <n v="428542.8"/>
    <s v="POLAND PL"/>
  </r>
  <r>
    <s v="BKMILL"/>
    <n v="158729"/>
    <n v="907938"/>
    <s v="Spot"/>
    <x v="559"/>
    <s v="Buy"/>
    <s v="EUR"/>
    <n v="36000"/>
    <s v="PLN"/>
    <n v="-151214.39999999999"/>
    <s v="2026-01-27"/>
    <n v="4.2004000000000001"/>
    <n v="0.23810000000000001"/>
    <n v="4.2118000000000002"/>
    <n v="1"/>
    <n v="410.4"/>
    <s v="POLAND PL"/>
  </r>
  <r>
    <s v="BKMILL"/>
    <n v="158731"/>
    <n v="907963"/>
    <s v="Spot"/>
    <x v="39"/>
    <s v="Buy"/>
    <s v="EUR"/>
    <n v="500000"/>
    <s v="PLN"/>
    <n v="-2103025"/>
    <s v="2026-01-27"/>
    <n v="4.2061000000000002"/>
    <n v="0.23780000000000001"/>
    <n v="4.2118000000000002"/>
    <n v="1"/>
    <n v="2875"/>
    <s v="UNITED KINGDOM GB"/>
  </r>
  <r>
    <s v="BKMILL"/>
    <n v="158732"/>
    <n v="907964"/>
    <s v="Spot"/>
    <x v="39"/>
    <s v="Buy"/>
    <s v="EUR"/>
    <n v="500000"/>
    <s v="PLN"/>
    <n v="-2103025"/>
    <s v="2026-01-27"/>
    <n v="4.2061000000000002"/>
    <n v="0.23780000000000001"/>
    <n v="4.2118000000000002"/>
    <n v="1"/>
    <n v="2875"/>
    <s v="UNITED KINGDOM GB"/>
  </r>
  <r>
    <s v="BKMILL"/>
    <n v="158733"/>
    <n v="907965"/>
    <s v="Spot"/>
    <x v="38"/>
    <s v="Buy"/>
    <s v="EUR"/>
    <n v="500000"/>
    <s v="PLN"/>
    <n v="-2103045"/>
    <s v="2026-01-27"/>
    <n v="4.2061000000000002"/>
    <n v="0.23780000000000001"/>
    <n v="4.2118000000000002"/>
    <n v="1"/>
    <n v="2855"/>
    <s v="NETHERLANDS NL"/>
  </r>
  <r>
    <s v="BKMILL"/>
    <n v="158734"/>
    <n v="219578"/>
    <s v="Forward"/>
    <x v="326"/>
    <s v="Sell Fwd"/>
    <s v="EUR"/>
    <n v="-1500000"/>
    <s v="PLN"/>
    <n v="6313500"/>
    <s v="2026-01-23"/>
    <n v="4.2089999999999996"/>
    <n v="0.23760000000000001"/>
    <n v="4.2127999999999997"/>
    <n v="1"/>
    <n v="-5700"/>
    <s v="POLAND PL"/>
  </r>
  <r>
    <s v="BKMILL"/>
    <n v="158735"/>
    <n v="219581"/>
    <s v="Forward"/>
    <x v="127"/>
    <s v="Buy Fwd"/>
    <s v="EUR"/>
    <n v="24000"/>
    <s v="USD"/>
    <n v="28135.200000000001"/>
    <s v="2026-01-23"/>
    <n v="1.1726000000000001"/>
    <n v="0.8528"/>
    <n v="4.2127999999999997"/>
    <n v="3.6027999999999998"/>
    <n v="202472.69855999999"/>
    <s v="POLAND PL"/>
  </r>
  <r>
    <s v="BKMILL"/>
    <n v="158737"/>
    <n v="219582"/>
    <s v="Forward"/>
    <x v="122"/>
    <s v="Buy Fwd"/>
    <s v="EUR"/>
    <n v="50000"/>
    <s v="PLN"/>
    <n v="210000"/>
    <s v="2026-01-23"/>
    <n v="4.2"/>
    <n v="0.23810000000000001"/>
    <n v="4.2127999999999997"/>
    <n v="1"/>
    <n v="420640"/>
    <s v="POLAND PL"/>
  </r>
  <r>
    <s v="BKMILL"/>
    <n v="158738"/>
    <n v="219584"/>
    <s v="Forward"/>
    <x v="219"/>
    <s v="Sell Fwd"/>
    <s v="USD"/>
    <n v="-55000"/>
    <s v="PLN"/>
    <n v="197340"/>
    <s v="2026-01-23"/>
    <n v="3.5880999999999998"/>
    <n v="0.2787"/>
    <n v="3.6027999999999998"/>
    <n v="1"/>
    <n v="-814"/>
    <s v="POLAND PL"/>
  </r>
  <r>
    <s v="BKMILL"/>
    <n v="158741"/>
    <n v="219591"/>
    <s v="Forward"/>
    <x v="477"/>
    <s v="Sell Fwd"/>
    <s v="EUR"/>
    <n v="-20500"/>
    <s v="PLN"/>
    <n v="86438.25"/>
    <s v="2026-01-23"/>
    <n v="4.2164999999999999"/>
    <n v="0.23719999999999999"/>
    <n v="4.2127999999999997"/>
    <n v="1"/>
    <n v="75.849999999999994"/>
    <s v="POLAND PL"/>
  </r>
  <r>
    <s v="BKMILL"/>
    <n v="158742"/>
    <n v="219592"/>
    <s v="Forward"/>
    <x v="560"/>
    <s v="Sell Fwd"/>
    <s v="EUR"/>
    <n v="-24527.37"/>
    <s v="PLN"/>
    <n v="103431.92"/>
    <s v="2026-01-23"/>
    <n v="4.2169999999999996"/>
    <n v="0.23710000000000001"/>
    <n v="4.2127999999999997"/>
    <n v="1"/>
    <n v="103.015664"/>
    <s v="POLAND PL"/>
  </r>
  <r>
    <s v="BKMILL"/>
    <n v="158744"/>
    <n v="908036"/>
    <s v="Spot"/>
    <x v="43"/>
    <s v="Sell"/>
    <s v="EUR"/>
    <n v="-100000"/>
    <s v="CAD"/>
    <n v="161851"/>
    <s v="2026-01-27"/>
    <n v="1.6185"/>
    <n v="0.6179"/>
    <n v="4.2118000000000002"/>
    <n v="2.5958999999999999"/>
    <n v="-1030.9891"/>
    <s v="FRANCE FR"/>
  </r>
  <r>
    <s v="BKMILL"/>
    <n v="158745"/>
    <n v="219599"/>
    <s v="Forward"/>
    <x v="127"/>
    <s v="Sell Fwd"/>
    <s v="USD"/>
    <n v="-35000"/>
    <s v="PLN"/>
    <n v="125629"/>
    <s v="2026-01-23"/>
    <n v="3.5895000000000001"/>
    <n v="0.27860000000000001"/>
    <n v="3.6027999999999998"/>
    <n v="1"/>
    <n v="-469"/>
    <s v="POLAND PL"/>
  </r>
  <r>
    <s v="BKMILL"/>
    <n v="158746"/>
    <n v="219602"/>
    <s v="Forward"/>
    <x v="561"/>
    <s v="Buy Fwd"/>
    <s v="EUR"/>
    <n v="20000"/>
    <s v="PLN"/>
    <n v="83840"/>
    <s v="2026-01-23"/>
    <n v="4.1931000000000003"/>
    <n v="0.23849999999999999"/>
    <n v="4.2127999999999997"/>
    <n v="1"/>
    <n v="168096"/>
    <s v="POLAND PL"/>
  </r>
  <r>
    <s v="BKMILL"/>
    <n v="158747"/>
    <n v="219605"/>
    <s v="Forward"/>
    <x v="200"/>
    <s v="Sell Fwd"/>
    <s v="EUR"/>
    <n v="-50000"/>
    <s v="PLN"/>
    <n v="210955"/>
    <s v="2026-01-23"/>
    <n v="4.2202000000000002"/>
    <n v="0.23699999999999999"/>
    <n v="4.2127999999999997"/>
    <n v="1"/>
    <n v="315"/>
    <s v="POLAND PL"/>
  </r>
  <r>
    <s v="BKMILL"/>
    <n v="158749"/>
    <n v="908065"/>
    <s v="Spot"/>
    <x v="44"/>
    <s v="Buy"/>
    <s v="EUR"/>
    <n v="500000"/>
    <s v="PLN"/>
    <n v="-2102650"/>
    <s v="2026-01-27"/>
    <n v="4.2053000000000003"/>
    <n v="0.23780000000000001"/>
    <n v="4.2118000000000002"/>
    <n v="1"/>
    <n v="3250"/>
    <s v="GERMANY DE"/>
  </r>
  <r>
    <s v="BKMILL"/>
    <n v="158750"/>
    <n v="908066"/>
    <s v="Spot"/>
    <x v="44"/>
    <s v="Buy"/>
    <s v="EUR"/>
    <n v="500000"/>
    <s v="PLN"/>
    <n v="-2102740"/>
    <s v="2026-01-27"/>
    <n v="4.2054999999999998"/>
    <n v="0.23780000000000001"/>
    <n v="4.2118000000000002"/>
    <n v="1"/>
    <n v="3160"/>
    <s v="GERMANY DE"/>
  </r>
  <r>
    <s v="BKMILL"/>
    <n v="158752"/>
    <n v="219611"/>
    <s v="Forward"/>
    <x v="132"/>
    <s v="Buy Fwd"/>
    <s v="PLN"/>
    <n v="3980000"/>
    <s v="EUR"/>
    <n v="944807.12"/>
    <s v="2026-01-23"/>
    <n v="4.2133000000000003"/>
    <n v="0.23730000000000001"/>
    <n v="1"/>
    <n v="4.2127999999999997"/>
    <n v="7960283.4351359997"/>
    <s v="POLAND PL"/>
  </r>
  <r>
    <s v="BKMILL"/>
    <n v="158756"/>
    <n v="219615"/>
    <s v="Forward"/>
    <x v="91"/>
    <s v="Sell Fwd"/>
    <s v="GBP"/>
    <n v="-85000"/>
    <s v="PLN"/>
    <n v="412564.5"/>
    <s v="2026-01-30"/>
    <n v="4.8535000000000004"/>
    <n v="0.20599999999999999"/>
    <n v="4.8574000000000002"/>
    <n v="1"/>
    <n v="-314.5"/>
    <s v="POLAND PL"/>
  </r>
  <r>
    <s v="BKMILL"/>
    <n v="158757"/>
    <n v="908105"/>
    <s v="Spot"/>
    <x v="44"/>
    <s v="Buy"/>
    <s v="USD"/>
    <n v="500000"/>
    <s v="PLN"/>
    <n v="-1792595"/>
    <s v="2026-01-27"/>
    <n v="3.5851999999999999"/>
    <n v="0.27889999999999998"/>
    <n v="3.5499000000000001"/>
    <n v="1"/>
    <n v="-17645"/>
    <s v="GERMANY DE"/>
  </r>
  <r>
    <s v="BKMILL"/>
    <n v="158758"/>
    <n v="908106"/>
    <s v="Spot"/>
    <x v="47"/>
    <s v="Buy"/>
    <s v="USD"/>
    <n v="500000"/>
    <s v="PLN"/>
    <n v="-1792580"/>
    <s v="2026-01-27"/>
    <n v="3.5851999999999999"/>
    <n v="0.27889999999999998"/>
    <n v="3.5499000000000001"/>
    <n v="1"/>
    <n v="-17630"/>
    <s v="FRANCE FR"/>
  </r>
  <r>
    <s v="BKMILL"/>
    <n v="158759"/>
    <n v="219618"/>
    <s v="Forward"/>
    <x v="382"/>
    <s v="Sell Fwd"/>
    <s v="USD"/>
    <n v="-920000"/>
    <s v="PLN"/>
    <n v="3299580"/>
    <s v="2026-01-23"/>
    <n v="3.5865"/>
    <n v="0.27879999999999999"/>
    <n v="3.6027999999999998"/>
    <n v="1"/>
    <n v="-14996"/>
    <s v="POLAND PL"/>
  </r>
  <r>
    <s v="BKMILL"/>
    <n v="158760"/>
    <n v="219619"/>
    <s v="Forward"/>
    <x v="247"/>
    <s v="Sell Fwd"/>
    <s v="EUR"/>
    <n v="-100000"/>
    <s v="PLN"/>
    <n v="420860"/>
    <s v="2026-01-23"/>
    <n v="4.2093999999999996"/>
    <n v="0.23760000000000001"/>
    <n v="4.2127999999999997"/>
    <n v="1"/>
    <n v="-420"/>
    <s v="POLAND PL"/>
  </r>
  <r>
    <s v="BKMILL"/>
    <n v="158783"/>
    <n v="908204"/>
    <s v="Spot"/>
    <x v="36"/>
    <s v="Sell"/>
    <s v="EUR"/>
    <n v="-100000"/>
    <s v="GBP"/>
    <n v="86781"/>
    <s v="2026-01-27"/>
    <n v="0.86780000000000002"/>
    <n v="1.1523000000000001"/>
    <n v="4.2118000000000002"/>
    <n v="4.8536999999999999"/>
    <n v="28.939699999999998"/>
    <s v="UNITED KINGDOM GB"/>
  </r>
  <r>
    <s v="BKMILL"/>
    <n v="158792"/>
    <n v="219643"/>
    <s v="Forward"/>
    <x v="74"/>
    <s v="Buy Fwd"/>
    <s v="EUR"/>
    <n v="75000"/>
    <s v="PLN"/>
    <n v="314250"/>
    <s v="2026-01-23"/>
    <n v="4.1900000000000004"/>
    <n v="0.2387"/>
    <n v="4.2127999999999997"/>
    <n v="1"/>
    <n v="630210"/>
    <s v="POLAND PL"/>
  </r>
  <r>
    <s v="BKMILL"/>
    <n v="158793"/>
    <n v="219645"/>
    <s v="Forward"/>
    <x v="265"/>
    <s v="Sell Fwd"/>
    <s v="USD"/>
    <n v="-5000"/>
    <s v="PLN"/>
    <n v="17980"/>
    <s v="2026-01-23"/>
    <n v="3.5964999999999998"/>
    <n v="0.27800000000000002"/>
    <n v="3.6027999999999998"/>
    <n v="1"/>
    <n v="-34"/>
    <s v="POLAND PL"/>
  </r>
  <r>
    <s v="BKMILL"/>
    <n v="158794"/>
    <n v="219646"/>
    <s v="Forward"/>
    <x v="267"/>
    <s v="Buy Fwd"/>
    <s v="EUR"/>
    <n v="19514.27"/>
    <s v="USD"/>
    <n v="22900"/>
    <s v="2026-01-23"/>
    <n v="1.165"/>
    <n v="0.85840000000000005"/>
    <n v="4.2127999999999997"/>
    <n v="3.6027999999999998"/>
    <n v="164713.836656"/>
    <s v="POLAND PL"/>
  </r>
  <r>
    <s v="BKMILL"/>
    <n v="158795"/>
    <n v="908239"/>
    <s v="Spot"/>
    <x v="40"/>
    <s v="Sell"/>
    <s v="EUR"/>
    <n v="-100000"/>
    <s v="USD"/>
    <n v="117374"/>
    <s v="2026-01-27"/>
    <n v="1.1737"/>
    <n v="0.85199999999999998"/>
    <n v="4.2118000000000002"/>
    <n v="3.5499000000000001"/>
    <n v="-4514.0374000000002"/>
    <s v="UNITED STATES OF AMERICA US"/>
  </r>
  <r>
    <s v="BKMILL"/>
    <n v="158799"/>
    <n v="219654"/>
    <s v="Forward"/>
    <x v="344"/>
    <s v="Buy Fwd"/>
    <s v="EUR"/>
    <n v="80000"/>
    <s v="PLN"/>
    <n v="336000"/>
    <s v="2026-01-23"/>
    <n v="4.2"/>
    <n v="0.23810000000000001"/>
    <n v="4.2127999999999997"/>
    <n v="1"/>
    <n v="673024"/>
    <s v="POLAND PL"/>
  </r>
  <r>
    <s v="BKMILL"/>
    <n v="158807"/>
    <n v="219664"/>
    <s v="Forward"/>
    <x v="139"/>
    <s v="Buy Fwd"/>
    <s v="EUR"/>
    <n v="203057.01"/>
    <s v="PLN"/>
    <n v="852352.11"/>
    <s v="2026-01-23"/>
    <n v="4.1985000000000001"/>
    <n v="0.2382"/>
    <n v="4.2127999999999997"/>
    <n v="1"/>
    <n v="1707790.6817280001"/>
    <s v="POLAND PL"/>
  </r>
  <r>
    <s v="BKMILL"/>
    <n v="158813"/>
    <n v="219676"/>
    <s v="Forward"/>
    <x v="156"/>
    <s v="Buy Fwd"/>
    <s v="EUR"/>
    <n v="2000"/>
    <s v="PLN"/>
    <n v="8388"/>
    <s v="2026-01-23"/>
    <n v="4.194"/>
    <n v="0.2384"/>
    <n v="4.2127999999999997"/>
    <n v="1"/>
    <n v="16813.599999999999"/>
    <s v="POLAND PL"/>
  </r>
  <r>
    <s v="BKMILL"/>
    <n v="158814"/>
    <n v="219681"/>
    <s v="Forward"/>
    <x v="261"/>
    <s v="Buy Fwd"/>
    <s v="EUR"/>
    <n v="150000"/>
    <s v="PLN"/>
    <n v="630285"/>
    <s v="2026-01-23"/>
    <n v="4.2027999999999999"/>
    <n v="0.2379"/>
    <n v="4.2127999999999997"/>
    <n v="1"/>
    <n v="1262205"/>
    <s v="POLAND PL"/>
  </r>
  <r>
    <s v="BKMILL"/>
    <n v="158816"/>
    <n v="219686"/>
    <s v="Forward"/>
    <x v="140"/>
    <s v="Buy Fwd"/>
    <s v="USD"/>
    <n v="5000"/>
    <s v="PLN"/>
    <n v="17800"/>
    <s v="2026-01-23"/>
    <n v="3.5604"/>
    <n v="0.28089999999999998"/>
    <n v="3.6027999999999998"/>
    <n v="1"/>
    <n v="35814"/>
    <s v="POLAND PL"/>
  </r>
  <r>
    <s v="BKMILL"/>
    <n v="158817"/>
    <n v="908363"/>
    <s v="Spot"/>
    <x v="40"/>
    <s v="Sell"/>
    <s v="EUR"/>
    <n v="-100000"/>
    <s v="USD"/>
    <n v="117387"/>
    <s v="2026-01-27"/>
    <n v="1.1738999999999999"/>
    <n v="0.85189999999999999"/>
    <n v="4.2118000000000002"/>
    <n v="3.5499000000000001"/>
    <n v="-4467.8887000000004"/>
    <s v="UNITED STATES OF AMERICA US"/>
  </r>
  <r>
    <s v="BKMILL"/>
    <n v="158818"/>
    <n v="908369"/>
    <s v="Spot"/>
    <x v="40"/>
    <s v="Sell"/>
    <s v="EUR"/>
    <n v="-100000"/>
    <s v="USD"/>
    <n v="117384"/>
    <s v="2026-01-27"/>
    <n v="1.1738"/>
    <n v="0.85189999999999999"/>
    <n v="4.2118000000000002"/>
    <n v="3.5499000000000001"/>
    <n v="-4478.5384000000004"/>
    <s v="UNITED STATES OF AMERICA US"/>
  </r>
  <r>
    <s v="BKMILL"/>
    <n v="158819"/>
    <n v="908382"/>
    <s v="Spot"/>
    <x v="38"/>
    <s v="Buy"/>
    <s v="EUR"/>
    <n v="500000"/>
    <s v="PLN"/>
    <n v="-2102675"/>
    <s v="2026-01-27"/>
    <n v="4.2054"/>
    <n v="0.23780000000000001"/>
    <n v="4.2118000000000002"/>
    <n v="1"/>
    <n v="3225"/>
    <s v="NETHERLANDS NL"/>
  </r>
  <r>
    <s v="BKMILL"/>
    <n v="158820"/>
    <n v="908383"/>
    <s v="Spot"/>
    <x v="44"/>
    <s v="Buy"/>
    <s v="EUR"/>
    <n v="500000"/>
    <s v="PLN"/>
    <n v="-2102600"/>
    <s v="2026-01-27"/>
    <n v="4.2051999999999996"/>
    <n v="0.23780000000000001"/>
    <n v="4.2118000000000002"/>
    <n v="1"/>
    <n v="3300"/>
    <s v="GERMANY DE"/>
  </r>
  <r>
    <s v="BKMILL"/>
    <n v="158821"/>
    <n v="219691"/>
    <s v="Forward"/>
    <x v="193"/>
    <s v="Sell Fwd"/>
    <s v="EUR"/>
    <n v="-200000"/>
    <s v="PLN"/>
    <n v="842000"/>
    <s v="2026-01-23"/>
    <n v="4.2107999999999999"/>
    <n v="0.23749999999999999"/>
    <n v="4.2127999999999997"/>
    <n v="1"/>
    <n v="-560"/>
    <s v="POLAND PL"/>
  </r>
  <r>
    <s v="BKMILL"/>
    <n v="158823"/>
    <n v="908391"/>
    <s v="Spot"/>
    <x v="44"/>
    <s v="Sell"/>
    <s v="EUR"/>
    <n v="-500000"/>
    <s v="PLN"/>
    <n v="2102750"/>
    <s v="2026-01-27"/>
    <n v="4.2054999999999998"/>
    <n v="0.23780000000000001"/>
    <n v="4.2118000000000002"/>
    <n v="1"/>
    <n v="-3150"/>
    <s v="GERMANY DE"/>
  </r>
  <r>
    <s v="BKMILL"/>
    <n v="158826"/>
    <n v="219693"/>
    <s v="Forward"/>
    <x v="115"/>
    <s v="Sell Fwd"/>
    <s v="USD"/>
    <n v="-10000"/>
    <s v="PLN"/>
    <n v="35910"/>
    <s v="2026-01-23"/>
    <n v="3.5911"/>
    <n v="0.27850000000000003"/>
    <n v="3.6027999999999998"/>
    <n v="1"/>
    <n v="-118"/>
    <s v="POLAND PL"/>
  </r>
  <r>
    <s v="BKMILL"/>
    <n v="158828"/>
    <n v="219696"/>
    <s v="Forward"/>
    <x v="177"/>
    <s v="Buy Fwd"/>
    <s v="EUR"/>
    <n v="10000"/>
    <s v="PLN"/>
    <n v="41940"/>
    <s v="2026-01-23"/>
    <n v="4.194"/>
    <n v="0.2384"/>
    <n v="4.2127999999999997"/>
    <n v="1"/>
    <n v="84068"/>
    <s v="POLAND PL"/>
  </r>
  <r>
    <s v="BKMILL"/>
    <n v="158830"/>
    <n v="908413"/>
    <s v="Spot"/>
    <x v="40"/>
    <s v="Sell"/>
    <s v="EUR"/>
    <n v="-100000"/>
    <s v="USD"/>
    <n v="117391"/>
    <s v="2026-01-27"/>
    <n v="1.1738999999999999"/>
    <n v="0.85189999999999999"/>
    <n v="4.2118000000000002"/>
    <n v="3.5499000000000001"/>
    <n v="-4453.6890999999996"/>
    <s v="UNITED STATES OF AMERICA US"/>
  </r>
  <r>
    <s v="BKMILL"/>
    <n v="158831"/>
    <n v="219700"/>
    <s v="Forward"/>
    <x v="562"/>
    <s v="Sell Fwd"/>
    <s v="EUR"/>
    <n v="-60000"/>
    <s v="PLN"/>
    <n v="252708"/>
    <s v="2026-01-23"/>
    <n v="4.2118000000000002"/>
    <n v="0.2374"/>
    <n v="4.2127999999999997"/>
    <n v="1"/>
    <n v="-60"/>
    <s v="POLAND PL"/>
  </r>
  <r>
    <s v="BKMILL"/>
    <n v="158833"/>
    <n v="908423"/>
    <s v="Spot"/>
    <x v="41"/>
    <s v="Sell"/>
    <s v="EUR"/>
    <n v="-500000"/>
    <s v="PLN"/>
    <n v="2103150"/>
    <s v="2026-01-27"/>
    <n v="4.2062999999999997"/>
    <n v="0.23769999999999999"/>
    <n v="4.2118000000000002"/>
    <n v="1"/>
    <n v="-2750"/>
    <s v="GERMANY DE"/>
  </r>
  <r>
    <s v="BKMILL"/>
    <n v="158834"/>
    <n v="908427"/>
    <s v="Spot"/>
    <x v="41"/>
    <s v="Sell"/>
    <s v="EUR"/>
    <n v="-500000"/>
    <s v="PLN"/>
    <n v="2103100"/>
    <s v="2026-01-27"/>
    <n v="4.2061999999999999"/>
    <n v="0.23769999999999999"/>
    <n v="4.2118000000000002"/>
    <n v="1"/>
    <n v="-2800"/>
    <s v="GERMANY DE"/>
  </r>
  <r>
    <s v="BKMILL"/>
    <n v="158837"/>
    <n v="219705"/>
    <s v="Forward"/>
    <x v="432"/>
    <s v="Buy Fwd"/>
    <s v="EUR"/>
    <n v="7600"/>
    <s v="PLN"/>
    <n v="31920"/>
    <s v="2026-01-23"/>
    <n v="4.2"/>
    <n v="0.23810000000000001"/>
    <n v="4.2127999999999997"/>
    <n v="1"/>
    <n v="63937.279999999999"/>
    <s v="POLAND PL"/>
  </r>
  <r>
    <s v="BKMILL"/>
    <n v="158838"/>
    <n v="908440"/>
    <s v="Spot"/>
    <x v="47"/>
    <s v="Sell"/>
    <s v="EUR"/>
    <n v="-500000"/>
    <s v="PLN"/>
    <n v="2103115"/>
    <s v="2026-01-27"/>
    <n v="4.2061999999999999"/>
    <n v="0.23769999999999999"/>
    <n v="4.2118000000000002"/>
    <n v="1"/>
    <n v="-2785"/>
    <s v="FRANCE FR"/>
  </r>
  <r>
    <s v="BKMILL"/>
    <n v="158839"/>
    <n v="219707"/>
    <s v="Forward"/>
    <x v="70"/>
    <s v="Buy Fwd"/>
    <s v="EUR"/>
    <n v="5650"/>
    <s v="PLN"/>
    <n v="23730"/>
    <s v="2026-01-23"/>
    <n v="4.2"/>
    <n v="0.23810000000000001"/>
    <n v="4.2127999999999997"/>
    <n v="1"/>
    <n v="47532.32"/>
    <s v="POLAND PL"/>
  </r>
  <r>
    <s v="BKMILL"/>
    <n v="158840"/>
    <n v="219712"/>
    <s v="Forward"/>
    <x v="121"/>
    <s v="Buy Fwd"/>
    <s v="EUR"/>
    <n v="20000"/>
    <s v="PLN"/>
    <n v="83800"/>
    <s v="2026-01-23"/>
    <n v="4.1909000000000001"/>
    <n v="0.23860000000000001"/>
    <n v="4.2127999999999997"/>
    <n v="1"/>
    <n v="168056"/>
    <s v="POLAND PL"/>
  </r>
  <r>
    <s v="BKMILL"/>
    <n v="158842"/>
    <n v="908476"/>
    <s v="Spot"/>
    <x v="44"/>
    <s v="Sell"/>
    <s v="EUR"/>
    <n v="-500000"/>
    <s v="PLN"/>
    <n v="2103195"/>
    <s v="2026-01-27"/>
    <n v="4.2064000000000004"/>
    <n v="0.23769999999999999"/>
    <n v="4.2118000000000002"/>
    <n v="1"/>
    <n v="-2705"/>
    <s v="GERMANY DE"/>
  </r>
  <r>
    <s v="BKMILL"/>
    <n v="158843"/>
    <n v="908477"/>
    <s v="Spot"/>
    <x v="30"/>
    <s v="Sell"/>
    <s v="EUR"/>
    <n v="-70000"/>
    <s v="NOK"/>
    <n v="817782"/>
    <s v="2026-01-23"/>
    <n v="11.682600000000001"/>
    <n v="8.5599999999999996E-2"/>
    <n v="4.2127999999999997"/>
    <n v="0.36380000000000001"/>
    <n v="2613.0916000000002"/>
    <s v="POLAND PL"/>
  </r>
  <r>
    <s v="BKMILL"/>
    <n v="158852"/>
    <n v="219720"/>
    <s v="Forward"/>
    <x v="30"/>
    <s v="Sell Fwd"/>
    <s v="EUR"/>
    <n v="-30000"/>
    <s v="NOK"/>
    <n v="346890"/>
    <s v="2026-01-23"/>
    <n v="11.5647"/>
    <n v="8.6499999999999994E-2"/>
    <n v="4.2127999999999997"/>
    <n v="0.36380000000000001"/>
    <n v="-185.41800000000001"/>
    <s v="POLAND PL"/>
  </r>
  <r>
    <s v="BKMILL"/>
    <n v="158853"/>
    <n v="219721"/>
    <s v="Forward"/>
    <x v="164"/>
    <s v="Buy Fwd"/>
    <s v="EUR"/>
    <n v="30000"/>
    <s v="PLN"/>
    <n v="126030"/>
    <s v="2026-01-23"/>
    <n v="4.2019000000000002"/>
    <n v="0.23799999999999999"/>
    <n v="4.2127999999999997"/>
    <n v="1"/>
    <n v="252414"/>
    <s v="POLAND PL"/>
  </r>
  <r>
    <s v="BKMILL"/>
    <n v="158854"/>
    <n v="219723"/>
    <s v="Forward"/>
    <x v="30"/>
    <s v="Sell Fwd"/>
    <s v="EUR"/>
    <n v="-50000"/>
    <s v="NOK"/>
    <n v="578655"/>
    <s v="2026-01-23"/>
    <n v="11.5748"/>
    <n v="8.6400000000000005E-2"/>
    <n v="4.2127999999999997"/>
    <n v="0.36380000000000001"/>
    <n v="-125.31100000000001"/>
    <s v="POLAND PL"/>
  </r>
  <r>
    <s v="BKMILL"/>
    <n v="158855"/>
    <n v="219725"/>
    <s v="Forward"/>
    <x v="30"/>
    <s v="Sell Fwd"/>
    <s v="EUR"/>
    <n v="-50000"/>
    <s v="NOK"/>
    <n v="579505"/>
    <s v="2026-01-23"/>
    <n v="11.591799999999999"/>
    <n v="8.6300000000000002E-2"/>
    <n v="4.2127999999999997"/>
    <n v="0.36380000000000001"/>
    <n v="183.91900000000001"/>
    <s v="POLAND PL"/>
  </r>
  <r>
    <s v="BKMILL"/>
    <n v="158857"/>
    <n v="219733"/>
    <s v="Forward"/>
    <x v="3"/>
    <s v="Sell Fwd"/>
    <s v="EUR"/>
    <n v="-400000"/>
    <s v="PLN"/>
    <n v="1682080"/>
    <s v="2026-01-23"/>
    <n v="4.2051999999999996"/>
    <n v="0.23780000000000001"/>
    <n v="4.2127999999999997"/>
    <n v="1"/>
    <n v="-3040"/>
    <s v="POLAND PL"/>
  </r>
  <r>
    <s v="BKMILL"/>
    <n v="158859"/>
    <n v="219736"/>
    <s v="Forward"/>
    <x v="348"/>
    <s v="Buy Fwd"/>
    <s v="EUR"/>
    <n v="11000"/>
    <s v="PLN"/>
    <n v="46090"/>
    <s v="2026-01-23"/>
    <n v="4.1906999999999996"/>
    <n v="0.23860000000000001"/>
    <n v="4.2127999999999997"/>
    <n v="1"/>
    <n v="92430.8"/>
    <s v="POLAND PL"/>
  </r>
  <r>
    <s v="BKMILL"/>
    <n v="158861"/>
    <n v="908568"/>
    <s v="Spot"/>
    <x v="39"/>
    <s v="Sell"/>
    <s v="EUR"/>
    <n v="-1000000"/>
    <s v="PLN"/>
    <n v="4203410"/>
    <s v="2026-01-27"/>
    <n v="4.2034000000000002"/>
    <n v="0.2379"/>
    <n v="4.2118000000000002"/>
    <n v="1"/>
    <n v="-8390"/>
    <s v="UNITED KINGDOM GB"/>
  </r>
  <r>
    <s v="BKMILL"/>
    <n v="158863"/>
    <n v="219744"/>
    <s v="Forward"/>
    <x v="169"/>
    <s v="Buy Fwd"/>
    <s v="EUR"/>
    <n v="30000"/>
    <s v="PLN"/>
    <n v="125910"/>
    <s v="2026-01-23"/>
    <n v="4.1970000000000001"/>
    <n v="0.23830000000000001"/>
    <n v="4.2127999999999997"/>
    <n v="1"/>
    <n v="252294"/>
    <s v="POLAND PL"/>
  </r>
  <r>
    <s v="BKMILL"/>
    <n v="158865"/>
    <n v="908602"/>
    <s v="Spot"/>
    <x v="44"/>
    <s v="Buy"/>
    <s v="EUR"/>
    <n v="500000"/>
    <s v="PLN"/>
    <n v="-2102500"/>
    <s v="2026-01-27"/>
    <n v="4.2050000000000001"/>
    <n v="0.23780000000000001"/>
    <n v="4.2118000000000002"/>
    <n v="1"/>
    <n v="3400"/>
    <s v="GERMANY DE"/>
  </r>
  <r>
    <s v="BKMILL"/>
    <n v="158866"/>
    <n v="908603"/>
    <s v="Spot"/>
    <x v="44"/>
    <s v="Buy"/>
    <s v="EUR"/>
    <n v="500000"/>
    <s v="PLN"/>
    <n v="-2102500"/>
    <s v="2026-01-27"/>
    <n v="4.2050000000000001"/>
    <n v="0.23780000000000001"/>
    <n v="4.2118000000000002"/>
    <n v="1"/>
    <n v="3400"/>
    <s v="GERMANY DE"/>
  </r>
  <r>
    <s v="BKMILL"/>
    <n v="158867"/>
    <n v="908605"/>
    <s v="Spot"/>
    <x v="38"/>
    <s v="Buy"/>
    <s v="EUR"/>
    <n v="500000"/>
    <s v="PLN"/>
    <n v="-2102635"/>
    <s v="2026-01-27"/>
    <n v="4.2053000000000003"/>
    <n v="0.23780000000000001"/>
    <n v="4.2118000000000002"/>
    <n v="1"/>
    <n v="3265"/>
    <s v="NETHERLANDS NL"/>
  </r>
  <r>
    <s v="BKMILL"/>
    <n v="158868"/>
    <n v="908606"/>
    <s v="Spot"/>
    <x v="40"/>
    <s v="Sell"/>
    <s v="EUR"/>
    <n v="-500000"/>
    <s v="USD"/>
    <n v="587110"/>
    <s v="2026-01-27"/>
    <n v="1.1741999999999999"/>
    <n v="0.85160000000000002"/>
    <n v="4.2118000000000002"/>
    <n v="3.5499000000000001"/>
    <n v="-21718.210999999999"/>
    <s v="UNITED STATES OF AMERICA US"/>
  </r>
  <r>
    <s v="BKMILL"/>
    <n v="158870"/>
    <n v="219749"/>
    <s v="Forward"/>
    <x v="563"/>
    <s v="Sell Fwd"/>
    <s v="EUR"/>
    <n v="-894682.8"/>
    <s v="PLN"/>
    <n v="3766614.59"/>
    <s v="2026-01-23"/>
    <n v="4.2107999999999999"/>
    <n v="0.23749999999999999"/>
    <n v="4.2127999999999997"/>
    <n v="1"/>
    <n v="-2505.1098400000001"/>
    <s v="POLAND PL"/>
  </r>
  <r>
    <s v="BKMILL"/>
    <n v="158876"/>
    <n v="219752"/>
    <s v="Forward"/>
    <x v="300"/>
    <s v="Buy Fwd"/>
    <s v="EUR"/>
    <n v="16000"/>
    <s v="PLN"/>
    <n v="66016"/>
    <s v="2026-01-23"/>
    <n v="4.1260000000000003"/>
    <n v="0.2424"/>
    <n v="4.2127999999999997"/>
    <n v="1"/>
    <n v="133420.79999999999"/>
    <s v="POLAND PL"/>
  </r>
  <r>
    <s v="BKMILL"/>
    <n v="158879"/>
    <n v="219755"/>
    <s v="Forward"/>
    <x v="139"/>
    <s v="Buy Fwd"/>
    <s v="EUR"/>
    <n v="128095.38"/>
    <s v="PLN"/>
    <n v="537782.82999999996"/>
    <s v="2026-01-23"/>
    <n v="4.1992000000000003"/>
    <n v="0.23810000000000001"/>
    <n v="4.2127999999999997"/>
    <n v="1"/>
    <n v="1077423.0468639999"/>
    <s v="POLAND PL"/>
  </r>
  <r>
    <s v="BKMILL"/>
    <n v="158880"/>
    <n v="908655"/>
    <s v="Spot"/>
    <x v="41"/>
    <s v="Buy"/>
    <s v="USD"/>
    <n v="150000"/>
    <s v="NOK"/>
    <n v="-1474500"/>
    <s v="2026-01-27"/>
    <n v="9.83"/>
    <n v="0.1017"/>
    <n v="3.5499000000000001"/>
    <n v="0.36399999999999999"/>
    <n v="-4233"/>
    <s v="GERMANY DE"/>
  </r>
  <r>
    <s v="BKMILL"/>
    <n v="158881"/>
    <n v="219759"/>
    <s v="Forward"/>
    <x v="564"/>
    <s v="Sell Fwd"/>
    <s v="EUR"/>
    <n v="-190000"/>
    <s v="PLN"/>
    <n v="801040"/>
    <s v="2026-01-23"/>
    <n v="4.2150999999999996"/>
    <n v="0.23719999999999999"/>
    <n v="4.2127999999999997"/>
    <n v="1"/>
    <n v="608"/>
    <s v="POLAND PL"/>
  </r>
  <r>
    <s v="BKMILL"/>
    <n v="158882"/>
    <n v="908691"/>
    <s v="Spot"/>
    <x v="40"/>
    <s v="Buy"/>
    <s v="EUR"/>
    <n v="100000"/>
    <s v="USD"/>
    <n v="-117374"/>
    <s v="2026-01-27"/>
    <n v="1.1737"/>
    <n v="0.85199999999999998"/>
    <n v="4.2118000000000002"/>
    <n v="3.5499000000000001"/>
    <n v="4514.0374000000002"/>
    <s v="UNITED STATES OF AMERICA US"/>
  </r>
  <r>
    <s v="BKMILL"/>
    <n v="158884"/>
    <n v="908701"/>
    <s v="Spot"/>
    <x v="50"/>
    <s v="Buy"/>
    <s v="NOK"/>
    <n v="340000"/>
    <s v="PLN"/>
    <n v="-123896"/>
    <s v="2026-01-27"/>
    <n v="0.3644"/>
    <n v="2.7442000000000002"/>
    <n v="0.36399999999999999"/>
    <n v="1"/>
    <n v="-136"/>
    <s v="POLAND PL"/>
  </r>
  <r>
    <s v="BKMILL"/>
    <n v="158885"/>
    <n v="219766"/>
    <s v="Forward"/>
    <x v="565"/>
    <s v="Buy Fwd"/>
    <s v="EUR"/>
    <n v="50000"/>
    <s v="PLN"/>
    <n v="210215"/>
    <s v="2026-01-26"/>
    <n v="4.2045000000000003"/>
    <n v="0.23780000000000001"/>
    <n v="4.2050000000000001"/>
    <n v="1"/>
    <n v="420465"/>
    <s v="POLAND PL"/>
  </r>
  <r>
    <s v="BKMILL"/>
    <n v="158886"/>
    <n v="908718"/>
    <s v="Spot"/>
    <x v="71"/>
    <s v="Sell"/>
    <s v="EUR"/>
    <n v="-100000"/>
    <s v="PLN"/>
    <n v="421020"/>
    <s v="2026-01-27"/>
    <n v="4.2102000000000004"/>
    <n v="0.23749999999999999"/>
    <n v="4.2118000000000002"/>
    <n v="1"/>
    <n v="-160"/>
    <s v="POLAND PL"/>
  </r>
  <r>
    <s v="BKMILL"/>
    <n v="158887"/>
    <n v="908771"/>
    <s v="Spot"/>
    <x v="40"/>
    <s v="Sell"/>
    <s v="EUR"/>
    <n v="-500000"/>
    <s v="PLN"/>
    <n v="2103250"/>
    <s v="2026-01-27"/>
    <n v="4.2065000000000001"/>
    <n v="0.23769999999999999"/>
    <n v="4.2118000000000002"/>
    <n v="1"/>
    <n v="-2650"/>
    <s v="UNITED STATES OF AMERICA US"/>
  </r>
  <r>
    <s v="BKMILL"/>
    <n v="158888"/>
    <n v="908774"/>
    <s v="Spot"/>
    <x v="40"/>
    <s v="Sell"/>
    <s v="EUR"/>
    <n v="-500000"/>
    <s v="PLN"/>
    <n v="2103350"/>
    <s v="2026-01-27"/>
    <n v="4.2066999999999997"/>
    <n v="0.23769999999999999"/>
    <n v="4.2118000000000002"/>
    <n v="1"/>
    <n v="-2550"/>
    <s v="UNITED STATES OF AMERICA US"/>
  </r>
  <r>
    <s v="BKMILL"/>
    <n v="158889"/>
    <n v="908775"/>
    <s v="Spot"/>
    <x v="39"/>
    <s v="Sell"/>
    <s v="EUR"/>
    <n v="-500000"/>
    <s v="PLN"/>
    <n v="2103410"/>
    <s v="2026-01-27"/>
    <n v="4.2068000000000003"/>
    <n v="0.23769999999999999"/>
    <n v="4.2118000000000002"/>
    <n v="1"/>
    <n v="-2490"/>
    <s v="UNITED KINGDOM GB"/>
  </r>
  <r>
    <s v="BKMILL"/>
    <n v="158890"/>
    <n v="908778"/>
    <s v="Spot"/>
    <x v="40"/>
    <s v="Sell"/>
    <s v="EUR"/>
    <n v="-600000"/>
    <s v="USD"/>
    <n v="704298"/>
    <s v="2026-01-27"/>
    <n v="1.1738"/>
    <n v="0.85189999999999999"/>
    <n v="4.2118000000000002"/>
    <n v="3.5499000000000001"/>
    <n v="-26892.5298"/>
    <s v="UNITED STATES OF AMERICA US"/>
  </r>
  <r>
    <s v="BKMILL"/>
    <n v="158891"/>
    <n v="908818"/>
    <s v="Spot"/>
    <x v="39"/>
    <s v="Buy"/>
    <s v="EUR"/>
    <n v="500000"/>
    <s v="PLN"/>
    <n v="-2103215"/>
    <s v="2026-01-27"/>
    <n v="4.2064000000000004"/>
    <n v="0.23769999999999999"/>
    <n v="4.2118000000000002"/>
    <n v="1"/>
    <n v="2685"/>
    <s v="UNITED KINGDOM GB"/>
  </r>
  <r>
    <s v="BKMILL"/>
    <n v="158892"/>
    <n v="908821"/>
    <s v="Spot"/>
    <x v="39"/>
    <s v="Sell"/>
    <s v="EUR"/>
    <n v="-1000000"/>
    <s v="PLN"/>
    <n v="4206290"/>
    <s v="2026-01-27"/>
    <n v="4.2062999999999997"/>
    <n v="0.23769999999999999"/>
    <n v="4.2118000000000002"/>
    <n v="1"/>
    <n v="-5510"/>
    <s v="UNITED KINGDOM GB"/>
  </r>
  <r>
    <s v="BKMILL"/>
    <n v="158893"/>
    <n v="908835"/>
    <s v="Spot"/>
    <x v="47"/>
    <s v="Buy"/>
    <s v="EUR"/>
    <n v="500000"/>
    <s v="PLN"/>
    <n v="-2102890"/>
    <s v="2026-01-27"/>
    <n v="4.2058"/>
    <n v="0.23780000000000001"/>
    <n v="4.2118000000000002"/>
    <n v="1"/>
    <n v="3010"/>
    <s v="FRANCE FR"/>
  </r>
  <r>
    <s v="BKMILL"/>
    <n v="158894"/>
    <n v="908845"/>
    <s v="Spot"/>
    <x v="38"/>
    <s v="Sell"/>
    <s v="EUR"/>
    <n v="-100000"/>
    <s v="CAD"/>
    <n v="161629"/>
    <s v="2026-01-27"/>
    <n v="1.6163000000000001"/>
    <n v="0.61870000000000003"/>
    <n v="4.2118000000000002"/>
    <n v="2.5958999999999999"/>
    <n v="-1607.2789"/>
    <s v="NETHERLANDS NL"/>
  </r>
  <r>
    <s v="BKMILL"/>
    <n v="158895"/>
    <n v="908849"/>
    <s v="Spot"/>
    <x v="47"/>
    <s v="Buy"/>
    <s v="EUR"/>
    <n v="500000"/>
    <s v="PLN"/>
    <n v="-2102550"/>
    <s v="2026-01-27"/>
    <n v="4.2050999999999998"/>
    <n v="0.23780000000000001"/>
    <n v="4.2118000000000002"/>
    <n v="1"/>
    <n v="3350"/>
    <s v="FRANCE FR"/>
  </r>
  <r>
    <s v="BKMILL"/>
    <n v="158896"/>
    <n v="908850"/>
    <s v="Spot"/>
    <x v="44"/>
    <s v="Sell"/>
    <s v="EUR"/>
    <n v="-100000"/>
    <s v="PLN"/>
    <n v="420490"/>
    <s v="2026-01-27"/>
    <n v="4.2049000000000003"/>
    <n v="0.23780000000000001"/>
    <n v="4.2118000000000002"/>
    <n v="1"/>
    <n v="-690"/>
    <s v="GERMANY DE"/>
  </r>
  <r>
    <s v="BKMILL"/>
    <n v="158898"/>
    <n v="908857"/>
    <s v="Spot"/>
    <x v="40"/>
    <s v="Sell"/>
    <s v="EUR"/>
    <n v="-100000"/>
    <s v="USD"/>
    <n v="117433"/>
    <s v="2026-01-27"/>
    <n v="1.1742999999999999"/>
    <n v="0.85150000000000003"/>
    <n v="4.2118000000000002"/>
    <n v="3.5499000000000001"/>
    <n v="-4304.5933000000005"/>
    <s v="UNITED STATES OF AMERICA US"/>
  </r>
  <r>
    <s v="BKMILL"/>
    <n v="158901"/>
    <n v="219785"/>
    <s v="Forward"/>
    <x v="427"/>
    <s v="Buy Fwd"/>
    <s v="USD"/>
    <n v="140000"/>
    <s v="PLN"/>
    <n v="500080"/>
    <s v="2026-01-23"/>
    <n v="3.5720000000000001"/>
    <n v="0.28000000000000003"/>
    <n v="3.6027999999999998"/>
    <n v="1"/>
    <n v="1004472"/>
    <s v="POLAND PL"/>
  </r>
  <r>
    <s v="BKMILL"/>
    <n v="158902"/>
    <n v="219786"/>
    <s v="Forward"/>
    <x v="427"/>
    <s v="Buy Fwd"/>
    <s v="EUR"/>
    <n v="60000"/>
    <s v="PLN"/>
    <n v="251730"/>
    <s v="2026-01-23"/>
    <n v="4.1963999999999997"/>
    <n v="0.23830000000000001"/>
    <n v="4.2127999999999997"/>
    <n v="1"/>
    <n v="504498"/>
    <s v="POLAND PL"/>
  </r>
  <r>
    <s v="BKMILL"/>
    <n v="158903"/>
    <n v="219787"/>
    <s v="Forward"/>
    <x v="78"/>
    <s v="Buy Fwd"/>
    <s v="EUR"/>
    <n v="20000"/>
    <s v="PLN"/>
    <n v="84010"/>
    <s v="2026-01-23"/>
    <n v="4.2004999999999999"/>
    <n v="0.23810000000000001"/>
    <n v="4.2127999999999997"/>
    <n v="1"/>
    <n v="168266"/>
    <s v="POLAND PL"/>
  </r>
  <r>
    <s v="BKMILL"/>
    <n v="158904"/>
    <n v="908893"/>
    <s v="Spot"/>
    <x v="41"/>
    <s v="Sell"/>
    <s v="EUR"/>
    <n v="-100000"/>
    <s v="RON"/>
    <n v="509420"/>
    <s v="2026-01-27"/>
    <n v="5.0941999999999998"/>
    <n v="0.1963"/>
    <n v="4.2118000000000002"/>
    <n v="0.82640000000000002"/>
    <n v="-195.31200000000001"/>
    <s v="GERMANY DE"/>
  </r>
  <r>
    <s v="BKMILL"/>
    <n v="158906"/>
    <n v="908904"/>
    <s v="Spot"/>
    <x v="41"/>
    <s v="Buy"/>
    <s v="EUR"/>
    <n v="200000"/>
    <s v="RON"/>
    <n v="-1018840"/>
    <s v="2026-01-27"/>
    <n v="5.0941999999999998"/>
    <n v="0.1963"/>
    <n v="4.2118000000000002"/>
    <n v="0.82640000000000002"/>
    <n v="390.62400000000002"/>
    <s v="GERMANY DE"/>
  </r>
  <r>
    <s v="BKMILL"/>
    <n v="158907"/>
    <n v="219791"/>
    <s v="Forward"/>
    <x v="566"/>
    <s v="Sell Fwd"/>
    <s v="EUR"/>
    <n v="-35000"/>
    <s v="PLN"/>
    <n v="147297.5"/>
    <s v="2026-01-23"/>
    <n v="4.2084999999999999"/>
    <n v="0.23760000000000001"/>
    <n v="4.2127999999999997"/>
    <n v="1"/>
    <n v="-150.5"/>
    <s v="POLAND PL"/>
  </r>
  <r>
    <s v="BKMILL"/>
    <n v="158909"/>
    <n v="219793"/>
    <s v="Forward"/>
    <x v="414"/>
    <s v="Sell Fwd"/>
    <s v="EUR"/>
    <n v="-150000"/>
    <s v="PLN"/>
    <n v="632550"/>
    <s v="2026-01-23"/>
    <n v="4.2178000000000004"/>
    <n v="0.23710000000000001"/>
    <n v="4.2127999999999997"/>
    <n v="1"/>
    <n v="630"/>
    <s v="POLAND PL"/>
  </r>
  <r>
    <s v="BKMILL"/>
    <n v="158910"/>
    <n v="219794"/>
    <s v="Forward"/>
    <x v="567"/>
    <s v="Sell Fwd"/>
    <s v="USD"/>
    <n v="-100000"/>
    <s v="PLN"/>
    <n v="358000"/>
    <s v="2026-01-23"/>
    <n v="3.5800999999999998"/>
    <n v="0.27929999999999999"/>
    <n v="3.6027999999999998"/>
    <n v="1"/>
    <n v="-2280"/>
    <s v="POLAND PL"/>
  </r>
  <r>
    <s v="BKMILL"/>
    <n v="158912"/>
    <n v="908929"/>
    <s v="Spot"/>
    <x v="41"/>
    <s v="Sell"/>
    <s v="USD"/>
    <n v="-5374.3"/>
    <s v="PLN"/>
    <n v="19213.12"/>
    <s v="2026-01-27"/>
    <n v="3.5750000000000002"/>
    <n v="0.2797"/>
    <n v="3.5499000000000001"/>
    <n v="1"/>
    <n v="134.89242999999999"/>
    <s v="GERMANY DE"/>
  </r>
  <r>
    <s v="BKMILL"/>
    <n v="158913"/>
    <n v="908930"/>
    <s v="Spot"/>
    <x v="41"/>
    <s v="Sell"/>
    <s v="GBP"/>
    <n v="-4803.17"/>
    <s v="PLN"/>
    <n v="23333.32"/>
    <s v="2026-01-27"/>
    <n v="4.8578999999999999"/>
    <n v="0.2059"/>
    <n v="4.8536999999999999"/>
    <n v="1"/>
    <n v="20.173770999999999"/>
    <s v="GERMANY DE"/>
  </r>
  <r>
    <s v="BKMILL"/>
    <n v="158914"/>
    <n v="908931"/>
    <s v="Spot"/>
    <x v="41"/>
    <s v="Sell"/>
    <s v="EUR"/>
    <n v="-37302.43"/>
    <s v="PLN"/>
    <n v="156964.9"/>
    <s v="2026-01-27"/>
    <n v="4.2079000000000004"/>
    <n v="0.23760000000000001"/>
    <n v="4.2118000000000002"/>
    <n v="1"/>
    <n v="-145.47467399999999"/>
    <s v="GERMANY DE"/>
  </r>
  <r>
    <s v="BKMILL"/>
    <n v="158915"/>
    <n v="908932"/>
    <s v="Spot"/>
    <x v="41"/>
    <s v="Sell"/>
    <s v="CHF"/>
    <n v="-3944.08"/>
    <s v="PLN"/>
    <n v="17894.689999999999"/>
    <s v="2026-01-27"/>
    <n v="4.5370999999999997"/>
    <n v="0.22040000000000001"/>
    <n v="4.5758000000000001"/>
    <n v="1"/>
    <n v="-152.63126399999999"/>
    <s v="GERMANY DE"/>
  </r>
  <r>
    <s v="BKMILL"/>
    <n v="158916"/>
    <n v="908937"/>
    <s v="Spot"/>
    <x v="40"/>
    <s v="Buy"/>
    <s v="USD"/>
    <n v="200000"/>
    <s v="PLN"/>
    <n v="-714680"/>
    <s v="2026-01-27"/>
    <n v="3.5733999999999999"/>
    <n v="0.27979999999999999"/>
    <n v="3.5499000000000001"/>
    <n v="1"/>
    <n v="-4700"/>
    <s v="UNITED STATES OF AMERICA US"/>
  </r>
  <r>
    <s v="BKMILL"/>
    <n v="158917"/>
    <n v="908938"/>
    <s v="Spot"/>
    <x v="40"/>
    <s v="Buy"/>
    <s v="USD"/>
    <n v="200000"/>
    <s v="PLN"/>
    <n v="-714500"/>
    <s v="2026-01-27"/>
    <n v="3.5724999999999998"/>
    <n v="0.27989999999999998"/>
    <n v="3.5499000000000001"/>
    <n v="1"/>
    <n v="-4520"/>
    <s v="UNITED STATES OF AMERICA US"/>
  </r>
  <r>
    <s v="BKMILL"/>
    <n v="158918"/>
    <n v="908939"/>
    <s v="Spot"/>
    <x v="41"/>
    <s v="Sell"/>
    <s v="EUR"/>
    <n v="-100397.03"/>
    <s v="PLN"/>
    <n v="422239.79"/>
    <s v="2026-01-27"/>
    <n v="4.2057000000000002"/>
    <n v="0.23780000000000001"/>
    <n v="4.2118000000000002"/>
    <n v="1"/>
    <n v="-612.42095400000005"/>
    <s v="GERMANY DE"/>
  </r>
  <r>
    <s v="BKMILL"/>
    <n v="158919"/>
    <n v="908941"/>
    <s v="Spot"/>
    <x v="40"/>
    <s v="Sell"/>
    <s v="USD"/>
    <n v="-3994.25"/>
    <s v="PLN"/>
    <n v="14226.64"/>
    <s v="2026-01-27"/>
    <n v="3.5617999999999999"/>
    <n v="0.28079999999999999"/>
    <n v="3.5499000000000001"/>
    <n v="1"/>
    <n v="47.451925000000003"/>
    <s v="UNITED STATES OF AMERICA US"/>
  </r>
  <r>
    <s v="BKMILL"/>
    <n v="158920"/>
    <n v="908942"/>
    <s v="Spot"/>
    <x v="41"/>
    <s v="Buy"/>
    <s v="GBP"/>
    <n v="14324.2"/>
    <s v="PLN"/>
    <n v="-69518.210000000006"/>
    <s v="2026-01-27"/>
    <n v="4.8532000000000002"/>
    <n v="0.20599999999999999"/>
    <n v="4.8536999999999999"/>
    <n v="1"/>
    <n v="7.1595399999999998"/>
    <s v="GERMANY DE"/>
  </r>
  <r>
    <s v="BKMILL"/>
    <n v="158921"/>
    <n v="908943"/>
    <s v="Spot"/>
    <x v="42"/>
    <s v="Buy"/>
    <s v="CHF"/>
    <n v="2102.9499999999998"/>
    <s v="PLN"/>
    <n v="-9573.91"/>
    <s v="2026-01-27"/>
    <n v="4.5526"/>
    <n v="0.21970000000000001"/>
    <n v="4.5758000000000001"/>
    <n v="1"/>
    <n v="48.768610000000002"/>
    <s v="SWITZERLAND CH"/>
  </r>
  <r>
    <s v="BKMILL"/>
    <n v="158922"/>
    <n v="908944"/>
    <s v="Spot"/>
    <x v="40"/>
    <s v="Sell"/>
    <s v="EUR"/>
    <n v="-57807.71"/>
    <s v="PLN"/>
    <n v="243205.71"/>
    <s v="2026-01-27"/>
    <n v="4.2072000000000003"/>
    <n v="0.23769999999999999"/>
    <n v="4.2118000000000002"/>
    <n v="1"/>
    <n v="-268.802978"/>
    <s v="UNITED STATES OF AMERICA US"/>
  </r>
  <r>
    <s v="BKMILL"/>
    <n v="158923"/>
    <n v="219797"/>
    <s v="Forward"/>
    <x v="40"/>
    <s v="Buy Fwd"/>
    <s v="EUR"/>
    <n v="5000"/>
    <s v="PLN"/>
    <n v="21037.07"/>
    <s v="2026-01-26"/>
    <n v="4.2076000000000002"/>
    <n v="0.23769999999999999"/>
    <n v="4.2050000000000001"/>
    <n v="1"/>
    <n v="42062.07"/>
    <s v="UNITED STATES OF AMERICA US"/>
  </r>
  <r>
    <s v="BKMILL"/>
    <n v="158924"/>
    <n v="219798"/>
    <s v="Forward"/>
    <x v="568"/>
    <s v="Sell Fwd"/>
    <s v="EUR"/>
    <n v="-5000"/>
    <s v="PLN"/>
    <n v="21060"/>
    <s v="2026-01-26"/>
    <n v="4.2122000000000002"/>
    <n v="0.2374"/>
    <n v="4.2050000000000001"/>
    <n v="1"/>
    <n v="35"/>
    <s v="POLAND PL"/>
  </r>
  <r>
    <s v="BKMILL"/>
    <n v="158925"/>
    <n v="908953"/>
    <s v="Spot"/>
    <x v="41"/>
    <s v="Buy"/>
    <s v="USD"/>
    <n v="121434.67"/>
    <s v="PLN"/>
    <n v="-432538.15"/>
    <s v="2026-01-27"/>
    <n v="3.5619000000000001"/>
    <n v="0.28070000000000001"/>
    <n v="3.5499000000000001"/>
    <n v="1"/>
    <n v="-1457.2149669999999"/>
    <s v="GERMANY DE"/>
  </r>
  <r>
    <s v="BKMILL"/>
    <n v="158926"/>
    <n v="908955"/>
    <s v="Spot"/>
    <x v="40"/>
    <s v="Sell"/>
    <s v="GBP"/>
    <n v="-2011"/>
    <s v="PLN"/>
    <n v="9759.99"/>
    <s v="2026-01-27"/>
    <n v="4.8532999999999999"/>
    <n v="0.20599999999999999"/>
    <n v="4.8536999999999999"/>
    <n v="1"/>
    <n v="-0.80069999999999997"/>
    <s v="UNITED STATES OF AMERICA US"/>
  </r>
  <r>
    <s v="BKMILL"/>
    <n v="158927"/>
    <n v="908956"/>
    <s v="Spot"/>
    <x v="42"/>
    <s v="Buy"/>
    <s v="USD"/>
    <n v="12559.23"/>
    <s v="PLN"/>
    <n v="-44711.24"/>
    <s v="2026-01-27"/>
    <n v="3.56"/>
    <n v="0.28089999999999998"/>
    <n v="3.5499000000000001"/>
    <n v="1"/>
    <n v="-127.229423"/>
    <s v="SWITZERLAND CH"/>
  </r>
  <r>
    <s v="BKMILL"/>
    <n v="158928"/>
    <n v="908957"/>
    <s v="Spot"/>
    <x v="40"/>
    <s v="Sell"/>
    <s v="EUR"/>
    <n v="-17567.54"/>
    <s v="PLN"/>
    <n v="73914.720000000001"/>
    <s v="2026-01-27"/>
    <n v="4.2074999999999996"/>
    <n v="0.23769999999999999"/>
    <n v="4.2118000000000002"/>
    <n v="1"/>
    <n v="-76.244972000000004"/>
    <s v="UNITED STATES OF AMERICA US"/>
  </r>
  <r>
    <s v="BKMILL"/>
    <n v="158929"/>
    <n v="908958"/>
    <s v="Spot"/>
    <x v="40"/>
    <s v="Sell"/>
    <s v="CHF"/>
    <n v="-2000"/>
    <s v="PLN"/>
    <n v="9106.48"/>
    <s v="2026-01-27"/>
    <n v="4.5532000000000004"/>
    <n v="0.21959999999999999"/>
    <n v="4.5758000000000001"/>
    <n v="1"/>
    <n v="-45.12"/>
    <s v="UNITED STATES OF AMERICA US"/>
  </r>
  <r>
    <s v="BKMILL"/>
    <n v="158930"/>
    <n v="908963"/>
    <s v="Spot"/>
    <x v="41"/>
    <s v="Sell"/>
    <s v="EUR"/>
    <n v="-113655.16"/>
    <s v="PLN"/>
    <n v="477942.68"/>
    <s v="2026-01-28"/>
    <n v="4.2051999999999996"/>
    <n v="0.23780000000000001"/>
    <n v="4.2031999999999998"/>
    <n v="1"/>
    <n v="227.311488"/>
    <s v="GERMANY DE"/>
  </r>
  <r>
    <s v="BKMILL"/>
    <n v="158931"/>
    <n v="908964"/>
    <s v="Spot"/>
    <x v="42"/>
    <s v="Buy"/>
    <s v="USD"/>
    <n v="111314.94"/>
    <s v="PLN"/>
    <n v="-394362.12"/>
    <s v="2026-01-28"/>
    <n v="3.5428000000000002"/>
    <n v="0.2823"/>
    <n v="3.5354000000000001"/>
    <n v="1"/>
    <n v="-819.28112399999998"/>
    <s v="SWITZERLAND CH"/>
  </r>
  <r>
    <s v="BKMILL"/>
    <n v="158932"/>
    <n v="908965"/>
    <s v="Spot"/>
    <x v="41"/>
    <s v="Sell"/>
    <s v="EUR"/>
    <n v="-100210.94"/>
    <s v="PLN"/>
    <n v="421407.04"/>
    <s v="2026-01-28"/>
    <n v="4.2051999999999996"/>
    <n v="0.23780000000000001"/>
    <n v="4.2031999999999998"/>
    <n v="1"/>
    <n v="200.41699199999999"/>
    <s v="GERMANY DE"/>
  </r>
  <r>
    <s v="BKMILL"/>
    <n v="158933"/>
    <n v="908966"/>
    <s v="Spot"/>
    <x v="36"/>
    <s v="Sell"/>
    <s v="CHF"/>
    <n v="-100646.78"/>
    <s v="PLN"/>
    <n v="459254.28"/>
    <s v="2026-01-28"/>
    <n v="4.5629999999999997"/>
    <n v="0.21920000000000001"/>
    <n v="4.5575000000000001"/>
    <n v="1"/>
    <n v="556.58015"/>
    <s v="UNITED KINGDOM GB"/>
  </r>
  <r>
    <s v="BKMILL"/>
    <n v="158934"/>
    <n v="908967"/>
    <s v="Spot"/>
    <x v="41"/>
    <s v="Sell"/>
    <s v="EUR"/>
    <n v="-108768.95"/>
    <s v="PLN"/>
    <n v="457395.19"/>
    <s v="2026-01-28"/>
    <n v="4.2051999999999996"/>
    <n v="0.23780000000000001"/>
    <n v="4.2031999999999998"/>
    <n v="1"/>
    <n v="217.53935999999999"/>
    <s v="GERMANY DE"/>
  </r>
  <r>
    <s v="BKMILL"/>
    <n v="158935"/>
    <n v="908968"/>
    <s v="Spot"/>
    <x v="41"/>
    <s v="Sell"/>
    <s v="EUR"/>
    <n v="-100414.24"/>
    <s v="PLN"/>
    <n v="422261.96"/>
    <s v="2026-01-28"/>
    <n v="4.2051999999999996"/>
    <n v="0.23780000000000001"/>
    <n v="4.2031999999999998"/>
    <n v="1"/>
    <n v="200.82643200000001"/>
    <s v="GERMANY DE"/>
  </r>
  <r>
    <s v="BKMILL"/>
    <n v="158936"/>
    <n v="908969"/>
    <s v="Spot"/>
    <x v="42"/>
    <s v="Buy"/>
    <s v="USD"/>
    <n v="113885.02"/>
    <s v="PLN"/>
    <n v="-403467.29"/>
    <s v="2026-01-28"/>
    <n v="3.5428000000000002"/>
    <n v="0.2823"/>
    <n v="3.5354000000000001"/>
    <n v="1"/>
    <n v="-838.190292"/>
    <s v="SWITZERLAND CH"/>
  </r>
  <r>
    <s v="BKMILL"/>
    <n v="158937"/>
    <n v="908970"/>
    <s v="Spot"/>
    <x v="41"/>
    <s v="Sell"/>
    <s v="EUR"/>
    <n v="-91217.75"/>
    <s v="PLN"/>
    <n v="383588.88"/>
    <s v="2026-01-28"/>
    <n v="4.2051999999999996"/>
    <n v="0.23780000000000001"/>
    <n v="4.2031999999999998"/>
    <n v="1"/>
    <n v="182.4332"/>
    <s v="GERMANY DE"/>
  </r>
  <r>
    <s v="BKMILL"/>
    <n v="158938"/>
    <n v="908971"/>
    <s v="Spot"/>
    <x v="42"/>
    <s v="Buy"/>
    <s v="USD"/>
    <n v="10742.85"/>
    <s v="PLN"/>
    <n v="-38059.339999999997"/>
    <s v="2026-01-28"/>
    <n v="3.5428000000000002"/>
    <n v="0.2823"/>
    <n v="3.5354000000000001"/>
    <n v="1"/>
    <n v="-79.068110000000004"/>
    <s v="SWITZERLAND CH"/>
  </r>
  <r>
    <s v="BKMILL"/>
    <n v="158939"/>
    <n v="908972"/>
    <s v="Spot"/>
    <x v="41"/>
    <s v="Sell"/>
    <s v="EUR"/>
    <n v="-111818.56"/>
    <s v="PLN"/>
    <n v="470219.41"/>
    <s v="2026-01-28"/>
    <n v="4.2051999999999996"/>
    <n v="0.23780000000000001"/>
    <n v="4.2031999999999998"/>
    <n v="1"/>
    <n v="223.638608"/>
    <s v="GERMANY DE"/>
  </r>
  <r>
    <s v="BKMILL"/>
    <n v="158940"/>
    <n v="908973"/>
    <s v="Spot"/>
    <x v="42"/>
    <s v="Buy"/>
    <s v="USD"/>
    <n v="35037.699999999997"/>
    <s v="PLN"/>
    <n v="-124130.16"/>
    <s v="2026-01-28"/>
    <n v="3.5428000000000002"/>
    <n v="0.2823"/>
    <n v="3.5354000000000001"/>
    <n v="1"/>
    <n v="-257.87542000000002"/>
    <s v="SWITZERLAND CH"/>
  </r>
  <r>
    <s v="BKMILL"/>
    <n v="158941"/>
    <n v="908974"/>
    <s v="Spot"/>
    <x v="42"/>
    <s v="Buy"/>
    <s v="USD"/>
    <n v="114962.88"/>
    <s v="PLN"/>
    <n v="-407285.89"/>
    <s v="2026-01-28"/>
    <n v="3.5428000000000002"/>
    <n v="0.2823"/>
    <n v="3.5354000000000001"/>
    <n v="1"/>
    <n v="-846.12404800000002"/>
    <s v="SWITZERLAND CH"/>
  </r>
  <r>
    <s v="BKMILL"/>
    <n v="158942"/>
    <n v="908975"/>
    <s v="Spot"/>
    <x v="42"/>
    <s v="Buy"/>
    <s v="USD"/>
    <n v="117191.24"/>
    <s v="PLN"/>
    <n v="-415180.44"/>
    <s v="2026-01-28"/>
    <n v="3.5428000000000002"/>
    <n v="0.2823"/>
    <n v="3.5354000000000001"/>
    <n v="1"/>
    <n v="-862.53010400000005"/>
    <s v="SWITZERLAND CH"/>
  </r>
  <r>
    <s v="BKMILL"/>
    <n v="158943"/>
    <n v="908976"/>
    <s v="Spot"/>
    <x v="41"/>
    <s v="Sell"/>
    <s v="EUR"/>
    <n v="-100104.72"/>
    <s v="PLN"/>
    <n v="420960.37"/>
    <s v="2026-01-28"/>
    <n v="4.2051999999999996"/>
    <n v="0.23780000000000001"/>
    <n v="4.2031999999999998"/>
    <n v="1"/>
    <n v="200.21089599999999"/>
    <s v="GERMANY DE"/>
  </r>
  <r>
    <s v="BKMILL"/>
    <n v="158944"/>
    <n v="908977"/>
    <s v="Spot"/>
    <x v="41"/>
    <s v="Sell"/>
    <s v="EUR"/>
    <n v="-112407.02"/>
    <s v="PLN"/>
    <n v="472694"/>
    <s v="2026-01-28"/>
    <n v="4.2051999999999996"/>
    <n v="0.23780000000000001"/>
    <n v="4.2031999999999998"/>
    <n v="1"/>
    <n v="224.813536"/>
    <s v="GERMANY DE"/>
  </r>
  <r>
    <s v="BKMILL"/>
    <n v="158945"/>
    <n v="908978"/>
    <s v="Spot"/>
    <x v="41"/>
    <s v="Sell"/>
    <s v="EUR"/>
    <n v="-100297.91"/>
    <s v="PLN"/>
    <n v="421772.77"/>
    <s v="2026-01-28"/>
    <n v="4.2051999999999996"/>
    <n v="0.23780000000000001"/>
    <n v="4.2031999999999998"/>
    <n v="1"/>
    <n v="200.59468799999999"/>
    <s v="GERMANY DE"/>
  </r>
  <r>
    <s v="BKMILL"/>
    <n v="158946"/>
    <n v="908979"/>
    <s v="Spot"/>
    <x v="42"/>
    <s v="Sell"/>
    <s v="GBP"/>
    <n v="-31753.02"/>
    <s v="PLN"/>
    <n v="153713.51"/>
    <s v="2026-01-28"/>
    <n v="4.8409000000000004"/>
    <n v="0.20660000000000001"/>
    <n v="4.8432000000000004"/>
    <n v="1"/>
    <n v="-72.716464000000002"/>
    <s v="SWITZERLAND CH"/>
  </r>
  <r>
    <s v="BKMILL"/>
    <n v="158947"/>
    <n v="908980"/>
    <s v="Spot"/>
    <x v="42"/>
    <s v="Buy"/>
    <s v="USD"/>
    <n v="112423.86"/>
    <s v="PLN"/>
    <n v="-398224.42"/>
    <s v="2026-01-28"/>
    <n v="3.5421999999999998"/>
    <n v="0.2823"/>
    <n v="3.5354000000000001"/>
    <n v="1"/>
    <n v="-761.10535600000003"/>
    <s v="SWITZERLAND CH"/>
  </r>
  <r>
    <s v="BKMILL"/>
    <n v="158948"/>
    <n v="908999"/>
    <s v="Spot"/>
    <x v="41"/>
    <s v="Buy"/>
    <s v="USD"/>
    <n v="124374.81"/>
    <s v="PLN"/>
    <n v="-442090.26"/>
    <s v="2026-01-28"/>
    <n v="3.5545"/>
    <n v="0.28129999999999999"/>
    <n v="3.5354000000000001"/>
    <n v="1"/>
    <n v="-2375.5567259999998"/>
    <s v="GERMANY DE"/>
  </r>
  <r>
    <s v="BKMILL"/>
    <n v="158949"/>
    <n v="909052"/>
    <s v="Spot"/>
    <x v="41"/>
    <s v="Sell"/>
    <s v="EUR"/>
    <n v="-16077.39"/>
    <s v="PLN"/>
    <n v="67737.259999999995"/>
    <s v="2026-01-28"/>
    <n v="4.2131999999999996"/>
    <n v="0.23730000000000001"/>
    <n v="4.2031999999999998"/>
    <n v="1"/>
    <n v="160.77435199999999"/>
    <s v="GERMANY DE"/>
  </r>
  <r>
    <s v="BKMILL"/>
    <n v="158950"/>
    <n v="909053"/>
    <s v="Spot"/>
    <x v="40"/>
    <s v="Sell"/>
    <s v="CHF"/>
    <n v="-100"/>
    <s v="PLN"/>
    <n v="457.03"/>
    <s v="2026-01-28"/>
    <n v="4.5702999999999996"/>
    <n v="0.21879999999999999"/>
    <n v="4.5575000000000001"/>
    <n v="1"/>
    <n v="1.28"/>
    <s v="UNITED STATES OF AMERICA US"/>
  </r>
  <r>
    <s v="BKMILL"/>
    <n v="158951"/>
    <n v="219799"/>
    <s v="Forward"/>
    <x v="55"/>
    <s v="Buy Fwd"/>
    <s v="USD"/>
    <n v="100000"/>
    <s v="PLN"/>
    <n v="355362.3"/>
    <s v="2026-01-26"/>
    <n v="3.5535999999999999"/>
    <n v="0.28139999999999998"/>
    <n v="3.5831"/>
    <n v="1"/>
    <n v="713672.3"/>
    <s v="SPAIN ES"/>
  </r>
  <r>
    <s v="BKMILL"/>
    <n v="158952"/>
    <n v="219801"/>
    <s v="Forward"/>
    <x v="55"/>
    <s v="Buy Fwd"/>
    <s v="USD"/>
    <n v="100000"/>
    <s v="PLN"/>
    <n v="355356.3"/>
    <s v="2026-01-26"/>
    <n v="3.5535000000000001"/>
    <n v="0.28139999999999998"/>
    <n v="3.5831"/>
    <n v="1"/>
    <n v="713666.3"/>
    <s v="SPAIN ES"/>
  </r>
  <r>
    <s v="BKMILL"/>
    <n v="158953"/>
    <n v="219803"/>
    <s v="Forward"/>
    <x v="55"/>
    <s v="Buy Fwd"/>
    <s v="USD"/>
    <n v="100000"/>
    <s v="PLN"/>
    <n v="355359.3"/>
    <s v="2026-01-26"/>
    <n v="3.5535999999999999"/>
    <n v="0.28139999999999998"/>
    <n v="3.5831"/>
    <n v="1"/>
    <n v="713669.3"/>
    <s v="SPAIN ES"/>
  </r>
  <r>
    <s v="BKMILL"/>
    <n v="158954"/>
    <n v="219805"/>
    <s v="Forward"/>
    <x v="40"/>
    <s v="Sell Fwd"/>
    <s v="EUR"/>
    <n v="-1000"/>
    <s v="PLN"/>
    <n v="4212.21"/>
    <s v="2026-01-26"/>
    <n v="4.2129000000000003"/>
    <n v="0.2374"/>
    <n v="4.2050000000000001"/>
    <n v="1"/>
    <n v="7.21"/>
    <s v="UNITED STATES OF AMERICA US"/>
  </r>
  <r>
    <s v="BKMILL"/>
    <n v="158955"/>
    <n v="219807"/>
    <s v="Forward"/>
    <x v="40"/>
    <s v="Sell Fwd"/>
    <s v="EUR"/>
    <n v="-1000"/>
    <s v="PLN"/>
    <n v="4212.82"/>
    <s v="2026-01-26"/>
    <n v="4.2133000000000003"/>
    <n v="0.23730000000000001"/>
    <n v="4.2050000000000001"/>
    <n v="1"/>
    <n v="7.82"/>
    <s v="UNITED STATES OF AMERICA US"/>
  </r>
  <r>
    <s v="BKMILL"/>
    <n v="158956"/>
    <n v="219809"/>
    <s v="Forward"/>
    <x v="40"/>
    <s v="Sell Fwd"/>
    <s v="EUR"/>
    <n v="-7000"/>
    <s v="PLN"/>
    <n v="29483.46"/>
    <s v="2026-01-26"/>
    <n v="4.2123999999999997"/>
    <n v="0.2374"/>
    <n v="4.2050000000000001"/>
    <n v="1"/>
    <n v="48.46"/>
    <s v="UNITED STATES OF AMERICA US"/>
  </r>
  <r>
    <s v="BKMILL"/>
    <n v="158957"/>
    <n v="219811"/>
    <s v="Forward"/>
    <x v="55"/>
    <s v="Buy Fwd"/>
    <s v="USD"/>
    <n v="10000"/>
    <s v="PLN"/>
    <n v="35519.629999999997"/>
    <s v="2026-01-26"/>
    <n v="3.5518999999999998"/>
    <n v="0.28149999999999997"/>
    <n v="3.5831"/>
    <n v="1"/>
    <n v="71350.63"/>
    <s v="SPAIN ES"/>
  </r>
  <r>
    <s v="BKMILL"/>
    <n v="158958"/>
    <n v="909084"/>
    <s v="Spot"/>
    <x v="36"/>
    <s v="Sell"/>
    <s v="EUR"/>
    <n v="-12654.06"/>
    <s v="USD"/>
    <n v="15000"/>
    <s v="2026-01-28"/>
    <n v="1.1854"/>
    <n v="0.84360000000000002"/>
    <n v="4.2031999999999998"/>
    <n v="3.5354000000000001"/>
    <n v="-156.54499200000001"/>
    <s v="UNITED KINGDOM GB"/>
  </r>
  <r>
    <s v="BKMILL"/>
    <n v="158959"/>
    <n v="909085"/>
    <s v="Spot"/>
    <x v="569"/>
    <s v="Buy"/>
    <s v="EUR"/>
    <n v="12672.13"/>
    <s v="USD"/>
    <n v="-15000"/>
    <s v="2026-01-28"/>
    <n v="1.1837"/>
    <n v="0.8448"/>
    <n v="4.2031999999999998"/>
    <n v="3.5354000000000001"/>
    <n v="232.496816"/>
    <s v="POLAND PL"/>
  </r>
  <r>
    <s v="BKMILL"/>
    <n v="158960"/>
    <n v="219813"/>
    <s v="Forward"/>
    <x v="55"/>
    <s v="Buy Fwd"/>
    <s v="EUR"/>
    <n v="2000"/>
    <s v="PLN"/>
    <n v="8426.14"/>
    <s v="2026-01-26"/>
    <n v="4.2134"/>
    <n v="0.23730000000000001"/>
    <n v="4.2050000000000001"/>
    <n v="1"/>
    <n v="16836.14"/>
    <s v="SPAIN ES"/>
  </r>
  <r>
    <s v="BKMILL"/>
    <n v="158961"/>
    <n v="219815"/>
    <s v="Forward"/>
    <x v="55"/>
    <s v="Buy Fwd"/>
    <s v="USD"/>
    <n v="100000"/>
    <s v="PLN"/>
    <n v="355523.3"/>
    <s v="2026-01-26"/>
    <n v="3.5552000000000001"/>
    <n v="0.28129999999999999"/>
    <n v="3.5831"/>
    <n v="1"/>
    <n v="713833.3"/>
    <s v="SPAIN ES"/>
  </r>
  <r>
    <s v="BKMILL"/>
    <n v="158962"/>
    <n v="219817"/>
    <s v="Forward"/>
    <x v="40"/>
    <s v="Sell Fwd"/>
    <s v="EUR"/>
    <n v="-5000"/>
    <s v="PLN"/>
    <n v="21059.51"/>
    <s v="2026-01-26"/>
    <n v="4.2123999999999997"/>
    <n v="0.2374"/>
    <n v="4.2050000000000001"/>
    <n v="1"/>
    <n v="34.51"/>
    <s v="UNITED STATES OF AMERICA US"/>
  </r>
  <r>
    <s v="BKMILL"/>
    <n v="158963"/>
    <n v="219819"/>
    <s v="Forward"/>
    <x v="40"/>
    <s v="Sell Fwd"/>
    <s v="EUR"/>
    <n v="-40000"/>
    <s v="PLN"/>
    <n v="168475.72"/>
    <s v="2026-01-26"/>
    <n v="4.2123999999999997"/>
    <n v="0.2374"/>
    <n v="4.2050000000000001"/>
    <n v="1"/>
    <n v="275.72000000000003"/>
    <s v="UNITED STATES OF AMERICA US"/>
  </r>
  <r>
    <s v="BKMILL"/>
    <n v="158964"/>
    <n v="219821"/>
    <s v="Forward"/>
    <x v="40"/>
    <s v="Sell Fwd"/>
    <s v="EUR"/>
    <n v="-5000"/>
    <s v="PLN"/>
    <n v="21060.01"/>
    <s v="2026-01-26"/>
    <n v="4.2125000000000004"/>
    <n v="0.2374"/>
    <n v="4.2050000000000001"/>
    <n v="1"/>
    <n v="35.01"/>
    <s v="UNITED STATES OF AMERICA US"/>
  </r>
  <r>
    <s v="BKMILL"/>
    <n v="158965"/>
    <n v="219823"/>
    <s v="Forward"/>
    <x v="40"/>
    <s v="Sell Fwd"/>
    <s v="EUR"/>
    <n v="-5000"/>
    <s v="PLN"/>
    <n v="21060.01"/>
    <s v="2026-01-26"/>
    <n v="4.2125000000000004"/>
    <n v="0.2374"/>
    <n v="4.2050000000000001"/>
    <n v="1"/>
    <n v="35.01"/>
    <s v="UNITED STATES OF AMERICA US"/>
  </r>
  <r>
    <s v="BKMILL"/>
    <n v="158966"/>
    <n v="219826"/>
    <s v="Forward"/>
    <x v="40"/>
    <s v="Buy Fwd"/>
    <s v="USD"/>
    <n v="30000"/>
    <s v="PLN"/>
    <n v="106660.15"/>
    <s v="2026-01-26"/>
    <n v="3.5554000000000001"/>
    <n v="0.28129999999999999"/>
    <n v="3.5831"/>
    <n v="1"/>
    <n v="214153.15"/>
    <s v="UNITED STATES OF AMERICA US"/>
  </r>
  <r>
    <s v="BKMILL"/>
    <n v="158967"/>
    <n v="219828"/>
    <s v="Forward"/>
    <x v="40"/>
    <s v="Sell Fwd"/>
    <s v="EUR"/>
    <n v="-5000"/>
    <s v="PLN"/>
    <n v="21060.21"/>
    <s v="2026-01-26"/>
    <n v="4.2125000000000004"/>
    <n v="0.2374"/>
    <n v="4.2050000000000001"/>
    <n v="1"/>
    <n v="35.21"/>
    <s v="UNITED STATES OF AMERICA US"/>
  </r>
  <r>
    <s v="BKMILL"/>
    <n v="158968"/>
    <n v="219830"/>
    <s v="Forward"/>
    <x v="40"/>
    <s v="Sell Fwd"/>
    <s v="EUR"/>
    <n v="-3000"/>
    <s v="PLN"/>
    <n v="12640.03"/>
    <s v="2026-01-26"/>
    <n v="4.2138"/>
    <n v="0.23730000000000001"/>
    <n v="4.2050000000000001"/>
    <n v="1"/>
    <n v="25.03"/>
    <s v="UNITED STATES OF AMERICA US"/>
  </r>
  <r>
    <s v="BKMILL"/>
    <n v="158969"/>
    <n v="219832"/>
    <s v="Forward"/>
    <x v="55"/>
    <s v="Buy Fwd"/>
    <s v="EUR"/>
    <n v="19090.599999999999"/>
    <s v="PLN"/>
    <n v="80454.91"/>
    <s v="2026-01-26"/>
    <n v="4.2142999999999997"/>
    <n v="0.23730000000000001"/>
    <n v="4.2050000000000001"/>
    <n v="1"/>
    <n v="160730.883"/>
    <s v="SPAIN ES"/>
  </r>
  <r>
    <s v="BKMILL"/>
    <n v="158970"/>
    <n v="219834"/>
    <s v="Forward"/>
    <x v="40"/>
    <s v="Sell Fwd"/>
    <s v="EUR"/>
    <n v="-5000"/>
    <s v="PLN"/>
    <n v="21068.11"/>
    <s v="2026-01-26"/>
    <n v="4.2141000000000002"/>
    <n v="0.23730000000000001"/>
    <n v="4.2050000000000001"/>
    <n v="1"/>
    <n v="43.11"/>
    <s v="UNITED STATES OF AMERICA US"/>
  </r>
  <r>
    <s v="BKMILL"/>
    <n v="158971"/>
    <n v="219835"/>
    <s v="Forward"/>
    <x v="40"/>
    <s v="Sell Fwd"/>
    <s v="EUR"/>
    <n v="-1000"/>
    <s v="PLN"/>
    <n v="4211.41"/>
    <s v="2026-01-26"/>
    <n v="4.2119"/>
    <n v="0.2374"/>
    <n v="4.2050000000000001"/>
    <n v="1"/>
    <n v="6.41"/>
    <s v="UNITED STATES OF AMERICA US"/>
  </r>
  <r>
    <s v="BKMILL"/>
    <n v="158972"/>
    <n v="219837"/>
    <s v="Forward"/>
    <x v="55"/>
    <s v="Buy Fwd"/>
    <s v="USD"/>
    <n v="137313"/>
    <s v="PLN"/>
    <n v="487886.41"/>
    <s v="2026-01-26"/>
    <n v="3.5529000000000002"/>
    <n v="0.28149999999999997"/>
    <n v="3.5831"/>
    <n v="1"/>
    <n v="979892.62029999995"/>
    <s v="SPAIN ES"/>
  </r>
  <r>
    <s v="BKMILL"/>
    <n v="158973"/>
    <n v="909139"/>
    <s v="Spot"/>
    <x v="42"/>
    <s v="Sell"/>
    <s v="CHF"/>
    <n v="-6662.81"/>
    <s v="PLN"/>
    <n v="30447.98"/>
    <s v="2026-01-28"/>
    <n v="4.5697999999999999"/>
    <n v="0.21879999999999999"/>
    <n v="4.5575000000000001"/>
    <n v="1"/>
    <n v="82.223425000000006"/>
    <s v="SWITZERLAND CH"/>
  </r>
  <r>
    <s v="BKMILL"/>
    <n v="158974"/>
    <n v="909140"/>
    <s v="Spot"/>
    <x v="43"/>
    <s v="Buy"/>
    <s v="USD"/>
    <n v="3814.67"/>
    <s v="PLN"/>
    <n v="-13554.36"/>
    <s v="2026-01-28"/>
    <n v="3.5531999999999999"/>
    <n v="0.28139999999999998"/>
    <n v="3.5354000000000001"/>
    <n v="1"/>
    <n v="-67.975682000000006"/>
    <s v="FRANCE FR"/>
  </r>
  <r>
    <s v="BKMILL"/>
    <n v="158975"/>
    <n v="909141"/>
    <s v="Spot"/>
    <x v="42"/>
    <s v="Sell"/>
    <s v="EUR"/>
    <n v="-48222.400000000001"/>
    <s v="PLN"/>
    <n v="203096.35"/>
    <s v="2026-01-28"/>
    <n v="4.2117000000000004"/>
    <n v="0.2374"/>
    <n v="4.2031999999999998"/>
    <n v="1"/>
    <n v="407.95832000000001"/>
    <s v="SWITZERLAND CH"/>
  </r>
  <r>
    <s v="BKMILL"/>
    <n v="158976"/>
    <n v="219839"/>
    <s v="Forward"/>
    <x v="55"/>
    <s v="Buy Fwd"/>
    <s v="USD"/>
    <n v="25000"/>
    <s v="PLN"/>
    <n v="88835.88"/>
    <s v="2026-01-26"/>
    <n v="3.5533000000000001"/>
    <n v="0.28139999999999998"/>
    <n v="3.5831"/>
    <n v="1"/>
    <n v="178413.38"/>
    <s v="SPAIN ES"/>
  </r>
  <r>
    <s v="BKMILL"/>
    <n v="158977"/>
    <n v="219840"/>
    <s v="Forward"/>
    <x v="26"/>
    <s v="Sell Fwd"/>
    <s v="USD"/>
    <n v="-25000"/>
    <s v="PLN"/>
    <n v="88962.5"/>
    <s v="2026-01-26"/>
    <n v="3.5583999999999998"/>
    <n v="0.28100000000000003"/>
    <n v="3.5831"/>
    <n v="1"/>
    <n v="-615"/>
    <s v="POLAND PL"/>
  </r>
  <r>
    <s v="BKMILL"/>
    <n v="158978"/>
    <n v="219841"/>
    <s v="Forward"/>
    <x v="55"/>
    <s v="Buy Fwd"/>
    <s v="EUR"/>
    <n v="1000"/>
    <s v="PLN"/>
    <n v="4212.37"/>
    <s v="2026-01-26"/>
    <n v="4.2125000000000004"/>
    <n v="0.2374"/>
    <n v="4.2050000000000001"/>
    <n v="1"/>
    <n v="8417.3700000000008"/>
    <s v="SPAIN ES"/>
  </r>
  <r>
    <s v="BKMILL"/>
    <n v="158979"/>
    <n v="219843"/>
    <s v="Forward"/>
    <x v="41"/>
    <s v="Buy Fwd"/>
    <s v="USD"/>
    <n v="200000"/>
    <s v="PLN"/>
    <n v="710532"/>
    <s v="2026-01-26"/>
    <n v="3.5526"/>
    <n v="0.28149999999999997"/>
    <n v="3.5831"/>
    <n v="1"/>
    <n v="1427152"/>
    <s v="GERMANY DE"/>
  </r>
  <r>
    <s v="BKMILL"/>
    <n v="158980"/>
    <n v="219845"/>
    <s v="Forward"/>
    <x v="41"/>
    <s v="Buy Fwd"/>
    <s v="USD"/>
    <n v="20000"/>
    <s v="PLN"/>
    <n v="71021.179999999993"/>
    <s v="2026-01-26"/>
    <n v="3.5510000000000002"/>
    <n v="0.28160000000000002"/>
    <n v="3.5831"/>
    <n v="1"/>
    <n v="142683.18"/>
    <s v="GERMANY DE"/>
  </r>
  <r>
    <s v="BKMILL"/>
    <n v="158981"/>
    <n v="219847"/>
    <s v="Forward"/>
    <x v="43"/>
    <s v="Buy Fwd"/>
    <s v="EUR"/>
    <n v="25000"/>
    <s v="PLN"/>
    <n v="105263.26"/>
    <s v="2026-01-26"/>
    <n v="4.2108999999999996"/>
    <n v="0.23749999999999999"/>
    <n v="4.2050000000000001"/>
    <n v="1"/>
    <n v="210388.26"/>
    <s v="FRANCE FR"/>
  </r>
  <r>
    <s v="BKMILL"/>
    <n v="158982"/>
    <n v="219849"/>
    <s v="Forward"/>
    <x v="41"/>
    <s v="Buy Fwd"/>
    <s v="EUR"/>
    <n v="2500"/>
    <s v="PLN"/>
    <n v="10524.24"/>
    <s v="2026-01-26"/>
    <n v="4.21"/>
    <n v="0.23749999999999999"/>
    <n v="4.2050000000000001"/>
    <n v="1"/>
    <n v="21036.74"/>
    <s v="GERMANY DE"/>
  </r>
  <r>
    <s v="BKMILL"/>
    <n v="158983"/>
    <n v="219851"/>
    <s v="Forward"/>
    <x v="41"/>
    <s v="Sell Fwd"/>
    <s v="EUR"/>
    <n v="-7000"/>
    <s v="PLN"/>
    <n v="29461.8"/>
    <s v="2026-01-26"/>
    <n v="4.2093999999999996"/>
    <n v="0.23760000000000001"/>
    <n v="4.2050000000000001"/>
    <n v="1"/>
    <n v="26.8"/>
    <s v="GERMANY DE"/>
  </r>
  <r>
    <s v="BKMILL"/>
    <n v="158984"/>
    <n v="219852"/>
    <s v="Forward"/>
    <x v="24"/>
    <s v="Buy Fwd"/>
    <s v="EUR"/>
    <n v="7000"/>
    <s v="PLN"/>
    <n v="29433.599999999999"/>
    <s v="2026-01-26"/>
    <n v="4.2054"/>
    <n v="0.23780000000000001"/>
    <n v="4.2050000000000001"/>
    <n v="1"/>
    <n v="58868.6"/>
    <s v="POLAND PL"/>
  </r>
  <r>
    <s v="BKMILL"/>
    <n v="158985"/>
    <n v="219856"/>
    <s v="Forward"/>
    <x v="154"/>
    <s v="Sell Fwd"/>
    <s v="USD"/>
    <n v="-100000"/>
    <s v="PLN"/>
    <n v="356900"/>
    <s v="2026-01-26"/>
    <n v="3.569"/>
    <n v="0.2802"/>
    <n v="3.5831"/>
    <n v="1"/>
    <n v="-1410"/>
    <s v="POLAND PL"/>
  </r>
  <r>
    <s v="BKMILL"/>
    <n v="158986"/>
    <n v="219863"/>
    <s v="Forward"/>
    <x v="129"/>
    <s v="Buy Fwd"/>
    <s v="EUR"/>
    <n v="65000"/>
    <s v="USD"/>
    <n v="76836.5"/>
    <s v="2026-01-26"/>
    <n v="1.1822999999999999"/>
    <n v="0.8458"/>
    <n v="4.2050000000000001"/>
    <n v="3.5831"/>
    <n v="548637.86314999999"/>
    <s v="POLAND PL"/>
  </r>
  <r>
    <s v="BKMILL"/>
    <n v="158988"/>
    <n v="909215"/>
    <s v="Spot"/>
    <x v="30"/>
    <s v="Sell"/>
    <s v="USD"/>
    <n v="-450000"/>
    <s v="NOK"/>
    <n v="4389615"/>
    <s v="2026-01-28"/>
    <n v="9.7546999999999997"/>
    <n v="0.10249999999999999"/>
    <n v="3.5354000000000001"/>
    <n v="0.36259999999999998"/>
    <n v="744.399"/>
    <s v="POLAND PL"/>
  </r>
  <r>
    <s v="BKMILL"/>
    <n v="158990"/>
    <n v="219867"/>
    <s v="Forward"/>
    <x v="82"/>
    <s v="Sell Fwd"/>
    <s v="EUR"/>
    <n v="-1000"/>
    <s v="PLN"/>
    <n v="4215.5"/>
    <s v="2026-01-26"/>
    <n v="4.2159000000000004"/>
    <n v="0.23719999999999999"/>
    <n v="4.2050000000000001"/>
    <n v="1"/>
    <n v="10.5"/>
    <s v="POLAND PL"/>
  </r>
  <r>
    <s v="BKMILL"/>
    <n v="158993"/>
    <n v="219870"/>
    <s v="Forward"/>
    <x v="63"/>
    <s v="Sell Fwd"/>
    <s v="USD"/>
    <n v="-20700"/>
    <s v="PLN"/>
    <n v="73658.880000000005"/>
    <s v="2026-01-26"/>
    <n v="3.5583999999999998"/>
    <n v="0.28100000000000003"/>
    <n v="3.5831"/>
    <n v="1"/>
    <n v="-511.29"/>
    <s v="POLAND PL"/>
  </r>
  <r>
    <s v="BKMILL"/>
    <n v="158994"/>
    <n v="219871"/>
    <s v="Forward"/>
    <x v="63"/>
    <s v="Sell Fwd"/>
    <s v="EUR"/>
    <n v="-2200"/>
    <s v="PLN"/>
    <n v="9270.14"/>
    <s v="2026-01-26"/>
    <n v="4.2141000000000002"/>
    <n v="0.23730000000000001"/>
    <n v="4.2050000000000001"/>
    <n v="1"/>
    <n v="19.14"/>
    <s v="POLAND PL"/>
  </r>
  <r>
    <s v="BKMILL"/>
    <n v="158995"/>
    <n v="219875"/>
    <s v="Forward"/>
    <x v="570"/>
    <s v="Buy Fwd"/>
    <s v="EUR"/>
    <n v="1500000"/>
    <s v="PLN"/>
    <n v="6291000"/>
    <s v="2026-01-26"/>
    <n v="4.1943999999999999"/>
    <n v="0.2384"/>
    <n v="4.2050000000000001"/>
    <n v="1"/>
    <n v="12598500"/>
    <s v="POLAND PL"/>
  </r>
  <r>
    <s v="BKMILL"/>
    <n v="158996"/>
    <n v="219876"/>
    <s v="Forward"/>
    <x v="110"/>
    <s v="Buy Fwd"/>
    <s v="EUR"/>
    <n v="20000"/>
    <s v="PLN"/>
    <n v="83900"/>
    <s v="2026-01-26"/>
    <n v="4.1955"/>
    <n v="0.2384"/>
    <n v="4.2050000000000001"/>
    <n v="1"/>
    <n v="168000"/>
    <s v="POLAND PL"/>
  </r>
  <r>
    <s v="BKMILL"/>
    <n v="158997"/>
    <n v="219877"/>
    <s v="Forward"/>
    <x v="243"/>
    <s v="Buy Fwd"/>
    <s v="EUR"/>
    <n v="93000"/>
    <s v="USD"/>
    <n v="110084.1"/>
    <s v="2026-01-26"/>
    <n v="1.1837"/>
    <n v="0.8448"/>
    <n v="4.2050000000000001"/>
    <n v="3.5831"/>
    <n v="785507.33871000004"/>
    <s v="POLAND PL"/>
  </r>
  <r>
    <s v="BKMILL"/>
    <n v="158998"/>
    <n v="219878"/>
    <s v="Forward"/>
    <x v="343"/>
    <s v="Buy Fwd"/>
    <s v="EUR"/>
    <n v="50000"/>
    <s v="PLN"/>
    <n v="210075"/>
    <s v="2026-01-26"/>
    <n v="4.202"/>
    <n v="0.23799999999999999"/>
    <n v="4.2050000000000001"/>
    <n v="1"/>
    <n v="420325"/>
    <s v="POLAND PL"/>
  </r>
  <r>
    <s v="BKMILL"/>
    <n v="158999"/>
    <n v="219879"/>
    <s v="Forward"/>
    <x v="571"/>
    <s v="Sell Fwd"/>
    <s v="EUR"/>
    <n v="-21200"/>
    <s v="PLN"/>
    <n v="89294.399999999994"/>
    <s v="2026-01-26"/>
    <n v="4.2119999999999997"/>
    <n v="0.2374"/>
    <n v="4.2050000000000001"/>
    <n v="1"/>
    <n v="148.4"/>
    <s v="POLAND PL"/>
  </r>
  <r>
    <s v="BKMILL"/>
    <n v="159000"/>
    <n v="219880"/>
    <s v="Forward"/>
    <x v="62"/>
    <s v="Sell Fwd"/>
    <s v="USD"/>
    <n v="-500000"/>
    <s v="PLN"/>
    <n v="1779000"/>
    <s v="2026-01-26"/>
    <n v="3.5579999999999998"/>
    <n v="0.28110000000000002"/>
    <n v="3.5831"/>
    <n v="1"/>
    <n v="-12550"/>
    <s v="POLAND PL"/>
  </r>
  <r>
    <s v="BKMILL"/>
    <n v="159001"/>
    <n v="219881"/>
    <s v="Forward"/>
    <x v="106"/>
    <s v="Sell Fwd"/>
    <s v="EUR"/>
    <n v="-20800"/>
    <s v="PLN"/>
    <n v="87545.12"/>
    <s v="2026-01-26"/>
    <n v="4.2092999999999998"/>
    <n v="0.23760000000000001"/>
    <n v="4.2050000000000001"/>
    <n v="1"/>
    <n v="81.12"/>
    <s v="POLAND PL"/>
  </r>
  <r>
    <s v="BKMILL"/>
    <n v="159002"/>
    <n v="219882"/>
    <s v="Forward"/>
    <x v="32"/>
    <s v="Sell Fwd"/>
    <s v="EUR"/>
    <n v="-20000"/>
    <s v="PLN"/>
    <n v="84190"/>
    <s v="2026-01-26"/>
    <n v="4.2099000000000002"/>
    <n v="0.23749999999999999"/>
    <n v="4.2050000000000001"/>
    <n v="1"/>
    <n v="90"/>
    <s v="POLAND PL"/>
  </r>
  <r>
    <s v="BKMILL"/>
    <n v="159003"/>
    <n v="219883"/>
    <s v="Forward"/>
    <x v="106"/>
    <s v="Sell Fwd"/>
    <s v="EUR"/>
    <n v="-50000"/>
    <s v="PLN"/>
    <n v="210450"/>
    <s v="2026-01-26"/>
    <n v="4.2093999999999996"/>
    <n v="0.23760000000000001"/>
    <n v="4.2050000000000001"/>
    <n v="1"/>
    <n v="200"/>
    <s v="POLAND PL"/>
  </r>
  <r>
    <s v="BKMILL"/>
    <n v="159004"/>
    <n v="219884"/>
    <s v="Forward"/>
    <x v="292"/>
    <s v="Buy Fwd"/>
    <s v="EUR"/>
    <n v="8500"/>
    <s v="PLN"/>
    <n v="35190"/>
    <s v="2026-01-26"/>
    <n v="4.1403999999999996"/>
    <n v="0.24149999999999999"/>
    <n v="4.2050000000000001"/>
    <n v="1"/>
    <n v="70932.5"/>
    <s v="POLAND PL"/>
  </r>
  <r>
    <s v="BKMILL"/>
    <n v="159005"/>
    <n v="219885"/>
    <s v="Forward"/>
    <x v="572"/>
    <s v="Sell Fwd"/>
    <s v="EUR"/>
    <n v="-220000"/>
    <s v="PLN"/>
    <n v="925760"/>
    <s v="2026-01-26"/>
    <n v="4.2084000000000001"/>
    <n v="0.23760000000000001"/>
    <n v="4.2050000000000001"/>
    <n v="1"/>
    <n v="660"/>
    <s v="POLAND PL"/>
  </r>
  <r>
    <s v="BKMILL"/>
    <n v="159006"/>
    <n v="909290"/>
    <s v="Spot"/>
    <x v="40"/>
    <s v="Sell"/>
    <s v="EUR"/>
    <n v="-5000000"/>
    <s v="PLN"/>
    <n v="21041500"/>
    <s v="2026-01-28"/>
    <n v="4.2083000000000004"/>
    <n v="0.23760000000000001"/>
    <n v="4.2031999999999998"/>
    <n v="1"/>
    <n v="25500"/>
    <s v="UNITED STATES OF AMERICA US"/>
  </r>
  <r>
    <s v="BKMILL"/>
    <n v="159007"/>
    <n v="909291"/>
    <s v="Spot"/>
    <x v="40"/>
    <s v="Sell"/>
    <s v="EUR"/>
    <n v="-5000000"/>
    <s v="PLN"/>
    <n v="21038500"/>
    <s v="2026-01-28"/>
    <n v="4.2077"/>
    <n v="0.23769999999999999"/>
    <n v="4.2031999999999998"/>
    <n v="1"/>
    <n v="22500"/>
    <s v="UNITED STATES OF AMERICA US"/>
  </r>
  <r>
    <s v="BKMILL"/>
    <n v="159008"/>
    <n v="909292"/>
    <s v="Spot"/>
    <x v="40"/>
    <s v="Sell"/>
    <s v="EUR"/>
    <n v="-5000000"/>
    <s v="PLN"/>
    <n v="21038000"/>
    <s v="2026-01-28"/>
    <n v="4.2076000000000002"/>
    <n v="0.23769999999999999"/>
    <n v="4.2031999999999998"/>
    <n v="1"/>
    <n v="22000"/>
    <s v="UNITED STATES OF AMERICA US"/>
  </r>
  <r>
    <s v="BKMILL"/>
    <n v="159009"/>
    <n v="909293"/>
    <s v="Spot"/>
    <x v="40"/>
    <s v="Sell"/>
    <s v="EUR"/>
    <n v="-5000000"/>
    <s v="PLN"/>
    <n v="21036000"/>
    <s v="2026-01-28"/>
    <n v="4.2072000000000003"/>
    <n v="0.23769999999999999"/>
    <n v="4.2031999999999998"/>
    <n v="1"/>
    <n v="20000"/>
    <s v="UNITED STATES OF AMERICA US"/>
  </r>
  <r>
    <s v="BKMILL"/>
    <n v="159010"/>
    <n v="909294"/>
    <s v="Spot"/>
    <x v="40"/>
    <s v="Sell"/>
    <s v="EUR"/>
    <n v="-5000000"/>
    <s v="PLN"/>
    <n v="21038500"/>
    <s v="2026-01-28"/>
    <n v="4.2077"/>
    <n v="0.23769999999999999"/>
    <n v="4.2031999999999998"/>
    <n v="1"/>
    <n v="22500"/>
    <s v="UNITED STATES OF AMERICA US"/>
  </r>
  <r>
    <s v="BKMILL"/>
    <n v="159011"/>
    <n v="909295"/>
    <s v="Spot"/>
    <x v="43"/>
    <s v="Sell"/>
    <s v="EUR"/>
    <n v="-5000000"/>
    <s v="PLN"/>
    <n v="21037550"/>
    <s v="2026-01-28"/>
    <n v="4.2074999999999996"/>
    <n v="0.23769999999999999"/>
    <n v="4.2031999999999998"/>
    <n v="1"/>
    <n v="21550"/>
    <s v="FRANCE FR"/>
  </r>
  <r>
    <s v="BKMILL"/>
    <n v="159012"/>
    <n v="909296"/>
    <s v="Spot"/>
    <x v="40"/>
    <s v="Sell"/>
    <s v="EUR"/>
    <n v="-5000000"/>
    <s v="PLN"/>
    <n v="21034000"/>
    <s v="2026-01-28"/>
    <n v="4.2068000000000003"/>
    <n v="0.23769999999999999"/>
    <n v="4.2031999999999998"/>
    <n v="1"/>
    <n v="18000"/>
    <s v="UNITED STATES OF AMERICA US"/>
  </r>
  <r>
    <s v="BKMILL"/>
    <n v="159013"/>
    <n v="909297"/>
    <s v="Spot"/>
    <x v="43"/>
    <s v="Sell"/>
    <s v="EUR"/>
    <n v="-1000000"/>
    <s v="PLN"/>
    <n v="4207390"/>
    <s v="2026-01-28"/>
    <n v="4.2073999999999998"/>
    <n v="0.23769999999999999"/>
    <n v="4.2031999999999998"/>
    <n v="1"/>
    <n v="4190"/>
    <s v="FRANCE FR"/>
  </r>
  <r>
    <s v="BKMILL"/>
    <n v="159014"/>
    <n v="909298"/>
    <s v="Spot"/>
    <x v="43"/>
    <s v="Sell"/>
    <s v="EUR"/>
    <n v="-1000000"/>
    <s v="PLN"/>
    <n v="4207120"/>
    <s v="2026-01-28"/>
    <n v="4.2070999999999996"/>
    <n v="0.23769999999999999"/>
    <n v="4.2031999999999998"/>
    <n v="1"/>
    <n v="3920"/>
    <s v="FRANCE FR"/>
  </r>
  <r>
    <s v="BKMILL"/>
    <n v="159015"/>
    <n v="909299"/>
    <s v="Spot"/>
    <x v="43"/>
    <s v="Sell"/>
    <s v="EUR"/>
    <n v="-1000000"/>
    <s v="PLN"/>
    <n v="4207140"/>
    <s v="2026-01-28"/>
    <n v="4.2070999999999996"/>
    <n v="0.23769999999999999"/>
    <n v="4.2031999999999998"/>
    <n v="1"/>
    <n v="3940"/>
    <s v="FRANCE FR"/>
  </r>
  <r>
    <s v="BKMILL"/>
    <n v="159016"/>
    <n v="909300"/>
    <s v="Spot"/>
    <x v="43"/>
    <s v="Sell"/>
    <s v="EUR"/>
    <n v="-1000000"/>
    <s v="PLN"/>
    <n v="4207090"/>
    <s v="2026-01-28"/>
    <n v="4.2070999999999996"/>
    <n v="0.23769999999999999"/>
    <n v="4.2031999999999998"/>
    <n v="1"/>
    <n v="3890"/>
    <s v="FRANCE FR"/>
  </r>
  <r>
    <s v="BKMILL"/>
    <n v="159017"/>
    <n v="909301"/>
    <s v="Spot"/>
    <x v="47"/>
    <s v="Sell"/>
    <s v="EUR"/>
    <n v="-500000"/>
    <s v="PLN"/>
    <n v="2103225"/>
    <s v="2026-01-28"/>
    <n v="4.2065000000000001"/>
    <n v="0.23769999999999999"/>
    <n v="4.2031999999999998"/>
    <n v="1"/>
    <n v="1625"/>
    <s v="FRANCE FR"/>
  </r>
  <r>
    <s v="BKMILL"/>
    <n v="159018"/>
    <n v="909302"/>
    <s v="Spot"/>
    <x v="40"/>
    <s v="Sell"/>
    <s v="EUR"/>
    <n v="-1000000"/>
    <s v="PLN"/>
    <n v="4207300"/>
    <s v="2026-01-28"/>
    <n v="4.2073"/>
    <n v="0.23769999999999999"/>
    <n v="4.2031999999999998"/>
    <n v="1"/>
    <n v="4100"/>
    <s v="UNITED STATES OF AMERICA US"/>
  </r>
  <r>
    <s v="BKMILL"/>
    <n v="159019"/>
    <n v="909303"/>
    <s v="Spot"/>
    <x v="43"/>
    <s v="Buy"/>
    <s v="USD"/>
    <n v="1450000"/>
    <s v="NOK"/>
    <n v="-14153406.5"/>
    <s v="2026-01-28"/>
    <n v="9.7609999999999992"/>
    <n v="0.1024"/>
    <n v="3.5354000000000001"/>
    <n v="0.36259999999999998"/>
    <n v="-5695.1968999999999"/>
    <s v="FRANCE FR"/>
  </r>
  <r>
    <s v="BKMILL"/>
    <n v="159020"/>
    <n v="909304"/>
    <s v="Spot"/>
    <x v="40"/>
    <s v="Buy"/>
    <s v="USD"/>
    <n v="500000"/>
    <s v="PLN"/>
    <n v="-1775800"/>
    <s v="2026-01-28"/>
    <n v="3.5516000000000001"/>
    <n v="0.28160000000000002"/>
    <n v="3.5354000000000001"/>
    <n v="1"/>
    <n v="-8100"/>
    <s v="UNITED STATES OF AMERICA US"/>
  </r>
  <r>
    <s v="BKMILL"/>
    <n v="159021"/>
    <n v="219886"/>
    <s v="Forward"/>
    <x v="342"/>
    <s v="Buy Fwd"/>
    <s v="EUR"/>
    <n v="22000"/>
    <s v="PLN"/>
    <n v="92048"/>
    <s v="2026-01-26"/>
    <n v="4.1840000000000002"/>
    <n v="0.23899999999999999"/>
    <n v="4.2050000000000001"/>
    <n v="1"/>
    <n v="184558"/>
    <s v="POLAND PL"/>
  </r>
  <r>
    <s v="BKMILL"/>
    <n v="159022"/>
    <n v="909308"/>
    <s v="Spot"/>
    <x v="40"/>
    <s v="Sell"/>
    <s v="EUR"/>
    <n v="-300000"/>
    <s v="USD"/>
    <n v="355503"/>
    <s v="2026-01-28"/>
    <n v="1.1850000000000001"/>
    <n v="0.84389999999999998"/>
    <n v="4.2031999999999998"/>
    <n v="3.5354000000000001"/>
    <n v="-4114.6938"/>
    <s v="UNITED STATES OF AMERICA US"/>
  </r>
  <r>
    <s v="BKMILL"/>
    <n v="159023"/>
    <n v="219890"/>
    <s v="Forward"/>
    <x v="573"/>
    <s v="Sell Fwd"/>
    <s v="EUR"/>
    <n v="-3000"/>
    <s v="PLN"/>
    <n v="12660"/>
    <s v="2026-01-26"/>
    <n v="4.2203999999999997"/>
    <n v="0.2369"/>
    <n v="4.2050000000000001"/>
    <n v="1"/>
    <n v="45"/>
    <s v="POLAND PL"/>
  </r>
  <r>
    <s v="BKMILL"/>
    <n v="159024"/>
    <n v="219892"/>
    <s v="Forward"/>
    <x v="539"/>
    <s v="Sell Fwd"/>
    <s v="EUR"/>
    <n v="-16635.77"/>
    <s v="PLN"/>
    <n v="70000"/>
    <s v="2026-01-26"/>
    <n v="4.2584999999999997"/>
    <n v="0.23480000000000001"/>
    <n v="4.2050000000000001"/>
    <n v="1"/>
    <n v="46.587150000000001"/>
    <s v="POLAND PL"/>
  </r>
  <r>
    <s v="BKMILL"/>
    <n v="159025"/>
    <n v="219893"/>
    <s v="Forward"/>
    <x v="141"/>
    <s v="Buy Fwd"/>
    <s v="EUR"/>
    <n v="13763"/>
    <s v="PLN"/>
    <n v="57666.97"/>
    <s v="2026-01-26"/>
    <n v="4.1905000000000001"/>
    <n v="0.23860000000000001"/>
    <n v="4.2050000000000001"/>
    <n v="1"/>
    <n v="115540.38499999999"/>
    <s v="POLAND PL"/>
  </r>
  <r>
    <s v="BKMILL"/>
    <n v="159026"/>
    <n v="909337"/>
    <s v="Spot"/>
    <x v="41"/>
    <s v="Buy"/>
    <s v="EUR"/>
    <n v="100000"/>
    <s v="CHF"/>
    <n v="-92121"/>
    <s v="2026-01-28"/>
    <n v="0.92120000000000002"/>
    <n v="1.0854999999999999"/>
    <n v="4.2031999999999998"/>
    <n v="4.5575000000000001"/>
    <n v="478.54250000000002"/>
    <s v="GERMANY DE"/>
  </r>
  <r>
    <s v="BKMILL"/>
    <n v="159027"/>
    <n v="219894"/>
    <s v="Forward"/>
    <x v="70"/>
    <s v="Buy Fwd"/>
    <s v="GBP"/>
    <n v="7318.71"/>
    <s v="PLN"/>
    <n v="35429.879999999997"/>
    <s v="2026-01-26"/>
    <n v="4.8410000000000002"/>
    <n v="0.20660000000000001"/>
    <n v="4.8478000000000003"/>
    <n v="1"/>
    <n v="70909.522337999995"/>
    <s v="POLAND PL"/>
  </r>
  <r>
    <s v="BKMILL"/>
    <n v="159030"/>
    <n v="219895"/>
    <s v="Forward"/>
    <x v="297"/>
    <s v="Buy Fwd"/>
    <s v="EUR"/>
    <n v="50000"/>
    <s v="PLN"/>
    <n v="210000"/>
    <s v="2026-01-26"/>
    <n v="4.2"/>
    <n v="0.23810000000000001"/>
    <n v="4.2050000000000001"/>
    <n v="1"/>
    <n v="420250"/>
    <s v="POLAND PL"/>
  </r>
  <r>
    <s v="BKMILL"/>
    <n v="159031"/>
    <n v="219897"/>
    <s v="Forward"/>
    <x v="574"/>
    <s v="Sell Fwd"/>
    <s v="SEK"/>
    <n v="-501900"/>
    <s v="PLN"/>
    <n v="200709.81"/>
    <s v="2026-01-26"/>
    <n v="0.39989999999999998"/>
    <n v="2.5005999999999999"/>
    <n v="0.3967"/>
    <n v="1"/>
    <n v="1606.08"/>
    <s v="POLAND PL"/>
  </r>
  <r>
    <s v="BKMILL"/>
    <n v="159032"/>
    <n v="219898"/>
    <s v="Forward"/>
    <x v="575"/>
    <s v="Buy Fwd"/>
    <s v="EUR"/>
    <n v="9000"/>
    <s v="PLN"/>
    <n v="37827"/>
    <s v="2026-01-26"/>
    <n v="4.2030000000000003"/>
    <n v="0.2379"/>
    <n v="4.2050000000000001"/>
    <n v="1"/>
    <n v="75672"/>
    <s v="POLAND PL"/>
  </r>
  <r>
    <s v="BKMILL"/>
    <n v="159033"/>
    <n v="219899"/>
    <s v="Forward"/>
    <x v="116"/>
    <s v="Buy Fwd"/>
    <s v="USD"/>
    <n v="50000"/>
    <s v="EUR"/>
    <n v="42108.81"/>
    <s v="2026-01-26"/>
    <n v="1.1876"/>
    <n v="0.84199999999999997"/>
    <n v="3.5831"/>
    <n v="4.2050000000000001"/>
    <n v="356222.54605"/>
    <s v="POLAND PL"/>
  </r>
  <r>
    <s v="BKMILL"/>
    <n v="159034"/>
    <n v="219905"/>
    <s v="Forward"/>
    <x v="68"/>
    <s v="Sell Fwd"/>
    <s v="EUR"/>
    <n v="-100000"/>
    <s v="PLN"/>
    <n v="420800"/>
    <s v="2026-01-26"/>
    <n v="4.2084000000000001"/>
    <n v="0.23760000000000001"/>
    <n v="4.2050000000000001"/>
    <n v="1"/>
    <n v="300"/>
    <s v="POLAND PL"/>
  </r>
  <r>
    <s v="BKMILL"/>
    <n v="159035"/>
    <n v="909381"/>
    <s v="Spot"/>
    <x v="41"/>
    <s v="Sell"/>
    <s v="EUR"/>
    <n v="-500000"/>
    <s v="PLN"/>
    <n v="2104050"/>
    <s v="2026-01-28"/>
    <n v="4.2081"/>
    <n v="0.23760000000000001"/>
    <n v="4.2031999999999998"/>
    <n v="1"/>
    <n v="2450"/>
    <s v="GERMANY DE"/>
  </r>
  <r>
    <s v="BKMILL"/>
    <n v="159036"/>
    <n v="219906"/>
    <s v="Forward"/>
    <x v="313"/>
    <s v="Sell Fwd"/>
    <s v="EUR"/>
    <n v="-50000"/>
    <s v="PLN"/>
    <n v="210500"/>
    <s v="2026-01-26"/>
    <n v="4.21"/>
    <n v="0.23749999999999999"/>
    <n v="4.2050000000000001"/>
    <n v="1"/>
    <n v="250"/>
    <s v="POLAND PL"/>
  </r>
  <r>
    <s v="BKMILL"/>
    <n v="159037"/>
    <n v="219907"/>
    <s v="Forward"/>
    <x v="313"/>
    <s v="Sell Fwd"/>
    <s v="USD"/>
    <n v="-50000"/>
    <s v="PLN"/>
    <n v="177700"/>
    <s v="2026-01-26"/>
    <n v="3.5539999999999998"/>
    <n v="0.28139999999999998"/>
    <n v="3.5831"/>
    <n v="1"/>
    <n v="-1455"/>
    <s v="POLAND PL"/>
  </r>
  <r>
    <s v="BKMILL"/>
    <n v="159039"/>
    <n v="219911"/>
    <s v="Forward"/>
    <x v="576"/>
    <s v="Buy Fwd"/>
    <s v="EUR"/>
    <n v="650000"/>
    <s v="PLN"/>
    <n v="2725125"/>
    <s v="2026-01-26"/>
    <n v="4.1928999999999998"/>
    <n v="0.23849999999999999"/>
    <n v="4.2050000000000001"/>
    <n v="1"/>
    <n v="5458375"/>
    <s v="POLAND PL"/>
  </r>
  <r>
    <s v="BKMILL"/>
    <n v="159040"/>
    <n v="219912"/>
    <s v="Forward"/>
    <x v="577"/>
    <s v="Sell Fwd"/>
    <s v="EUR"/>
    <n v="-10000"/>
    <s v="PLN"/>
    <n v="42138"/>
    <s v="2026-01-27"/>
    <n v="4.2140000000000004"/>
    <n v="0.23730000000000001"/>
    <n v="4.2118000000000002"/>
    <n v="1"/>
    <n v="20"/>
    <s v="POLAND PL"/>
  </r>
  <r>
    <s v="BKMILL"/>
    <n v="159041"/>
    <n v="219919"/>
    <s v="Forward"/>
    <x v="578"/>
    <s v="Buy Fwd"/>
    <s v="EUR"/>
    <n v="20000"/>
    <s v="PLN"/>
    <n v="83840"/>
    <s v="2026-01-26"/>
    <n v="4.1920000000000002"/>
    <n v="0.23849999999999999"/>
    <n v="4.2050000000000001"/>
    <n v="1"/>
    <n v="167940"/>
    <s v="POLAND PL"/>
  </r>
  <r>
    <s v="BKMILL"/>
    <n v="159042"/>
    <n v="219920"/>
    <s v="Forward"/>
    <x v="469"/>
    <s v="Buy Fwd"/>
    <s v="EUR"/>
    <n v="2608.92"/>
    <s v="PLN"/>
    <n v="10722.66"/>
    <s v="2026-01-26"/>
    <n v="4.1100000000000003"/>
    <n v="0.24329999999999999"/>
    <n v="4.2050000000000001"/>
    <n v="1"/>
    <n v="21693.168600000001"/>
    <s v="POLAND PL"/>
  </r>
  <r>
    <s v="BKMILL"/>
    <n v="159043"/>
    <n v="219921"/>
    <s v="Forward"/>
    <x v="469"/>
    <s v="Buy Fwd"/>
    <s v="EUR"/>
    <n v="2678.92"/>
    <s v="PLN"/>
    <n v="11010.36"/>
    <s v="2026-01-26"/>
    <n v="4.1100000000000003"/>
    <n v="0.24329999999999999"/>
    <n v="4.2050000000000001"/>
    <n v="1"/>
    <n v="22275.2186"/>
    <s v="POLAND PL"/>
  </r>
  <r>
    <s v="BKMILL"/>
    <n v="159045"/>
    <n v="219922"/>
    <s v="Forward"/>
    <x v="469"/>
    <s v="Buy Fwd"/>
    <s v="EUR"/>
    <n v="2230.69"/>
    <s v="PLN"/>
    <n v="9168.14"/>
    <s v="2026-01-26"/>
    <n v="4.1100000000000003"/>
    <n v="0.24329999999999999"/>
    <n v="4.2050000000000001"/>
    <n v="1"/>
    <n v="18548.191449999998"/>
    <s v="POLAND PL"/>
  </r>
  <r>
    <s v="BKMILL"/>
    <n v="159046"/>
    <n v="909435"/>
    <s v="Spot"/>
    <x v="40"/>
    <s v="Sell"/>
    <s v="EUR"/>
    <n v="-300000"/>
    <s v="USD"/>
    <n v="355671"/>
    <s v="2026-01-28"/>
    <n v="1.1856"/>
    <n v="0.84350000000000003"/>
    <n v="4.2031999999999998"/>
    <n v="3.5354000000000001"/>
    <n v="-3520.7465999999999"/>
    <s v="UNITED STATES OF AMERICA US"/>
  </r>
  <r>
    <s v="BKMILL"/>
    <n v="159047"/>
    <n v="219923"/>
    <s v="Forward"/>
    <x v="469"/>
    <s v="Buy Fwd"/>
    <s v="EUR"/>
    <n v="2206.71"/>
    <s v="PLN"/>
    <n v="9069.58"/>
    <s v="2026-01-26"/>
    <n v="4.1100000000000003"/>
    <n v="0.24329999999999999"/>
    <n v="4.2050000000000001"/>
    <n v="1"/>
    <n v="18348.795549999999"/>
    <s v="POLAND PL"/>
  </r>
  <r>
    <s v="BKMILL"/>
    <n v="159048"/>
    <n v="909440"/>
    <s v="Spot"/>
    <x v="40"/>
    <s v="Sell"/>
    <s v="USD"/>
    <n v="-500000"/>
    <s v="PLN"/>
    <n v="1775650"/>
    <s v="2026-01-28"/>
    <n v="3.5512999999999999"/>
    <n v="0.28160000000000002"/>
    <n v="3.5354000000000001"/>
    <n v="1"/>
    <n v="7950"/>
    <s v="UNITED STATES OF AMERICA US"/>
  </r>
  <r>
    <s v="BKMILL"/>
    <n v="159049"/>
    <n v="909441"/>
    <s v="Spot"/>
    <x v="41"/>
    <s v="Buy"/>
    <s v="EUR"/>
    <n v="500000"/>
    <s v="PLN"/>
    <n v="-2105450"/>
    <s v="2026-01-28"/>
    <n v="4.2108999999999996"/>
    <n v="0.23749999999999999"/>
    <n v="4.2031999999999998"/>
    <n v="1"/>
    <n v="-3850"/>
    <s v="GERMANY DE"/>
  </r>
  <r>
    <s v="BKMILL"/>
    <n v="159050"/>
    <n v="909442"/>
    <s v="Spot"/>
    <x v="40"/>
    <s v="Sell"/>
    <s v="EUR"/>
    <n v="-400000"/>
    <s v="USD"/>
    <n v="474332"/>
    <s v="2026-01-28"/>
    <n v="1.1858"/>
    <n v="0.84330000000000005"/>
    <n v="4.2031999999999998"/>
    <n v="3.5354000000000001"/>
    <n v="-4326.6472000000003"/>
    <s v="UNITED STATES OF AMERICA US"/>
  </r>
  <r>
    <s v="BKMILL"/>
    <n v="159051"/>
    <n v="219925"/>
    <s v="Forward"/>
    <x v="579"/>
    <s v="Sell Fwd"/>
    <s v="USD"/>
    <n v="-200000"/>
    <s v="PLN"/>
    <n v="715000"/>
    <s v="2026-01-27"/>
    <n v="3.5750000000000002"/>
    <n v="0.2797"/>
    <n v="3.5499000000000001"/>
    <n v="1"/>
    <n v="5020"/>
    <s v="POLAND PL"/>
  </r>
  <r>
    <s v="BKMILL"/>
    <n v="159052"/>
    <n v="219927"/>
    <s v="Forward"/>
    <x v="162"/>
    <s v="Buy Fwd"/>
    <s v="EUR"/>
    <n v="20000000"/>
    <s v="PLN"/>
    <n v="84110000"/>
    <s v="2026-01-27"/>
    <n v="4.2054999999999998"/>
    <n v="0.23780000000000001"/>
    <n v="4.2118000000000002"/>
    <n v="1"/>
    <n v="168346000"/>
    <s v="POLAND PL"/>
  </r>
  <r>
    <s v="BKMILL"/>
    <n v="159053"/>
    <n v="219928"/>
    <s v="Forward"/>
    <x v="155"/>
    <s v="Sell Fwd"/>
    <s v="EUR"/>
    <n v="-100000"/>
    <s v="PLN"/>
    <n v="421630"/>
    <s v="2026-01-26"/>
    <n v="4.2167000000000003"/>
    <n v="0.23719999999999999"/>
    <n v="4.2050000000000001"/>
    <n v="1"/>
    <n v="1130"/>
    <s v="POLAND PL"/>
  </r>
  <r>
    <s v="BKMILL"/>
    <n v="159054"/>
    <n v="909463"/>
    <s v="Spot"/>
    <x v="47"/>
    <s v="Sell"/>
    <s v="USD"/>
    <n v="-1000000"/>
    <s v="PLN"/>
    <n v="3550400"/>
    <s v="2026-01-28"/>
    <n v="3.5503999999999998"/>
    <n v="0.28170000000000001"/>
    <n v="3.5354000000000001"/>
    <n v="1"/>
    <n v="15000"/>
    <s v="FRANCE FR"/>
  </r>
  <r>
    <s v="BKMILL"/>
    <n v="159055"/>
    <n v="219929"/>
    <s v="Forward"/>
    <x v="579"/>
    <s v="Sell Fwd"/>
    <s v="USD"/>
    <n v="-200000"/>
    <s v="PLN"/>
    <n v="715200"/>
    <s v="2026-01-27"/>
    <n v="3.5760000000000001"/>
    <n v="0.27960000000000002"/>
    <n v="3.5499000000000001"/>
    <n v="1"/>
    <n v="5220"/>
    <s v="POLAND PL"/>
  </r>
  <r>
    <s v="BKMILL"/>
    <n v="159056"/>
    <n v="909473"/>
    <s v="Spot"/>
    <x v="47"/>
    <s v="Buy"/>
    <s v="USD"/>
    <n v="1000000"/>
    <s v="PLN"/>
    <n v="-3549500"/>
    <s v="2026-01-28"/>
    <n v="3.5495000000000001"/>
    <n v="0.28170000000000001"/>
    <n v="3.5354000000000001"/>
    <n v="1"/>
    <n v="-14100"/>
    <s v="FRANCE FR"/>
  </r>
  <r>
    <s v="BKMILL"/>
    <n v="159057"/>
    <n v="219933"/>
    <s v="Forward"/>
    <x v="162"/>
    <s v="Buy Fwd"/>
    <s v="EUR"/>
    <n v="20000000"/>
    <s v="PLN"/>
    <n v="84130000"/>
    <s v="2026-01-27"/>
    <n v="4.2065000000000001"/>
    <n v="0.23769999999999999"/>
    <n v="4.2118000000000002"/>
    <n v="1"/>
    <n v="168366000"/>
    <s v="POLAND PL"/>
  </r>
  <r>
    <s v="BKMILL"/>
    <n v="159058"/>
    <n v="909480"/>
    <s v="Spot"/>
    <x v="39"/>
    <s v="Sell"/>
    <s v="USD"/>
    <n v="-1000000"/>
    <s v="PLN"/>
    <n v="3549980"/>
    <s v="2026-01-28"/>
    <n v="3.55"/>
    <n v="0.28170000000000001"/>
    <n v="3.5354000000000001"/>
    <n v="1"/>
    <n v="14580"/>
    <s v="UNITED KINGDOM GB"/>
  </r>
  <r>
    <s v="BKMILL"/>
    <n v="159059"/>
    <n v="909487"/>
    <s v="Spot"/>
    <x v="38"/>
    <s v="Sell"/>
    <s v="USD"/>
    <n v="-1000000"/>
    <s v="PLN"/>
    <n v="3550330"/>
    <s v="2026-01-28"/>
    <n v="3.5503"/>
    <n v="0.28170000000000001"/>
    <n v="3.5354000000000001"/>
    <n v="1"/>
    <n v="14930"/>
    <s v="NETHERLANDS NL"/>
  </r>
  <r>
    <s v="BKMILL"/>
    <n v="159060"/>
    <n v="909492"/>
    <s v="Spot"/>
    <x v="47"/>
    <s v="Buy"/>
    <s v="USD"/>
    <n v="1000000"/>
    <s v="PLN"/>
    <n v="-3549300"/>
    <s v="2026-01-28"/>
    <n v="3.5493000000000001"/>
    <n v="0.28170000000000001"/>
    <n v="3.5354000000000001"/>
    <n v="1"/>
    <n v="-13900"/>
    <s v="FRANCE FR"/>
  </r>
  <r>
    <s v="BKMILL"/>
    <n v="159061"/>
    <n v="909493"/>
    <s v="Spot"/>
    <x v="47"/>
    <s v="Buy"/>
    <s v="USD"/>
    <n v="1000000"/>
    <s v="PLN"/>
    <n v="-3549200"/>
    <s v="2026-01-28"/>
    <n v="3.5491999999999999"/>
    <n v="0.28179999999999999"/>
    <n v="3.5354000000000001"/>
    <n v="1"/>
    <n v="-13800"/>
    <s v="FRANCE FR"/>
  </r>
  <r>
    <s v="BKMILL"/>
    <n v="159062"/>
    <n v="909494"/>
    <s v="Spot"/>
    <x v="39"/>
    <s v="Buy"/>
    <s v="USD"/>
    <n v="1000000"/>
    <s v="PLN"/>
    <n v="-3549580"/>
    <s v="2026-01-28"/>
    <n v="3.5495999999999999"/>
    <n v="0.28170000000000001"/>
    <n v="3.5354000000000001"/>
    <n v="1"/>
    <n v="-14180"/>
    <s v="UNITED KINGDOM GB"/>
  </r>
  <r>
    <s v="BKMILL"/>
    <n v="159063"/>
    <n v="909495"/>
    <s v="Spot"/>
    <x v="41"/>
    <s v="Buy"/>
    <s v="USD"/>
    <n v="1000000"/>
    <s v="PLN"/>
    <n v="-3549300"/>
    <s v="2026-01-28"/>
    <n v="3.5493000000000001"/>
    <n v="0.28170000000000001"/>
    <n v="3.5354000000000001"/>
    <n v="1"/>
    <n v="-13900"/>
    <s v="GERMANY DE"/>
  </r>
  <r>
    <s v="BKMILL"/>
    <n v="159064"/>
    <n v="909496"/>
    <s v="Spot"/>
    <x v="41"/>
    <s v="Buy"/>
    <s v="USD"/>
    <n v="20000000"/>
    <s v="PLN"/>
    <n v="-70990000"/>
    <s v="2026-01-28"/>
    <n v="3.5495000000000001"/>
    <n v="0.28170000000000001"/>
    <n v="3.5354000000000001"/>
    <n v="1"/>
    <n v="-282000"/>
    <s v="GERMANY DE"/>
  </r>
  <r>
    <s v="BKMILL"/>
    <n v="159065"/>
    <n v="909500"/>
    <s v="Spot"/>
    <x v="47"/>
    <s v="Buy"/>
    <s v="USD"/>
    <n v="1000000"/>
    <s v="PLN"/>
    <n v="-3549150"/>
    <s v="2026-01-28"/>
    <n v="3.5491999999999999"/>
    <n v="0.28179999999999999"/>
    <n v="3.5354000000000001"/>
    <n v="1"/>
    <n v="-13750"/>
    <s v="FRANCE FR"/>
  </r>
  <r>
    <s v="BKMILL"/>
    <n v="159066"/>
    <n v="909504"/>
    <s v="Spot"/>
    <x v="47"/>
    <s v="Buy"/>
    <s v="USD"/>
    <n v="1000000"/>
    <s v="PLN"/>
    <n v="-3549100"/>
    <s v="2026-01-28"/>
    <n v="3.5491000000000001"/>
    <n v="0.28179999999999999"/>
    <n v="3.5354000000000001"/>
    <n v="1"/>
    <n v="-13700"/>
    <s v="FRANCE FR"/>
  </r>
  <r>
    <s v="BKMILL"/>
    <n v="159067"/>
    <n v="909505"/>
    <s v="Spot"/>
    <x v="40"/>
    <s v="Buy"/>
    <s v="USD"/>
    <n v="9900000"/>
    <s v="PLN"/>
    <n v="-35140050"/>
    <s v="2026-01-28"/>
    <n v="3.5495000000000001"/>
    <n v="0.28170000000000001"/>
    <n v="3.5354000000000001"/>
    <n v="1"/>
    <n v="-139590"/>
    <s v="UNITED STATES OF AMERICA US"/>
  </r>
  <r>
    <s v="BKMILL"/>
    <n v="159068"/>
    <n v="909506"/>
    <s v="Spot"/>
    <x v="47"/>
    <s v="Buy"/>
    <s v="USD"/>
    <n v="1000000"/>
    <s v="PLN"/>
    <n v="-3548700"/>
    <s v="2026-01-28"/>
    <n v="3.5487000000000002"/>
    <n v="0.28179999999999999"/>
    <n v="3.5354000000000001"/>
    <n v="1"/>
    <n v="-13300"/>
    <s v="FRANCE FR"/>
  </r>
  <r>
    <s v="BKMILL"/>
    <n v="159069"/>
    <n v="909507"/>
    <s v="Spot"/>
    <x v="47"/>
    <s v="Buy"/>
    <s v="USD"/>
    <n v="1000000"/>
    <s v="PLN"/>
    <n v="-3548870"/>
    <s v="2026-01-28"/>
    <n v="3.5489000000000002"/>
    <n v="0.28179999999999999"/>
    <n v="3.5354000000000001"/>
    <n v="1"/>
    <n v="-13470"/>
    <s v="FRANCE FR"/>
  </r>
  <r>
    <s v="BKMILL"/>
    <n v="159070"/>
    <n v="909508"/>
    <s v="Spot"/>
    <x v="47"/>
    <s v="Buy"/>
    <s v="USD"/>
    <n v="1000000"/>
    <s v="PLN"/>
    <n v="-3549100"/>
    <s v="2026-01-28"/>
    <n v="3.5491000000000001"/>
    <n v="0.28179999999999999"/>
    <n v="3.5354000000000001"/>
    <n v="1"/>
    <n v="-13700"/>
    <s v="FRANCE FR"/>
  </r>
  <r>
    <s v="BKMILL"/>
    <n v="159071"/>
    <n v="909509"/>
    <s v="Spot"/>
    <x v="47"/>
    <s v="Buy"/>
    <s v="USD"/>
    <n v="1000000"/>
    <s v="PLN"/>
    <n v="-3549100"/>
    <s v="2026-01-28"/>
    <n v="3.5491000000000001"/>
    <n v="0.28179999999999999"/>
    <n v="3.5354000000000001"/>
    <n v="1"/>
    <n v="-13700"/>
    <s v="FRANCE FR"/>
  </r>
  <r>
    <s v="BKMILL"/>
    <n v="159072"/>
    <n v="219939"/>
    <s v="Forward"/>
    <x v="580"/>
    <s v="Buy Fwd"/>
    <s v="EUR"/>
    <n v="33723.97"/>
    <s v="USD"/>
    <n v="40000"/>
    <s v="2026-01-26"/>
    <n v="1.1821999999999999"/>
    <n v="0.84589999999999999"/>
    <n v="4.2050000000000001"/>
    <n v="3.5831"/>
    <n v="285133.29385000002"/>
    <s v="UNITED KINGDOM GB"/>
  </r>
  <r>
    <s v="BKMILL"/>
    <n v="159073"/>
    <n v="219940"/>
    <s v="Forward"/>
    <x v="580"/>
    <s v="Buy Fwd"/>
    <s v="EUR"/>
    <n v="7360"/>
    <s v="PLN"/>
    <n v="30912"/>
    <s v="2026-01-26"/>
    <n v="4.2004999999999999"/>
    <n v="0.23810000000000001"/>
    <n v="4.2050000000000001"/>
    <n v="1"/>
    <n v="61860.800000000003"/>
    <s v="UNITED KINGDOM GB"/>
  </r>
  <r>
    <s v="BKMILL"/>
    <n v="159074"/>
    <n v="909518"/>
    <s v="Spot"/>
    <x v="39"/>
    <s v="Buy"/>
    <s v="USD"/>
    <n v="1000000"/>
    <s v="PLN"/>
    <n v="-3548870"/>
    <s v="2026-01-28"/>
    <n v="3.5489000000000002"/>
    <n v="0.28179999999999999"/>
    <n v="3.5354000000000001"/>
    <n v="1"/>
    <n v="-13470"/>
    <s v="UNITED KINGDOM GB"/>
  </r>
  <r>
    <s v="BKMILL"/>
    <n v="159075"/>
    <n v="909521"/>
    <s v="Spot"/>
    <x v="47"/>
    <s v="Buy"/>
    <s v="USD"/>
    <n v="1000000"/>
    <s v="PLN"/>
    <n v="-3548900"/>
    <s v="2026-01-28"/>
    <n v="3.5489000000000002"/>
    <n v="0.28179999999999999"/>
    <n v="3.5354000000000001"/>
    <n v="1"/>
    <n v="-13500"/>
    <s v="FRANCE FR"/>
  </r>
  <r>
    <s v="BKMILL"/>
    <n v="159076"/>
    <n v="909525"/>
    <s v="Spot"/>
    <x v="41"/>
    <s v="Buy"/>
    <s v="USD"/>
    <n v="1000000"/>
    <s v="PLN"/>
    <n v="-3548900"/>
    <s v="2026-01-28"/>
    <n v="3.5489000000000002"/>
    <n v="0.28179999999999999"/>
    <n v="3.5354000000000001"/>
    <n v="1"/>
    <n v="-13500"/>
    <s v="GERMANY DE"/>
  </r>
  <r>
    <s v="BKMILL"/>
    <n v="159077"/>
    <n v="909526"/>
    <s v="Spot"/>
    <x v="39"/>
    <s v="Buy"/>
    <s v="USD"/>
    <n v="1000000"/>
    <s v="PLN"/>
    <n v="-3548590"/>
    <s v="2026-01-28"/>
    <n v="3.5486"/>
    <n v="0.28179999999999999"/>
    <n v="3.5354000000000001"/>
    <n v="1"/>
    <n v="-13190"/>
    <s v="UNITED KINGDOM GB"/>
  </r>
  <r>
    <s v="BKMILL"/>
    <n v="159078"/>
    <n v="219943"/>
    <s v="Forward"/>
    <x v="106"/>
    <s v="Sell Fwd"/>
    <s v="EUR"/>
    <n v="-25000"/>
    <s v="PLN"/>
    <n v="105317.5"/>
    <s v="2026-01-26"/>
    <n v="4.2130999999999998"/>
    <n v="0.2374"/>
    <n v="4.2050000000000001"/>
    <n v="1"/>
    <n v="192.5"/>
    <s v="POLAND PL"/>
  </r>
  <r>
    <s v="BKMILL"/>
    <n v="159079"/>
    <n v="909530"/>
    <s v="Spot"/>
    <x v="43"/>
    <s v="Buy"/>
    <s v="USD"/>
    <n v="1000000"/>
    <s v="PLN"/>
    <n v="-3548480"/>
    <s v="2026-01-28"/>
    <n v="3.5485000000000002"/>
    <n v="0.28179999999999999"/>
    <n v="3.5354000000000001"/>
    <n v="1"/>
    <n v="-13080"/>
    <s v="FRANCE FR"/>
  </r>
  <r>
    <s v="BKMILL"/>
    <n v="159080"/>
    <n v="909531"/>
    <s v="Spot"/>
    <x v="534"/>
    <s v="Buy"/>
    <s v="USD"/>
    <n v="1000000"/>
    <s v="PLN"/>
    <n v="-3548920"/>
    <s v="2026-01-28"/>
    <n v="3.5489000000000002"/>
    <n v="0.28179999999999999"/>
    <n v="3.5354000000000001"/>
    <n v="1"/>
    <n v="-13520"/>
    <s v="POLAND PL"/>
  </r>
  <r>
    <s v="BKMILL"/>
    <n v="159081"/>
    <n v="909532"/>
    <s v="Spot"/>
    <x v="47"/>
    <s v="Buy"/>
    <s v="USD"/>
    <n v="1000000"/>
    <s v="PLN"/>
    <n v="-3549100"/>
    <s v="2026-01-28"/>
    <n v="3.5491000000000001"/>
    <n v="0.28179999999999999"/>
    <n v="3.5354000000000001"/>
    <n v="1"/>
    <n v="-13700"/>
    <s v="FRANCE FR"/>
  </r>
  <r>
    <s v="BKMILL"/>
    <n v="159082"/>
    <n v="909536"/>
    <s v="Spot"/>
    <x v="534"/>
    <s v="Buy"/>
    <s v="USD"/>
    <n v="1000000"/>
    <s v="PLN"/>
    <n v="-3549730"/>
    <s v="2026-01-28"/>
    <n v="3.5497000000000001"/>
    <n v="0.28170000000000001"/>
    <n v="3.5354000000000001"/>
    <n v="1"/>
    <n v="-14330"/>
    <s v="POLAND PL"/>
  </r>
  <r>
    <s v="BKMILL"/>
    <n v="159083"/>
    <n v="909537"/>
    <s v="Spot"/>
    <x v="41"/>
    <s v="Buy"/>
    <s v="USD"/>
    <n v="1000000"/>
    <s v="PLN"/>
    <n v="-3549300"/>
    <s v="2026-01-28"/>
    <n v="3.5493000000000001"/>
    <n v="0.28170000000000001"/>
    <n v="3.5354000000000001"/>
    <n v="1"/>
    <n v="-13900"/>
    <s v="GERMANY DE"/>
  </r>
  <r>
    <s v="BKMILL"/>
    <n v="159084"/>
    <n v="909538"/>
    <s v="Spot"/>
    <x v="43"/>
    <s v="Buy"/>
    <s v="USD"/>
    <n v="1000000"/>
    <s v="PLN"/>
    <n v="-3549190"/>
    <s v="2026-01-28"/>
    <n v="3.5491999999999999"/>
    <n v="0.28179999999999999"/>
    <n v="3.5354000000000001"/>
    <n v="1"/>
    <n v="-13790"/>
    <s v="FRANCE FR"/>
  </r>
  <r>
    <s v="BKMILL"/>
    <n v="159085"/>
    <n v="219945"/>
    <s v="Forward"/>
    <x v="538"/>
    <s v="Sell Fwd"/>
    <s v="USD"/>
    <n v="-8602"/>
    <s v="PLN"/>
    <n v="30544.84"/>
    <s v="2026-01-26"/>
    <n v="3.5508999999999999"/>
    <n v="0.28160000000000002"/>
    <n v="3.5831"/>
    <n v="1"/>
    <n v="-276.9862"/>
    <s v="POLAND PL"/>
  </r>
  <r>
    <s v="BKMILL"/>
    <n v="159086"/>
    <n v="909542"/>
    <s v="Spot"/>
    <x v="41"/>
    <s v="Buy"/>
    <s v="USD"/>
    <n v="1000000"/>
    <s v="PLN"/>
    <n v="-3549100"/>
    <s v="2026-01-28"/>
    <n v="3.5491000000000001"/>
    <n v="0.28179999999999999"/>
    <n v="3.5354000000000001"/>
    <n v="1"/>
    <n v="-13700"/>
    <s v="GERMANY DE"/>
  </r>
  <r>
    <s v="BKMILL"/>
    <n v="159087"/>
    <n v="909543"/>
    <s v="Spot"/>
    <x v="39"/>
    <s v="Buy"/>
    <s v="USD"/>
    <n v="1000000"/>
    <s v="PLN"/>
    <n v="-3549330"/>
    <s v="2026-01-28"/>
    <n v="3.5493000000000001"/>
    <n v="0.28170000000000001"/>
    <n v="3.5354000000000001"/>
    <n v="1"/>
    <n v="-13930"/>
    <s v="UNITED KINGDOM GB"/>
  </r>
  <r>
    <s v="BKMILL"/>
    <n v="159088"/>
    <n v="909544"/>
    <s v="Spot"/>
    <x v="41"/>
    <s v="Buy"/>
    <s v="USD"/>
    <n v="1000000"/>
    <s v="PLN"/>
    <n v="-3549800"/>
    <s v="2026-01-28"/>
    <n v="3.5497999999999998"/>
    <n v="0.28170000000000001"/>
    <n v="3.5354000000000001"/>
    <n v="1"/>
    <n v="-14400"/>
    <s v="GERMANY DE"/>
  </r>
  <r>
    <s v="BKMILL"/>
    <n v="159089"/>
    <n v="909545"/>
    <s v="Spot"/>
    <x v="47"/>
    <s v="Buy"/>
    <s v="USD"/>
    <n v="1000000"/>
    <s v="PLN"/>
    <n v="-3549700"/>
    <s v="2026-01-28"/>
    <n v="3.5497000000000001"/>
    <n v="0.28170000000000001"/>
    <n v="3.5354000000000001"/>
    <n v="1"/>
    <n v="-14300"/>
    <s v="FRANCE FR"/>
  </r>
  <r>
    <s v="BKMILL"/>
    <n v="159090"/>
    <n v="909546"/>
    <s v="Spot"/>
    <x v="39"/>
    <s v="Buy"/>
    <s v="USD"/>
    <n v="1000000"/>
    <s v="PLN"/>
    <n v="-3549590"/>
    <s v="2026-01-28"/>
    <n v="3.5495999999999999"/>
    <n v="0.28170000000000001"/>
    <n v="3.5354000000000001"/>
    <n v="1"/>
    <n v="-14190"/>
    <s v="UNITED KINGDOM GB"/>
  </r>
  <r>
    <s v="BKMILL"/>
    <n v="159091"/>
    <n v="909547"/>
    <s v="Spot"/>
    <x v="41"/>
    <s v="Buy"/>
    <s v="USD"/>
    <n v="1000000"/>
    <s v="PLN"/>
    <n v="-3549400"/>
    <s v="2026-01-28"/>
    <n v="3.5493999999999999"/>
    <n v="0.28170000000000001"/>
    <n v="3.5354000000000001"/>
    <n v="1"/>
    <n v="-14000"/>
    <s v="GERMANY DE"/>
  </r>
  <r>
    <s v="BKMILL"/>
    <n v="159092"/>
    <n v="909548"/>
    <s v="Spot"/>
    <x v="39"/>
    <s v="Buy"/>
    <s v="USD"/>
    <n v="1000000"/>
    <s v="PLN"/>
    <n v="-3549330"/>
    <s v="2026-01-28"/>
    <n v="3.5493000000000001"/>
    <n v="0.28170000000000001"/>
    <n v="3.5354000000000001"/>
    <n v="1"/>
    <n v="-13930"/>
    <s v="UNITED KINGDOM GB"/>
  </r>
  <r>
    <s v="BKMILL"/>
    <n v="159093"/>
    <n v="219946"/>
    <s v="Forward"/>
    <x v="538"/>
    <s v="Sell Fwd"/>
    <s v="USD"/>
    <n v="-111192"/>
    <s v="PLN"/>
    <n v="394887.27"/>
    <s v="2026-01-29"/>
    <n v="3.5514000000000001"/>
    <n v="0.28160000000000002"/>
    <n v="3.5045000000000002"/>
    <n v="1"/>
    <n v="5214.9059999999999"/>
    <s v="POLAND PL"/>
  </r>
  <r>
    <s v="BKMILL"/>
    <n v="159094"/>
    <n v="909552"/>
    <s v="Spot"/>
    <x v="41"/>
    <s v="Buy"/>
    <s v="USD"/>
    <n v="1000000"/>
    <s v="PLN"/>
    <n v="-3549600"/>
    <s v="2026-01-28"/>
    <n v="3.5495999999999999"/>
    <n v="0.28170000000000001"/>
    <n v="3.5354000000000001"/>
    <n v="1"/>
    <n v="-14200"/>
    <s v="GERMANY DE"/>
  </r>
  <r>
    <s v="BKMILL"/>
    <n v="159095"/>
    <n v="909553"/>
    <s v="Spot"/>
    <x v="47"/>
    <s v="Buy"/>
    <s v="USD"/>
    <n v="1000000"/>
    <s v="PLN"/>
    <n v="-3549160"/>
    <s v="2026-01-28"/>
    <n v="3.5491999999999999"/>
    <n v="0.28179999999999999"/>
    <n v="3.5354000000000001"/>
    <n v="1"/>
    <n v="-13760"/>
    <s v="FRANCE FR"/>
  </r>
  <r>
    <s v="BKMILL"/>
    <n v="159096"/>
    <n v="909554"/>
    <s v="Spot"/>
    <x v="39"/>
    <s v="Buy"/>
    <s v="USD"/>
    <n v="1000000"/>
    <s v="PLN"/>
    <n v="-3549120"/>
    <s v="2026-01-28"/>
    <n v="3.5491000000000001"/>
    <n v="0.28179999999999999"/>
    <n v="3.5354000000000001"/>
    <n v="1"/>
    <n v="-13720"/>
    <s v="UNITED KINGDOM GB"/>
  </r>
  <r>
    <s v="BKMILL"/>
    <n v="159097"/>
    <n v="909555"/>
    <s v="Spot"/>
    <x v="41"/>
    <s v="Buy"/>
    <s v="USD"/>
    <n v="1000000"/>
    <s v="PLN"/>
    <n v="-3549100"/>
    <s v="2026-01-28"/>
    <n v="3.5491000000000001"/>
    <n v="0.28179999999999999"/>
    <n v="3.5354000000000001"/>
    <n v="1"/>
    <n v="-13700"/>
    <s v="GERMANY DE"/>
  </r>
  <r>
    <s v="BKMILL"/>
    <n v="159098"/>
    <n v="909556"/>
    <s v="Spot"/>
    <x v="47"/>
    <s v="Buy"/>
    <s v="USD"/>
    <n v="1000000"/>
    <s v="PLN"/>
    <n v="-3549000"/>
    <s v="2026-01-28"/>
    <n v="3.5489999999999999"/>
    <n v="0.28179999999999999"/>
    <n v="3.5354000000000001"/>
    <n v="1"/>
    <n v="-13600"/>
    <s v="FRANCE FR"/>
  </r>
  <r>
    <s v="BKMILL"/>
    <n v="159099"/>
    <n v="909560"/>
    <s v="Spot"/>
    <x v="43"/>
    <s v="Buy"/>
    <s v="EUR"/>
    <n v="500000"/>
    <s v="PLN"/>
    <n v="-2105940"/>
    <s v="2026-01-28"/>
    <n v="4.2119"/>
    <n v="0.2374"/>
    <n v="4.2031999999999998"/>
    <n v="1"/>
    <n v="-4340"/>
    <s v="FRANCE FR"/>
  </r>
  <r>
    <s v="BKMILL"/>
    <n v="159101"/>
    <n v="909561"/>
    <s v="Spot"/>
    <x v="47"/>
    <s v="Buy"/>
    <s v="EUR"/>
    <n v="500000"/>
    <s v="PLN"/>
    <n v="-2105935"/>
    <s v="2026-01-28"/>
    <n v="4.2119"/>
    <n v="0.2374"/>
    <n v="4.2031999999999998"/>
    <n v="1"/>
    <n v="-4335"/>
    <s v="FRANCE FR"/>
  </r>
  <r>
    <s v="BKMILL"/>
    <n v="159102"/>
    <n v="909562"/>
    <s v="Spot"/>
    <x v="39"/>
    <s v="Buy"/>
    <s v="EUR"/>
    <n v="500000"/>
    <s v="PLN"/>
    <n v="-2105880"/>
    <s v="2026-01-28"/>
    <n v="4.2118000000000002"/>
    <n v="0.2374"/>
    <n v="4.2031999999999998"/>
    <n v="1"/>
    <n v="-4280"/>
    <s v="UNITED KINGDOM GB"/>
  </r>
  <r>
    <s v="BKMILL"/>
    <n v="159104"/>
    <n v="909566"/>
    <s v="Spot"/>
    <x v="47"/>
    <s v="Buy"/>
    <s v="USD"/>
    <n v="500000"/>
    <s v="PLN"/>
    <n v="-1774815"/>
    <s v="2026-01-28"/>
    <n v="3.5495999999999999"/>
    <n v="0.28170000000000001"/>
    <n v="3.5354000000000001"/>
    <n v="1"/>
    <n v="-7115"/>
    <s v="FRANCE FR"/>
  </r>
  <r>
    <s v="BKMILL"/>
    <n v="159105"/>
    <n v="219948"/>
    <s v="Forward"/>
    <x v="249"/>
    <s v="Sell Fwd"/>
    <s v="EUR"/>
    <n v="-16564.13"/>
    <s v="PLN"/>
    <n v="70000.009999999995"/>
    <s v="2026-01-26"/>
    <n v="4.2264999999999997"/>
    <n v="0.2366"/>
    <n v="4.2050000000000001"/>
    <n v="1"/>
    <n v="347.84334999999999"/>
    <s v="POLAND PL"/>
  </r>
  <r>
    <s v="BKMILL"/>
    <n v="159106"/>
    <n v="909570"/>
    <s v="Spot"/>
    <x v="39"/>
    <s v="Buy"/>
    <s v="EUR"/>
    <n v="500000"/>
    <s v="PLN"/>
    <n v="-2106020"/>
    <s v="2026-01-28"/>
    <n v="4.2119999999999997"/>
    <n v="0.2374"/>
    <n v="4.2031999999999998"/>
    <n v="1"/>
    <n v="-4420"/>
    <s v="UNITED KINGDOM GB"/>
  </r>
  <r>
    <s v="BKMILL"/>
    <n v="159107"/>
    <n v="909571"/>
    <s v="Spot"/>
    <x v="43"/>
    <s v="Buy"/>
    <s v="EUR"/>
    <n v="500000"/>
    <s v="PLN"/>
    <n v="-2105960"/>
    <s v="2026-01-28"/>
    <n v="4.2119"/>
    <n v="0.2374"/>
    <n v="4.2031999999999998"/>
    <n v="1"/>
    <n v="-4360"/>
    <s v="FRANCE FR"/>
  </r>
  <r>
    <s v="BKMILL"/>
    <n v="159108"/>
    <n v="909572"/>
    <s v="Spot"/>
    <x v="41"/>
    <s v="Buy"/>
    <s v="EUR"/>
    <n v="500000"/>
    <s v="PLN"/>
    <n v="-2105950"/>
    <s v="2026-01-28"/>
    <n v="4.2119"/>
    <n v="0.2374"/>
    <n v="4.2031999999999998"/>
    <n v="1"/>
    <n v="-4350"/>
    <s v="GERMANY DE"/>
  </r>
  <r>
    <s v="BKMILL"/>
    <n v="159109"/>
    <n v="219951"/>
    <s v="Forward"/>
    <x v="285"/>
    <s v="Buy Fwd"/>
    <s v="EUR"/>
    <n v="6000"/>
    <s v="PLN"/>
    <n v="25200"/>
    <s v="2026-01-26"/>
    <n v="4.2"/>
    <n v="0.23810000000000001"/>
    <n v="4.2050000000000001"/>
    <n v="1"/>
    <n v="50430"/>
    <s v="POLAND PL"/>
  </r>
  <r>
    <s v="BKMILL"/>
    <n v="159110"/>
    <n v="219953"/>
    <s v="Forward"/>
    <x v="333"/>
    <s v="Buy Fwd"/>
    <s v="EUR"/>
    <n v="34310.86"/>
    <s v="PLN"/>
    <n v="144483.03"/>
    <s v="2026-01-26"/>
    <n v="4.2030000000000003"/>
    <n v="0.2379"/>
    <n v="4.2050000000000001"/>
    <n v="1"/>
    <n v="288760.19630000001"/>
    <s v="POLAND PL"/>
  </r>
  <r>
    <s v="BKMILL"/>
    <n v="159111"/>
    <n v="909600"/>
    <s v="Spot"/>
    <x v="40"/>
    <s v="Sell"/>
    <s v="EUR"/>
    <n v="-100000"/>
    <s v="USD"/>
    <n v="118607"/>
    <s v="2026-01-28"/>
    <n v="1.1860999999999999"/>
    <n v="0.84309999999999996"/>
    <n v="4.2031999999999998"/>
    <n v="3.5354000000000001"/>
    <n v="-996.81219999999996"/>
    <s v="UNITED STATES OF AMERICA US"/>
  </r>
  <r>
    <s v="BKMILL"/>
    <n v="159112"/>
    <n v="219955"/>
    <s v="Forward"/>
    <x v="46"/>
    <s v="Buy Fwd"/>
    <s v="EUR"/>
    <n v="39200"/>
    <s v="PLN"/>
    <n v="164871.28"/>
    <s v="2026-01-27"/>
    <n v="4.2061000000000002"/>
    <n v="0.23769999999999999"/>
    <n v="4.2118000000000002"/>
    <n v="1"/>
    <n v="329973.84000000003"/>
    <s v="POLAND PL"/>
  </r>
  <r>
    <s v="BKMILL"/>
    <n v="159113"/>
    <n v="909613"/>
    <s v="Spot"/>
    <x v="40"/>
    <s v="Sell"/>
    <s v="EUR"/>
    <n v="-100000"/>
    <s v="USD"/>
    <n v="118610"/>
    <s v="2026-01-28"/>
    <n v="1.1860999999999999"/>
    <n v="0.84309999999999996"/>
    <n v="4.2031999999999998"/>
    <n v="3.5354000000000001"/>
    <n v="-986.20600000000002"/>
    <s v="UNITED STATES OF AMERICA US"/>
  </r>
  <r>
    <s v="BKMILL"/>
    <n v="159114"/>
    <n v="909623"/>
    <s v="Spot"/>
    <x v="581"/>
    <s v="Buy"/>
    <s v="EUR"/>
    <n v="50000"/>
    <s v="PLN"/>
    <n v="-210290"/>
    <s v="2026-01-28"/>
    <n v="4.2058"/>
    <n v="0.23780000000000001"/>
    <n v="4.2031999999999998"/>
    <n v="1"/>
    <n v="-130"/>
    <s v="POLAND PL"/>
  </r>
  <r>
    <s v="BKMILL"/>
    <n v="159115"/>
    <n v="219960"/>
    <s v="Forward"/>
    <x v="483"/>
    <s v="Sell Fwd"/>
    <s v="USD"/>
    <n v="-26210"/>
    <s v="PLN"/>
    <n v="93176.55"/>
    <s v="2026-01-26"/>
    <n v="3.5552000000000001"/>
    <n v="0.28129999999999999"/>
    <n v="3.5831"/>
    <n v="1"/>
    <n v="-736.50099999999998"/>
    <s v="POLAND PL"/>
  </r>
  <r>
    <s v="BKMILL"/>
    <n v="159116"/>
    <n v="909640"/>
    <s v="Spot"/>
    <x v="40"/>
    <s v="Sell"/>
    <s v="EUR"/>
    <n v="-100000"/>
    <s v="USD"/>
    <n v="118643"/>
    <s v="2026-01-28"/>
    <n v="1.1863999999999999"/>
    <n v="0.84289999999999998"/>
    <n v="4.2031999999999998"/>
    <n v="3.5354000000000001"/>
    <n v="-869.53779999999995"/>
    <s v="UNITED STATES OF AMERICA US"/>
  </r>
  <r>
    <s v="BKMILL"/>
    <n v="159118"/>
    <n v="219968"/>
    <s v="Forward"/>
    <x v="31"/>
    <s v="Sell Fwd"/>
    <s v="EUR"/>
    <n v="-300000"/>
    <s v="PLN"/>
    <n v="1263720"/>
    <s v="2026-01-26"/>
    <n v="4.2127999999999997"/>
    <n v="0.2374"/>
    <n v="4.2050000000000001"/>
    <n v="1"/>
    <n v="2220"/>
    <s v="POLAND PL"/>
  </r>
  <r>
    <s v="BKMILL"/>
    <n v="159119"/>
    <n v="219969"/>
    <s v="Forward"/>
    <x v="186"/>
    <s v="Buy Fwd"/>
    <s v="EUR"/>
    <n v="50000"/>
    <s v="PLN"/>
    <n v="210300"/>
    <s v="2026-01-26"/>
    <n v="4.2060000000000004"/>
    <n v="0.23780000000000001"/>
    <n v="4.2050000000000001"/>
    <n v="1"/>
    <n v="420550"/>
    <s v="POLAND PL"/>
  </r>
  <r>
    <s v="BKMILL"/>
    <n v="159120"/>
    <n v="909660"/>
    <s v="Spot"/>
    <x v="581"/>
    <s v="Buy"/>
    <s v="EUR"/>
    <n v="50000"/>
    <s v="PLN"/>
    <n v="-210245"/>
    <s v="2026-01-28"/>
    <n v="4.2049000000000003"/>
    <n v="0.23780000000000001"/>
    <n v="4.2031999999999998"/>
    <n v="1"/>
    <n v="-85"/>
    <s v="POLAND PL"/>
  </r>
  <r>
    <s v="BKMILL"/>
    <n v="159121"/>
    <n v="909661"/>
    <s v="Spot"/>
    <x v="39"/>
    <s v="Buy"/>
    <s v="USD"/>
    <n v="500000"/>
    <s v="PLN"/>
    <n v="-1774570"/>
    <s v="2026-01-28"/>
    <n v="3.5491000000000001"/>
    <n v="0.28179999999999999"/>
    <n v="3.5354000000000001"/>
    <n v="1"/>
    <n v="-6870"/>
    <s v="UNITED KINGDOM GB"/>
  </r>
  <r>
    <s v="BKMILL"/>
    <n v="159122"/>
    <n v="219971"/>
    <s v="Forward"/>
    <x v="68"/>
    <s v="Sell Fwd"/>
    <s v="EUR"/>
    <n v="-10000"/>
    <s v="PLN"/>
    <n v="42113"/>
    <s v="2026-01-26"/>
    <n v="4.2117000000000004"/>
    <n v="0.2374"/>
    <n v="4.2050000000000001"/>
    <n v="1"/>
    <n v="63"/>
    <s v="POLAND PL"/>
  </r>
  <r>
    <s v="BKMILL"/>
    <n v="159123"/>
    <n v="219972"/>
    <s v="Forward"/>
    <x v="68"/>
    <s v="Sell Fwd"/>
    <s v="EUR"/>
    <n v="-100000"/>
    <s v="PLN"/>
    <n v="421060"/>
    <s v="2026-01-26"/>
    <n v="4.2110000000000003"/>
    <n v="0.23749999999999999"/>
    <n v="4.2050000000000001"/>
    <n v="1"/>
    <n v="560"/>
    <s v="POLAND PL"/>
  </r>
  <r>
    <s v="BKMILL"/>
    <n v="159124"/>
    <n v="219973"/>
    <s v="Forward"/>
    <x v="259"/>
    <s v="Buy Fwd"/>
    <s v="EUR"/>
    <n v="15000"/>
    <s v="PLN"/>
    <n v="63015"/>
    <s v="2026-01-26"/>
    <n v="4.2009999999999996"/>
    <n v="0.23799999999999999"/>
    <n v="4.2050000000000001"/>
    <n v="1"/>
    <n v="126090"/>
    <s v="POLAND PL"/>
  </r>
  <r>
    <s v="BKMILL"/>
    <n v="159126"/>
    <n v="219978"/>
    <s v="Forward"/>
    <x v="32"/>
    <s v="Sell Fwd"/>
    <s v="EUR"/>
    <n v="-20000"/>
    <s v="PLN"/>
    <n v="84246"/>
    <s v="2026-01-26"/>
    <n v="4.2126999999999999"/>
    <n v="0.2374"/>
    <n v="4.2050000000000001"/>
    <n v="1"/>
    <n v="146"/>
    <s v="POLAND PL"/>
  </r>
  <r>
    <s v="BKMILL"/>
    <n v="159128"/>
    <n v="219979"/>
    <s v="Forward"/>
    <x v="273"/>
    <s v="Buy Fwd"/>
    <s v="EUR"/>
    <n v="10000"/>
    <s v="PLN"/>
    <n v="41990"/>
    <s v="2026-01-26"/>
    <n v="4.1994999999999996"/>
    <n v="0.23810000000000001"/>
    <n v="4.2050000000000001"/>
    <n v="1"/>
    <n v="84040"/>
    <s v="POLAND PL"/>
  </r>
  <r>
    <s v="BKMILL"/>
    <n v="159130"/>
    <n v="909692"/>
    <s v="Spot"/>
    <x v="40"/>
    <s v="Buy"/>
    <s v="EUR"/>
    <n v="100000"/>
    <s v="USD"/>
    <n v="-118536"/>
    <s v="2026-01-28"/>
    <n v="1.1854"/>
    <n v="0.84360000000000002"/>
    <n v="4.2031999999999998"/>
    <n v="3.5354000000000001"/>
    <n v="1247.8255999999999"/>
    <s v="UNITED STATES OF AMERICA US"/>
  </r>
  <r>
    <s v="BKMILL"/>
    <n v="159131"/>
    <n v="219981"/>
    <s v="Forward"/>
    <x v="307"/>
    <s v="Sell Fwd"/>
    <s v="EUR"/>
    <n v="-25000"/>
    <s v="PLN"/>
    <n v="105362.5"/>
    <s v="2026-01-26"/>
    <n v="4.2145000000000001"/>
    <n v="0.23730000000000001"/>
    <n v="4.2050000000000001"/>
    <n v="1"/>
    <n v="237.5"/>
    <s v="POLAND PL"/>
  </r>
  <r>
    <s v="BKMILL"/>
    <n v="159132"/>
    <n v="219982"/>
    <s v="Forward"/>
    <x v="32"/>
    <s v="Sell Fwd"/>
    <s v="EUR"/>
    <n v="-20000"/>
    <s v="PLN"/>
    <n v="84232"/>
    <s v="2026-01-26"/>
    <n v="4.2119999999999997"/>
    <n v="0.2374"/>
    <n v="4.2050000000000001"/>
    <n v="1"/>
    <n v="132"/>
    <s v="POLAND PL"/>
  </r>
  <r>
    <s v="BKMILL"/>
    <n v="159138"/>
    <n v="219988"/>
    <s v="Forward"/>
    <x v="582"/>
    <s v="Sell Fwd"/>
    <s v="EUR"/>
    <n v="-3000000"/>
    <s v="PLN"/>
    <n v="12640500"/>
    <s v="2026-01-26"/>
    <n v="4.2134999999999998"/>
    <n v="0.23730000000000001"/>
    <n v="4.2050000000000001"/>
    <n v="1"/>
    <n v="25500"/>
    <s v="POLAND PL"/>
  </r>
  <r>
    <s v="BKMILL"/>
    <n v="159142"/>
    <n v="219993"/>
    <s v="Forward"/>
    <x v="32"/>
    <s v="Sell Fwd"/>
    <s v="EUR"/>
    <n v="-20000"/>
    <s v="PLN"/>
    <n v="84186"/>
    <s v="2026-01-26"/>
    <n v="4.2096999999999998"/>
    <n v="0.23749999999999999"/>
    <n v="4.2050000000000001"/>
    <n v="1"/>
    <n v="86"/>
    <s v="POLAND PL"/>
  </r>
  <r>
    <s v="BKMILL"/>
    <n v="159143"/>
    <n v="909744"/>
    <s v="Spot"/>
    <x v="40"/>
    <s v="Sell"/>
    <s v="EUR"/>
    <n v="-500000"/>
    <s v="USD"/>
    <n v="593015"/>
    <s v="2026-01-28"/>
    <n v="1.1859999999999999"/>
    <n v="0.84309999999999996"/>
    <n v="4.2031999999999998"/>
    <n v="3.5354000000000001"/>
    <n v="-5054.7690000000002"/>
    <s v="UNITED STATES OF AMERICA US"/>
  </r>
  <r>
    <s v="BKMILL"/>
    <n v="159144"/>
    <n v="909745"/>
    <s v="Spot"/>
    <x v="40"/>
    <s v="Sell"/>
    <s v="EUR"/>
    <n v="-100000"/>
    <s v="USD"/>
    <n v="118611"/>
    <s v="2026-01-28"/>
    <n v="1.1860999999999999"/>
    <n v="0.84309999999999996"/>
    <n v="4.2031999999999998"/>
    <n v="3.5354000000000001"/>
    <n v="-982.67060000000004"/>
    <s v="UNITED STATES OF AMERICA US"/>
  </r>
  <r>
    <s v="BKMILL"/>
    <n v="159145"/>
    <n v="219995"/>
    <s v="Forward"/>
    <x v="583"/>
    <s v="Sell Fwd"/>
    <s v="EUR"/>
    <n v="-200000"/>
    <s v="PLN"/>
    <n v="842800"/>
    <s v="2026-01-26"/>
    <n v="4.2140000000000004"/>
    <n v="0.23730000000000001"/>
    <n v="4.2050000000000001"/>
    <n v="1"/>
    <n v="1800"/>
    <s v="POLAND PL"/>
  </r>
  <r>
    <s v="BKMILL"/>
    <n v="159147"/>
    <n v="219998"/>
    <s v="Forward"/>
    <x v="584"/>
    <s v="Buy Fwd"/>
    <s v="EUR"/>
    <n v="11000"/>
    <s v="PLN"/>
    <n v="46033.9"/>
    <s v="2026-01-26"/>
    <n v="4.1853999999999996"/>
    <n v="0.2389"/>
    <n v="4.2050000000000001"/>
    <n v="1"/>
    <n v="92288.9"/>
    <s v="POLAND PL"/>
  </r>
  <r>
    <s v="BKMILL"/>
    <n v="159148"/>
    <n v="219999"/>
    <s v="Forward"/>
    <x v="585"/>
    <s v="Buy Fwd"/>
    <s v="EUR"/>
    <n v="80000"/>
    <s v="PLN"/>
    <n v="335200"/>
    <s v="2026-01-26"/>
    <n v="4.1904000000000003"/>
    <n v="0.23860000000000001"/>
    <n v="4.2050000000000001"/>
    <n v="1"/>
    <n v="671600"/>
    <s v="POLAND PL"/>
  </r>
  <r>
    <s v="BKMILL"/>
    <n v="159150"/>
    <n v="220001"/>
    <s v="Forward"/>
    <x v="139"/>
    <s v="Buy Fwd"/>
    <s v="EUR"/>
    <n v="150542.38"/>
    <s v="PLN"/>
    <n v="632293.05000000005"/>
    <s v="2026-01-26"/>
    <n v="4.2005999999999997"/>
    <n v="0.23810000000000001"/>
    <n v="4.2050000000000001"/>
    <n v="1"/>
    <n v="1265323.7579000001"/>
    <s v="POLAND PL"/>
  </r>
  <r>
    <s v="BKMILL"/>
    <n v="159154"/>
    <n v="909777"/>
    <s v="Spot"/>
    <x v="41"/>
    <s v="Buy"/>
    <s v="EUR"/>
    <n v="500000"/>
    <s v="PLN"/>
    <n v="-2102900"/>
    <s v="2026-01-28"/>
    <n v="4.2058"/>
    <n v="0.23780000000000001"/>
    <n v="4.2031999999999998"/>
    <n v="1"/>
    <n v="-1300"/>
    <s v="GERMANY DE"/>
  </r>
  <r>
    <s v="BKMILL"/>
    <n v="159155"/>
    <n v="220011"/>
    <s v="Forward"/>
    <x v="32"/>
    <s v="Sell Fwd"/>
    <s v="EUR"/>
    <n v="-20000"/>
    <s v="PLN"/>
    <n v="84158"/>
    <s v="2026-01-26"/>
    <n v="4.2083000000000004"/>
    <n v="0.23760000000000001"/>
    <n v="4.2050000000000001"/>
    <n v="1"/>
    <n v="58"/>
    <s v="POLAND PL"/>
  </r>
  <r>
    <s v="BKMILL"/>
    <n v="159156"/>
    <n v="909806"/>
    <s v="Spot"/>
    <x v="38"/>
    <s v="Buy"/>
    <s v="EUR"/>
    <n v="500000"/>
    <s v="PLN"/>
    <n v="-2103010"/>
    <s v="2026-01-28"/>
    <n v="4.2060000000000004"/>
    <n v="0.23780000000000001"/>
    <n v="4.2031999999999998"/>
    <n v="1"/>
    <n v="-1410"/>
    <s v="NETHERLANDS NL"/>
  </r>
  <r>
    <s v="BKMILL"/>
    <n v="159157"/>
    <n v="909807"/>
    <s v="Spot"/>
    <x v="41"/>
    <s v="Buy"/>
    <s v="USD"/>
    <n v="500000"/>
    <s v="PLN"/>
    <n v="-1773950"/>
    <s v="2026-01-28"/>
    <n v="3.5478999999999998"/>
    <n v="0.28189999999999998"/>
    <n v="3.5354000000000001"/>
    <n v="1"/>
    <n v="-6250"/>
    <s v="GERMANY DE"/>
  </r>
  <r>
    <s v="BKMILL"/>
    <n v="159158"/>
    <n v="220013"/>
    <s v="Forward"/>
    <x v="172"/>
    <s v="Buy Fwd"/>
    <s v="EUR"/>
    <n v="12000"/>
    <s v="PLN"/>
    <n v="50388"/>
    <s v="2026-01-26"/>
    <n v="4.1989999999999998"/>
    <n v="0.2382"/>
    <n v="4.2050000000000001"/>
    <n v="1"/>
    <n v="100848"/>
    <s v="POLAND PL"/>
  </r>
  <r>
    <s v="BKMILL"/>
    <n v="159159"/>
    <n v="220014"/>
    <s v="Forward"/>
    <x v="586"/>
    <s v="Buy Fwd"/>
    <s v="EUR"/>
    <n v="18000"/>
    <s v="PLN"/>
    <n v="75600"/>
    <s v="2026-01-26"/>
    <n v="4.2"/>
    <n v="0.23810000000000001"/>
    <n v="4.2050000000000001"/>
    <n v="1"/>
    <n v="151290"/>
    <s v="POLAND PL"/>
  </r>
  <r>
    <s v="BKMILL"/>
    <n v="159160"/>
    <n v="909827"/>
    <s v="Spot"/>
    <x v="40"/>
    <s v="Buy"/>
    <s v="EUR"/>
    <n v="100000"/>
    <s v="USD"/>
    <n v="-118557"/>
    <s v="2026-01-28"/>
    <n v="1.1856"/>
    <n v="0.84350000000000003"/>
    <n v="4.2031999999999998"/>
    <n v="3.5354000000000001"/>
    <n v="1173.5822000000001"/>
    <s v="UNITED STATES OF AMERICA US"/>
  </r>
  <r>
    <s v="BKMILL"/>
    <n v="159162"/>
    <n v="220019"/>
    <s v="Forward"/>
    <x v="423"/>
    <s v="Sell Fwd"/>
    <s v="EUR"/>
    <n v="-50000"/>
    <s v="PLN"/>
    <n v="215500"/>
    <s v="2026-01-26"/>
    <n v="4.3099999999999996"/>
    <n v="0.23200000000000001"/>
    <n v="4.2050000000000001"/>
    <n v="1"/>
    <n v="5250"/>
    <s v="POLAND PL"/>
  </r>
  <r>
    <s v="BKMILL"/>
    <n v="159163"/>
    <n v="909840"/>
    <s v="Spot"/>
    <x v="39"/>
    <s v="Buy"/>
    <s v="EUR"/>
    <n v="100000"/>
    <s v="CHF"/>
    <n v="-92171"/>
    <s v="2026-01-28"/>
    <n v="0.92169999999999996"/>
    <n v="1.0849"/>
    <n v="4.2031999999999998"/>
    <n v="4.5575000000000001"/>
    <n v="250.66749999999999"/>
    <s v="UNITED KINGDOM GB"/>
  </r>
  <r>
    <s v="BKMILL"/>
    <n v="159164"/>
    <n v="909850"/>
    <s v="Spot"/>
    <x v="38"/>
    <s v="Buy"/>
    <s v="EUR"/>
    <n v="500000"/>
    <s v="PLN"/>
    <n v="-2103025"/>
    <s v="2026-01-28"/>
    <n v="4.2061000000000002"/>
    <n v="0.23780000000000001"/>
    <n v="4.2031999999999998"/>
    <n v="1"/>
    <n v="-1425"/>
    <s v="NETHERLANDS NL"/>
  </r>
  <r>
    <s v="BKMILL"/>
    <n v="159165"/>
    <n v="220026"/>
    <s v="Forward"/>
    <x v="28"/>
    <s v="Buy Fwd"/>
    <s v="EUR"/>
    <n v="270039"/>
    <s v="PLN"/>
    <n v="1134055.78"/>
    <s v="2026-01-26"/>
    <n v="4.2000999999999999"/>
    <n v="0.23810000000000001"/>
    <n v="4.2050000000000001"/>
    <n v="1"/>
    <n v="2269569.7749999999"/>
    <s v="POLAND PL"/>
  </r>
  <r>
    <s v="BKMILL"/>
    <n v="159166"/>
    <n v="220028"/>
    <s v="Forward"/>
    <x v="587"/>
    <s v="Buy Fwd"/>
    <s v="EUR"/>
    <n v="6000"/>
    <s v="PLN"/>
    <n v="25152"/>
    <s v="2026-01-26"/>
    <n v="4.1924999999999999"/>
    <n v="0.23849999999999999"/>
    <n v="4.2050000000000001"/>
    <n v="1"/>
    <n v="50382"/>
    <s v="POLAND PL"/>
  </r>
  <r>
    <s v="BKMILL"/>
    <n v="159167"/>
    <n v="220037"/>
    <s v="Forward"/>
    <x v="442"/>
    <s v="Buy Fwd"/>
    <s v="EUR"/>
    <n v="2200"/>
    <s v="PLN"/>
    <n v="9220.2000000000007"/>
    <s v="2026-01-26"/>
    <n v="4.1909999999999998"/>
    <n v="0.23860000000000001"/>
    <n v="4.2050000000000001"/>
    <n v="1"/>
    <n v="18471.2"/>
    <s v="POLAND PL"/>
  </r>
  <r>
    <s v="BKMILL"/>
    <n v="159168"/>
    <n v="220039"/>
    <s v="Forward"/>
    <x v="175"/>
    <s v="Sell Fwd"/>
    <s v="USD"/>
    <n v="-10000"/>
    <s v="PLN"/>
    <n v="35500"/>
    <s v="2026-01-26"/>
    <n v="3.55"/>
    <n v="0.28170000000000001"/>
    <n v="3.5831"/>
    <n v="1"/>
    <n v="-331"/>
    <s v="POLAND PL"/>
  </r>
  <r>
    <s v="BKMILL"/>
    <n v="159169"/>
    <n v="220040"/>
    <s v="Forward"/>
    <x v="63"/>
    <s v="Sell Fwd"/>
    <s v="USD"/>
    <n v="-2300"/>
    <s v="PLN"/>
    <n v="8177.42"/>
    <s v="2026-01-26"/>
    <n v="3.5554000000000001"/>
    <n v="0.28129999999999999"/>
    <n v="3.5831"/>
    <n v="1"/>
    <n v="-63.71"/>
    <s v="POLAND PL"/>
  </r>
  <r>
    <s v="BKMILL"/>
    <n v="159170"/>
    <n v="220045"/>
    <s v="Forward"/>
    <x v="588"/>
    <s v="Buy Fwd"/>
    <s v="EUR"/>
    <n v="65040"/>
    <s v="PLN"/>
    <n v="273298.08"/>
    <s v="2026-01-26"/>
    <n v="4.202"/>
    <n v="0.23799999999999999"/>
    <n v="4.2050000000000001"/>
    <n v="1"/>
    <n v="546791.28"/>
    <s v="POLAND PL"/>
  </r>
  <r>
    <s v="BKMILL"/>
    <n v="159171"/>
    <n v="909925"/>
    <s v="Spot"/>
    <x v="38"/>
    <s v="Sell"/>
    <s v="EUR"/>
    <n v="-500000"/>
    <s v="PLN"/>
    <n v="2103420"/>
    <s v="2026-01-28"/>
    <n v="4.2068000000000003"/>
    <n v="0.23769999999999999"/>
    <n v="4.2031999999999998"/>
    <n v="1"/>
    <n v="1820"/>
    <s v="NETHERLANDS NL"/>
  </r>
  <r>
    <s v="BKMILL"/>
    <n v="159172"/>
    <n v="909926"/>
    <s v="Spot"/>
    <x v="41"/>
    <s v="Sell"/>
    <s v="EUR"/>
    <n v="-500000"/>
    <s v="PLN"/>
    <n v="2103400"/>
    <s v="2026-01-28"/>
    <n v="4.2068000000000003"/>
    <n v="0.23769999999999999"/>
    <n v="4.2031999999999998"/>
    <n v="1"/>
    <n v="1800"/>
    <s v="GERMANY DE"/>
  </r>
  <r>
    <s v="BKMILL"/>
    <n v="159173"/>
    <n v="220051"/>
    <s v="Forward"/>
    <x v="589"/>
    <s v="Sell Fwd"/>
    <s v="EUR"/>
    <n v="-25000"/>
    <s v="PLN"/>
    <n v="105310"/>
    <s v="2026-01-27"/>
    <n v="4.2126000000000001"/>
    <n v="0.2374"/>
    <n v="4.2118000000000002"/>
    <n v="1"/>
    <n v="15"/>
    <s v="POLAND PL"/>
  </r>
  <r>
    <s v="BKMILL"/>
    <n v="159175"/>
    <n v="220054"/>
    <s v="Forward"/>
    <x v="373"/>
    <s v="Sell Fwd"/>
    <s v="USD"/>
    <n v="-220000"/>
    <s v="PLN"/>
    <n v="781220"/>
    <s v="2026-01-26"/>
    <n v="3.5510000000000002"/>
    <n v="0.28160000000000002"/>
    <n v="3.5831"/>
    <n v="1"/>
    <n v="-7062"/>
    <s v="POLAND PL"/>
  </r>
  <r>
    <s v="BKMILL"/>
    <n v="159176"/>
    <n v="220055"/>
    <s v="Forward"/>
    <x v="590"/>
    <s v="Sell Fwd"/>
    <s v="USD"/>
    <n v="-155000"/>
    <s v="PLN"/>
    <n v="550343"/>
    <s v="2026-01-27"/>
    <n v="3.5506000000000002"/>
    <n v="0.28160000000000002"/>
    <n v="3.5499000000000001"/>
    <n v="1"/>
    <n v="108.5"/>
    <s v="POLAND PL"/>
  </r>
  <r>
    <s v="BKMILL"/>
    <n v="159177"/>
    <n v="909959"/>
    <s v="Spot"/>
    <x v="41"/>
    <s v="Buy"/>
    <s v="USD"/>
    <n v="500000"/>
    <s v="PLN"/>
    <n v="-1773650"/>
    <s v="2026-01-28"/>
    <n v="3.5472999999999999"/>
    <n v="0.28189999999999998"/>
    <n v="3.5354000000000001"/>
    <n v="1"/>
    <n v="-5950"/>
    <s v="GERMANY DE"/>
  </r>
  <r>
    <s v="BKMILL"/>
    <n v="159179"/>
    <n v="220059"/>
    <s v="Forward"/>
    <x v="313"/>
    <s v="Sell Fwd"/>
    <s v="EUR"/>
    <n v="-70000"/>
    <s v="PLN"/>
    <n v="294560"/>
    <s v="2026-01-26"/>
    <n v="4.2080000000000002"/>
    <n v="0.23760000000000001"/>
    <n v="4.2050000000000001"/>
    <n v="1"/>
    <n v="210"/>
    <s v="POLAND PL"/>
  </r>
  <r>
    <s v="BKMILL"/>
    <n v="159190"/>
    <n v="909982"/>
    <s v="Spot"/>
    <x v="41"/>
    <s v="Buy"/>
    <s v="USD"/>
    <n v="500000"/>
    <s v="PLN"/>
    <n v="-1774250"/>
    <s v="2026-01-28"/>
    <n v="3.5485000000000002"/>
    <n v="0.28179999999999999"/>
    <n v="3.5354000000000001"/>
    <n v="1"/>
    <n v="-6550"/>
    <s v="GERMANY DE"/>
  </r>
  <r>
    <s v="BKMILL"/>
    <n v="159191"/>
    <n v="909984"/>
    <s v="Spot"/>
    <x v="41"/>
    <s v="Buy"/>
    <s v="USD"/>
    <n v="500000"/>
    <s v="PLN"/>
    <n v="-1774300"/>
    <s v="2026-01-28"/>
    <n v="3.5486"/>
    <n v="0.28179999999999999"/>
    <n v="3.5354000000000001"/>
    <n v="1"/>
    <n v="-6600"/>
    <s v="GERMANY DE"/>
  </r>
  <r>
    <s v="BKMILL"/>
    <n v="159192"/>
    <n v="220062"/>
    <s v="Forward"/>
    <x v="465"/>
    <s v="Sell Fwd"/>
    <s v="EUR"/>
    <n v="-100000"/>
    <s v="PLN"/>
    <n v="420800"/>
    <s v="2026-01-26"/>
    <n v="4.2080000000000002"/>
    <n v="0.23760000000000001"/>
    <n v="4.2050000000000001"/>
    <n v="1"/>
    <n v="300"/>
    <s v="POLAND PL"/>
  </r>
  <r>
    <s v="BKMILL"/>
    <n v="159193"/>
    <n v="220065"/>
    <s v="Forward"/>
    <x v="349"/>
    <s v="Sell Fwd"/>
    <s v="USD"/>
    <n v="-850000"/>
    <s v="PLN"/>
    <n v="3021750"/>
    <s v="2026-01-26"/>
    <n v="3.5550000000000002"/>
    <n v="0.28129999999999999"/>
    <n v="3.5831"/>
    <n v="1"/>
    <n v="-23885"/>
    <s v="POLAND PL"/>
  </r>
  <r>
    <s v="BKMILL"/>
    <n v="159194"/>
    <n v="220071"/>
    <s v="Forward"/>
    <x v="162"/>
    <s v="Sell Fwd"/>
    <s v="USD"/>
    <n v="-20000000"/>
    <s v="PLN"/>
    <n v="71020000"/>
    <s v="2026-01-26"/>
    <n v="3.5510000000000002"/>
    <n v="0.28160000000000002"/>
    <n v="3.5831"/>
    <n v="1"/>
    <n v="-642000"/>
    <s v="POLAND PL"/>
  </r>
  <r>
    <s v="BKMILL"/>
    <n v="159196"/>
    <n v="220074"/>
    <s v="Forward"/>
    <x v="162"/>
    <s v="Sell Fwd"/>
    <s v="USD"/>
    <n v="-20000000"/>
    <s v="PLN"/>
    <n v="71020000"/>
    <s v="2026-01-26"/>
    <n v="3.5510000000000002"/>
    <n v="0.28160000000000002"/>
    <n v="3.5831"/>
    <n v="1"/>
    <n v="-642000"/>
    <s v="POLAND PL"/>
  </r>
  <r>
    <s v="BKMILL"/>
    <n v="159197"/>
    <n v="220075"/>
    <s v="Forward"/>
    <x v="162"/>
    <s v="Sell Fwd"/>
    <s v="USD"/>
    <n v="-20000000"/>
    <s v="PLN"/>
    <n v="71020000"/>
    <s v="2026-01-26"/>
    <n v="3.5510000000000002"/>
    <n v="0.28160000000000002"/>
    <n v="3.5831"/>
    <n v="1"/>
    <n v="-642000"/>
    <s v="POLAND PL"/>
  </r>
  <r>
    <s v="BKMILL"/>
    <n v="159198"/>
    <n v="910028"/>
    <s v="Spot"/>
    <x v="36"/>
    <s v="Buy"/>
    <s v="EUR"/>
    <n v="100000"/>
    <s v="GBP"/>
    <n v="-86774"/>
    <s v="2026-01-28"/>
    <n v="0.86770000000000003"/>
    <n v="1.1524000000000001"/>
    <n v="4.2031999999999998"/>
    <n v="4.8432000000000004"/>
    <n v="56.163200000000003"/>
    <s v="UNITED KINGDOM GB"/>
  </r>
  <r>
    <s v="BKMILL"/>
    <n v="159199"/>
    <n v="910038"/>
    <s v="Spot"/>
    <x v="40"/>
    <s v="Buy"/>
    <s v="EUR"/>
    <n v="100000"/>
    <s v="USD"/>
    <n v="-118546"/>
    <s v="2026-01-28"/>
    <n v="1.1855"/>
    <n v="0.84360000000000002"/>
    <n v="4.2031999999999998"/>
    <n v="3.5354000000000001"/>
    <n v="1212.4716000000001"/>
    <s v="UNITED STATES OF AMERICA US"/>
  </r>
  <r>
    <s v="BKMILL"/>
    <n v="159202"/>
    <n v="220081"/>
    <s v="Forward"/>
    <x v="591"/>
    <s v="Sell Fwd"/>
    <s v="USD"/>
    <n v="-100000"/>
    <s v="PLN"/>
    <n v="356300"/>
    <s v="2026-01-26"/>
    <n v="3.5630000000000002"/>
    <n v="0.28070000000000001"/>
    <n v="3.5831"/>
    <n v="1"/>
    <n v="-2010"/>
    <s v="POLAND PL"/>
  </r>
  <r>
    <s v="BKMILL"/>
    <n v="159203"/>
    <n v="220087"/>
    <s v="Forward"/>
    <x v="76"/>
    <s v="Buy Fwd"/>
    <s v="EUR"/>
    <n v="10000"/>
    <s v="PLN"/>
    <n v="41910"/>
    <s v="2026-01-26"/>
    <n v="4.1909999999999998"/>
    <n v="0.23860000000000001"/>
    <n v="4.2050000000000001"/>
    <n v="1"/>
    <n v="83960"/>
    <s v="POLAND PL"/>
  </r>
  <r>
    <s v="BKMILL"/>
    <n v="159205"/>
    <n v="220093"/>
    <s v="Forward"/>
    <x v="211"/>
    <s v="Sell Fwd"/>
    <s v="EUR"/>
    <n v="-11580"/>
    <s v="PLN"/>
    <n v="48902.34"/>
    <s v="2026-01-26"/>
    <n v="4.2233999999999998"/>
    <n v="0.23680000000000001"/>
    <n v="4.2050000000000001"/>
    <n v="1"/>
    <n v="208.44"/>
    <s v="POLAND PL"/>
  </r>
  <r>
    <s v="BKMILL"/>
    <n v="159206"/>
    <n v="220096"/>
    <s v="Forward"/>
    <x v="592"/>
    <s v="Buy Fwd"/>
    <s v="EUR"/>
    <n v="50000"/>
    <s v="PLN"/>
    <n v="210000"/>
    <s v="2026-01-26"/>
    <n v="4.2"/>
    <n v="0.23810000000000001"/>
    <n v="4.2050000000000001"/>
    <n v="1"/>
    <n v="420250"/>
    <s v="POLAND PL"/>
  </r>
  <r>
    <s v="BKMILL"/>
    <n v="159207"/>
    <n v="220097"/>
    <s v="Forward"/>
    <x v="247"/>
    <s v="Sell Fwd"/>
    <s v="EUR"/>
    <n v="-150000"/>
    <s v="PLN"/>
    <n v="631335"/>
    <s v="2026-01-26"/>
    <n v="4.2092999999999998"/>
    <n v="0.23760000000000001"/>
    <n v="4.2050000000000001"/>
    <n v="1"/>
    <n v="585"/>
    <s v="POLAND PL"/>
  </r>
  <r>
    <s v="BKMILL"/>
    <n v="159208"/>
    <n v="220098"/>
    <s v="Forward"/>
    <x v="593"/>
    <s v="Buy Fwd"/>
    <s v="EUR"/>
    <n v="5000"/>
    <s v="PLN"/>
    <n v="20965"/>
    <s v="2026-01-26"/>
    <n v="4.1933999999999996"/>
    <n v="0.23849999999999999"/>
    <n v="4.2050000000000001"/>
    <n v="1"/>
    <n v="41990"/>
    <s v="POLAND PL"/>
  </r>
  <r>
    <s v="BKMILL"/>
    <n v="159211"/>
    <n v="910123"/>
    <s v="Spot"/>
    <x v="41"/>
    <s v="Buy"/>
    <s v="EUR"/>
    <n v="500000"/>
    <s v="PLN"/>
    <n v="-2103600"/>
    <s v="2026-01-28"/>
    <n v="4.2072000000000003"/>
    <n v="0.23769999999999999"/>
    <n v="4.2031999999999998"/>
    <n v="1"/>
    <n v="-2000"/>
    <s v="GERMANY DE"/>
  </r>
  <r>
    <s v="BKMILL"/>
    <n v="159213"/>
    <n v="220103"/>
    <s v="Forward"/>
    <x v="594"/>
    <s v="Sell Fwd"/>
    <s v="EUR"/>
    <n v="-475307.76"/>
    <s v="PLN"/>
    <n v="2000000"/>
    <s v="2026-01-26"/>
    <n v="4.2084999999999999"/>
    <n v="0.23760000000000001"/>
    <n v="4.2050000000000001"/>
    <n v="1"/>
    <n v="1330.8692000000001"/>
    <s v="POLAND PL"/>
  </r>
  <r>
    <s v="BKMILL"/>
    <n v="159215"/>
    <n v="220109"/>
    <s v="Forward"/>
    <x v="595"/>
    <s v="Buy Fwd"/>
    <s v="EUR"/>
    <n v="35000"/>
    <s v="PLN"/>
    <n v="147000"/>
    <s v="2026-01-26"/>
    <n v="4.2"/>
    <n v="0.23810000000000001"/>
    <n v="4.2050000000000001"/>
    <n v="1"/>
    <n v="294175"/>
    <s v="POLAND PL"/>
  </r>
  <r>
    <s v="BKMILL"/>
    <n v="159218"/>
    <n v="220115"/>
    <s v="Forward"/>
    <x v="125"/>
    <s v="Buy Fwd"/>
    <s v="EUR"/>
    <n v="80000"/>
    <s v="PLN"/>
    <n v="332240"/>
    <s v="2026-01-26"/>
    <n v="4.1534000000000004"/>
    <n v="0.24079999999999999"/>
    <n v="4.2050000000000001"/>
    <n v="1"/>
    <n v="668640"/>
    <s v="POLAND PL"/>
  </r>
  <r>
    <s v="BKMILL"/>
    <n v="159220"/>
    <n v="220118"/>
    <s v="Forward"/>
    <x v="388"/>
    <s v="Buy Fwd"/>
    <s v="EUR"/>
    <n v="65000"/>
    <s v="GBP"/>
    <n v="56095"/>
    <s v="2026-01-26"/>
    <n v="0.86299999999999999"/>
    <n v="1.1587000000000001"/>
    <n v="4.2050000000000001"/>
    <n v="4.8478000000000003"/>
    <n v="545262.34100000001"/>
    <s v="POLAND PL"/>
  </r>
  <r>
    <s v="BKMILL"/>
    <n v="159221"/>
    <n v="220124"/>
    <s v="Forward"/>
    <x v="288"/>
    <s v="Sell Fwd"/>
    <s v="EUR"/>
    <n v="-25000"/>
    <s v="PLN"/>
    <n v="105400"/>
    <s v="2026-01-26"/>
    <n v="4.2160000000000002"/>
    <n v="0.23719999999999999"/>
    <n v="4.2050000000000001"/>
    <n v="1"/>
    <n v="275"/>
    <s v="POLAND PL"/>
  </r>
  <r>
    <s v="BKMILL"/>
    <n v="159226"/>
    <n v="220128"/>
    <s v="Forward"/>
    <x v="589"/>
    <s v="Sell Fwd"/>
    <s v="EUR"/>
    <n v="-25000"/>
    <s v="PLN"/>
    <n v="105377.5"/>
    <s v="2026-01-27"/>
    <n v="4.2153"/>
    <n v="0.23719999999999999"/>
    <n v="4.2118000000000002"/>
    <n v="1"/>
    <n v="82.5"/>
    <s v="POLAND PL"/>
  </r>
  <r>
    <s v="BKMILL"/>
    <n v="159227"/>
    <n v="220129"/>
    <s v="Forward"/>
    <x v="436"/>
    <s v="Buy Fwd"/>
    <s v="EUR"/>
    <n v="220000"/>
    <s v="PLN"/>
    <n v="924550"/>
    <s v="2026-01-26"/>
    <n v="4.2024999999999997"/>
    <n v="0.23799999999999999"/>
    <n v="4.2050000000000001"/>
    <n v="1"/>
    <n v="1849650"/>
    <s v="POLAND PL"/>
  </r>
  <r>
    <s v="BKMILL"/>
    <n v="159228"/>
    <n v="220130"/>
    <s v="Forward"/>
    <x v="380"/>
    <s v="Sell Fwd"/>
    <s v="EUR"/>
    <n v="-6000"/>
    <s v="PLN"/>
    <n v="25275"/>
    <s v="2026-01-26"/>
    <n v="4.2125000000000004"/>
    <n v="0.2374"/>
    <n v="4.2050000000000001"/>
    <n v="1"/>
    <n v="45"/>
    <s v="POLAND PL"/>
  </r>
  <r>
    <s v="BKMILL"/>
    <n v="159230"/>
    <n v="220136"/>
    <s v="Forward"/>
    <x v="139"/>
    <s v="Buy Fwd"/>
    <s v="EUR"/>
    <n v="29000"/>
    <s v="PLN"/>
    <n v="121814.5"/>
    <s v="2026-01-26"/>
    <n v="4.2009999999999996"/>
    <n v="0.23799999999999999"/>
    <n v="4.2050000000000001"/>
    <n v="1"/>
    <n v="243759.5"/>
    <s v="POLAND PL"/>
  </r>
  <r>
    <s v="BKMILL"/>
    <n v="159231"/>
    <n v="910246"/>
    <s v="Spot"/>
    <x v="36"/>
    <s v="Sell"/>
    <s v="EUR"/>
    <n v="-100000"/>
    <s v="GBP"/>
    <n v="86767"/>
    <s v="2026-01-28"/>
    <n v="0.86770000000000003"/>
    <n v="1.1525000000000001"/>
    <n v="4.2031999999999998"/>
    <n v="4.8432000000000004"/>
    <n v="-90.065600000000003"/>
    <s v="UNITED KINGDOM GB"/>
  </r>
  <r>
    <s v="BKMILL"/>
    <n v="159232"/>
    <n v="910247"/>
    <s v="Spot"/>
    <x v="40"/>
    <s v="Sell"/>
    <s v="EUR"/>
    <n v="-100000"/>
    <s v="USD"/>
    <n v="118458"/>
    <s v="2026-01-28"/>
    <n v="1.1846000000000001"/>
    <n v="0.84419999999999995"/>
    <n v="4.2031999999999998"/>
    <n v="3.5354000000000001"/>
    <n v="-1523.5868"/>
    <s v="UNITED STATES OF AMERICA US"/>
  </r>
  <r>
    <s v="BKMILL"/>
    <n v="159233"/>
    <n v="910248"/>
    <s v="Spot"/>
    <x v="40"/>
    <s v="Sell"/>
    <s v="EUR"/>
    <n v="-100000"/>
    <s v="USD"/>
    <n v="118461"/>
    <s v="2026-01-28"/>
    <n v="1.1846000000000001"/>
    <n v="0.84419999999999995"/>
    <n v="4.2031999999999998"/>
    <n v="3.5354000000000001"/>
    <n v="-1512.9806000000001"/>
    <s v="UNITED STATES OF AMERICA US"/>
  </r>
  <r>
    <s v="BKMILL"/>
    <n v="159234"/>
    <n v="220141"/>
    <s v="Forward"/>
    <x v="89"/>
    <s v="Buy Fwd"/>
    <s v="EUR"/>
    <n v="39000"/>
    <s v="PLN"/>
    <n v="163850.70000000001"/>
    <s v="2026-01-26"/>
    <n v="4.2018000000000004"/>
    <n v="0.23799999999999999"/>
    <n v="4.2050000000000001"/>
    <n v="1"/>
    <n v="327845.7"/>
    <s v="POLAND PL"/>
  </r>
  <r>
    <s v="BKMILL"/>
    <n v="159235"/>
    <n v="910274"/>
    <s v="Spot"/>
    <x v="47"/>
    <s v="Buy"/>
    <s v="EUR"/>
    <n v="500000"/>
    <s v="PLN"/>
    <n v="-2103875"/>
    <s v="2026-01-28"/>
    <n v="4.2077"/>
    <n v="0.23769999999999999"/>
    <n v="4.2031999999999998"/>
    <n v="1"/>
    <n v="-2275"/>
    <s v="FRANCE FR"/>
  </r>
  <r>
    <s v="BKMILL"/>
    <n v="159236"/>
    <n v="910275"/>
    <s v="Spot"/>
    <x v="39"/>
    <s v="Buy"/>
    <s v="EUR"/>
    <n v="500000"/>
    <s v="PLN"/>
    <n v="-2103835"/>
    <s v="2026-01-28"/>
    <n v="4.2077"/>
    <n v="0.23769999999999999"/>
    <n v="4.2031999999999998"/>
    <n v="1"/>
    <n v="-2235"/>
    <s v="UNITED KINGDOM GB"/>
  </r>
  <r>
    <s v="BKMILL"/>
    <n v="159237"/>
    <n v="220145"/>
    <s v="Forward"/>
    <x v="37"/>
    <s v="Sell Fwd"/>
    <s v="EUR"/>
    <n v="-1080000"/>
    <s v="PLN"/>
    <n v="4546368"/>
    <s v="2026-01-29"/>
    <n v="4.2093999999999996"/>
    <n v="0.23760000000000001"/>
    <n v="4.2008999999999999"/>
    <n v="1"/>
    <n v="9396"/>
    <s v="POLAND PL"/>
  </r>
  <r>
    <s v="BKMILL"/>
    <n v="159238"/>
    <n v="220146"/>
    <s v="Forward"/>
    <x v="89"/>
    <s v="Sell Fwd"/>
    <s v="USD"/>
    <n v="-3000"/>
    <s v="PLN"/>
    <n v="10672.2"/>
    <s v="2026-01-26"/>
    <n v="3.5573999999999999"/>
    <n v="0.28110000000000002"/>
    <n v="3.5831"/>
    <n v="1"/>
    <n v="-77.099999999999994"/>
    <s v="POLAND PL"/>
  </r>
  <r>
    <s v="BKMILL"/>
    <n v="159239"/>
    <n v="220148"/>
    <s v="Forward"/>
    <x v="128"/>
    <s v="Buy Fwd"/>
    <s v="EUR"/>
    <n v="300000"/>
    <s v="PLN"/>
    <n v="1261500"/>
    <s v="2026-01-26"/>
    <n v="4.2054"/>
    <n v="0.23780000000000001"/>
    <n v="4.2050000000000001"/>
    <n v="1"/>
    <n v="2523000"/>
    <s v="POLAND PL"/>
  </r>
  <r>
    <s v="BKMILL"/>
    <n v="159240"/>
    <n v="220151"/>
    <s v="Forward"/>
    <x v="139"/>
    <s v="Buy Fwd"/>
    <s v="EUR"/>
    <n v="78229.09"/>
    <s v="PLN"/>
    <n v="328624.76"/>
    <s v="2026-01-26"/>
    <n v="4.2012999999999998"/>
    <n v="0.23799999999999999"/>
    <n v="4.2050000000000001"/>
    <n v="1"/>
    <n v="657578.08345000003"/>
    <s v="POLAND PL"/>
  </r>
  <r>
    <s v="BKMILL"/>
    <n v="159241"/>
    <n v="220152"/>
    <s v="Forward"/>
    <x v="136"/>
    <s v="Buy Fwd"/>
    <s v="EUR"/>
    <n v="100000"/>
    <s v="PLN"/>
    <n v="420400"/>
    <s v="2026-01-26"/>
    <n v="4.2043999999999997"/>
    <n v="0.23780000000000001"/>
    <n v="4.2050000000000001"/>
    <n v="1"/>
    <n v="840900"/>
    <s v="POLAND PL"/>
  </r>
  <r>
    <s v="BKMILL"/>
    <n v="159242"/>
    <n v="220153"/>
    <s v="Forward"/>
    <x v="325"/>
    <s v="Buy Fwd"/>
    <s v="EUR"/>
    <n v="100000"/>
    <s v="PLN"/>
    <n v="420400"/>
    <s v="2026-01-26"/>
    <n v="4.2043999999999997"/>
    <n v="0.23780000000000001"/>
    <n v="4.2050000000000001"/>
    <n v="1"/>
    <n v="840900"/>
    <s v="POLAND PL"/>
  </r>
  <r>
    <s v="BKMILL"/>
    <n v="159243"/>
    <n v="220154"/>
    <s v="Forward"/>
    <x v="134"/>
    <s v="Buy Fwd"/>
    <s v="EUR"/>
    <n v="100000"/>
    <s v="PLN"/>
    <n v="420400"/>
    <s v="2026-01-26"/>
    <n v="4.2043999999999997"/>
    <n v="0.23780000000000001"/>
    <n v="4.2050000000000001"/>
    <n v="1"/>
    <n v="840900"/>
    <s v="POLAND PL"/>
  </r>
  <r>
    <s v="BKMILL"/>
    <n v="159245"/>
    <n v="910310"/>
    <s v="Spot"/>
    <x v="44"/>
    <s v="Sell"/>
    <s v="EUR"/>
    <n v="-500000"/>
    <s v="PLN"/>
    <n v="2103800"/>
    <s v="2026-01-28"/>
    <n v="4.2076000000000002"/>
    <n v="0.23769999999999999"/>
    <n v="4.2031999999999998"/>
    <n v="1"/>
    <n v="2200"/>
    <s v="GERMANY DE"/>
  </r>
  <r>
    <s v="BKMILL"/>
    <n v="159246"/>
    <n v="220157"/>
    <s v="Forward"/>
    <x v="74"/>
    <s v="Buy Fwd"/>
    <s v="EUR"/>
    <n v="230000"/>
    <s v="PLN"/>
    <n v="964390"/>
    <s v="2026-01-26"/>
    <n v="4.1929999999999996"/>
    <n v="0.23849999999999999"/>
    <n v="4.2050000000000001"/>
    <n v="1"/>
    <n v="1931540"/>
    <s v="POLAND PL"/>
  </r>
  <r>
    <s v="BKMILL"/>
    <n v="159249"/>
    <n v="220165"/>
    <s v="Forward"/>
    <x v="151"/>
    <s v="Sell Fwd"/>
    <s v="EUR"/>
    <n v="-232759.2"/>
    <s v="PLN"/>
    <n v="982011.06"/>
    <s v="2026-01-26"/>
    <n v="4.2190000000000003"/>
    <n v="0.23699999999999999"/>
    <n v="4.2050000000000001"/>
    <n v="1"/>
    <n v="3258.6239999999998"/>
    <s v="POLAND PL"/>
  </r>
  <r>
    <s v="BKMILL"/>
    <n v="159251"/>
    <n v="910343"/>
    <s v="Spot"/>
    <x v="40"/>
    <s v="Sell"/>
    <s v="EUR"/>
    <n v="-100000"/>
    <s v="USD"/>
    <n v="118540"/>
    <s v="2026-01-28"/>
    <n v="1.1854"/>
    <n v="0.84360000000000002"/>
    <n v="4.2031999999999998"/>
    <n v="3.5354000000000001"/>
    <n v="-1233.684"/>
    <s v="UNITED STATES OF AMERICA US"/>
  </r>
  <r>
    <s v="BKMILL"/>
    <n v="159252"/>
    <n v="910344"/>
    <s v="Spot"/>
    <x v="44"/>
    <s v="Sell"/>
    <s v="EUR"/>
    <n v="-500000"/>
    <s v="PLN"/>
    <n v="2103050"/>
    <s v="2026-01-28"/>
    <n v="4.2061000000000002"/>
    <n v="0.23769999999999999"/>
    <n v="4.2031999999999998"/>
    <n v="1"/>
    <n v="1450"/>
    <s v="GERMANY DE"/>
  </r>
  <r>
    <s v="BKMILL"/>
    <n v="159254"/>
    <n v="910372"/>
    <s v="Spot"/>
    <x v="40"/>
    <s v="Sell"/>
    <s v="EUR"/>
    <n v="-100000"/>
    <s v="USD"/>
    <n v="118564"/>
    <s v="2026-01-28"/>
    <n v="1.1856"/>
    <n v="0.84340000000000004"/>
    <n v="4.2031999999999998"/>
    <n v="3.5354000000000001"/>
    <n v="-1148.8344"/>
    <s v="UNITED STATES OF AMERICA US"/>
  </r>
  <r>
    <s v="BKMILL"/>
    <n v="159255"/>
    <n v="220175"/>
    <s v="Forward"/>
    <x v="403"/>
    <s v="Buy Fwd"/>
    <s v="EUR"/>
    <n v="11000"/>
    <s v="PLN"/>
    <n v="46112"/>
    <s v="2026-01-26"/>
    <n v="4.1924999999999999"/>
    <n v="0.23849999999999999"/>
    <n v="4.2050000000000001"/>
    <n v="1"/>
    <n v="92367"/>
    <s v="POLAND PL"/>
  </r>
  <r>
    <s v="BKMILL"/>
    <n v="159256"/>
    <n v="220176"/>
    <s v="Forward"/>
    <x v="103"/>
    <s v="Sell Fwd"/>
    <s v="EUR"/>
    <n v="-29942.81"/>
    <s v="PLN"/>
    <n v="126179"/>
    <s v="2026-01-26"/>
    <n v="4.2140000000000004"/>
    <n v="0.23730000000000001"/>
    <n v="4.2050000000000001"/>
    <n v="1"/>
    <n v="269.48394999999999"/>
    <s v="POLAND PL"/>
  </r>
  <r>
    <s v="BKMILL"/>
    <n v="159257"/>
    <n v="220183"/>
    <s v="Forward"/>
    <x v="596"/>
    <s v="Sell Fwd"/>
    <s v="GBP"/>
    <n v="-20000"/>
    <s v="PLN"/>
    <n v="97000"/>
    <s v="2026-01-26"/>
    <n v="4.8499999999999996"/>
    <n v="0.20619999999999999"/>
    <n v="4.8478000000000003"/>
    <n v="1"/>
    <n v="44"/>
    <s v="POLAND PL"/>
  </r>
  <r>
    <s v="BKMILL"/>
    <n v="159258"/>
    <n v="220184"/>
    <s v="Forward"/>
    <x v="316"/>
    <s v="Buy Fwd"/>
    <s v="EUR"/>
    <n v="50000"/>
    <s v="PLN"/>
    <n v="209875"/>
    <s v="2026-01-26"/>
    <n v="4.1978999999999997"/>
    <n v="0.2382"/>
    <n v="4.2050000000000001"/>
    <n v="1"/>
    <n v="420125"/>
    <s v="POLAND PL"/>
  </r>
  <r>
    <s v="BKMILL"/>
    <n v="159259"/>
    <n v="220187"/>
    <s v="Forward"/>
    <x v="126"/>
    <s v="Sell Fwd"/>
    <s v="EUR"/>
    <n v="-5000"/>
    <s v="PLN"/>
    <n v="21075"/>
    <s v="2026-01-26"/>
    <n v="4.2154999999999996"/>
    <n v="0.23719999999999999"/>
    <n v="4.2050000000000001"/>
    <n v="1"/>
    <n v="50"/>
    <s v="POLAND PL"/>
  </r>
  <r>
    <s v="BKMILL"/>
    <n v="159263"/>
    <n v="910467"/>
    <s v="Spot"/>
    <x v="40"/>
    <s v="Buy"/>
    <s v="USD"/>
    <n v="200000"/>
    <s v="PLN"/>
    <n v="-708900"/>
    <s v="2026-01-28"/>
    <n v="3.5445000000000002"/>
    <n v="0.28210000000000002"/>
    <n v="3.5354000000000001"/>
    <n v="1"/>
    <n v="-1820"/>
    <s v="UNITED STATES OF AMERICA US"/>
  </r>
  <r>
    <s v="BKMILL"/>
    <n v="159265"/>
    <n v="910481"/>
    <s v="Spot"/>
    <x v="41"/>
    <s v="Sell"/>
    <s v="EUR"/>
    <n v="-500000"/>
    <s v="PLN"/>
    <n v="2102800"/>
    <s v="2026-01-28"/>
    <n v="4.2055999999999996"/>
    <n v="0.23780000000000001"/>
    <n v="4.2031999999999998"/>
    <n v="1"/>
    <n v="1200"/>
    <s v="GERMANY DE"/>
  </r>
  <r>
    <s v="BKMILL"/>
    <n v="159268"/>
    <n v="220192"/>
    <s v="Forward"/>
    <x v="216"/>
    <s v="Buy Fwd"/>
    <s v="EUR"/>
    <n v="100000"/>
    <s v="USD"/>
    <n v="118330"/>
    <s v="2026-01-26"/>
    <n v="1.1835"/>
    <n v="0.84499999999999997"/>
    <n v="4.2050000000000001"/>
    <n v="3.5831"/>
    <n v="844488.223"/>
    <s v="POLAND PL"/>
  </r>
  <r>
    <s v="BKMILL"/>
    <n v="159269"/>
    <n v="220195"/>
    <s v="Forward"/>
    <x v="169"/>
    <s v="Buy Fwd"/>
    <s v="EUR"/>
    <n v="50000"/>
    <s v="PLN"/>
    <n v="209900"/>
    <s v="2026-01-26"/>
    <n v="4.1984000000000004"/>
    <n v="0.2382"/>
    <n v="4.2050000000000001"/>
    <n v="1"/>
    <n v="420150"/>
    <s v="POLAND PL"/>
  </r>
  <r>
    <s v="BKMILL"/>
    <n v="159270"/>
    <n v="910516"/>
    <s v="Spot"/>
    <x v="39"/>
    <s v="Buy"/>
    <s v="USD"/>
    <n v="500000"/>
    <s v="PLN"/>
    <n v="-1771035"/>
    <s v="2026-01-28"/>
    <n v="3.5421"/>
    <n v="0.2823"/>
    <n v="3.5354000000000001"/>
    <n v="1"/>
    <n v="-3335"/>
    <s v="UNITED KINGDOM GB"/>
  </r>
  <r>
    <s v="BKMILL"/>
    <n v="159271"/>
    <n v="910518"/>
    <s v="Spot"/>
    <x v="40"/>
    <s v="Buy"/>
    <s v="EUR"/>
    <n v="500000"/>
    <s v="PLN"/>
    <n v="-2101850"/>
    <s v="2026-01-28"/>
    <n v="4.2037000000000004"/>
    <n v="0.2379"/>
    <n v="4.2031999999999998"/>
    <n v="1"/>
    <n v="-250"/>
    <s v="UNITED STATES OF AMERICA US"/>
  </r>
  <r>
    <s v="BKMILL"/>
    <n v="159272"/>
    <n v="910522"/>
    <s v="Spot"/>
    <x v="40"/>
    <s v="Buy"/>
    <s v="USD"/>
    <n v="500000"/>
    <s v="PLN"/>
    <n v="-1770650"/>
    <s v="2026-01-28"/>
    <n v="3.5413000000000001"/>
    <n v="0.28239999999999998"/>
    <n v="3.5354000000000001"/>
    <n v="1"/>
    <n v="-2950"/>
    <s v="UNITED STATES OF AMERICA US"/>
  </r>
  <r>
    <s v="BKMILL"/>
    <n v="159273"/>
    <n v="220200"/>
    <s v="Forward"/>
    <x v="154"/>
    <s v="Sell Fwd"/>
    <s v="USD"/>
    <n v="-100000"/>
    <s v="PLN"/>
    <n v="354500"/>
    <s v="2026-01-26"/>
    <n v="3.5449999999999999"/>
    <n v="0.28210000000000002"/>
    <n v="3.5831"/>
    <n v="1"/>
    <n v="-3810"/>
    <s v="POLAND PL"/>
  </r>
  <r>
    <s v="BKMILL"/>
    <n v="159275"/>
    <n v="220206"/>
    <s v="Forward"/>
    <x v="315"/>
    <s v="Sell Fwd"/>
    <s v="EUR"/>
    <n v="-100000"/>
    <s v="PLN"/>
    <n v="420500"/>
    <s v="2026-01-26"/>
    <n v="4.2054"/>
    <n v="0.23780000000000001"/>
    <n v="4.2050000000000001"/>
    <n v="1"/>
    <n v="0"/>
    <s v="POLAND PL"/>
  </r>
  <r>
    <s v="BKMILL"/>
    <n v="159276"/>
    <n v="910557"/>
    <s v="Spot"/>
    <x v="39"/>
    <s v="Sell"/>
    <s v="EUR"/>
    <n v="-500000"/>
    <s v="PLN"/>
    <n v="2101465"/>
    <s v="2026-01-28"/>
    <n v="4.2028999999999996"/>
    <n v="0.2379"/>
    <n v="4.2031999999999998"/>
    <n v="1"/>
    <n v="-135"/>
    <s v="UNITED KINGDOM GB"/>
  </r>
  <r>
    <s v="BKMILL"/>
    <n v="159277"/>
    <n v="910561"/>
    <s v="Spot"/>
    <x v="44"/>
    <s v="Sell"/>
    <s v="EUR"/>
    <n v="-500000"/>
    <s v="PLN"/>
    <n v="2101430"/>
    <s v="2026-01-28"/>
    <n v="4.2028999999999996"/>
    <n v="0.2379"/>
    <n v="4.2031999999999998"/>
    <n v="1"/>
    <n v="-170"/>
    <s v="GERMANY DE"/>
  </r>
  <r>
    <s v="BKMILL"/>
    <n v="159278"/>
    <n v="910564"/>
    <s v="Spot"/>
    <x v="44"/>
    <s v="Sell"/>
    <s v="EUR"/>
    <n v="-500000"/>
    <s v="PLN"/>
    <n v="2101485"/>
    <s v="2026-01-28"/>
    <n v="4.2030000000000003"/>
    <n v="0.2379"/>
    <n v="4.2031999999999998"/>
    <n v="1"/>
    <n v="-115"/>
    <s v="GERMANY DE"/>
  </r>
  <r>
    <s v="BKMILL"/>
    <n v="159279"/>
    <n v="910567"/>
    <s v="Spot"/>
    <x v="47"/>
    <s v="Sell"/>
    <s v="USD"/>
    <n v="-1000000"/>
    <s v="PLN"/>
    <n v="3540800"/>
    <s v="2026-01-28"/>
    <n v="3.5407999999999999"/>
    <n v="0.28239999999999998"/>
    <n v="3.5354000000000001"/>
    <n v="1"/>
    <n v="5400"/>
    <s v="FRANCE FR"/>
  </r>
  <r>
    <s v="BKMILL"/>
    <n v="159280"/>
    <n v="910577"/>
    <s v="Spot"/>
    <x v="44"/>
    <s v="Sell"/>
    <s v="EUR"/>
    <n v="-500000"/>
    <s v="PLN"/>
    <n v="2101550"/>
    <s v="2026-01-28"/>
    <n v="4.2031000000000001"/>
    <n v="0.2379"/>
    <n v="4.2031999999999998"/>
    <n v="1"/>
    <n v="-50"/>
    <s v="GERMANY DE"/>
  </r>
  <r>
    <s v="BKMILL"/>
    <n v="159281"/>
    <n v="910583"/>
    <s v="Spot"/>
    <x v="41"/>
    <s v="Buy"/>
    <s v="EUR"/>
    <n v="100000"/>
    <s v="GBP"/>
    <n v="-86753"/>
    <s v="2026-01-28"/>
    <n v="0.86750000000000005"/>
    <n v="1.1527000000000001"/>
    <n v="4.2031999999999998"/>
    <n v="4.8432000000000004"/>
    <n v="157.87039999999999"/>
    <s v="GERMANY DE"/>
  </r>
  <r>
    <s v="BKMILL"/>
    <n v="159282"/>
    <n v="910591"/>
    <s v="Spot"/>
    <x v="36"/>
    <s v="Buy"/>
    <s v="EUR"/>
    <n v="100000"/>
    <s v="NOK"/>
    <n v="-1159013"/>
    <s v="2026-01-28"/>
    <n v="11.5901"/>
    <n v="8.6300000000000002E-2"/>
    <n v="4.2031999999999998"/>
    <n v="0.36259999999999998"/>
    <n v="61.886200000000002"/>
    <s v="UNITED KINGDOM GB"/>
  </r>
  <r>
    <s v="BKMILL"/>
    <n v="159284"/>
    <n v="910605"/>
    <s v="Spot"/>
    <x v="38"/>
    <s v="Buy"/>
    <s v="EUR"/>
    <n v="100000"/>
    <s v="SEK"/>
    <n v="-1060736"/>
    <s v="2026-01-28"/>
    <n v="10.6074"/>
    <n v="9.4299999999999995E-2"/>
    <n v="4.2031999999999998"/>
    <n v="0.39660000000000001"/>
    <n v="-367.89760000000001"/>
    <s v="NETHERLANDS NL"/>
  </r>
  <r>
    <s v="BKMILL"/>
    <n v="159285"/>
    <n v="910613"/>
    <s v="Spot"/>
    <x v="41"/>
    <s v="Buy"/>
    <s v="EUR"/>
    <n v="100000"/>
    <s v="DKK"/>
    <n v="-746837"/>
    <s v="2026-01-28"/>
    <n v="7.4683999999999999"/>
    <n v="0.13389999999999999"/>
    <n v="4.2031999999999998"/>
    <n v="0.56289999999999996"/>
    <n v="-74.547300000000007"/>
    <s v="GERMANY DE"/>
  </r>
  <r>
    <s v="BKMILL"/>
    <n v="159286"/>
    <n v="910617"/>
    <s v="Spot"/>
    <x v="41"/>
    <s v="Buy"/>
    <s v="EUR"/>
    <n v="100000"/>
    <s v="CZK"/>
    <n v="-2425020"/>
    <s v="2026-01-28"/>
    <n v="24.2502"/>
    <n v="4.1200000000000001E-2"/>
    <n v="4.2031999999999998"/>
    <n v="0.17349999999999999"/>
    <n v="-420.97"/>
    <s v="GERMANY DE"/>
  </r>
  <r>
    <s v="BKMILL"/>
    <n v="159287"/>
    <n v="910618"/>
    <s v="Spot"/>
    <x v="41"/>
    <s v="Sell"/>
    <s v="EUR"/>
    <n v="-100000"/>
    <s v="CZK"/>
    <n v="2424870"/>
    <s v="2026-01-28"/>
    <n v="24.248699999999999"/>
    <n v="4.1200000000000001E-2"/>
    <n v="4.2031999999999998"/>
    <n v="0.17349999999999999"/>
    <n v="394.94499999999999"/>
    <s v="GERMANY DE"/>
  </r>
  <r>
    <s v="BKMILL"/>
    <n v="159288"/>
    <n v="220211"/>
    <s v="Forward"/>
    <x v="495"/>
    <s v="Buy Fwd"/>
    <s v="EUR"/>
    <n v="50000"/>
    <s v="PLN"/>
    <n v="209825"/>
    <s v="2026-01-27"/>
    <n v="4.1966999999999999"/>
    <n v="0.23830000000000001"/>
    <n v="4.2118000000000002"/>
    <n v="1"/>
    <n v="420415"/>
    <s v="POLAND PL"/>
  </r>
  <r>
    <s v="BKMILL"/>
    <n v="159289"/>
    <n v="220212"/>
    <s v="Forward"/>
    <x v="280"/>
    <s v="Buy Fwd"/>
    <s v="EUR"/>
    <n v="25000"/>
    <s v="PLN"/>
    <n v="104800"/>
    <s v="2026-01-26"/>
    <n v="4.1924999999999999"/>
    <n v="0.23849999999999999"/>
    <n v="4.2050000000000001"/>
    <n v="1"/>
    <n v="209925"/>
    <s v="POLAND PL"/>
  </r>
  <r>
    <s v="BKMILL"/>
    <n v="159290"/>
    <n v="910631"/>
    <s v="Spot"/>
    <x v="39"/>
    <s v="Sell"/>
    <s v="EUR"/>
    <n v="-1500000"/>
    <s v="PLN"/>
    <n v="6303075"/>
    <s v="2026-01-28"/>
    <n v="4.202"/>
    <n v="0.23799999999999999"/>
    <n v="4.2031999999999998"/>
    <n v="1"/>
    <n v="-1725"/>
    <s v="UNITED KINGDOM GB"/>
  </r>
  <r>
    <s v="BKMILL"/>
    <n v="159291"/>
    <n v="220214"/>
    <s v="Forward"/>
    <x v="315"/>
    <s v="Sell Fwd"/>
    <s v="EUR"/>
    <n v="-100000"/>
    <s v="PLN"/>
    <n v="420400"/>
    <s v="2026-01-26"/>
    <n v="4.2043999999999997"/>
    <n v="0.23780000000000001"/>
    <n v="4.2050000000000001"/>
    <n v="1"/>
    <n v="-100"/>
    <s v="POLAND PL"/>
  </r>
  <r>
    <s v="BKMILL"/>
    <n v="159292"/>
    <n v="220217"/>
    <s v="Forward"/>
    <x v="106"/>
    <s v="Sell Fwd"/>
    <s v="EUR"/>
    <n v="-50000"/>
    <s v="PLN"/>
    <n v="210225"/>
    <s v="2026-01-26"/>
    <n v="4.2049000000000003"/>
    <n v="0.23780000000000001"/>
    <n v="4.2050000000000001"/>
    <n v="1"/>
    <n v="-25"/>
    <s v="POLAND PL"/>
  </r>
  <r>
    <s v="BKMILL"/>
    <n v="159295"/>
    <n v="220218"/>
    <s v="Forward"/>
    <x v="225"/>
    <s v="Sell Fwd"/>
    <s v="EUR"/>
    <n v="-15234"/>
    <s v="PLN"/>
    <n v="64226.54"/>
    <s v="2026-01-26"/>
    <n v="4.2160000000000002"/>
    <n v="0.23719999999999999"/>
    <n v="4.2050000000000001"/>
    <n v="1"/>
    <n v="167.57"/>
    <s v="POLAND PL"/>
  </r>
  <r>
    <s v="BKMILL"/>
    <n v="159296"/>
    <n v="910659"/>
    <s v="Spot"/>
    <x v="39"/>
    <s v="Buy"/>
    <s v="EUR"/>
    <n v="500000"/>
    <s v="PLN"/>
    <n v="-2101210"/>
    <s v="2026-01-28"/>
    <n v="4.2023999999999999"/>
    <n v="0.23799999999999999"/>
    <n v="4.2031999999999998"/>
    <n v="1"/>
    <n v="390"/>
    <s v="UNITED KINGDOM GB"/>
  </r>
  <r>
    <s v="BKMILL"/>
    <n v="159297"/>
    <n v="220224"/>
    <s v="Forward"/>
    <x v="597"/>
    <s v="Sell Fwd"/>
    <s v="EUR"/>
    <n v="-1500"/>
    <s v="PLN"/>
    <n v="6312"/>
    <s v="2026-01-26"/>
    <n v="4.2084000000000001"/>
    <n v="0.23760000000000001"/>
    <n v="4.2050000000000001"/>
    <n v="1"/>
    <n v="4.5"/>
    <s v="POLAND PL"/>
  </r>
  <r>
    <s v="BKMILL"/>
    <n v="159298"/>
    <n v="220225"/>
    <s v="Forward"/>
    <x v="264"/>
    <s v="Buy Fwd"/>
    <s v="EUR"/>
    <n v="7500"/>
    <s v="PLN"/>
    <n v="31425"/>
    <s v="2026-01-26"/>
    <n v="4.1905000000000001"/>
    <n v="0.23860000000000001"/>
    <n v="4.2050000000000001"/>
    <n v="1"/>
    <n v="62962.5"/>
    <s v="POLAND PL"/>
  </r>
  <r>
    <s v="BKMILL"/>
    <n v="159300"/>
    <n v="910678"/>
    <s v="Spot"/>
    <x v="41"/>
    <s v="Buy"/>
    <s v="USD"/>
    <n v="500000"/>
    <s v="PLN"/>
    <n v="-1770100"/>
    <s v="2026-01-28"/>
    <n v="3.5402"/>
    <n v="0.28249999999999997"/>
    <n v="3.5354000000000001"/>
    <n v="1"/>
    <n v="-2400"/>
    <s v="GERMANY DE"/>
  </r>
  <r>
    <s v="BKMILL"/>
    <n v="159301"/>
    <n v="910679"/>
    <s v="Spot"/>
    <x v="41"/>
    <s v="Buy"/>
    <s v="USD"/>
    <n v="500000"/>
    <s v="PLN"/>
    <n v="-1770450"/>
    <s v="2026-01-28"/>
    <n v="3.5409000000000002"/>
    <n v="0.28239999999999998"/>
    <n v="3.5354000000000001"/>
    <n v="1"/>
    <n v="-2750"/>
    <s v="GERMANY DE"/>
  </r>
  <r>
    <s v="BKMILL"/>
    <n v="159302"/>
    <n v="910683"/>
    <s v="Spot"/>
    <x v="41"/>
    <s v="Buy"/>
    <s v="USD"/>
    <n v="500000"/>
    <s v="PLN"/>
    <n v="-1770400"/>
    <s v="2026-01-28"/>
    <n v="3.5407999999999999"/>
    <n v="0.28239999999999998"/>
    <n v="3.5354000000000001"/>
    <n v="1"/>
    <n v="-2700"/>
    <s v="GERMANY DE"/>
  </r>
  <r>
    <s v="BKMILL"/>
    <n v="159303"/>
    <n v="910687"/>
    <s v="Spot"/>
    <x v="47"/>
    <s v="Buy"/>
    <s v="USD"/>
    <n v="500000"/>
    <s v="PLN"/>
    <n v="-1769200"/>
    <s v="2026-01-28"/>
    <n v="3.5384000000000002"/>
    <n v="0.28260000000000002"/>
    <n v="3.5354000000000001"/>
    <n v="1"/>
    <n v="-1500"/>
    <s v="FRANCE FR"/>
  </r>
  <r>
    <s v="BKMILL"/>
    <n v="159305"/>
    <n v="910694"/>
    <s v="Spot"/>
    <x v="41"/>
    <s v="Buy"/>
    <s v="USD"/>
    <n v="500000"/>
    <s v="PLN"/>
    <n v="-1768800"/>
    <s v="2026-01-28"/>
    <n v="3.5375999999999999"/>
    <n v="0.28270000000000001"/>
    <n v="3.5354000000000001"/>
    <n v="1"/>
    <n v="-1100"/>
    <s v="GERMANY DE"/>
  </r>
  <r>
    <s v="BKMILL"/>
    <n v="159306"/>
    <n v="220231"/>
    <s v="Forward"/>
    <x v="129"/>
    <s v="Buy Fwd"/>
    <s v="EUR"/>
    <n v="9300"/>
    <s v="USD"/>
    <n v="11042.82"/>
    <s v="2026-01-26"/>
    <n v="1.1876"/>
    <n v="0.84199999999999997"/>
    <n v="4.2050000000000001"/>
    <n v="3.5831"/>
    <n v="78674.028342000005"/>
    <s v="POLAND PL"/>
  </r>
  <r>
    <s v="BKMILL"/>
    <n v="159307"/>
    <n v="220233"/>
    <s v="Forward"/>
    <x v="495"/>
    <s v="Buy Fwd"/>
    <s v="EUR"/>
    <n v="50000"/>
    <s v="PLN"/>
    <n v="209855"/>
    <s v="2026-01-26"/>
    <n v="4.1974999999999998"/>
    <n v="0.2382"/>
    <n v="4.2050000000000001"/>
    <n v="1"/>
    <n v="420105"/>
    <s v="POLAND PL"/>
  </r>
  <r>
    <s v="BKMILL"/>
    <n v="159308"/>
    <n v="220234"/>
    <s v="Forward"/>
    <x v="106"/>
    <s v="Sell Fwd"/>
    <s v="EUR"/>
    <n v="-50000"/>
    <s v="PLN"/>
    <n v="210305"/>
    <s v="2026-01-26"/>
    <n v="4.2065000000000001"/>
    <n v="0.23769999999999999"/>
    <n v="4.2050000000000001"/>
    <n v="1"/>
    <n v="55"/>
    <s v="POLAND PL"/>
  </r>
  <r>
    <s v="BKMILL"/>
    <n v="159309"/>
    <n v="910714"/>
    <s v="Spot"/>
    <x v="39"/>
    <s v="Buy"/>
    <s v="USD"/>
    <n v="1000000"/>
    <s v="PLN"/>
    <n v="-3535710"/>
    <s v="2026-01-28"/>
    <n v="3.5356999999999998"/>
    <n v="0.2828"/>
    <n v="3.5354000000000001"/>
    <n v="1"/>
    <n v="-310"/>
    <s v="UNITED KINGDOM GB"/>
  </r>
  <r>
    <s v="BKMILL"/>
    <n v="159310"/>
    <n v="910715"/>
    <s v="Spot"/>
    <x v="40"/>
    <s v="Buy"/>
    <s v="USD"/>
    <n v="500000"/>
    <s v="PLN"/>
    <n v="-1767650"/>
    <s v="2026-01-28"/>
    <n v="3.5352999999999999"/>
    <n v="0.28289999999999998"/>
    <n v="3.5354000000000001"/>
    <n v="1"/>
    <n v="50"/>
    <s v="UNITED STATES OF AMERICA US"/>
  </r>
  <r>
    <s v="BKMILL"/>
    <n v="159311"/>
    <n v="910716"/>
    <s v="Spot"/>
    <x v="41"/>
    <s v="Buy"/>
    <s v="USD"/>
    <n v="500000"/>
    <s v="PLN"/>
    <n v="-1767600"/>
    <s v="2026-01-28"/>
    <n v="3.5352000000000001"/>
    <n v="0.28289999999999998"/>
    <n v="3.5354000000000001"/>
    <n v="1"/>
    <n v="100"/>
    <s v="GERMANY DE"/>
  </r>
  <r>
    <s v="BKMILL"/>
    <n v="159312"/>
    <n v="910717"/>
    <s v="Spot"/>
    <x v="41"/>
    <s v="Buy"/>
    <s v="USD"/>
    <n v="1000000"/>
    <s v="PLN"/>
    <n v="-3535200"/>
    <s v="2026-01-28"/>
    <n v="3.5352000000000001"/>
    <n v="0.28289999999999998"/>
    <n v="3.5354000000000001"/>
    <n v="1"/>
    <n v="200"/>
    <s v="GERMANY DE"/>
  </r>
  <r>
    <s v="BKMILL"/>
    <n v="159313"/>
    <n v="220236"/>
    <s v="Forward"/>
    <x v="598"/>
    <s v="Sell Fwd"/>
    <s v="EUR"/>
    <n v="-5000"/>
    <s v="PLN"/>
    <n v="21090"/>
    <s v="2026-01-26"/>
    <n v="4.2184999999999997"/>
    <n v="0.23710000000000001"/>
    <n v="4.2050000000000001"/>
    <n v="1"/>
    <n v="65"/>
    <s v="POLAND PL"/>
  </r>
  <r>
    <s v="BKMILL"/>
    <n v="159314"/>
    <n v="910721"/>
    <s v="Spot"/>
    <x v="41"/>
    <s v="Buy"/>
    <s v="USD"/>
    <n v="500000"/>
    <s v="PLN"/>
    <n v="-1767500"/>
    <s v="2026-01-28"/>
    <n v="3.5350000000000001"/>
    <n v="0.28289999999999998"/>
    <n v="3.5354000000000001"/>
    <n v="1"/>
    <n v="200"/>
    <s v="GERMANY DE"/>
  </r>
  <r>
    <s v="BKMILL"/>
    <n v="159315"/>
    <n v="910722"/>
    <s v="Spot"/>
    <x v="41"/>
    <s v="Buy"/>
    <s v="USD"/>
    <n v="1000000"/>
    <s v="PLN"/>
    <n v="-3535600"/>
    <s v="2026-01-28"/>
    <n v="3.5356000000000001"/>
    <n v="0.2828"/>
    <n v="3.5354000000000001"/>
    <n v="1"/>
    <n v="-200"/>
    <s v="GERMANY DE"/>
  </r>
  <r>
    <s v="BKMILL"/>
    <n v="159316"/>
    <n v="220237"/>
    <s v="Forward"/>
    <x v="349"/>
    <s v="Sell Fwd"/>
    <s v="USD"/>
    <n v="-650000"/>
    <s v="PLN"/>
    <n v="2302300"/>
    <s v="2026-01-30"/>
    <n v="3.54"/>
    <n v="0.28249999999999997"/>
    <n v="3.5188999999999999"/>
    <n v="1"/>
    <n v="15015"/>
    <s v="POLAND PL"/>
  </r>
  <r>
    <s v="BKMILL"/>
    <n v="159317"/>
    <n v="910726"/>
    <s v="Spot"/>
    <x v="41"/>
    <s v="Buy"/>
    <s v="EUR"/>
    <n v="150000"/>
    <s v="CZK"/>
    <n v="-3636165"/>
    <s v="2026-01-28"/>
    <n v="24.241099999999999"/>
    <n v="4.1300000000000003E-2"/>
    <n v="4.2031999999999998"/>
    <n v="0.17349999999999999"/>
    <n v="-394.6275"/>
    <s v="GERMANY DE"/>
  </r>
  <r>
    <s v="BKMILL"/>
    <n v="159319"/>
    <n v="910730"/>
    <s v="Spot"/>
    <x v="39"/>
    <s v="Buy"/>
    <s v="USD"/>
    <n v="1000000"/>
    <s v="PLN"/>
    <n v="-3534510"/>
    <s v="2026-01-28"/>
    <n v="3.5345"/>
    <n v="0.28289999999999998"/>
    <n v="3.5354000000000001"/>
    <n v="1"/>
    <n v="890"/>
    <s v="UNITED KINGDOM GB"/>
  </r>
  <r>
    <s v="BKMILL"/>
    <n v="159324"/>
    <n v="910751"/>
    <s v="Spot"/>
    <x v="41"/>
    <s v="Sell"/>
    <s v="USD"/>
    <n v="-1000000"/>
    <s v="PLN"/>
    <n v="3534300"/>
    <s v="2026-01-28"/>
    <n v="3.5343"/>
    <n v="0.28289999999999998"/>
    <n v="3.5354000000000001"/>
    <n v="1"/>
    <n v="-1100"/>
    <s v="GERMANY DE"/>
  </r>
  <r>
    <s v="BKMILL"/>
    <n v="159327"/>
    <n v="910771"/>
    <s v="Spot"/>
    <x v="40"/>
    <s v="Sell"/>
    <s v="EUR"/>
    <n v="-81318.09"/>
    <s v="PLN"/>
    <n v="341929.56"/>
    <s v="2026-01-28"/>
    <n v="4.2047999999999996"/>
    <n v="0.23780000000000001"/>
    <n v="4.2031999999999998"/>
    <n v="1"/>
    <n v="133.36411200000001"/>
    <s v="UNITED STATES OF AMERICA US"/>
  </r>
  <r>
    <s v="BKMILL"/>
    <n v="159328"/>
    <n v="910772"/>
    <s v="Spot"/>
    <x v="41"/>
    <s v="Sell"/>
    <s v="GBP"/>
    <n v="-3818.49"/>
    <s v="PLN"/>
    <n v="18503.64"/>
    <s v="2026-01-28"/>
    <n v="4.8457999999999997"/>
    <n v="0.2064"/>
    <n v="4.8432000000000004"/>
    <n v="1"/>
    <n v="9.9292320000000007"/>
    <s v="GERMANY DE"/>
  </r>
  <r>
    <s v="BKMILL"/>
    <n v="159329"/>
    <n v="910773"/>
    <s v="Spot"/>
    <x v="41"/>
    <s v="Buy"/>
    <s v="USD"/>
    <n v="74550.600000000006"/>
    <s v="PLN"/>
    <n v="-263767.48"/>
    <s v="2026-01-28"/>
    <n v="3.5381"/>
    <n v="0.28260000000000002"/>
    <n v="3.5354000000000001"/>
    <n v="1"/>
    <n v="-201.28876"/>
    <s v="GERMANY DE"/>
  </r>
  <r>
    <s v="BKMILL"/>
    <n v="159330"/>
    <n v="910774"/>
    <s v="Spot"/>
    <x v="41"/>
    <s v="Buy"/>
    <s v="CHF"/>
    <n v="363"/>
    <s v="PLN"/>
    <n v="-1656.44"/>
    <s v="2026-01-28"/>
    <n v="4.5632000000000001"/>
    <n v="0.21909999999999999"/>
    <n v="4.5575000000000001"/>
    <n v="1"/>
    <n v="-2.0674999999999999"/>
    <s v="GERMANY DE"/>
  </r>
  <r>
    <s v="BKMILL"/>
    <n v="159331"/>
    <n v="910779"/>
    <s v="Spot"/>
    <x v="41"/>
    <s v="Sell"/>
    <s v="CHF"/>
    <n v="-115933.25"/>
    <s v="PLN"/>
    <n v="528644.03"/>
    <s v="2026-01-28"/>
    <n v="4.5598999999999998"/>
    <n v="0.21929999999999999"/>
    <n v="4.5575000000000001"/>
    <n v="1"/>
    <n v="278.24312500000002"/>
    <s v="GERMANY DE"/>
  </r>
  <r>
    <s v="BKMILL"/>
    <n v="159332"/>
    <n v="910781"/>
    <s v="Spot"/>
    <x v="40"/>
    <s v="Sell"/>
    <s v="EUR"/>
    <n v="-105008.69"/>
    <s v="PLN"/>
    <n v="441698.05"/>
    <s v="2026-01-28"/>
    <n v="4.2062999999999997"/>
    <n v="0.23769999999999999"/>
    <n v="4.2031999999999998"/>
    <n v="1"/>
    <n v="325.52419200000003"/>
    <s v="UNITED STATES OF AMERICA US"/>
  </r>
  <r>
    <s v="BKMILL"/>
    <n v="159333"/>
    <n v="910783"/>
    <s v="Spot"/>
    <x v="41"/>
    <s v="Buy"/>
    <s v="USD"/>
    <n v="64450.68"/>
    <s v="PLN"/>
    <n v="-228239.19"/>
    <s v="2026-01-28"/>
    <n v="3.5413000000000001"/>
    <n v="0.28239999999999998"/>
    <n v="3.5354000000000001"/>
    <n v="1"/>
    <n v="-380.25592799999998"/>
    <s v="GERMANY DE"/>
  </r>
  <r>
    <s v="BKMILL"/>
    <n v="159334"/>
    <n v="910784"/>
    <s v="Spot"/>
    <x v="41"/>
    <s v="Buy"/>
    <s v="GBP"/>
    <n v="71401.279999999999"/>
    <s v="PLN"/>
    <n v="-345939.20000000001"/>
    <s v="2026-01-28"/>
    <n v="4.8449999999999998"/>
    <n v="0.2064"/>
    <n v="4.8432000000000004"/>
    <n v="1"/>
    <n v="-128.52070399999999"/>
    <s v="GERMANY DE"/>
  </r>
  <r>
    <s v="BKMILL"/>
    <n v="159335"/>
    <n v="910785"/>
    <s v="Spot"/>
    <x v="40"/>
    <s v="Sell"/>
    <s v="CHF"/>
    <n v="-17264.39"/>
    <s v="PLN"/>
    <n v="78740.81"/>
    <s v="2026-01-28"/>
    <n v="4.5609000000000002"/>
    <n v="0.21929999999999999"/>
    <n v="4.5575000000000001"/>
    <n v="1"/>
    <n v="58.352575000000002"/>
    <s v="UNITED STATES OF AMERICA US"/>
  </r>
  <r>
    <s v="BKMILL"/>
    <n v="159336"/>
    <n v="910786"/>
    <s v="Spot"/>
    <x v="41"/>
    <s v="Buy"/>
    <s v="EUR"/>
    <n v="6016.49"/>
    <s v="PLN"/>
    <n v="-25308.97"/>
    <s v="2026-01-28"/>
    <n v="4.2065999999999999"/>
    <n v="0.23769999999999999"/>
    <n v="4.2031999999999998"/>
    <n v="1"/>
    <n v="-20.459232"/>
    <s v="GERMANY DE"/>
  </r>
  <r>
    <s v="BKMILL"/>
    <n v="159337"/>
    <n v="220245"/>
    <s v="Forward"/>
    <x v="41"/>
    <s v="Buy Fwd"/>
    <s v="USD"/>
    <n v="5000"/>
    <s v="PLN"/>
    <n v="17700.490000000002"/>
    <s v="2026-01-27"/>
    <n v="3.5400999999999998"/>
    <n v="0.28249999999999997"/>
    <n v="3.5499000000000001"/>
    <n v="1"/>
    <n v="35449.99"/>
    <s v="GERMANY DE"/>
  </r>
  <r>
    <s v="BKMILL"/>
    <n v="159338"/>
    <n v="220246"/>
    <s v="Forward"/>
    <x v="599"/>
    <s v="Sell Fwd"/>
    <s v="USD"/>
    <n v="-5000"/>
    <s v="PLN"/>
    <n v="17773"/>
    <s v="2026-01-27"/>
    <n v="3.5546000000000002"/>
    <n v="0.28129999999999999"/>
    <n v="3.5499000000000001"/>
    <n v="1"/>
    <n v="23.5"/>
    <s v="POLAND PL"/>
  </r>
  <r>
    <s v="BKMILL"/>
    <n v="159339"/>
    <n v="910795"/>
    <s v="Spot"/>
    <x v="41"/>
    <s v="Buy"/>
    <s v="USD"/>
    <n v="55120.81"/>
    <s v="PLN"/>
    <n v="-195293.03"/>
    <s v="2026-01-29"/>
    <n v="3.5430000000000001"/>
    <n v="0.28220000000000001"/>
    <n v="3.5045000000000002"/>
    <n v="1"/>
    <n v="-2122.151355"/>
    <s v="GERMANY DE"/>
  </r>
  <r>
    <s v="BKMILL"/>
    <n v="159340"/>
    <n v="910796"/>
    <s v="Spot"/>
    <x v="42"/>
    <s v="Sell"/>
    <s v="EUR"/>
    <n v="-46881.63"/>
    <s v="PLN"/>
    <n v="197127.41"/>
    <s v="2026-01-29"/>
    <n v="4.2047999999999996"/>
    <n v="0.23780000000000001"/>
    <n v="4.2008999999999999"/>
    <n v="1"/>
    <n v="182.37053299999999"/>
    <s v="SWITZERLAND CH"/>
  </r>
  <r>
    <s v="BKMILL"/>
    <n v="159341"/>
    <n v="910797"/>
    <s v="Spot"/>
    <x v="40"/>
    <s v="Sell"/>
    <s v="GBP"/>
    <n v="-664.09"/>
    <s v="PLN"/>
    <n v="3212.73"/>
    <s v="2026-01-29"/>
    <n v="4.8377999999999997"/>
    <n v="0.20669999999999999"/>
    <n v="4.8319999999999999"/>
    <n v="1"/>
    <n v="3.8471199999999999"/>
    <s v="UNITED STATES OF AMERICA US"/>
  </r>
  <r>
    <s v="BKMILL"/>
    <n v="159342"/>
    <n v="910798"/>
    <s v="Spot"/>
    <x v="40"/>
    <s v="Buy"/>
    <s v="CHF"/>
    <n v="2430.37"/>
    <s v="PLN"/>
    <n v="-11081.66"/>
    <s v="2026-01-29"/>
    <n v="4.5597000000000003"/>
    <n v="0.21929999999999999"/>
    <n v="4.5683999999999996"/>
    <n v="1"/>
    <n v="21.242308000000001"/>
    <s v="UNITED STATES OF AMERICA US"/>
  </r>
  <r>
    <s v="BKMILL"/>
    <n v="159343"/>
    <n v="910837"/>
    <s v="Spot"/>
    <x v="41"/>
    <s v="Buy"/>
    <s v="USD"/>
    <n v="29947.88"/>
    <s v="PLN"/>
    <n v="-106126.3"/>
    <s v="2026-01-29"/>
    <n v="3.5436999999999999"/>
    <n v="0.28220000000000001"/>
    <n v="3.5045000000000002"/>
    <n v="1"/>
    <n v="-1173.95454"/>
    <s v="GERMANY DE"/>
  </r>
  <r>
    <s v="BKMILL"/>
    <n v="159344"/>
    <n v="910838"/>
    <s v="Spot"/>
    <x v="43"/>
    <s v="Buy"/>
    <s v="EUR"/>
    <n v="8883.33"/>
    <s v="PLN"/>
    <n v="-37376.79"/>
    <s v="2026-01-29"/>
    <n v="4.2074999999999996"/>
    <n v="0.23769999999999999"/>
    <n v="4.2008999999999999"/>
    <n v="1"/>
    <n v="-58.809002999999997"/>
    <s v="FRANCE FR"/>
  </r>
  <r>
    <s v="BKMILL"/>
    <n v="159345"/>
    <n v="220247"/>
    <s v="Forward"/>
    <x v="42"/>
    <s v="Buy Fwd"/>
    <s v="EUR"/>
    <n v="4116.22"/>
    <s v="PLN"/>
    <n v="17320.95"/>
    <s v="2026-01-27"/>
    <n v="4.2081999999999997"/>
    <n v="0.23760000000000001"/>
    <n v="4.2118000000000002"/>
    <n v="1"/>
    <n v="34657.645396"/>
    <s v="SWITZERLAND CH"/>
  </r>
  <r>
    <s v="BKMILL"/>
    <n v="159346"/>
    <n v="910845"/>
    <s v="Spot"/>
    <x v="40"/>
    <s v="Sell"/>
    <s v="EUR"/>
    <n v="-12862.88"/>
    <s v="PLN"/>
    <n v="54116.97"/>
    <s v="2026-01-29"/>
    <n v="4.2072000000000003"/>
    <n v="0.23769999999999999"/>
    <n v="4.2008999999999999"/>
    <n v="1"/>
    <n v="81.297408000000004"/>
    <s v="UNITED STATES OF AMERICA US"/>
  </r>
  <r>
    <s v="BKMILL"/>
    <n v="159347"/>
    <n v="910846"/>
    <s v="Spot"/>
    <x v="41"/>
    <s v="Sell"/>
    <s v="GBP"/>
    <n v="-2729.49"/>
    <s v="PLN"/>
    <n v="13236.93"/>
    <s v="2026-01-29"/>
    <n v="4.8495999999999997"/>
    <n v="0.20619999999999999"/>
    <n v="4.8319999999999999"/>
    <n v="1"/>
    <n v="48.034320000000001"/>
    <s v="GERMANY DE"/>
  </r>
  <r>
    <s v="BKMILL"/>
    <n v="159348"/>
    <n v="910847"/>
    <s v="Spot"/>
    <x v="42"/>
    <s v="Buy"/>
    <s v="USD"/>
    <n v="53194.92"/>
    <s v="PLN"/>
    <n v="-188528.12"/>
    <s v="2026-01-29"/>
    <n v="3.5440999999999998"/>
    <n v="0.28220000000000001"/>
    <n v="3.5045000000000002"/>
    <n v="1"/>
    <n v="-2106.52286"/>
    <s v="SWITZERLAND CH"/>
  </r>
  <r>
    <s v="BKMILL"/>
    <n v="159349"/>
    <n v="910848"/>
    <s v="Spot"/>
    <x v="42"/>
    <s v="Sell"/>
    <s v="CHF"/>
    <n v="-7682.06"/>
    <s v="PLN"/>
    <n v="35016.67"/>
    <s v="2026-01-29"/>
    <n v="4.5582000000000003"/>
    <n v="0.21940000000000001"/>
    <n v="4.5683999999999996"/>
    <n v="1"/>
    <n v="-78.052903999999998"/>
    <s v="SWITZERLAND CH"/>
  </r>
  <r>
    <s v="BKMILL"/>
    <n v="159350"/>
    <n v="220249"/>
    <s v="Forward"/>
    <x v="36"/>
    <s v="Buy Fwd"/>
    <s v="EUR"/>
    <n v="7579.08"/>
    <s v="USD"/>
    <n v="9000"/>
    <s v="2026-01-27"/>
    <n v="1.1875"/>
    <n v="0.84209999999999996"/>
    <n v="4.2118000000000002"/>
    <n v="3.5499000000000001"/>
    <n v="63870.669144"/>
    <s v="UNITED KINGDOM GB"/>
  </r>
  <r>
    <s v="BKMILL"/>
    <n v="159351"/>
    <n v="910854"/>
    <s v="Spot"/>
    <x v="36"/>
    <s v="Sell"/>
    <s v="EUR"/>
    <n v="-12632.64"/>
    <s v="USD"/>
    <n v="15000"/>
    <s v="2026-01-29"/>
    <n v="1.1874"/>
    <n v="0.84219999999999995"/>
    <n v="4.2008999999999999"/>
    <n v="3.5045000000000002"/>
    <n v="-500.95737600000001"/>
    <s v="UNITED KINGDOM GB"/>
  </r>
  <r>
    <s v="BKMILL"/>
    <n v="159352"/>
    <n v="910855"/>
    <s v="Spot"/>
    <x v="569"/>
    <s v="Buy"/>
    <s v="EUR"/>
    <n v="12649.69"/>
    <s v="USD"/>
    <n v="-15000"/>
    <s v="2026-01-29"/>
    <n v="1.1858"/>
    <n v="0.84330000000000005"/>
    <n v="4.2008999999999999"/>
    <n v="3.5045000000000002"/>
    <n v="572.58272099999999"/>
    <s v="POLAND PL"/>
  </r>
  <r>
    <s v="BKMILL"/>
    <n v="159353"/>
    <n v="220252"/>
    <s v="Forward"/>
    <x v="36"/>
    <s v="Sell Fwd"/>
    <s v="GBP"/>
    <n v="-10000"/>
    <s v="PLN"/>
    <n v="48502.080000000002"/>
    <s v="2026-01-27"/>
    <n v="4.8502999999999998"/>
    <n v="0.20619999999999999"/>
    <n v="4.8536999999999999"/>
    <n v="1"/>
    <n v="-34.92"/>
    <s v="UNITED KINGDOM GB"/>
  </r>
  <r>
    <s v="BKMILL"/>
    <n v="159354"/>
    <n v="220254"/>
    <s v="Forward"/>
    <x v="36"/>
    <s v="Sell Fwd"/>
    <s v="EUR"/>
    <n v="-2500"/>
    <s v="PLN"/>
    <n v="10518.17"/>
    <s v="2026-01-27"/>
    <n v="4.2077"/>
    <n v="0.23769999999999999"/>
    <n v="4.2118000000000002"/>
    <n v="1"/>
    <n v="-11.33"/>
    <s v="UNITED KINGDOM GB"/>
  </r>
  <r>
    <s v="BKMILL"/>
    <n v="159355"/>
    <n v="220255"/>
    <s v="Forward"/>
    <x v="36"/>
    <s v="Buy Fwd"/>
    <s v="EUR"/>
    <n v="22650"/>
    <s v="PLN"/>
    <n v="95308.12"/>
    <s v="2026-01-27"/>
    <n v="4.2083000000000004"/>
    <n v="0.23760000000000001"/>
    <n v="4.2118000000000002"/>
    <n v="1"/>
    <n v="190705.39"/>
    <s v="UNITED KINGDOM GB"/>
  </r>
  <r>
    <s v="BKMILL"/>
    <n v="159356"/>
    <n v="220257"/>
    <s v="Forward"/>
    <x v="36"/>
    <s v="Sell Fwd"/>
    <s v="EUR"/>
    <n v="-34400"/>
    <s v="PLN"/>
    <n v="144729.68"/>
    <s v="2026-01-27"/>
    <n v="4.2077"/>
    <n v="0.23769999999999999"/>
    <n v="4.2118000000000002"/>
    <n v="1"/>
    <n v="-156.24"/>
    <s v="UNITED KINGDOM GB"/>
  </r>
  <r>
    <s v="BKMILL"/>
    <n v="159357"/>
    <n v="220259"/>
    <s v="Forward"/>
    <x v="129"/>
    <s v="Buy Fwd"/>
    <s v="EUR"/>
    <n v="5146"/>
    <s v="USD"/>
    <n v="6099.55"/>
    <s v="2026-01-27"/>
    <n v="1.1855"/>
    <n v="0.84350000000000003"/>
    <n v="4.2118000000000002"/>
    <n v="3.5499000000000001"/>
    <n v="43326.715344999997"/>
    <s v="POLAND PL"/>
  </r>
  <r>
    <s v="BKMILL"/>
    <n v="159358"/>
    <n v="220262"/>
    <s v="Forward"/>
    <x v="600"/>
    <s v="Sell Fwd"/>
    <s v="EUR"/>
    <n v="-1000"/>
    <s v="PLN"/>
    <n v="4215"/>
    <s v="2026-01-27"/>
    <n v="4.2149999999999999"/>
    <n v="0.23719999999999999"/>
    <n v="4.2118000000000002"/>
    <n v="1"/>
    <n v="3.2"/>
    <s v="POLAND PL"/>
  </r>
  <r>
    <s v="BKMILL"/>
    <n v="159359"/>
    <n v="220265"/>
    <s v="Forward"/>
    <x v="601"/>
    <s v="Sell Fwd"/>
    <s v="USD"/>
    <n v="-150000"/>
    <s v="PLN"/>
    <n v="534000"/>
    <s v="2026-01-27"/>
    <n v="3.5602"/>
    <n v="0.28089999999999998"/>
    <n v="3.5499000000000001"/>
    <n v="1"/>
    <n v="1515"/>
    <s v="POLAND PL"/>
  </r>
  <r>
    <s v="BKMILL"/>
    <n v="159360"/>
    <n v="910908"/>
    <s v="Spot"/>
    <x v="41"/>
    <s v="Sell"/>
    <s v="EUR"/>
    <n v="-300000"/>
    <s v="CZK"/>
    <n v="7272870"/>
    <s v="2026-01-29"/>
    <n v="24.242899999999999"/>
    <n v="4.1200000000000001E-2"/>
    <n v="4.2008999999999999"/>
    <n v="0.1731"/>
    <n v="-1336.203"/>
    <s v="GERMANY DE"/>
  </r>
  <r>
    <s v="BKMILL"/>
    <n v="159361"/>
    <n v="220268"/>
    <s v="Forward"/>
    <x v="602"/>
    <s v="Sell Fwd"/>
    <s v="EUR"/>
    <n v="-75000"/>
    <s v="PLN"/>
    <n v="316050"/>
    <s v="2026-01-27"/>
    <n v="4.2140000000000004"/>
    <n v="0.23730000000000001"/>
    <n v="4.2118000000000002"/>
    <n v="1"/>
    <n v="165"/>
    <s v="POLAND PL"/>
  </r>
  <r>
    <s v="BKMILL"/>
    <n v="159363"/>
    <n v="220277"/>
    <s v="Forward"/>
    <x v="388"/>
    <s v="Sell Fwd"/>
    <s v="GBP"/>
    <n v="-30000"/>
    <s v="PLN"/>
    <n v="145650"/>
    <s v="2026-01-27"/>
    <n v="4.8550000000000004"/>
    <n v="0.20599999999999999"/>
    <n v="4.8536999999999999"/>
    <n v="1"/>
    <n v="39"/>
    <s v="POLAND PL"/>
  </r>
  <r>
    <s v="BKMILL"/>
    <n v="159364"/>
    <n v="220278"/>
    <s v="Forward"/>
    <x v="267"/>
    <s v="Buy Fwd"/>
    <s v="EUR"/>
    <n v="6000"/>
    <s v="PLN"/>
    <n v="25086"/>
    <s v="2026-01-27"/>
    <n v="4.181"/>
    <n v="0.2392"/>
    <n v="4.2118000000000002"/>
    <n v="1"/>
    <n v="50356.800000000003"/>
    <s v="POLAND PL"/>
  </r>
  <r>
    <s v="BKMILL"/>
    <n v="159365"/>
    <n v="220284"/>
    <s v="Forward"/>
    <x v="68"/>
    <s v="Sell Fwd"/>
    <s v="EUR"/>
    <n v="-74231.740000000005"/>
    <s v="PLN"/>
    <n v="312508.2"/>
    <s v="2026-01-27"/>
    <n v="4.2103000000000002"/>
    <n v="0.23749999999999999"/>
    <n v="4.2118000000000002"/>
    <n v="1"/>
    <n v="-141.04253199999999"/>
    <s v="POLAND PL"/>
  </r>
  <r>
    <s v="BKMILL"/>
    <n v="159366"/>
    <n v="910981"/>
    <s v="Spot"/>
    <x v="41"/>
    <s v="Sell"/>
    <s v="EUR"/>
    <n v="-5000000"/>
    <s v="PLN"/>
    <n v="21045000"/>
    <s v="2026-01-29"/>
    <n v="4.2089999999999996"/>
    <n v="0.23760000000000001"/>
    <n v="4.2008999999999999"/>
    <n v="1"/>
    <n v="40500"/>
    <s v="GERMANY DE"/>
  </r>
  <r>
    <s v="BKMILL"/>
    <n v="159367"/>
    <n v="910982"/>
    <s v="Spot"/>
    <x v="47"/>
    <s v="Sell"/>
    <s v="EUR"/>
    <n v="-5000000"/>
    <s v="PLN"/>
    <n v="21044000"/>
    <s v="2026-01-29"/>
    <n v="4.2088000000000001"/>
    <n v="0.23760000000000001"/>
    <n v="4.2008999999999999"/>
    <n v="1"/>
    <n v="39500"/>
    <s v="FRANCE FR"/>
  </r>
  <r>
    <s v="BKMILL"/>
    <n v="159368"/>
    <n v="910986"/>
    <s v="Spot"/>
    <x v="47"/>
    <s v="Sell"/>
    <s v="EUR"/>
    <n v="-1000000"/>
    <s v="PLN"/>
    <n v="4208300"/>
    <s v="2026-01-29"/>
    <n v="4.2083000000000004"/>
    <n v="0.23760000000000001"/>
    <n v="4.2008999999999999"/>
    <n v="1"/>
    <n v="7400"/>
    <s v="FRANCE FR"/>
  </r>
  <r>
    <s v="BKMILL"/>
    <n v="159369"/>
    <n v="910987"/>
    <s v="Spot"/>
    <x v="534"/>
    <s v="Sell"/>
    <s v="EUR"/>
    <n v="-1000000"/>
    <s v="PLN"/>
    <n v="4208290"/>
    <s v="2026-01-29"/>
    <n v="4.2083000000000004"/>
    <n v="0.23760000000000001"/>
    <n v="4.2008999999999999"/>
    <n v="1"/>
    <n v="7390"/>
    <s v="POLAND PL"/>
  </r>
  <r>
    <s v="BKMILL"/>
    <n v="159370"/>
    <n v="910988"/>
    <s v="Spot"/>
    <x v="47"/>
    <s v="Sell"/>
    <s v="EUR"/>
    <n v="-1000000"/>
    <s v="PLN"/>
    <n v="4208170"/>
    <s v="2026-01-29"/>
    <n v="4.2081999999999997"/>
    <n v="0.23760000000000001"/>
    <n v="4.2008999999999999"/>
    <n v="1"/>
    <n v="7270"/>
    <s v="FRANCE FR"/>
  </r>
  <r>
    <s v="BKMILL"/>
    <n v="159371"/>
    <n v="910989"/>
    <s v="Spot"/>
    <x v="534"/>
    <s v="Sell"/>
    <s v="EUR"/>
    <n v="-1000000"/>
    <s v="PLN"/>
    <n v="4207920"/>
    <s v="2026-01-29"/>
    <n v="4.2079000000000004"/>
    <n v="0.23760000000000001"/>
    <n v="4.2008999999999999"/>
    <n v="1"/>
    <n v="7020"/>
    <s v="POLAND PL"/>
  </r>
  <r>
    <s v="BKMILL"/>
    <n v="159372"/>
    <n v="910990"/>
    <s v="Spot"/>
    <x v="534"/>
    <s v="Sell"/>
    <s v="EUR"/>
    <n v="-1000000"/>
    <s v="PLN"/>
    <n v="4207910"/>
    <s v="2026-01-29"/>
    <n v="4.2079000000000004"/>
    <n v="0.23760000000000001"/>
    <n v="4.2008999999999999"/>
    <n v="1"/>
    <n v="7010"/>
    <s v="POLAND PL"/>
  </r>
  <r>
    <s v="BKMILL"/>
    <n v="159373"/>
    <n v="910994"/>
    <s v="Spot"/>
    <x v="41"/>
    <s v="Sell"/>
    <s v="EUR"/>
    <n v="-1000000"/>
    <s v="PLN"/>
    <n v="4207900"/>
    <s v="2026-01-29"/>
    <n v="4.2079000000000004"/>
    <n v="0.23760000000000001"/>
    <n v="4.2008999999999999"/>
    <n v="1"/>
    <n v="7000"/>
    <s v="GERMANY DE"/>
  </r>
  <r>
    <s v="BKMILL"/>
    <n v="159375"/>
    <n v="911002"/>
    <s v="Spot"/>
    <x v="534"/>
    <s v="Sell"/>
    <s v="EUR"/>
    <n v="-500000"/>
    <s v="PLN"/>
    <n v="2104045"/>
    <s v="2026-01-29"/>
    <n v="4.2081"/>
    <n v="0.23760000000000001"/>
    <n v="4.2008999999999999"/>
    <n v="1"/>
    <n v="3595"/>
    <s v="POLAND PL"/>
  </r>
  <r>
    <s v="BKMILL"/>
    <n v="159377"/>
    <n v="911027"/>
    <s v="Spot"/>
    <x v="44"/>
    <s v="Sell"/>
    <s v="EUR"/>
    <n v="-500000"/>
    <s v="PLN"/>
    <n v="2103850"/>
    <s v="2026-01-29"/>
    <n v="4.2077"/>
    <n v="0.23769999999999999"/>
    <n v="4.2008999999999999"/>
    <n v="1"/>
    <n v="3400"/>
    <s v="GERMANY DE"/>
  </r>
  <r>
    <s v="BKMILL"/>
    <n v="159378"/>
    <n v="911028"/>
    <s v="Spot"/>
    <x v="449"/>
    <s v="Buy"/>
    <s v="EUR"/>
    <n v="10000"/>
    <s v="PLN"/>
    <n v="-42021"/>
    <s v="2026-01-29"/>
    <n v="4.2020999999999997"/>
    <n v="0.23799999999999999"/>
    <n v="4.2008999999999999"/>
    <n v="1"/>
    <n v="-12"/>
    <s v="POLAND PL"/>
  </r>
  <r>
    <s v="BKMILL"/>
    <n v="159379"/>
    <n v="220296"/>
    <s v="Forward"/>
    <x v="26"/>
    <s v="Sell Fwd"/>
    <s v="USD"/>
    <n v="-25000"/>
    <s v="PLN"/>
    <n v="88830"/>
    <s v="2026-01-27"/>
    <n v="3.5531999999999999"/>
    <n v="0.28139999999999998"/>
    <n v="3.5499000000000001"/>
    <n v="1"/>
    <n v="82.5"/>
    <s v="POLAND PL"/>
  </r>
  <r>
    <s v="BKMILL"/>
    <n v="159380"/>
    <n v="911032"/>
    <s v="Spot"/>
    <x v="39"/>
    <s v="Sell"/>
    <s v="EUR"/>
    <n v="-500000"/>
    <s v="PLN"/>
    <n v="2104160"/>
    <s v="2026-01-29"/>
    <n v="4.2083000000000004"/>
    <n v="0.23760000000000001"/>
    <n v="4.2008999999999999"/>
    <n v="1"/>
    <n v="3710"/>
    <s v="UNITED KINGDOM GB"/>
  </r>
  <r>
    <s v="BKMILL"/>
    <n v="159381"/>
    <n v="911033"/>
    <s v="Spot"/>
    <x v="39"/>
    <s v="Sell"/>
    <s v="EUR"/>
    <n v="-500000"/>
    <s v="PLN"/>
    <n v="2104255"/>
    <s v="2026-01-29"/>
    <n v="4.2084999999999999"/>
    <n v="0.23760000000000001"/>
    <n v="4.2008999999999999"/>
    <n v="1"/>
    <n v="3805"/>
    <s v="UNITED KINGDOM GB"/>
  </r>
  <r>
    <s v="BKMILL"/>
    <n v="159382"/>
    <n v="911034"/>
    <s v="Spot"/>
    <x v="39"/>
    <s v="Sell"/>
    <s v="USD"/>
    <n v="-500000"/>
    <s v="PLN"/>
    <n v="1775100"/>
    <s v="2026-01-29"/>
    <n v="3.5501999999999998"/>
    <n v="0.28170000000000001"/>
    <n v="3.5045000000000002"/>
    <n v="1"/>
    <n v="22850"/>
    <s v="UNITED KINGDOM GB"/>
  </r>
  <r>
    <s v="BKMILL"/>
    <n v="159383"/>
    <n v="911041"/>
    <s v="Spot"/>
    <x v="44"/>
    <s v="Sell"/>
    <s v="EUR"/>
    <n v="-500000"/>
    <s v="PLN"/>
    <n v="2104495"/>
    <s v="2026-01-29"/>
    <n v="4.2089999999999996"/>
    <n v="0.23760000000000001"/>
    <n v="4.2008999999999999"/>
    <n v="1"/>
    <n v="4045"/>
    <s v="GERMANY DE"/>
  </r>
  <r>
    <s v="BKMILL"/>
    <n v="159385"/>
    <n v="220299"/>
    <s v="Forward"/>
    <x v="70"/>
    <s v="Buy Fwd"/>
    <s v="EUR"/>
    <n v="17594.41"/>
    <s v="PLN"/>
    <n v="73914.12"/>
    <s v="2026-01-27"/>
    <n v="4.2009999999999996"/>
    <n v="0.23799999999999999"/>
    <n v="4.2118000000000002"/>
    <n v="1"/>
    <n v="148018.25603799999"/>
    <s v="POLAND PL"/>
  </r>
  <r>
    <s v="BKMILL"/>
    <n v="159386"/>
    <n v="220300"/>
    <s v="Forward"/>
    <x v="181"/>
    <s v="Sell Fwd"/>
    <s v="EUR"/>
    <n v="-30000"/>
    <s v="PLN"/>
    <n v="126627"/>
    <s v="2026-01-28"/>
    <n v="4.2210999999999999"/>
    <n v="0.2369"/>
    <n v="4.2031999999999998"/>
    <n v="1"/>
    <n v="531"/>
    <s v="POLAND PL"/>
  </r>
  <r>
    <s v="BKMILL"/>
    <n v="159387"/>
    <n v="220304"/>
    <s v="Forward"/>
    <x v="247"/>
    <s v="Sell Fwd"/>
    <s v="EUR"/>
    <n v="-150000"/>
    <s v="PLN"/>
    <n v="631455"/>
    <s v="2026-01-27"/>
    <n v="4.2100999999999997"/>
    <n v="0.23749999999999999"/>
    <n v="4.2118000000000002"/>
    <n v="1"/>
    <n v="-315"/>
    <s v="POLAND PL"/>
  </r>
  <r>
    <s v="BKMILL"/>
    <n v="159388"/>
    <n v="220307"/>
    <s v="Forward"/>
    <x v="429"/>
    <s v="Sell Fwd"/>
    <s v="USD"/>
    <n v="-214202.5"/>
    <s v="PLN"/>
    <n v="761061.48"/>
    <s v="2026-01-27"/>
    <n v="3.5529999999999999"/>
    <n v="0.28149999999999997"/>
    <n v="3.5499000000000001"/>
    <n v="1"/>
    <n v="664.02525000000003"/>
    <s v="POLAND PL"/>
  </r>
  <r>
    <s v="BKMILL"/>
    <n v="159389"/>
    <n v="220308"/>
    <s v="Forward"/>
    <x v="90"/>
    <s v="Sell Fwd"/>
    <s v="EUR"/>
    <n v="-20000"/>
    <s v="PLN"/>
    <n v="84370"/>
    <s v="2026-01-27"/>
    <n v="4.2184999999999997"/>
    <n v="0.23710000000000001"/>
    <n v="4.2118000000000002"/>
    <n v="1"/>
    <n v="134"/>
    <s v="POLAND PL"/>
  </r>
  <r>
    <s v="BKMILL"/>
    <n v="159390"/>
    <n v="220311"/>
    <s v="Forward"/>
    <x v="486"/>
    <s v="Buy Fwd"/>
    <s v="EUR"/>
    <n v="10000"/>
    <s v="PLN"/>
    <n v="41870"/>
    <s v="2026-01-27"/>
    <n v="4.1874000000000002"/>
    <n v="0.23880000000000001"/>
    <n v="4.2118000000000002"/>
    <n v="1"/>
    <n v="83988"/>
    <s v="POLAND PL"/>
  </r>
  <r>
    <s v="BKMILL"/>
    <n v="159392"/>
    <n v="911092"/>
    <s v="Spot"/>
    <x v="42"/>
    <s v="Sell"/>
    <s v="EUR"/>
    <n v="-1000000"/>
    <s v="PLN"/>
    <n v="4208660"/>
    <s v="2026-01-29"/>
    <n v="4.2087000000000003"/>
    <n v="0.23760000000000001"/>
    <n v="4.2008999999999999"/>
    <n v="1"/>
    <n v="7760"/>
    <s v="SWITZERLAND CH"/>
  </r>
  <r>
    <s v="BKMILL"/>
    <n v="159393"/>
    <n v="911093"/>
    <s v="Spot"/>
    <x v="38"/>
    <s v="Sell"/>
    <s v="EUR"/>
    <n v="-1000000"/>
    <s v="PLN"/>
    <n v="4208530"/>
    <s v="2026-01-29"/>
    <n v="4.2084999999999999"/>
    <n v="0.23760000000000001"/>
    <n v="4.2008999999999999"/>
    <n v="1"/>
    <n v="7630"/>
    <s v="NETHERLANDS NL"/>
  </r>
  <r>
    <s v="BKMILL"/>
    <n v="159394"/>
    <n v="220315"/>
    <s v="Forward"/>
    <x v="603"/>
    <s v="Buy Fwd"/>
    <s v="EUR"/>
    <n v="2000000"/>
    <s v="PLN"/>
    <n v="8413000"/>
    <s v="2026-01-27"/>
    <n v="4.2065000000000001"/>
    <n v="0.23769999999999999"/>
    <n v="4.2118000000000002"/>
    <n v="1"/>
    <n v="16836600"/>
    <s v="POLAND PL"/>
  </r>
  <r>
    <s v="BKMILL"/>
    <n v="159395"/>
    <n v="220316"/>
    <s v="Forward"/>
    <x v="317"/>
    <s v="Buy Fwd"/>
    <s v="EUR"/>
    <n v="15000"/>
    <s v="PLN"/>
    <n v="63031.5"/>
    <s v="2026-01-27"/>
    <n v="4.2024999999999997"/>
    <n v="0.23799999999999999"/>
    <n v="4.2118000000000002"/>
    <n v="1"/>
    <n v="126208.5"/>
    <s v="POLAND PL"/>
  </r>
  <r>
    <s v="BKMILL"/>
    <n v="159396"/>
    <n v="220320"/>
    <s v="Forward"/>
    <x v="114"/>
    <s v="Sell Fwd"/>
    <s v="EUR"/>
    <n v="-177000"/>
    <s v="PLN"/>
    <n v="745966.5"/>
    <s v="2026-01-27"/>
    <n v="4.2149000000000001"/>
    <n v="0.23730000000000001"/>
    <n v="4.2118000000000002"/>
    <n v="1"/>
    <n v="477.9"/>
    <s v="POLAND PL"/>
  </r>
  <r>
    <s v="BKMILL"/>
    <n v="159397"/>
    <n v="220321"/>
    <s v="Forward"/>
    <x v="220"/>
    <s v="Buy Fwd"/>
    <s v="EUR"/>
    <n v="4697"/>
    <s v="PLN"/>
    <n v="19727.400000000001"/>
    <s v="2026-01-27"/>
    <n v="4.2"/>
    <n v="0.23810000000000001"/>
    <n v="4.2118000000000002"/>
    <n v="1"/>
    <n v="39510.224600000001"/>
    <s v="POLAND PL"/>
  </r>
  <r>
    <s v="BKMILL"/>
    <n v="159398"/>
    <n v="911118"/>
    <s v="Spot"/>
    <x v="604"/>
    <s v="Sell"/>
    <s v="EUR"/>
    <n v="-12000"/>
    <s v="PLN"/>
    <n v="50522.400000000001"/>
    <s v="2026-01-29"/>
    <n v="4.2102000000000004"/>
    <n v="0.23749999999999999"/>
    <n v="4.2008999999999999"/>
    <n v="1"/>
    <n v="111.6"/>
    <s v="POLAND PL"/>
  </r>
  <r>
    <s v="BKMILL"/>
    <n v="159399"/>
    <n v="220327"/>
    <s v="Forward"/>
    <x v="32"/>
    <s v="Sell Fwd"/>
    <s v="EUR"/>
    <n v="-10000"/>
    <s v="PLN"/>
    <n v="42085"/>
    <s v="2026-01-27"/>
    <n v="4.2088999999999999"/>
    <n v="0.23760000000000001"/>
    <n v="4.2118000000000002"/>
    <n v="1"/>
    <n v="-33"/>
    <s v="POLAND PL"/>
  </r>
  <r>
    <s v="BKMILL"/>
    <n v="159400"/>
    <n v="220328"/>
    <s v="Forward"/>
    <x v="32"/>
    <s v="Sell Fwd"/>
    <s v="EUR"/>
    <n v="-10000"/>
    <s v="PLN"/>
    <n v="42081"/>
    <s v="2026-01-27"/>
    <n v="4.2084999999999999"/>
    <n v="0.23760000000000001"/>
    <n v="4.2118000000000002"/>
    <n v="1"/>
    <n v="-37"/>
    <s v="POLAND PL"/>
  </r>
  <r>
    <s v="BKMILL"/>
    <n v="159401"/>
    <n v="220331"/>
    <s v="Forward"/>
    <x v="605"/>
    <s v="Sell Fwd"/>
    <s v="USD"/>
    <n v="-189335.75"/>
    <s v="PLN"/>
    <n v="671554.97"/>
    <s v="2026-01-28"/>
    <n v="3.5468999999999999"/>
    <n v="0.28189999999999998"/>
    <n v="3.5354000000000001"/>
    <n v="1"/>
    <n v="2177.3594499999999"/>
    <s v="POLAND PL"/>
  </r>
  <r>
    <s v="BKMILL"/>
    <n v="159402"/>
    <n v="911150"/>
    <s v="Spot"/>
    <x v="36"/>
    <s v="Sell"/>
    <s v="EUR"/>
    <n v="-100000"/>
    <s v="GBP"/>
    <n v="86783"/>
    <s v="2026-01-29"/>
    <n v="0.86780000000000002"/>
    <n v="1.1523000000000001"/>
    <n v="4.2008999999999999"/>
    <n v="4.8319999999999999"/>
    <n v="-754.54399999999998"/>
    <s v="UNITED KINGDOM GB"/>
  </r>
  <r>
    <s v="BKMILL"/>
    <n v="159403"/>
    <n v="220332"/>
    <s v="Forward"/>
    <x v="606"/>
    <s v="Sell Fwd"/>
    <s v="EUR"/>
    <n v="-17000"/>
    <s v="PLN"/>
    <n v="71785.899999999994"/>
    <s v="2026-01-27"/>
    <n v="4.2232000000000003"/>
    <n v="0.23680000000000001"/>
    <n v="4.2118000000000002"/>
    <n v="1"/>
    <n v="185.3"/>
    <s v="POLAND PL"/>
  </r>
  <r>
    <s v="BKMILL"/>
    <n v="159404"/>
    <n v="220335"/>
    <s v="Forward"/>
    <x v="247"/>
    <s v="Sell Fwd"/>
    <s v="EUR"/>
    <n v="-150000"/>
    <s v="PLN"/>
    <n v="631185"/>
    <s v="2026-01-27"/>
    <n v="4.2083000000000004"/>
    <n v="0.23760000000000001"/>
    <n v="4.2118000000000002"/>
    <n v="1"/>
    <n v="-585"/>
    <s v="POLAND PL"/>
  </r>
  <r>
    <s v="BKMILL"/>
    <n v="159405"/>
    <n v="220337"/>
    <s v="Forward"/>
    <x v="378"/>
    <s v="Buy Fwd"/>
    <s v="CHF"/>
    <n v="45750"/>
    <s v="PLN"/>
    <n v="207293.25"/>
    <s v="2026-01-27"/>
    <n v="4.5309999999999997"/>
    <n v="0.22070000000000001"/>
    <n v="4.5758000000000001"/>
    <n v="1"/>
    <n v="416636.1"/>
    <s v="POLAND PL"/>
  </r>
  <r>
    <s v="BKMILL"/>
    <n v="159406"/>
    <n v="220338"/>
    <s v="Forward"/>
    <x v="378"/>
    <s v="Buy Fwd"/>
    <s v="EUR"/>
    <n v="35000"/>
    <s v="PLN"/>
    <n v="146300"/>
    <s v="2026-01-27"/>
    <n v="4.1803999999999997"/>
    <n v="0.2392"/>
    <n v="4.2118000000000002"/>
    <n v="1"/>
    <n v="293713"/>
    <s v="POLAND PL"/>
  </r>
  <r>
    <s v="BKMILL"/>
    <n v="159407"/>
    <n v="220339"/>
    <s v="Forward"/>
    <x v="68"/>
    <s v="Sell Fwd"/>
    <s v="EUR"/>
    <n v="-75000"/>
    <s v="PLN"/>
    <n v="315517.5"/>
    <s v="2026-01-27"/>
    <n v="4.2073"/>
    <n v="0.23769999999999999"/>
    <n v="4.2118000000000002"/>
    <n v="1"/>
    <n v="-367.5"/>
    <s v="POLAND PL"/>
  </r>
  <r>
    <s v="BKMILL"/>
    <n v="159412"/>
    <n v="220346"/>
    <s v="Forward"/>
    <x v="32"/>
    <s v="Sell Fwd"/>
    <s v="EUR"/>
    <n v="-10000"/>
    <s v="PLN"/>
    <n v="42074"/>
    <s v="2026-01-27"/>
    <n v="4.2077999999999998"/>
    <n v="0.23769999999999999"/>
    <n v="4.2118000000000002"/>
    <n v="1"/>
    <n v="-44"/>
    <s v="POLAND PL"/>
  </r>
  <r>
    <s v="BKMILL"/>
    <n v="159415"/>
    <n v="220354"/>
    <s v="Forward"/>
    <x v="32"/>
    <s v="Sell Fwd"/>
    <s v="EUR"/>
    <n v="-10000"/>
    <s v="PLN"/>
    <n v="42074"/>
    <s v="2026-01-27"/>
    <n v="4.2077999999999998"/>
    <n v="0.23769999999999999"/>
    <n v="4.2118000000000002"/>
    <n v="1"/>
    <n v="-44"/>
    <s v="POLAND PL"/>
  </r>
  <r>
    <s v="BKMILL"/>
    <n v="159416"/>
    <n v="220356"/>
    <s v="Forward"/>
    <x v="32"/>
    <s v="Sell Fwd"/>
    <s v="EUR"/>
    <n v="-10000"/>
    <s v="PLN"/>
    <n v="42062"/>
    <s v="2026-01-27"/>
    <n v="4.2065999999999999"/>
    <n v="0.23769999999999999"/>
    <n v="4.2118000000000002"/>
    <n v="1"/>
    <n v="-56"/>
    <s v="POLAND PL"/>
  </r>
  <r>
    <s v="BKMILL"/>
    <n v="159419"/>
    <n v="220361"/>
    <s v="Forward"/>
    <x v="607"/>
    <s v="Sell Fwd"/>
    <s v="EUR"/>
    <n v="-10000"/>
    <s v="PLN"/>
    <n v="42289"/>
    <s v="2026-01-27"/>
    <n v="4.2293000000000003"/>
    <n v="0.2364"/>
    <n v="4.2118000000000002"/>
    <n v="1"/>
    <n v="171"/>
    <s v="POLAND PL"/>
  </r>
  <r>
    <s v="BKMILL"/>
    <n v="159420"/>
    <n v="220362"/>
    <s v="Forward"/>
    <x v="121"/>
    <s v="Buy Fwd"/>
    <s v="EUR"/>
    <n v="100000"/>
    <s v="PLN"/>
    <n v="418800"/>
    <s v="2026-01-27"/>
    <n v="4.1883999999999997"/>
    <n v="0.23880000000000001"/>
    <n v="4.2118000000000002"/>
    <n v="1"/>
    <n v="839980"/>
    <s v="POLAND PL"/>
  </r>
  <r>
    <s v="BKMILL"/>
    <n v="159421"/>
    <n v="220363"/>
    <s v="Forward"/>
    <x v="102"/>
    <s v="Sell Fwd"/>
    <s v="EUR"/>
    <n v="-50000"/>
    <s v="PLN"/>
    <n v="210250"/>
    <s v="2026-01-27"/>
    <n v="4.2050000000000001"/>
    <n v="0.23780000000000001"/>
    <n v="4.2118000000000002"/>
    <n v="1"/>
    <n v="-340"/>
    <s v="POLAND PL"/>
  </r>
  <r>
    <s v="BKMILL"/>
    <n v="159422"/>
    <n v="220364"/>
    <s v="Forward"/>
    <x v="608"/>
    <s v="Buy Fwd"/>
    <s v="EUR"/>
    <n v="40000"/>
    <s v="PLN"/>
    <n v="167720"/>
    <s v="2026-01-27"/>
    <n v="4.1929999999999996"/>
    <n v="0.23849999999999999"/>
    <n v="4.2118000000000002"/>
    <n v="1"/>
    <n v="336192"/>
    <s v="POLAND PL"/>
  </r>
  <r>
    <s v="BKMILL"/>
    <n v="159423"/>
    <n v="220366"/>
    <s v="Forward"/>
    <x v="609"/>
    <s v="Sell Fwd"/>
    <s v="USD"/>
    <n v="-20000"/>
    <s v="PLN"/>
    <n v="71000"/>
    <s v="2026-01-27"/>
    <n v="3.5501"/>
    <n v="0.28170000000000001"/>
    <n v="3.5499000000000001"/>
    <n v="1"/>
    <n v="2"/>
    <s v="POLAND PL"/>
  </r>
  <r>
    <s v="BKMILL"/>
    <n v="159424"/>
    <n v="220368"/>
    <s v="Forward"/>
    <x v="607"/>
    <s v="Sell Fwd"/>
    <s v="USD"/>
    <n v="-10000"/>
    <s v="PLN"/>
    <n v="35588"/>
    <s v="2026-01-27"/>
    <n v="3.5590000000000002"/>
    <n v="0.28100000000000003"/>
    <n v="3.5499000000000001"/>
    <n v="1"/>
    <n v="89"/>
    <s v="POLAND PL"/>
  </r>
  <r>
    <s v="BKMILL"/>
    <n v="159425"/>
    <n v="911276"/>
    <s v="Spot"/>
    <x v="39"/>
    <s v="Buy"/>
    <s v="EUR"/>
    <n v="500000"/>
    <s v="PLN"/>
    <n v="-2101770"/>
    <s v="2026-01-29"/>
    <n v="4.2035"/>
    <n v="0.2379"/>
    <n v="4.2008999999999999"/>
    <n v="1"/>
    <n v="-1320"/>
    <s v="UNITED KINGDOM GB"/>
  </r>
  <r>
    <s v="BKMILL"/>
    <n v="159427"/>
    <n v="911277"/>
    <s v="Spot"/>
    <x v="39"/>
    <s v="Buy"/>
    <s v="EUR"/>
    <n v="500000"/>
    <s v="PLN"/>
    <n v="-2101970"/>
    <s v="2026-01-29"/>
    <n v="4.2039"/>
    <n v="0.2379"/>
    <n v="4.2008999999999999"/>
    <n v="1"/>
    <n v="-1520"/>
    <s v="UNITED KINGDOM GB"/>
  </r>
  <r>
    <s v="BKMILL"/>
    <n v="159428"/>
    <n v="911278"/>
    <s v="Spot"/>
    <x v="40"/>
    <s v="Buy"/>
    <s v="EUR"/>
    <n v="500000"/>
    <s v="PLN"/>
    <n v="-2101900"/>
    <s v="2026-01-29"/>
    <n v="4.2038000000000002"/>
    <n v="0.2379"/>
    <n v="4.2008999999999999"/>
    <n v="1"/>
    <n v="-1450"/>
    <s v="UNITED STATES OF AMERICA US"/>
  </r>
  <r>
    <s v="BKMILL"/>
    <n v="159429"/>
    <n v="911279"/>
    <s v="Spot"/>
    <x v="41"/>
    <s v="Buy"/>
    <s v="EUR"/>
    <n v="500000"/>
    <s v="PLN"/>
    <n v="-2101900"/>
    <s v="2026-01-29"/>
    <n v="4.2038000000000002"/>
    <n v="0.2379"/>
    <n v="4.2008999999999999"/>
    <n v="1"/>
    <n v="-1450"/>
    <s v="GERMANY DE"/>
  </r>
  <r>
    <s v="BKMILL"/>
    <n v="159430"/>
    <n v="911280"/>
    <s v="Spot"/>
    <x v="40"/>
    <s v="Buy"/>
    <s v="EUR"/>
    <n v="500000"/>
    <s v="PLN"/>
    <n v="-2101900"/>
    <s v="2026-01-29"/>
    <n v="4.2038000000000002"/>
    <n v="0.2379"/>
    <n v="4.2008999999999999"/>
    <n v="1"/>
    <n v="-1450"/>
    <s v="UNITED STATES OF AMERICA US"/>
  </r>
  <r>
    <s v="BKMILL"/>
    <n v="159431"/>
    <n v="911281"/>
    <s v="Spot"/>
    <x v="38"/>
    <s v="Buy"/>
    <s v="EUR"/>
    <n v="500000"/>
    <s v="PLN"/>
    <n v="-2101980"/>
    <s v="2026-01-29"/>
    <n v="4.2039999999999997"/>
    <n v="0.2379"/>
    <n v="4.2008999999999999"/>
    <n v="1"/>
    <n v="-1530"/>
    <s v="NETHERLANDS NL"/>
  </r>
  <r>
    <s v="BKMILL"/>
    <n v="159432"/>
    <n v="911282"/>
    <s v="Spot"/>
    <x v="41"/>
    <s v="Buy"/>
    <s v="EUR"/>
    <n v="500000"/>
    <s v="PLN"/>
    <n v="-2102000"/>
    <s v="2026-01-29"/>
    <n v="4.2039999999999997"/>
    <n v="0.2379"/>
    <n v="4.2008999999999999"/>
    <n v="1"/>
    <n v="-1550"/>
    <s v="GERMANY DE"/>
  </r>
  <r>
    <s v="BKMILL"/>
    <n v="159433"/>
    <n v="911283"/>
    <s v="Spot"/>
    <x v="36"/>
    <s v="Buy"/>
    <s v="EUR"/>
    <n v="500000"/>
    <s v="PLN"/>
    <n v="-2101985"/>
    <s v="2026-01-29"/>
    <n v="4.2039999999999997"/>
    <n v="0.2379"/>
    <n v="4.2008999999999999"/>
    <n v="1"/>
    <n v="-1535"/>
    <s v="UNITED KINGDOM GB"/>
  </r>
  <r>
    <s v="BKMILL"/>
    <n v="159434"/>
    <n v="911284"/>
    <s v="Spot"/>
    <x v="40"/>
    <s v="Buy"/>
    <s v="EUR"/>
    <n v="500000"/>
    <s v="PLN"/>
    <n v="-2102050"/>
    <s v="2026-01-29"/>
    <n v="4.2041000000000004"/>
    <n v="0.2379"/>
    <n v="4.2008999999999999"/>
    <n v="1"/>
    <n v="-1600"/>
    <s v="UNITED STATES OF AMERICA US"/>
  </r>
  <r>
    <s v="BKMILL"/>
    <n v="159435"/>
    <n v="911288"/>
    <s v="Spot"/>
    <x v="38"/>
    <s v="Buy"/>
    <s v="EUR"/>
    <n v="500000"/>
    <s v="PLN"/>
    <n v="-2102150"/>
    <s v="2026-01-29"/>
    <n v="4.2042999999999999"/>
    <n v="0.2379"/>
    <n v="4.2008999999999999"/>
    <n v="1"/>
    <n v="-1700"/>
    <s v="NETHERLANDS NL"/>
  </r>
  <r>
    <s v="BKMILL"/>
    <n v="159436"/>
    <n v="911289"/>
    <s v="Spot"/>
    <x v="40"/>
    <s v="Buy"/>
    <s v="EUR"/>
    <n v="500000"/>
    <s v="PLN"/>
    <n v="-2102150"/>
    <s v="2026-01-29"/>
    <n v="4.2042999999999999"/>
    <n v="0.2379"/>
    <n v="4.2008999999999999"/>
    <n v="1"/>
    <n v="-1700"/>
    <s v="UNITED STATES OF AMERICA US"/>
  </r>
  <r>
    <s v="BKMILL"/>
    <n v="159438"/>
    <n v="220379"/>
    <s v="Forward"/>
    <x v="271"/>
    <s v="Buy Fwd"/>
    <s v="EUR"/>
    <n v="14100"/>
    <s v="PLN"/>
    <n v="59220"/>
    <s v="2026-01-27"/>
    <n v="4.2"/>
    <n v="0.23810000000000001"/>
    <n v="4.2118000000000002"/>
    <n v="1"/>
    <n v="118606.38"/>
    <s v="POLAND PL"/>
  </r>
  <r>
    <s v="BKMILL"/>
    <n v="159439"/>
    <n v="220381"/>
    <s v="Forward"/>
    <x v="458"/>
    <s v="Sell Fwd"/>
    <s v="USD"/>
    <n v="-28500"/>
    <s v="PLN"/>
    <n v="101232"/>
    <s v="2026-01-27"/>
    <n v="3.552"/>
    <n v="0.28149999999999997"/>
    <n v="3.5499000000000001"/>
    <n v="1"/>
    <n v="59.85"/>
    <s v="POLAND PL"/>
  </r>
  <r>
    <s v="BKMILL"/>
    <n v="159440"/>
    <n v="220382"/>
    <s v="Forward"/>
    <x v="70"/>
    <s v="Buy Fwd"/>
    <s v="EUR"/>
    <n v="10823.87"/>
    <s v="PLN"/>
    <n v="45438.61"/>
    <s v="2026-01-27"/>
    <n v="4.1980000000000004"/>
    <n v="0.2382"/>
    <n v="4.2118000000000002"/>
    <n v="1"/>
    <n v="91026.585665999999"/>
    <s v="POLAND PL"/>
  </r>
  <r>
    <s v="BKMILL"/>
    <n v="159443"/>
    <n v="220399"/>
    <s v="Forward"/>
    <x v="484"/>
    <s v="Buy Fwd"/>
    <s v="EUR"/>
    <n v="30000"/>
    <s v="PLN"/>
    <n v="124440"/>
    <s v="2026-01-27"/>
    <n v="4.1483999999999996"/>
    <n v="0.24110000000000001"/>
    <n v="4.2118000000000002"/>
    <n v="1"/>
    <n v="250794"/>
    <s v="POLAND PL"/>
  </r>
  <r>
    <s v="BKMILL"/>
    <n v="159444"/>
    <n v="220400"/>
    <s v="Forward"/>
    <x v="139"/>
    <s v="Buy Fwd"/>
    <s v="EUR"/>
    <n v="67414.850000000006"/>
    <s v="PLN"/>
    <n v="282919.90000000002"/>
    <s v="2026-01-27"/>
    <n v="4.1970999999999998"/>
    <n v="0.23830000000000001"/>
    <n v="4.2118000000000002"/>
    <n v="1"/>
    <n v="566857.76523000002"/>
    <s v="POLAND PL"/>
  </r>
  <r>
    <s v="BKMILL"/>
    <n v="159445"/>
    <n v="220404"/>
    <s v="Forward"/>
    <x v="68"/>
    <s v="Sell Fwd"/>
    <s v="EUR"/>
    <n v="-3906.93"/>
    <s v="PLN"/>
    <n v="16424.34"/>
    <s v="2026-01-27"/>
    <n v="4.2042999999999999"/>
    <n v="0.2379"/>
    <n v="4.2118000000000002"/>
    <n v="1"/>
    <n v="-30.867774000000001"/>
    <s v="POLAND PL"/>
  </r>
  <r>
    <s v="BKMILL"/>
    <n v="159446"/>
    <n v="220407"/>
    <s v="Forward"/>
    <x v="610"/>
    <s v="Buy Fwd"/>
    <s v="EUR"/>
    <n v="22000"/>
    <s v="PLN"/>
    <n v="92224"/>
    <s v="2026-01-27"/>
    <n v="4.1924999999999999"/>
    <n v="0.23849999999999999"/>
    <n v="4.2118000000000002"/>
    <n v="1"/>
    <n v="184883.6"/>
    <s v="POLAND PL"/>
  </r>
  <r>
    <s v="BKMILL"/>
    <n v="159447"/>
    <n v="220408"/>
    <s v="Forward"/>
    <x v="199"/>
    <s v="Buy Fwd"/>
    <s v="EUR"/>
    <n v="3000"/>
    <s v="PLN"/>
    <n v="12579"/>
    <s v="2026-01-27"/>
    <n v="4.1933999999999996"/>
    <n v="0.23849999999999999"/>
    <n v="4.2118000000000002"/>
    <n v="1"/>
    <n v="25214.400000000001"/>
    <s v="POLAND PL"/>
  </r>
  <r>
    <s v="BKMILL"/>
    <n v="159449"/>
    <n v="911418"/>
    <s v="Spot"/>
    <x v="46"/>
    <s v="Buy"/>
    <s v="EUR"/>
    <n v="2600"/>
    <s v="PLN"/>
    <n v="-10911.94"/>
    <s v="2026-01-29"/>
    <n v="4.1969000000000003"/>
    <n v="0.23830000000000001"/>
    <n v="4.2008999999999999"/>
    <n v="1"/>
    <n v="10.4"/>
    <s v="POLAND PL"/>
  </r>
  <r>
    <s v="BKMILL"/>
    <n v="159451"/>
    <n v="220422"/>
    <s v="Forward"/>
    <x v="236"/>
    <s v="Buy Fwd"/>
    <s v="EUR"/>
    <n v="5000"/>
    <s v="PLN"/>
    <n v="20960"/>
    <s v="2026-01-27"/>
    <n v="4.1924000000000001"/>
    <n v="0.23849999999999999"/>
    <n v="4.2118000000000002"/>
    <n v="1"/>
    <n v="42019"/>
    <s v="POLAND PL"/>
  </r>
  <r>
    <s v="BKMILL"/>
    <n v="159452"/>
    <n v="220427"/>
    <s v="Forward"/>
    <x v="249"/>
    <s v="Sell Fwd"/>
    <s v="EUR"/>
    <n v="-23719.17"/>
    <s v="PLN"/>
    <n v="100000.02"/>
    <s v="2026-01-27"/>
    <n v="4.2164000000000001"/>
    <n v="0.23719999999999999"/>
    <n v="4.2118000000000002"/>
    <n v="1"/>
    <n v="99.619793999999999"/>
    <s v="POLAND PL"/>
  </r>
  <r>
    <s v="BKMILL"/>
    <n v="159454"/>
    <n v="220430"/>
    <s v="Forward"/>
    <x v="129"/>
    <s v="Buy Fwd"/>
    <s v="EUR"/>
    <n v="10700"/>
    <s v="USD"/>
    <n v="12708.39"/>
    <s v="2026-01-27"/>
    <n v="1.1879"/>
    <n v="0.84179999999999999"/>
    <n v="4.2118000000000002"/>
    <n v="3.5499000000000001"/>
    <n v="90179.773660999999"/>
    <s v="POLAND PL"/>
  </r>
  <r>
    <s v="BKMILL"/>
    <n v="159455"/>
    <n v="911498"/>
    <s v="Spot"/>
    <x v="63"/>
    <s v="Sell"/>
    <s v="USD"/>
    <n v="-5000"/>
    <s v="PLN"/>
    <n v="17707.5"/>
    <s v="2026-01-29"/>
    <n v="3.5415000000000001"/>
    <n v="0.28239999999999998"/>
    <n v="3.5045000000000002"/>
    <n v="1"/>
    <n v="185"/>
    <s v="POLAND PL"/>
  </r>
  <r>
    <s v="BKMILL"/>
    <n v="159456"/>
    <n v="911499"/>
    <s v="Spot"/>
    <x v="404"/>
    <s v="Buy"/>
    <s v="EUR"/>
    <n v="500000"/>
    <s v="PLN"/>
    <n v="-2101440"/>
    <s v="2026-01-29"/>
    <n v="4.2028999999999996"/>
    <n v="0.2379"/>
    <n v="4.2008999999999999"/>
    <n v="1"/>
    <n v="-990"/>
    <s v="ITALY IT"/>
  </r>
  <r>
    <s v="BKMILL"/>
    <n v="159457"/>
    <n v="220435"/>
    <s v="Forward"/>
    <x v="338"/>
    <s v="Sell Fwd"/>
    <s v="EUR"/>
    <n v="-237113.09"/>
    <s v="PLN"/>
    <n v="999313.12"/>
    <s v="2026-01-27"/>
    <n v="4.2149000000000001"/>
    <n v="0.23730000000000001"/>
    <n v="4.2118000000000002"/>
    <n v="1"/>
    <n v="640.207538"/>
    <s v="POLAND PL"/>
  </r>
  <r>
    <s v="BKMILL"/>
    <n v="159459"/>
    <n v="911519"/>
    <s v="Spot"/>
    <x v="41"/>
    <s v="Buy"/>
    <s v="USD"/>
    <n v="500000"/>
    <s v="PLN"/>
    <n v="-1768000"/>
    <s v="2026-01-29"/>
    <n v="3.536"/>
    <n v="0.2828"/>
    <n v="3.5045000000000002"/>
    <n v="1"/>
    <n v="-15750"/>
    <s v="GERMANY DE"/>
  </r>
  <r>
    <s v="BKMILL"/>
    <n v="159465"/>
    <n v="220447"/>
    <s v="Forward"/>
    <x v="32"/>
    <s v="Sell Fwd"/>
    <s v="EUR"/>
    <n v="-50000"/>
    <s v="PLN"/>
    <n v="210280"/>
    <s v="2026-01-27"/>
    <n v="4.2060000000000004"/>
    <n v="0.23780000000000001"/>
    <n v="4.2118000000000002"/>
    <n v="1"/>
    <n v="-310"/>
    <s v="POLAND PL"/>
  </r>
  <r>
    <s v="BKMILL"/>
    <n v="159467"/>
    <n v="220449"/>
    <s v="Forward"/>
    <x v="32"/>
    <s v="Sell Fwd"/>
    <s v="EUR"/>
    <n v="-50000"/>
    <s v="PLN"/>
    <n v="210275"/>
    <s v="2026-01-28"/>
    <n v="4.2057000000000002"/>
    <n v="0.23780000000000001"/>
    <n v="4.2031999999999998"/>
    <n v="1"/>
    <n v="115"/>
    <s v="POLAND PL"/>
  </r>
  <r>
    <s v="BKMILL"/>
    <n v="159485"/>
    <n v="220467"/>
    <s v="Forward"/>
    <x v="32"/>
    <s v="Sell Fwd"/>
    <s v="EUR"/>
    <n v="-30000"/>
    <s v="PLN"/>
    <n v="126159"/>
    <s v="2026-01-27"/>
    <n v="4.2057000000000002"/>
    <n v="0.23780000000000001"/>
    <n v="4.2118000000000002"/>
    <n v="1"/>
    <n v="-195"/>
    <s v="POLAND PL"/>
  </r>
  <r>
    <s v="BKMILL"/>
    <n v="159488"/>
    <n v="911609"/>
    <s v="Spot"/>
    <x v="41"/>
    <s v="Buy"/>
    <s v="USD"/>
    <n v="500000"/>
    <s v="PLN"/>
    <n v="-1766450"/>
    <s v="2026-01-29"/>
    <n v="3.5329000000000002"/>
    <n v="0.28310000000000002"/>
    <n v="3.5045000000000002"/>
    <n v="1"/>
    <n v="-14200"/>
    <s v="GERMANY DE"/>
  </r>
  <r>
    <s v="BKMILL"/>
    <n v="159506"/>
    <n v="911672"/>
    <s v="Spot"/>
    <x v="43"/>
    <s v="Sell"/>
    <s v="EUR"/>
    <n v="-100000"/>
    <s v="USD"/>
    <n v="118960"/>
    <s v="2026-01-29"/>
    <n v="1.1896"/>
    <n v="0.84060000000000001"/>
    <n v="4.2008999999999999"/>
    <n v="3.5045000000000002"/>
    <n v="-3194.68"/>
    <s v="FRANCE FR"/>
  </r>
  <r>
    <s v="BKMILL"/>
    <n v="159509"/>
    <n v="220491"/>
    <s v="Forward"/>
    <x v="63"/>
    <s v="Sell Fwd"/>
    <s v="EUR"/>
    <n v="-8300"/>
    <s v="PLN"/>
    <n v="34928.89"/>
    <s v="2026-01-27"/>
    <n v="4.2087000000000003"/>
    <n v="0.23760000000000001"/>
    <n v="4.2118000000000002"/>
    <n v="1"/>
    <n v="-29.05"/>
    <s v="POLAND PL"/>
  </r>
  <r>
    <s v="BKMILL"/>
    <n v="159517"/>
    <n v="220501"/>
    <s v="Forward"/>
    <x v="611"/>
    <s v="Buy Fwd"/>
    <s v="EUR"/>
    <n v="80000"/>
    <s v="PLN"/>
    <n v="335600"/>
    <s v="2026-01-27"/>
    <n v="4.1950000000000003"/>
    <n v="0.2384"/>
    <n v="4.2118000000000002"/>
    <n v="1"/>
    <n v="672544"/>
    <s v="POLAND PL"/>
  </r>
  <r>
    <s v="BKMILL"/>
    <n v="159520"/>
    <n v="911727"/>
    <s v="Spot"/>
    <x v="63"/>
    <s v="Sell"/>
    <s v="USD"/>
    <n v="-5000"/>
    <s v="PLN"/>
    <n v="17694"/>
    <s v="2026-01-29"/>
    <n v="3.5388000000000002"/>
    <n v="0.28260000000000002"/>
    <n v="3.5045000000000002"/>
    <n v="1"/>
    <n v="171.5"/>
    <s v="POLAND PL"/>
  </r>
  <r>
    <s v="BKMILL"/>
    <n v="159545"/>
    <n v="220536"/>
    <s v="Forward"/>
    <x v="612"/>
    <s v="Sell Fwd"/>
    <s v="USD"/>
    <n v="-25000"/>
    <s v="PLN"/>
    <n v="88750"/>
    <s v="2026-01-27"/>
    <n v="3.5503999999999998"/>
    <n v="0.28170000000000001"/>
    <n v="3.5499000000000001"/>
    <n v="1"/>
    <n v="2.5"/>
    <s v="POLAND PL"/>
  </r>
  <r>
    <s v="BKMILL"/>
    <n v="159549"/>
    <n v="220540"/>
    <s v="Forward"/>
    <x v="613"/>
    <s v="Buy Fwd"/>
    <s v="USD"/>
    <n v="80028.41"/>
    <s v="EUR"/>
    <n v="67047.929999999993"/>
    <s v="2026-01-27"/>
    <n v="1.194"/>
    <n v="0.83750000000000002"/>
    <n v="3.5499000000000001"/>
    <n v="4.2118000000000002"/>
    <n v="566485.32423300005"/>
    <s v="POLAND PL"/>
  </r>
  <r>
    <s v="BKMILL"/>
    <n v="159561"/>
    <n v="220556"/>
    <s v="Forward"/>
    <x v="30"/>
    <s v="Buy Fwd"/>
    <s v="EUR"/>
    <n v="100000"/>
    <s v="USD"/>
    <n v="119120"/>
    <s v="2026-01-30"/>
    <n v="1.1911"/>
    <n v="0.83960000000000001"/>
    <n v="4.2072000000000003"/>
    <n v="3.5188999999999999"/>
    <n v="839891.36800000002"/>
    <s v="POLAND PL"/>
  </r>
  <r>
    <s v="BKMILL"/>
    <n v="159563"/>
    <n v="911894"/>
    <s v="Spot"/>
    <x v="614"/>
    <s v="Buy"/>
    <s v="USD"/>
    <n v="400000"/>
    <s v="NOK"/>
    <n v="-3890636"/>
    <s v="2026-01-29"/>
    <n v="9.7265999999999995"/>
    <n v="0.1028"/>
    <n v="3.5045000000000002"/>
    <n v="0.36430000000000001"/>
    <n v="-15558.694799999999"/>
    <s v="UNITED STATES OF AMERICA US"/>
  </r>
  <r>
    <s v="BKMILL"/>
    <n v="159565"/>
    <n v="911904"/>
    <s v="Spot"/>
    <x v="38"/>
    <s v="Buy"/>
    <s v="USD"/>
    <n v="500000"/>
    <s v="PLN"/>
    <n v="-1763945"/>
    <s v="2026-01-29"/>
    <n v="3.5278999999999998"/>
    <n v="0.28349999999999997"/>
    <n v="3.5045000000000002"/>
    <n v="1"/>
    <n v="-11695"/>
    <s v="NETHERLANDS NL"/>
  </r>
  <r>
    <s v="BKMILL"/>
    <n v="159567"/>
    <n v="220561"/>
    <s v="Forward"/>
    <x v="348"/>
    <s v="Buy Fwd"/>
    <s v="EUR"/>
    <n v="11000"/>
    <s v="PLN"/>
    <n v="46090"/>
    <s v="2026-01-27"/>
    <n v="4.1904000000000003"/>
    <n v="0.23860000000000001"/>
    <n v="4.2118000000000002"/>
    <n v="1"/>
    <n v="92419.8"/>
    <s v="POLAND PL"/>
  </r>
  <r>
    <s v="BKMILL"/>
    <n v="159570"/>
    <n v="911930"/>
    <s v="Spot"/>
    <x v="39"/>
    <s v="Sell"/>
    <s v="EUR"/>
    <n v="-500000"/>
    <s v="PLN"/>
    <n v="2101675"/>
    <s v="2026-01-29"/>
    <n v="4.2034000000000002"/>
    <n v="0.2379"/>
    <n v="4.2008999999999999"/>
    <n v="1"/>
    <n v="1225"/>
    <s v="UNITED KINGDOM GB"/>
  </r>
  <r>
    <s v="BKMILL"/>
    <n v="159571"/>
    <n v="220567"/>
    <s v="Forward"/>
    <x v="465"/>
    <s v="Sell Fwd"/>
    <s v="EUR"/>
    <n v="-50000"/>
    <s v="PLN"/>
    <n v="210275"/>
    <s v="2026-01-27"/>
    <n v="4.2054999999999998"/>
    <n v="0.23780000000000001"/>
    <n v="4.2118000000000002"/>
    <n v="1"/>
    <n v="-315"/>
    <s v="POLAND PL"/>
  </r>
  <r>
    <s v="BKMILL"/>
    <n v="159574"/>
    <n v="220575"/>
    <s v="Forward"/>
    <x v="507"/>
    <s v="Buy Fwd"/>
    <s v="EUR"/>
    <n v="100000"/>
    <s v="PLN"/>
    <n v="419700"/>
    <s v="2026-01-27"/>
    <n v="4.1974"/>
    <n v="0.2382"/>
    <n v="4.2118000000000002"/>
    <n v="1"/>
    <n v="840880"/>
    <s v="POLAND PL"/>
  </r>
  <r>
    <s v="BKMILL"/>
    <n v="159575"/>
    <n v="911969"/>
    <s v="Spot"/>
    <x v="51"/>
    <s v="Sell"/>
    <s v="EUR"/>
    <n v="-100000"/>
    <s v="PLN"/>
    <n v="420420"/>
    <s v="2026-01-29"/>
    <n v="4.2042000000000002"/>
    <n v="0.2379"/>
    <n v="4.2008999999999999"/>
    <n v="1"/>
    <n v="330"/>
    <s v="POLAND PL"/>
  </r>
  <r>
    <s v="BKMILL"/>
    <n v="159576"/>
    <n v="911973"/>
    <s v="Spot"/>
    <x v="40"/>
    <s v="Sell"/>
    <s v="EUR"/>
    <n v="-100000"/>
    <s v="USD"/>
    <n v="119346"/>
    <s v="2026-01-29"/>
    <n v="1.1935"/>
    <n v="0.83789999999999998"/>
    <n v="4.2008999999999999"/>
    <n v="3.5045000000000002"/>
    <n v="-1841.943"/>
    <s v="UNITED STATES OF AMERICA US"/>
  </r>
  <r>
    <s v="BKMILL"/>
    <n v="159577"/>
    <n v="911977"/>
    <s v="Spot"/>
    <x v="44"/>
    <s v="Buy"/>
    <s v="EUR"/>
    <n v="500000"/>
    <s v="PLN"/>
    <n v="-2101150"/>
    <s v="2026-01-29"/>
    <n v="4.2023000000000001"/>
    <n v="0.23799999999999999"/>
    <n v="4.2008999999999999"/>
    <n v="1"/>
    <n v="-700"/>
    <s v="GERMANY DE"/>
  </r>
  <r>
    <s v="BKMILL"/>
    <n v="159578"/>
    <n v="220582"/>
    <s v="Forward"/>
    <x v="149"/>
    <s v="Sell Fwd"/>
    <s v="USD"/>
    <n v="-15000"/>
    <s v="PLN"/>
    <n v="52867.5"/>
    <s v="2026-01-27"/>
    <n v="3.5245000000000002"/>
    <n v="0.28370000000000001"/>
    <n v="3.5499000000000001"/>
    <n v="1"/>
    <n v="-381"/>
    <s v="POLAND PL"/>
  </r>
  <r>
    <s v="BKMILL"/>
    <n v="159579"/>
    <n v="220583"/>
    <s v="Forward"/>
    <x v="615"/>
    <s v="Sell Fwd"/>
    <s v="EUR"/>
    <n v="-7000"/>
    <s v="PLN"/>
    <n v="29512"/>
    <s v="2026-01-27"/>
    <n v="4.2164999999999999"/>
    <n v="0.23719999999999999"/>
    <n v="4.2118000000000002"/>
    <n v="1"/>
    <n v="29.4"/>
    <s v="POLAND PL"/>
  </r>
  <r>
    <s v="BKMILL"/>
    <n v="159581"/>
    <n v="220584"/>
    <s v="Forward"/>
    <x v="526"/>
    <s v="Sell Fwd"/>
    <s v="EUR"/>
    <n v="-1000"/>
    <s v="PLN"/>
    <n v="4211"/>
    <s v="2026-01-27"/>
    <n v="4.2114000000000003"/>
    <n v="0.23749999999999999"/>
    <n v="4.2118000000000002"/>
    <n v="1"/>
    <n v="-0.8"/>
    <s v="POLAND PL"/>
  </r>
  <r>
    <s v="BKMILL"/>
    <n v="159582"/>
    <n v="911990"/>
    <s v="Spot"/>
    <x v="39"/>
    <s v="Buy"/>
    <s v="USD"/>
    <n v="500000"/>
    <s v="PLN"/>
    <n v="-1761720"/>
    <s v="2026-01-29"/>
    <n v="3.5234000000000001"/>
    <n v="0.2838"/>
    <n v="3.5045000000000002"/>
    <n v="1"/>
    <n v="-9470"/>
    <s v="UNITED KINGDOM GB"/>
  </r>
  <r>
    <s v="BKMILL"/>
    <n v="159583"/>
    <n v="911991"/>
    <s v="Spot"/>
    <x v="41"/>
    <s v="Buy"/>
    <s v="USD"/>
    <n v="500000"/>
    <s v="PLN"/>
    <n v="-1761700"/>
    <s v="2026-01-29"/>
    <n v="3.5234000000000001"/>
    <n v="0.2838"/>
    <n v="3.5045000000000002"/>
    <n v="1"/>
    <n v="-9450"/>
    <s v="GERMANY DE"/>
  </r>
  <r>
    <s v="BKMILL"/>
    <n v="159584"/>
    <n v="911992"/>
    <s v="Spot"/>
    <x v="39"/>
    <s v="Buy"/>
    <s v="USD"/>
    <n v="500000"/>
    <s v="PLN"/>
    <n v="-1761695"/>
    <s v="2026-01-29"/>
    <n v="3.5234000000000001"/>
    <n v="0.2838"/>
    <n v="3.5045000000000002"/>
    <n v="1"/>
    <n v="-9445"/>
    <s v="UNITED KINGDOM GB"/>
  </r>
  <r>
    <s v="BKMILL"/>
    <n v="159585"/>
    <n v="911993"/>
    <s v="Spot"/>
    <x v="44"/>
    <s v="Buy"/>
    <s v="USD"/>
    <n v="500000"/>
    <s v="PLN"/>
    <n v="-1761650"/>
    <s v="2026-01-29"/>
    <n v="3.5232999999999999"/>
    <n v="0.2838"/>
    <n v="3.5045000000000002"/>
    <n v="1"/>
    <n v="-9400"/>
    <s v="GERMANY DE"/>
  </r>
  <r>
    <s v="BKMILL"/>
    <n v="159586"/>
    <n v="911994"/>
    <s v="Spot"/>
    <x v="44"/>
    <s v="Buy"/>
    <s v="USD"/>
    <n v="500000"/>
    <s v="PLN"/>
    <n v="-1761650"/>
    <s v="2026-01-29"/>
    <n v="3.5232999999999999"/>
    <n v="0.2838"/>
    <n v="3.5045000000000002"/>
    <n v="1"/>
    <n v="-9400"/>
    <s v="GERMANY DE"/>
  </r>
  <r>
    <s v="BKMILL"/>
    <n v="159587"/>
    <n v="911995"/>
    <s v="Spot"/>
    <x v="91"/>
    <s v="Sell"/>
    <s v="USD"/>
    <n v="-2000000"/>
    <s v="PLN"/>
    <n v="7050000"/>
    <s v="2026-01-29"/>
    <n v="3.5249999999999999"/>
    <n v="0.28370000000000001"/>
    <n v="3.5045000000000002"/>
    <n v="1"/>
    <n v="41000"/>
    <s v="POLAND PL"/>
  </r>
  <r>
    <s v="BKMILL"/>
    <n v="159588"/>
    <n v="911996"/>
    <s v="Spot"/>
    <x v="41"/>
    <s v="Buy"/>
    <s v="USD"/>
    <n v="500000"/>
    <s v="PLN"/>
    <n v="-1761700"/>
    <s v="2026-01-29"/>
    <n v="3.5234000000000001"/>
    <n v="0.2838"/>
    <n v="3.5045000000000002"/>
    <n v="1"/>
    <n v="-9450"/>
    <s v="GERMANY DE"/>
  </r>
  <r>
    <s v="BKMILL"/>
    <n v="159589"/>
    <n v="220585"/>
    <s v="Forward"/>
    <x v="128"/>
    <s v="Buy Fwd"/>
    <s v="EUR"/>
    <n v="300000"/>
    <s v="PLN"/>
    <n v="1260150"/>
    <s v="2026-01-27"/>
    <n v="4.2004999999999999"/>
    <n v="0.23810000000000001"/>
    <n v="4.2118000000000002"/>
    <n v="1"/>
    <n v="2523690"/>
    <s v="POLAND PL"/>
  </r>
  <r>
    <s v="BKMILL"/>
    <n v="159590"/>
    <n v="220586"/>
    <s v="Forward"/>
    <x v="349"/>
    <s v="Sell Fwd"/>
    <s v="USD"/>
    <n v="-800000"/>
    <s v="PLN"/>
    <n v="2822800"/>
    <s v="2026-01-27"/>
    <n v="3.5285000000000002"/>
    <n v="0.28339999999999999"/>
    <n v="3.5499000000000001"/>
    <n v="1"/>
    <n v="-17120"/>
    <s v="POLAND PL"/>
  </r>
  <r>
    <s v="BKMILL"/>
    <n v="159591"/>
    <n v="220595"/>
    <s v="Forward"/>
    <x v="616"/>
    <s v="Sell Fwd"/>
    <s v="USD"/>
    <n v="-200000"/>
    <s v="PLN"/>
    <n v="706000"/>
    <s v="2026-01-27"/>
    <n v="3.53"/>
    <n v="0.2833"/>
    <n v="3.5499000000000001"/>
    <n v="1"/>
    <n v="-3980"/>
    <s v="POLAND PL"/>
  </r>
  <r>
    <s v="BKMILL"/>
    <n v="159592"/>
    <n v="220596"/>
    <s v="Forward"/>
    <x v="617"/>
    <s v="Buy Fwd"/>
    <s v="EUR"/>
    <n v="500000"/>
    <s v="PLN"/>
    <n v="2096000"/>
    <s v="2026-01-27"/>
    <n v="4.1920000000000002"/>
    <n v="0.23849999999999999"/>
    <n v="4.2118000000000002"/>
    <n v="1"/>
    <n v="4201900"/>
    <s v="POLAND PL"/>
  </r>
  <r>
    <s v="BKMILL"/>
    <n v="159593"/>
    <n v="220599"/>
    <s v="Forward"/>
    <x v="618"/>
    <s v="Sell Fwd"/>
    <s v="EUR"/>
    <n v="-4000"/>
    <s v="PLN"/>
    <n v="16828"/>
    <s v="2026-01-27"/>
    <n v="4.2069999999999999"/>
    <n v="0.23769999999999999"/>
    <n v="4.2118000000000002"/>
    <n v="1"/>
    <n v="-19.2"/>
    <s v="POLAND PL"/>
  </r>
  <r>
    <s v="BKMILL"/>
    <n v="159598"/>
    <n v="220602"/>
    <s v="Forward"/>
    <x v="254"/>
    <s v="Sell Fwd"/>
    <s v="EUR"/>
    <n v="-5206"/>
    <s v="PLN"/>
    <n v="21948.5"/>
    <s v="2026-01-27"/>
    <n v="4.2164000000000001"/>
    <n v="0.23719999999999999"/>
    <n v="4.2118000000000002"/>
    <n v="1"/>
    <n v="21.869199999999999"/>
    <s v="POLAND PL"/>
  </r>
  <r>
    <s v="BKMILL"/>
    <n v="159600"/>
    <n v="220603"/>
    <s v="Forward"/>
    <x v="323"/>
    <s v="Buy Fwd"/>
    <s v="EUR"/>
    <n v="30000"/>
    <s v="PLN"/>
    <n v="123120"/>
    <s v="2026-01-27"/>
    <n v="4.1040000000000001"/>
    <n v="0.2437"/>
    <n v="4.2118000000000002"/>
    <n v="1"/>
    <n v="249474"/>
    <s v="POLAND PL"/>
  </r>
  <r>
    <s v="BKMILL"/>
    <n v="159601"/>
    <n v="912058"/>
    <s v="Spot"/>
    <x v="40"/>
    <s v="Sell"/>
    <s v="EUR"/>
    <n v="-200000"/>
    <s v="PLN"/>
    <n v="840700"/>
    <s v="2026-01-29"/>
    <n v="4.2035"/>
    <n v="0.2379"/>
    <n v="4.2008999999999999"/>
    <n v="1"/>
    <n v="520"/>
    <s v="UNITED STATES OF AMERICA US"/>
  </r>
  <r>
    <s v="BKMILL"/>
    <n v="159602"/>
    <n v="220604"/>
    <s v="Forward"/>
    <x v="619"/>
    <s v="Buy Fwd"/>
    <s v="EUR"/>
    <n v="20000"/>
    <s v="PLN"/>
    <n v="84000"/>
    <s v="2026-01-27"/>
    <n v="4.2"/>
    <n v="0.23810000000000001"/>
    <n v="4.2118000000000002"/>
    <n v="1"/>
    <n v="168236"/>
    <s v="POLAND PL"/>
  </r>
  <r>
    <s v="BKMILL"/>
    <n v="159604"/>
    <n v="220608"/>
    <s v="Forward"/>
    <x v="577"/>
    <s v="Sell Fwd"/>
    <s v="EUR"/>
    <n v="-20000"/>
    <s v="PLN"/>
    <n v="84170"/>
    <s v="2026-01-28"/>
    <n v="4.2087000000000003"/>
    <n v="0.23760000000000001"/>
    <n v="4.2031999999999998"/>
    <n v="1"/>
    <n v="106"/>
    <s v="POLAND PL"/>
  </r>
  <r>
    <s v="BKMILL"/>
    <n v="159605"/>
    <n v="912075"/>
    <s v="Spot"/>
    <x v="36"/>
    <s v="Sell"/>
    <s v="EUR"/>
    <n v="-100000"/>
    <s v="GBP"/>
    <n v="86817"/>
    <s v="2026-01-29"/>
    <n v="0.86819999999999997"/>
    <n v="1.1517999999999999"/>
    <n v="4.2008999999999999"/>
    <n v="4.8319999999999999"/>
    <n v="-590.25599999999997"/>
    <s v="UNITED KINGDOM GB"/>
  </r>
  <r>
    <s v="BKMILL"/>
    <n v="159606"/>
    <n v="220610"/>
    <s v="Forward"/>
    <x v="620"/>
    <s v="Sell Fwd"/>
    <s v="EUR"/>
    <n v="-14300"/>
    <s v="PLN"/>
    <n v="60188.7"/>
    <s v="2026-01-27"/>
    <n v="4.2089999999999996"/>
    <n v="0.23760000000000001"/>
    <n v="4.2118000000000002"/>
    <n v="1"/>
    <n v="-40.04"/>
    <s v="POLAND PL"/>
  </r>
  <r>
    <s v="BKMILL"/>
    <n v="159607"/>
    <n v="220611"/>
    <s v="Forward"/>
    <x v="193"/>
    <s v="Sell Fwd"/>
    <s v="CHF"/>
    <n v="-50000"/>
    <s v="PLN"/>
    <n v="229025"/>
    <s v="2026-01-27"/>
    <n v="4.5814000000000004"/>
    <n v="0.21829999999999999"/>
    <n v="4.5758000000000001"/>
    <n v="1"/>
    <n v="235"/>
    <s v="POLAND PL"/>
  </r>
  <r>
    <s v="BKMILL"/>
    <n v="159608"/>
    <n v="912090"/>
    <s v="Spot"/>
    <x v="41"/>
    <s v="Sell"/>
    <s v="USD"/>
    <n v="-500000"/>
    <s v="PLN"/>
    <n v="1762500"/>
    <s v="2026-01-29"/>
    <n v="3.5249999999999999"/>
    <n v="0.28370000000000001"/>
    <n v="3.5045000000000002"/>
    <n v="1"/>
    <n v="10250"/>
    <s v="GERMANY DE"/>
  </r>
  <r>
    <s v="BKMILL"/>
    <n v="159610"/>
    <n v="912093"/>
    <s v="Spot"/>
    <x v="50"/>
    <s v="Buy"/>
    <s v="SEK"/>
    <n v="480000"/>
    <s v="PLN"/>
    <n v="-190560"/>
    <s v="2026-01-29"/>
    <n v="0.39700000000000002"/>
    <n v="2.5188999999999999"/>
    <n v="0.3977"/>
    <n v="1"/>
    <n v="336"/>
    <s v="POLAND PL"/>
  </r>
  <r>
    <s v="BKMILL"/>
    <n v="159611"/>
    <n v="912097"/>
    <s v="Spot"/>
    <x v="40"/>
    <s v="Buy"/>
    <s v="EUR"/>
    <n v="100000"/>
    <s v="USD"/>
    <n v="-119169"/>
    <s v="2026-01-29"/>
    <n v="1.1917"/>
    <n v="0.83909999999999996"/>
    <n v="4.2008999999999999"/>
    <n v="3.5045000000000002"/>
    <n v="2462.2395000000001"/>
    <s v="UNITED STATES OF AMERICA US"/>
  </r>
  <r>
    <s v="BKMILL"/>
    <n v="159612"/>
    <n v="912098"/>
    <s v="Spot"/>
    <x v="50"/>
    <s v="Buy"/>
    <s v="NOK"/>
    <n v="330000"/>
    <s v="PLN"/>
    <n v="-120120"/>
    <s v="2026-01-29"/>
    <n v="0.36399999999999999"/>
    <n v="2.7473000000000001"/>
    <n v="0.36430000000000001"/>
    <n v="1"/>
    <n v="99"/>
    <s v="POLAND PL"/>
  </r>
  <r>
    <s v="BKMILL"/>
    <n v="159613"/>
    <n v="220614"/>
    <s v="Forward"/>
    <x v="155"/>
    <s v="Sell Fwd"/>
    <s v="EUR"/>
    <n v="-200000"/>
    <s v="PLN"/>
    <n v="841560"/>
    <s v="2026-01-27"/>
    <n v="4.2081999999999997"/>
    <n v="0.23760000000000001"/>
    <n v="4.2118000000000002"/>
    <n v="1"/>
    <n v="-800"/>
    <s v="POLAND PL"/>
  </r>
  <r>
    <s v="BKMILL"/>
    <n v="159629"/>
    <n v="220617"/>
    <s v="Forward"/>
    <x v="82"/>
    <s v="Sell Fwd"/>
    <s v="EUR"/>
    <n v="-3451"/>
    <s v="PLN"/>
    <n v="14525.26"/>
    <s v="2026-01-27"/>
    <n v="4.2093999999999996"/>
    <n v="0.23760000000000001"/>
    <n v="4.2118000000000002"/>
    <n v="1"/>
    <n v="-9.6617999999999995"/>
    <s v="POLAND PL"/>
  </r>
  <r>
    <s v="BKMILL"/>
    <n v="159631"/>
    <n v="220623"/>
    <s v="Forward"/>
    <x v="199"/>
    <s v="Buy Fwd"/>
    <s v="EUR"/>
    <n v="30000"/>
    <s v="PLN"/>
    <n v="125805"/>
    <s v="2026-01-27"/>
    <n v="4.1939000000000002"/>
    <n v="0.2384"/>
    <n v="4.2118000000000002"/>
    <n v="1"/>
    <n v="252159"/>
    <s v="POLAND PL"/>
  </r>
  <r>
    <s v="BKMILL"/>
    <n v="159633"/>
    <n v="220626"/>
    <s v="Forward"/>
    <x v="164"/>
    <s v="Buy Fwd"/>
    <s v="EUR"/>
    <n v="5000"/>
    <s v="PLN"/>
    <n v="20990.5"/>
    <s v="2026-01-27"/>
    <n v="4.1985000000000001"/>
    <n v="0.2382"/>
    <n v="4.2118000000000002"/>
    <n v="1"/>
    <n v="42049.5"/>
    <s v="POLAND PL"/>
  </r>
  <r>
    <s v="BKMILL"/>
    <n v="159634"/>
    <n v="220629"/>
    <s v="Forward"/>
    <x v="30"/>
    <s v="Sell Fwd"/>
    <s v="USD"/>
    <n v="-400000"/>
    <s v="NOK"/>
    <n v="3873640"/>
    <s v="2026-01-30"/>
    <n v="9.6841000000000008"/>
    <n v="0.1033"/>
    <n v="3.5188999999999999"/>
    <n v="0.3674"/>
    <n v="15615.335999999999"/>
    <s v="POLAND PL"/>
  </r>
  <r>
    <s v="BKMILL"/>
    <n v="159635"/>
    <n v="912217"/>
    <s v="Spot"/>
    <x v="47"/>
    <s v="Sell"/>
    <s v="EUR"/>
    <n v="-700000"/>
    <s v="PLN"/>
    <n v="2941050"/>
    <s v="2026-01-29"/>
    <n v="4.2015000000000002"/>
    <n v="0.23799999999999999"/>
    <n v="4.2008999999999999"/>
    <n v="1"/>
    <n v="420"/>
    <s v="FRANCE FR"/>
  </r>
  <r>
    <s v="BKMILL"/>
    <n v="159636"/>
    <n v="912218"/>
    <s v="Spot"/>
    <x v="47"/>
    <s v="Sell"/>
    <s v="EUR"/>
    <n v="-700000"/>
    <s v="PLN"/>
    <n v="2941050"/>
    <s v="2026-01-29"/>
    <n v="4.2015000000000002"/>
    <n v="0.23799999999999999"/>
    <n v="4.2008999999999999"/>
    <n v="1"/>
    <n v="420"/>
    <s v="FRANCE FR"/>
  </r>
  <r>
    <s v="BKMILL"/>
    <n v="159637"/>
    <n v="912224"/>
    <s v="Spot"/>
    <x v="38"/>
    <s v="Sell"/>
    <s v="USD"/>
    <n v="-900000"/>
    <s v="PLN"/>
    <n v="3169701"/>
    <s v="2026-01-29"/>
    <n v="3.5219"/>
    <n v="0.28389999999999999"/>
    <n v="3.5045000000000002"/>
    <n v="1"/>
    <n v="15651"/>
    <s v="NETHERLANDS NL"/>
  </r>
  <r>
    <s v="BKMILL"/>
    <n v="159638"/>
    <n v="912236"/>
    <s v="Spot"/>
    <x v="36"/>
    <s v="Sell"/>
    <s v="EUR"/>
    <n v="-100000"/>
    <s v="GBP"/>
    <n v="86822"/>
    <s v="2026-01-29"/>
    <n v="0.86819999999999997"/>
    <n v="1.1517999999999999"/>
    <n v="4.2008999999999999"/>
    <n v="4.8319999999999999"/>
    <n v="-566.096"/>
    <s v="UNITED KINGDOM GB"/>
  </r>
  <r>
    <s v="BKMILL"/>
    <n v="159640"/>
    <n v="912257"/>
    <s v="Spot"/>
    <x v="43"/>
    <s v="Sell"/>
    <s v="EUR"/>
    <n v="-400000"/>
    <s v="CNY"/>
    <n v="3315932"/>
    <s v="2026-01-29"/>
    <n v="8.2897999999999996"/>
    <n v="0.1206"/>
    <n v="4.2008999999999999"/>
    <n v="0.50449999999999995"/>
    <n v="-7472.3059999999996"/>
    <s v="FRANCE FR"/>
  </r>
  <r>
    <s v="BKMILL"/>
    <n v="159641"/>
    <n v="912264"/>
    <s v="Spot"/>
    <x v="41"/>
    <s v="Buy"/>
    <s v="EUR"/>
    <n v="2000000"/>
    <s v="PLN"/>
    <n v="-8402000"/>
    <s v="2026-01-29"/>
    <n v="4.2009999999999996"/>
    <n v="0.23799999999999999"/>
    <n v="4.2008999999999999"/>
    <n v="1"/>
    <n v="-200"/>
    <s v="GERMANY DE"/>
  </r>
  <r>
    <s v="BKMILL"/>
    <n v="159642"/>
    <n v="912268"/>
    <s v="Spot"/>
    <x v="43"/>
    <s v="Sell"/>
    <s v="EUR"/>
    <n v="-100000"/>
    <s v="CNY"/>
    <n v="829305"/>
    <s v="2026-01-29"/>
    <n v="8.2929999999999993"/>
    <n v="0.1206"/>
    <n v="4.2008999999999999"/>
    <n v="0.50449999999999995"/>
    <n v="-1705.6275000000001"/>
    <s v="FRANCE FR"/>
  </r>
  <r>
    <s v="BKMILL"/>
    <n v="159643"/>
    <n v="912272"/>
    <s v="Spot"/>
    <x v="44"/>
    <s v="Buy"/>
    <s v="EUR"/>
    <n v="150000"/>
    <s v="PLN"/>
    <n v="-630165"/>
    <s v="2026-01-29"/>
    <n v="4.2011000000000003"/>
    <n v="0.23799999999999999"/>
    <n v="4.2008999999999999"/>
    <n v="1"/>
    <n v="-30"/>
    <s v="GERMANY DE"/>
  </r>
  <r>
    <s v="BKMILL"/>
    <n v="159644"/>
    <n v="912276"/>
    <s v="Spot"/>
    <x v="39"/>
    <s v="Buy"/>
    <s v="USD"/>
    <n v="400000"/>
    <s v="NOK"/>
    <n v="-3868696"/>
    <s v="2026-01-29"/>
    <n v="9.6716999999999995"/>
    <n v="0.10340000000000001"/>
    <n v="3.5045000000000002"/>
    <n v="0.36430000000000001"/>
    <n v="-7565.9528"/>
    <s v="UNITED KINGDOM GB"/>
  </r>
  <r>
    <s v="BKMILL"/>
    <n v="159645"/>
    <n v="220632"/>
    <s v="Forward"/>
    <x v="74"/>
    <s v="Buy Fwd"/>
    <s v="EUR"/>
    <n v="170000"/>
    <s v="PLN"/>
    <n v="711280"/>
    <s v="2026-01-27"/>
    <n v="4.1840000000000002"/>
    <n v="0.23899999999999999"/>
    <n v="4.2118000000000002"/>
    <n v="1"/>
    <n v="1427286"/>
    <s v="POLAND PL"/>
  </r>
  <r>
    <s v="BKMILL"/>
    <n v="159646"/>
    <n v="220634"/>
    <s v="Forward"/>
    <x v="160"/>
    <s v="Buy Fwd"/>
    <s v="EUR"/>
    <n v="800000"/>
    <s v="PLN"/>
    <n v="3352000"/>
    <s v="2026-01-27"/>
    <n v="4.1904000000000003"/>
    <n v="0.23860000000000001"/>
    <n v="4.2118000000000002"/>
    <n v="1"/>
    <n v="6721440"/>
    <s v="POLAND PL"/>
  </r>
  <r>
    <s v="BKMILL"/>
    <n v="159648"/>
    <n v="912318"/>
    <s v="Spot"/>
    <x v="39"/>
    <s v="Buy"/>
    <s v="USD"/>
    <n v="500000"/>
    <s v="PLN"/>
    <n v="-1758520"/>
    <s v="2026-01-29"/>
    <n v="3.5169999999999999"/>
    <n v="0.2843"/>
    <n v="3.5045000000000002"/>
    <n v="1"/>
    <n v="-6270"/>
    <s v="UNITED KINGDOM GB"/>
  </r>
  <r>
    <s v="BKMILL"/>
    <n v="159649"/>
    <n v="220640"/>
    <s v="Forward"/>
    <x v="294"/>
    <s v="Buy Fwd"/>
    <s v="EUR"/>
    <n v="26500"/>
    <s v="PLN"/>
    <n v="110968.75"/>
    <s v="2026-01-27"/>
    <n v="4.1878000000000002"/>
    <n v="0.23880000000000001"/>
    <n v="4.2118000000000002"/>
    <n v="1"/>
    <n v="222581.45"/>
    <s v="POLAND PL"/>
  </r>
  <r>
    <s v="BKMILL"/>
    <n v="159650"/>
    <n v="912325"/>
    <s v="Spot"/>
    <x v="40"/>
    <s v="Buy"/>
    <s v="USD"/>
    <n v="500000"/>
    <s v="PLN"/>
    <n v="-1758500"/>
    <s v="2026-01-29"/>
    <n v="3.5169999999999999"/>
    <n v="0.2843"/>
    <n v="3.5045000000000002"/>
    <n v="1"/>
    <n v="-6250"/>
    <s v="UNITED STATES OF AMERICA US"/>
  </r>
  <r>
    <s v="BKMILL"/>
    <n v="159651"/>
    <n v="912326"/>
    <s v="Spot"/>
    <x v="39"/>
    <s v="Buy"/>
    <s v="USD"/>
    <n v="500000"/>
    <s v="PLN"/>
    <n v="-1758335"/>
    <s v="2026-01-29"/>
    <n v="3.5167000000000002"/>
    <n v="0.28439999999999999"/>
    <n v="3.5045000000000002"/>
    <n v="1"/>
    <n v="-6085"/>
    <s v="UNITED KINGDOM GB"/>
  </r>
  <r>
    <s v="BKMILL"/>
    <n v="159652"/>
    <n v="912327"/>
    <s v="Spot"/>
    <x v="41"/>
    <s v="Buy"/>
    <s v="USD"/>
    <n v="500000"/>
    <s v="PLN"/>
    <n v="-1758350"/>
    <s v="2026-01-29"/>
    <n v="3.5167000000000002"/>
    <n v="0.28439999999999999"/>
    <n v="3.5045000000000002"/>
    <n v="1"/>
    <n v="-6100"/>
    <s v="GERMANY DE"/>
  </r>
  <r>
    <s v="BKMILL"/>
    <n v="159654"/>
    <n v="220643"/>
    <s v="Forward"/>
    <x v="448"/>
    <s v="Buy Fwd"/>
    <s v="EUR"/>
    <n v="36400"/>
    <s v="PLN"/>
    <n v="152425"/>
    <s v="2026-01-27"/>
    <n v="4.1878000000000002"/>
    <n v="0.23880000000000001"/>
    <n v="4.2118000000000002"/>
    <n v="1"/>
    <n v="305734.52"/>
    <s v="POLAND PL"/>
  </r>
  <r>
    <s v="BKMILL"/>
    <n v="159655"/>
    <n v="912334"/>
    <s v="Spot"/>
    <x v="71"/>
    <s v="Sell"/>
    <s v="EUR"/>
    <n v="-150000"/>
    <s v="PLN"/>
    <n v="630405"/>
    <s v="2026-01-29"/>
    <n v="4.2027000000000001"/>
    <n v="0.2379"/>
    <n v="4.2008999999999999"/>
    <n v="1"/>
    <n v="270"/>
    <s v="POLAND PL"/>
  </r>
  <r>
    <s v="BKMILL"/>
    <n v="159656"/>
    <n v="220644"/>
    <s v="Forward"/>
    <x v="447"/>
    <s v="Buy Fwd"/>
    <s v="EUR"/>
    <n v="9900"/>
    <s v="PLN"/>
    <n v="41456.25"/>
    <s v="2026-01-27"/>
    <n v="4.1878000000000002"/>
    <n v="0.23880000000000001"/>
    <n v="4.2118000000000002"/>
    <n v="1"/>
    <n v="83153.070000000007"/>
    <s v="POLAND PL"/>
  </r>
  <r>
    <s v="BKMILL"/>
    <n v="159657"/>
    <n v="912341"/>
    <s v="Spot"/>
    <x v="39"/>
    <s v="Buy"/>
    <s v="USD"/>
    <n v="500000"/>
    <s v="PLN"/>
    <n v="-1756545"/>
    <s v="2026-01-29"/>
    <n v="3.5131000000000001"/>
    <n v="0.28460000000000002"/>
    <n v="3.5045000000000002"/>
    <n v="1"/>
    <n v="-4295"/>
    <s v="UNITED KINGDOM GB"/>
  </r>
  <r>
    <s v="BKMILL"/>
    <n v="159660"/>
    <n v="220648"/>
    <s v="Forward"/>
    <x v="621"/>
    <s v="Sell Fwd"/>
    <s v="EUR"/>
    <n v="-50000"/>
    <s v="PLN"/>
    <n v="210000"/>
    <s v="2026-01-27"/>
    <n v="4.2004000000000001"/>
    <n v="0.23810000000000001"/>
    <n v="4.2118000000000002"/>
    <n v="1"/>
    <n v="-590"/>
    <s v="POLAND PL"/>
  </r>
  <r>
    <s v="BKMILL"/>
    <n v="159661"/>
    <n v="912351"/>
    <s v="Spot"/>
    <x v="41"/>
    <s v="Buy"/>
    <s v="EUR"/>
    <n v="2000000"/>
    <s v="PLN"/>
    <n v="-8396000"/>
    <s v="2026-01-29"/>
    <n v="4.1980000000000004"/>
    <n v="0.2382"/>
    <n v="4.2008999999999999"/>
    <n v="1"/>
    <n v="5800"/>
    <s v="GERMANY DE"/>
  </r>
  <r>
    <s v="BKMILL"/>
    <n v="159662"/>
    <n v="912352"/>
    <s v="Spot"/>
    <x v="40"/>
    <s v="Buy"/>
    <s v="EUR"/>
    <n v="500000"/>
    <s v="PLN"/>
    <n v="-2099000"/>
    <s v="2026-01-29"/>
    <n v="4.1980000000000004"/>
    <n v="0.2382"/>
    <n v="4.2008999999999999"/>
    <n v="1"/>
    <n v="1450"/>
    <s v="UNITED STATES OF AMERICA US"/>
  </r>
  <r>
    <s v="BKMILL"/>
    <n v="159663"/>
    <n v="220649"/>
    <s v="Forward"/>
    <x v="315"/>
    <s v="Sell Fwd"/>
    <s v="EUR"/>
    <n v="-100000"/>
    <s v="PLN"/>
    <n v="420000"/>
    <s v="2026-01-27"/>
    <n v="4.2004000000000001"/>
    <n v="0.23810000000000001"/>
    <n v="4.2118000000000002"/>
    <n v="1"/>
    <n v="-1180"/>
    <s v="POLAND PL"/>
  </r>
  <r>
    <s v="BKMILL"/>
    <n v="159664"/>
    <n v="220650"/>
    <s v="Forward"/>
    <x v="315"/>
    <s v="Sell Fwd"/>
    <s v="EUR"/>
    <n v="-100000"/>
    <s v="PLN"/>
    <n v="420000"/>
    <s v="2026-01-27"/>
    <n v="4.2004000000000001"/>
    <n v="0.23810000000000001"/>
    <n v="4.2118000000000002"/>
    <n v="1"/>
    <n v="-1180"/>
    <s v="POLAND PL"/>
  </r>
  <r>
    <s v="BKMILL"/>
    <n v="159665"/>
    <n v="220651"/>
    <s v="Forward"/>
    <x v="315"/>
    <s v="Sell Fwd"/>
    <s v="EUR"/>
    <n v="-100000"/>
    <s v="PLN"/>
    <n v="420000"/>
    <s v="2026-01-27"/>
    <n v="4.2004000000000001"/>
    <n v="0.23810000000000001"/>
    <n v="4.2118000000000002"/>
    <n v="1"/>
    <n v="-1180"/>
    <s v="POLAND PL"/>
  </r>
  <r>
    <s v="BKMILL"/>
    <n v="159666"/>
    <n v="912362"/>
    <s v="Spot"/>
    <x v="39"/>
    <s v="Buy"/>
    <s v="EUR"/>
    <n v="500000"/>
    <s v="PLN"/>
    <n v="-2099125"/>
    <s v="2026-01-29"/>
    <n v="4.1981999999999999"/>
    <n v="0.2382"/>
    <n v="4.2008999999999999"/>
    <n v="1"/>
    <n v="1325"/>
    <s v="UNITED KINGDOM GB"/>
  </r>
  <r>
    <s v="BKMILL"/>
    <n v="159667"/>
    <n v="912363"/>
    <s v="Spot"/>
    <x v="39"/>
    <s v="Buy"/>
    <s v="EUR"/>
    <n v="500000"/>
    <s v="PLN"/>
    <n v="-2099020"/>
    <s v="2026-01-29"/>
    <n v="4.1980000000000004"/>
    <n v="0.2382"/>
    <n v="4.2008999999999999"/>
    <n v="1"/>
    <n v="1430"/>
    <s v="UNITED KINGDOM GB"/>
  </r>
  <r>
    <s v="BKMILL"/>
    <n v="159668"/>
    <n v="912364"/>
    <s v="Spot"/>
    <x v="44"/>
    <s v="Sell"/>
    <s v="EUR"/>
    <n v="-500000"/>
    <s v="PLN"/>
    <n v="2099050"/>
    <s v="2026-01-29"/>
    <n v="4.1981000000000002"/>
    <n v="0.2382"/>
    <n v="4.2008999999999999"/>
    <n v="1"/>
    <n v="-1400"/>
    <s v="GERMANY DE"/>
  </r>
  <r>
    <s v="BKMILL"/>
    <n v="159669"/>
    <n v="912365"/>
    <s v="Spot"/>
    <x v="39"/>
    <s v="Buy"/>
    <s v="EUR"/>
    <n v="500000"/>
    <s v="PLN"/>
    <n v="-2099105"/>
    <s v="2026-01-29"/>
    <n v="4.1981999999999999"/>
    <n v="0.2382"/>
    <n v="4.2008999999999999"/>
    <n v="1"/>
    <n v="1345"/>
    <s v="UNITED KINGDOM GB"/>
  </r>
  <r>
    <s v="BKMILL"/>
    <n v="159670"/>
    <n v="912366"/>
    <s v="Spot"/>
    <x v="39"/>
    <s v="Buy"/>
    <s v="EUR"/>
    <n v="500000"/>
    <s v="PLN"/>
    <n v="-2099105"/>
    <s v="2026-01-29"/>
    <n v="4.1981999999999999"/>
    <n v="0.2382"/>
    <n v="4.2008999999999999"/>
    <n v="1"/>
    <n v="1345"/>
    <s v="UNITED KINGDOM GB"/>
  </r>
  <r>
    <s v="BKMILL"/>
    <n v="159671"/>
    <n v="912367"/>
    <s v="Spot"/>
    <x v="39"/>
    <s v="Buy"/>
    <s v="EUR"/>
    <n v="500000"/>
    <s v="PLN"/>
    <n v="-2099125"/>
    <s v="2026-01-29"/>
    <n v="4.1981999999999999"/>
    <n v="0.2382"/>
    <n v="4.2008999999999999"/>
    <n v="1"/>
    <n v="1325"/>
    <s v="UNITED KINGDOM GB"/>
  </r>
  <r>
    <s v="BKMILL"/>
    <n v="159672"/>
    <n v="912368"/>
    <s v="Spot"/>
    <x v="39"/>
    <s v="Buy"/>
    <s v="EUR"/>
    <n v="500000"/>
    <s v="PLN"/>
    <n v="-2099125"/>
    <s v="2026-01-29"/>
    <n v="4.1981999999999999"/>
    <n v="0.2382"/>
    <n v="4.2008999999999999"/>
    <n v="1"/>
    <n v="1325"/>
    <s v="UNITED KINGDOM GB"/>
  </r>
  <r>
    <s v="BKMILL"/>
    <n v="159673"/>
    <n v="912369"/>
    <s v="Spot"/>
    <x v="39"/>
    <s v="Buy"/>
    <s v="EUR"/>
    <n v="500000"/>
    <s v="PLN"/>
    <n v="-2099105"/>
    <s v="2026-01-29"/>
    <n v="4.1981999999999999"/>
    <n v="0.2382"/>
    <n v="4.2008999999999999"/>
    <n v="1"/>
    <n v="1345"/>
    <s v="UNITED KINGDOM GB"/>
  </r>
  <r>
    <s v="BKMILL"/>
    <n v="159674"/>
    <n v="912370"/>
    <s v="Spot"/>
    <x v="39"/>
    <s v="Buy"/>
    <s v="EUR"/>
    <n v="500000"/>
    <s v="PLN"/>
    <n v="-2098910"/>
    <s v="2026-01-29"/>
    <n v="4.1978"/>
    <n v="0.2382"/>
    <n v="4.2008999999999999"/>
    <n v="1"/>
    <n v="1540"/>
    <s v="UNITED KINGDOM GB"/>
  </r>
  <r>
    <s v="BKMILL"/>
    <n v="159675"/>
    <n v="912371"/>
    <s v="Spot"/>
    <x v="39"/>
    <s v="Buy"/>
    <s v="EUR"/>
    <n v="500000"/>
    <s v="PLN"/>
    <n v="-2098900"/>
    <s v="2026-01-29"/>
    <n v="4.1978"/>
    <n v="0.2382"/>
    <n v="4.2008999999999999"/>
    <n v="1"/>
    <n v="1550"/>
    <s v="UNITED KINGDOM GB"/>
  </r>
  <r>
    <s v="BKMILL"/>
    <n v="159676"/>
    <n v="912372"/>
    <s v="Spot"/>
    <x v="39"/>
    <s v="Buy"/>
    <s v="EUR"/>
    <n v="500000"/>
    <s v="PLN"/>
    <n v="-2098905"/>
    <s v="2026-01-29"/>
    <n v="4.1978"/>
    <n v="0.2382"/>
    <n v="4.2008999999999999"/>
    <n v="1"/>
    <n v="1545"/>
    <s v="UNITED KINGDOM GB"/>
  </r>
  <r>
    <s v="BKMILL"/>
    <n v="159677"/>
    <n v="912373"/>
    <s v="Spot"/>
    <x v="39"/>
    <s v="Buy"/>
    <s v="EUR"/>
    <n v="500000"/>
    <s v="PLN"/>
    <n v="-2099020"/>
    <s v="2026-01-29"/>
    <n v="4.1980000000000004"/>
    <n v="0.2382"/>
    <n v="4.2008999999999999"/>
    <n v="1"/>
    <n v="1430"/>
    <s v="UNITED KINGDOM GB"/>
  </r>
  <r>
    <s v="BKMILL"/>
    <n v="159678"/>
    <n v="912374"/>
    <s v="Spot"/>
    <x v="39"/>
    <s v="Buy"/>
    <s v="EUR"/>
    <n v="500000"/>
    <s v="PLN"/>
    <n v="-2098765"/>
    <s v="2026-01-29"/>
    <n v="4.1974999999999998"/>
    <n v="0.2382"/>
    <n v="4.2008999999999999"/>
    <n v="1"/>
    <n v="1685"/>
    <s v="UNITED KINGDOM GB"/>
  </r>
  <r>
    <s v="BKMILL"/>
    <n v="159679"/>
    <n v="912375"/>
    <s v="Spot"/>
    <x v="39"/>
    <s v="Buy"/>
    <s v="EUR"/>
    <n v="100000"/>
    <s v="DKK"/>
    <n v="-746770"/>
    <s v="2026-01-29"/>
    <n v="7.4676999999999998"/>
    <n v="0.13389999999999999"/>
    <n v="4.2008999999999999"/>
    <n v="0.56259999999999999"/>
    <n v="-42.802"/>
    <s v="UNITED KINGDOM GB"/>
  </r>
  <r>
    <s v="BKMILL"/>
    <n v="159680"/>
    <n v="912376"/>
    <s v="Spot"/>
    <x v="38"/>
    <s v="Buy"/>
    <s v="EUR"/>
    <n v="500000"/>
    <s v="PLN"/>
    <n v="-2098900"/>
    <s v="2026-01-29"/>
    <n v="4.1978"/>
    <n v="0.2382"/>
    <n v="4.2008999999999999"/>
    <n v="1"/>
    <n v="1550"/>
    <s v="NETHERLANDS NL"/>
  </r>
  <r>
    <s v="BKMILL"/>
    <n v="159682"/>
    <n v="912383"/>
    <s v="Spot"/>
    <x v="39"/>
    <s v="Buy"/>
    <s v="EUR"/>
    <n v="500000"/>
    <s v="PLN"/>
    <n v="-2098700"/>
    <s v="2026-01-29"/>
    <n v="4.1974"/>
    <n v="0.2382"/>
    <n v="4.2008999999999999"/>
    <n v="1"/>
    <n v="1750"/>
    <s v="UNITED KINGDOM GB"/>
  </r>
  <r>
    <s v="BKMILL"/>
    <n v="159684"/>
    <n v="912385"/>
    <s v="Spot"/>
    <x v="39"/>
    <s v="Buy"/>
    <s v="EUR"/>
    <n v="500000"/>
    <s v="PLN"/>
    <n v="-2098640"/>
    <s v="2026-01-29"/>
    <n v="4.1973000000000003"/>
    <n v="0.2382"/>
    <n v="4.2008999999999999"/>
    <n v="1"/>
    <n v="1810"/>
    <s v="UNITED KINGDOM GB"/>
  </r>
  <r>
    <s v="BKMILL"/>
    <n v="159685"/>
    <n v="912386"/>
    <s v="Spot"/>
    <x v="39"/>
    <s v="Buy"/>
    <s v="EUR"/>
    <n v="500000"/>
    <s v="PLN"/>
    <n v="-2098655"/>
    <s v="2026-01-29"/>
    <n v="4.1973000000000003"/>
    <n v="0.2382"/>
    <n v="4.2008999999999999"/>
    <n v="1"/>
    <n v="1795"/>
    <s v="UNITED KINGDOM GB"/>
  </r>
  <r>
    <s v="BKMILL"/>
    <n v="159686"/>
    <n v="220654"/>
    <s v="Forward"/>
    <x v="622"/>
    <s v="Sell Fwd"/>
    <s v="DKK"/>
    <n v="-12650000"/>
    <s v="PLN"/>
    <n v="7115625"/>
    <s v="2026-01-27"/>
    <n v="0.5625"/>
    <n v="1.7778"/>
    <n v="0.56399999999999995"/>
    <n v="1"/>
    <n v="-18975"/>
    <s v="POLAND PL"/>
  </r>
  <r>
    <s v="BKMILL"/>
    <n v="159687"/>
    <n v="912393"/>
    <s v="Spot"/>
    <x v="38"/>
    <s v="Sell"/>
    <s v="EUR"/>
    <n v="-1750000"/>
    <s v="DKK"/>
    <n v="13068387.5"/>
    <s v="2026-01-29"/>
    <n v="7.4676"/>
    <n v="0.13389999999999999"/>
    <n v="4.2008999999999999"/>
    <n v="0.56259999999999999"/>
    <n v="699.8075"/>
    <s v="NETHERLANDS NL"/>
  </r>
  <r>
    <s v="BKMILL"/>
    <n v="159688"/>
    <n v="912394"/>
    <s v="Spot"/>
    <x v="41"/>
    <s v="Buy"/>
    <s v="USD"/>
    <n v="500000"/>
    <s v="PLN"/>
    <n v="-1753400"/>
    <s v="2026-01-29"/>
    <n v="3.5068000000000001"/>
    <n v="0.28520000000000001"/>
    <n v="3.5045000000000002"/>
    <n v="1"/>
    <n v="-1150"/>
    <s v="GERMANY DE"/>
  </r>
  <r>
    <s v="BKMILL"/>
    <n v="159689"/>
    <n v="220655"/>
    <s v="Forward"/>
    <x v="622"/>
    <s v="Sell Fwd"/>
    <s v="EUR"/>
    <n v="-5600000"/>
    <s v="PLN"/>
    <n v="23520000"/>
    <s v="2026-01-28"/>
    <n v="4.2001999999999997"/>
    <n v="0.23810000000000001"/>
    <n v="4.2031999999999998"/>
    <n v="1"/>
    <n v="-17920"/>
    <s v="POLAND PL"/>
  </r>
  <r>
    <s v="BKMILL"/>
    <n v="159690"/>
    <n v="912400"/>
    <s v="Spot"/>
    <x v="39"/>
    <s v="Buy"/>
    <s v="EUR"/>
    <n v="500000"/>
    <s v="PLN"/>
    <n v="-2098895"/>
    <s v="2026-01-29"/>
    <n v="4.1978"/>
    <n v="0.2382"/>
    <n v="4.2008999999999999"/>
    <n v="1"/>
    <n v="1555"/>
    <s v="UNITED KINGDOM GB"/>
  </r>
  <r>
    <s v="BKMILL"/>
    <n v="159691"/>
    <n v="220656"/>
    <s v="Forward"/>
    <x v="201"/>
    <s v="Sell Fwd"/>
    <s v="EUR"/>
    <n v="-18000"/>
    <s v="PLN"/>
    <n v="76050"/>
    <s v="2026-01-27"/>
    <n v="4.2249999999999996"/>
    <n v="0.23669999999999999"/>
    <n v="4.2118000000000002"/>
    <n v="1"/>
    <n v="237.6"/>
    <s v="POLAND PL"/>
  </r>
  <r>
    <s v="BKMILL"/>
    <n v="159692"/>
    <n v="912404"/>
    <s v="Spot"/>
    <x v="39"/>
    <s v="Buy"/>
    <s v="EUR"/>
    <n v="500000"/>
    <s v="PLN"/>
    <n v="-2098715"/>
    <s v="2026-01-29"/>
    <n v="4.1974"/>
    <n v="0.2382"/>
    <n v="4.2008999999999999"/>
    <n v="1"/>
    <n v="1735"/>
    <s v="UNITED KINGDOM GB"/>
  </r>
  <r>
    <s v="BKMILL"/>
    <n v="159693"/>
    <n v="912405"/>
    <s v="Spot"/>
    <x v="97"/>
    <s v="Sell"/>
    <s v="EUR"/>
    <n v="-300000"/>
    <s v="PLN"/>
    <n v="1259400"/>
    <s v="2026-01-29"/>
    <n v="4.1980000000000004"/>
    <n v="0.2382"/>
    <n v="4.2008999999999999"/>
    <n v="1"/>
    <n v="-870"/>
    <s v="POLAND PL"/>
  </r>
  <r>
    <s v="BKMILL"/>
    <n v="159694"/>
    <n v="912406"/>
    <s v="Spot"/>
    <x v="39"/>
    <s v="Buy"/>
    <s v="EUR"/>
    <n v="500000"/>
    <s v="PLN"/>
    <n v="-2098720"/>
    <s v="2026-01-29"/>
    <n v="4.1974"/>
    <n v="0.2382"/>
    <n v="4.2008999999999999"/>
    <n v="1"/>
    <n v="1730"/>
    <s v="UNITED KINGDOM GB"/>
  </r>
  <r>
    <s v="BKMILL"/>
    <n v="159695"/>
    <n v="912407"/>
    <s v="Spot"/>
    <x v="39"/>
    <s v="Buy"/>
    <s v="EUR"/>
    <n v="500000"/>
    <s v="PLN"/>
    <n v="-2098710"/>
    <s v="2026-01-29"/>
    <n v="4.1974"/>
    <n v="0.2382"/>
    <n v="4.2008999999999999"/>
    <n v="1"/>
    <n v="1740"/>
    <s v="UNITED KINGDOM GB"/>
  </r>
  <r>
    <s v="BKMILL"/>
    <n v="159696"/>
    <n v="912408"/>
    <s v="Spot"/>
    <x v="39"/>
    <s v="Buy"/>
    <s v="EUR"/>
    <n v="500000"/>
    <s v="PLN"/>
    <n v="-2098715"/>
    <s v="2026-01-29"/>
    <n v="4.1974"/>
    <n v="0.2382"/>
    <n v="4.2008999999999999"/>
    <n v="1"/>
    <n v="1735"/>
    <s v="UNITED KINGDOM GB"/>
  </r>
  <r>
    <s v="BKMILL"/>
    <n v="159697"/>
    <n v="220657"/>
    <s v="Forward"/>
    <x v="219"/>
    <s v="Sell Fwd"/>
    <s v="USD"/>
    <n v="-15000"/>
    <s v="PLN"/>
    <n v="52710"/>
    <s v="2026-01-27"/>
    <n v="3.5139999999999998"/>
    <n v="0.28460000000000002"/>
    <n v="3.5499000000000001"/>
    <n v="1"/>
    <n v="-538.5"/>
    <s v="POLAND PL"/>
  </r>
  <r>
    <s v="BKMILL"/>
    <n v="159698"/>
    <n v="912418"/>
    <s v="Spot"/>
    <x v="39"/>
    <s v="Buy"/>
    <s v="EUR"/>
    <n v="1000000"/>
    <s v="PLN"/>
    <n v="-4195770"/>
    <s v="2026-01-29"/>
    <n v="4.1958000000000002"/>
    <n v="0.23830000000000001"/>
    <n v="4.2008999999999999"/>
    <n v="1"/>
    <n v="5130"/>
    <s v="UNITED KINGDOM GB"/>
  </r>
  <r>
    <s v="BKMILL"/>
    <n v="159699"/>
    <n v="912419"/>
    <s v="Spot"/>
    <x v="39"/>
    <s v="Buy"/>
    <s v="EUR"/>
    <n v="1000000"/>
    <s v="PLN"/>
    <n v="-4195910"/>
    <s v="2026-01-29"/>
    <n v="4.1959"/>
    <n v="0.23830000000000001"/>
    <n v="4.2008999999999999"/>
    <n v="1"/>
    <n v="4990"/>
    <s v="UNITED KINGDOM GB"/>
  </r>
  <r>
    <s v="BKMILL"/>
    <n v="159700"/>
    <n v="912420"/>
    <s v="Spot"/>
    <x v="39"/>
    <s v="Buy"/>
    <s v="EUR"/>
    <n v="1000000"/>
    <s v="PLN"/>
    <n v="-4195900"/>
    <s v="2026-01-29"/>
    <n v="4.1959"/>
    <n v="0.23830000000000001"/>
    <n v="4.2008999999999999"/>
    <n v="1"/>
    <n v="5000"/>
    <s v="UNITED KINGDOM GB"/>
  </r>
  <r>
    <s v="BKMILL"/>
    <n v="159701"/>
    <n v="912421"/>
    <s v="Spot"/>
    <x v="39"/>
    <s v="Buy"/>
    <s v="EUR"/>
    <n v="1000000"/>
    <s v="PLN"/>
    <n v="-4195890"/>
    <s v="2026-01-29"/>
    <n v="4.1959"/>
    <n v="0.23830000000000001"/>
    <n v="4.2008999999999999"/>
    <n v="1"/>
    <n v="5010"/>
    <s v="UNITED KINGDOM GB"/>
  </r>
  <r>
    <s v="BKMILL"/>
    <n v="159702"/>
    <n v="912422"/>
    <s v="Spot"/>
    <x v="39"/>
    <s v="Buy"/>
    <s v="EUR"/>
    <n v="1000000"/>
    <s v="PLN"/>
    <n v="-4195940"/>
    <s v="2026-01-29"/>
    <n v="4.1959"/>
    <n v="0.23830000000000001"/>
    <n v="4.2008999999999999"/>
    <n v="1"/>
    <n v="4960"/>
    <s v="UNITED KINGDOM GB"/>
  </r>
  <r>
    <s v="BKMILL"/>
    <n v="159703"/>
    <n v="912423"/>
    <s v="Spot"/>
    <x v="39"/>
    <s v="Buy"/>
    <s v="EUR"/>
    <n v="1000000"/>
    <s v="PLN"/>
    <n v="-4195910"/>
    <s v="2026-01-29"/>
    <n v="4.1959"/>
    <n v="0.23830000000000001"/>
    <n v="4.2008999999999999"/>
    <n v="1"/>
    <n v="4990"/>
    <s v="UNITED KINGDOM GB"/>
  </r>
  <r>
    <s v="BKMILL"/>
    <n v="159704"/>
    <n v="912424"/>
    <s v="Spot"/>
    <x v="39"/>
    <s v="Buy"/>
    <s v="EUR"/>
    <n v="1000000"/>
    <s v="PLN"/>
    <n v="-4195920"/>
    <s v="2026-01-29"/>
    <n v="4.1959"/>
    <n v="0.23830000000000001"/>
    <n v="4.2008999999999999"/>
    <n v="1"/>
    <n v="4980"/>
    <s v="UNITED KINGDOM GB"/>
  </r>
  <r>
    <s v="BKMILL"/>
    <n v="159705"/>
    <n v="912425"/>
    <s v="Spot"/>
    <x v="39"/>
    <s v="Buy"/>
    <s v="EUR"/>
    <n v="500000"/>
    <s v="PLN"/>
    <n v="-2097920"/>
    <s v="2026-01-29"/>
    <n v="4.1958000000000002"/>
    <n v="0.23830000000000001"/>
    <n v="4.2008999999999999"/>
    <n v="1"/>
    <n v="2530"/>
    <s v="UNITED KINGDOM GB"/>
  </r>
  <r>
    <s v="BKMILL"/>
    <n v="159706"/>
    <n v="912426"/>
    <s v="Spot"/>
    <x v="622"/>
    <s v="Sell"/>
    <s v="EUR"/>
    <n v="-1550000"/>
    <s v="PLN"/>
    <n v="6510000"/>
    <s v="2026-01-29"/>
    <n v="4.2"/>
    <n v="0.23810000000000001"/>
    <n v="4.2008999999999999"/>
    <n v="1"/>
    <n v="-1395"/>
    <s v="POLAND PL"/>
  </r>
  <r>
    <s v="BKMILL"/>
    <n v="159707"/>
    <n v="220660"/>
    <s v="Forward"/>
    <x v="622"/>
    <s v="Sell Fwd"/>
    <s v="EUR"/>
    <n v="-8600000"/>
    <s v="PLN"/>
    <n v="36111400"/>
    <s v="2026-01-30"/>
    <n v="4.1988000000000003"/>
    <n v="0.2382"/>
    <n v="4.2072000000000003"/>
    <n v="1"/>
    <n v="-70520"/>
    <s v="POLAND PL"/>
  </r>
  <r>
    <s v="BKMILL"/>
    <n v="159708"/>
    <n v="912430"/>
    <s v="Spot"/>
    <x v="40"/>
    <s v="Buy"/>
    <s v="EUR"/>
    <n v="100000"/>
    <s v="USD"/>
    <n v="-119520"/>
    <s v="2026-01-29"/>
    <n v="1.1952"/>
    <n v="0.8367"/>
    <n v="4.2008999999999999"/>
    <n v="3.5045000000000002"/>
    <n v="1232.1600000000001"/>
    <s v="UNITED STATES OF AMERICA US"/>
  </r>
  <r>
    <s v="BKMILL"/>
    <n v="159709"/>
    <n v="912431"/>
    <s v="Spot"/>
    <x v="40"/>
    <s v="Buy"/>
    <s v="EUR"/>
    <n v="100000"/>
    <s v="USD"/>
    <n v="-119516"/>
    <s v="2026-01-29"/>
    <n v="1.1952"/>
    <n v="0.8367"/>
    <n v="4.2008999999999999"/>
    <n v="3.5045000000000002"/>
    <n v="1246.1780000000001"/>
    <s v="UNITED STATES OF AMERICA US"/>
  </r>
  <r>
    <s v="BKMILL"/>
    <n v="159710"/>
    <n v="912432"/>
    <s v="Spot"/>
    <x v="40"/>
    <s v="Buy"/>
    <s v="EUR"/>
    <n v="100000"/>
    <s v="USD"/>
    <n v="-119514"/>
    <s v="2026-01-29"/>
    <n v="1.1951000000000001"/>
    <n v="0.8367"/>
    <n v="4.2008999999999999"/>
    <n v="3.5045000000000002"/>
    <n v="1253.1869999999999"/>
    <s v="UNITED STATES OF AMERICA US"/>
  </r>
  <r>
    <s v="BKMILL"/>
    <n v="159711"/>
    <n v="220661"/>
    <s v="Forward"/>
    <x v="125"/>
    <s v="Buy Fwd"/>
    <s v="EUR"/>
    <n v="300000"/>
    <s v="PLN"/>
    <n v="1242000"/>
    <s v="2026-01-27"/>
    <n v="4.1399999999999997"/>
    <n v="0.24149999999999999"/>
    <n v="4.2118000000000002"/>
    <n v="1"/>
    <n v="2505540"/>
    <s v="POLAND PL"/>
  </r>
  <r>
    <s v="BKMILL"/>
    <n v="159714"/>
    <n v="912442"/>
    <s v="Spot"/>
    <x v="87"/>
    <s v="Sell"/>
    <s v="EUR"/>
    <n v="-100000"/>
    <s v="PLN"/>
    <n v="420000"/>
    <s v="2026-01-29"/>
    <n v="4.2"/>
    <n v="0.23810000000000001"/>
    <n v="4.2008999999999999"/>
    <n v="1"/>
    <n v="-90"/>
    <s v="POLAND PL"/>
  </r>
  <r>
    <s v="BKMILL"/>
    <n v="159715"/>
    <n v="220663"/>
    <s v="Forward"/>
    <x v="116"/>
    <s v="Buy Fwd"/>
    <s v="PLN"/>
    <n v="150000"/>
    <s v="EUR"/>
    <n v="35629.449999999997"/>
    <s v="2026-01-27"/>
    <n v="4.2104999999999997"/>
    <n v="0.23749999999999999"/>
    <n v="1"/>
    <n v="4.2118000000000002"/>
    <n v="300064.11751000001"/>
    <s v="POLAND PL"/>
  </r>
  <r>
    <s v="BKMILL"/>
    <n v="159716"/>
    <n v="220664"/>
    <s v="Forward"/>
    <x v="12"/>
    <s v="Sell Fwd"/>
    <s v="EUR"/>
    <n v="-2500000"/>
    <s v="PLN"/>
    <n v="10500000"/>
    <s v="2026-01-28"/>
    <n v="4.2"/>
    <n v="0.23810000000000001"/>
    <n v="4.2031999999999998"/>
    <n v="1"/>
    <n v="-8000"/>
    <s v="POLAND PL"/>
  </r>
  <r>
    <s v="BKMILL"/>
    <n v="159717"/>
    <n v="220666"/>
    <s v="Forward"/>
    <x v="12"/>
    <s v="Sell Fwd"/>
    <s v="EUR"/>
    <n v="-2000000"/>
    <s v="PLN"/>
    <n v="8406000"/>
    <s v="2026-01-28"/>
    <n v="4.2030000000000003"/>
    <n v="0.2379"/>
    <n v="4.2031999999999998"/>
    <n v="1"/>
    <n v="-400"/>
    <s v="POLAND PL"/>
  </r>
  <r>
    <s v="BKMILL"/>
    <n v="159718"/>
    <n v="912456"/>
    <s v="Spot"/>
    <x v="44"/>
    <s v="Buy"/>
    <s v="EUR"/>
    <n v="500000"/>
    <s v="PLN"/>
    <n v="-2099400"/>
    <s v="2026-01-29"/>
    <n v="4.1988000000000003"/>
    <n v="0.2382"/>
    <n v="4.2008999999999999"/>
    <n v="1"/>
    <n v="1050"/>
    <s v="GERMANY DE"/>
  </r>
  <r>
    <s v="BKMILL"/>
    <n v="159719"/>
    <n v="912465"/>
    <s v="Spot"/>
    <x v="40"/>
    <s v="Buy"/>
    <s v="USD"/>
    <n v="141331.76"/>
    <s v="PLN"/>
    <n v="-494912.73"/>
    <s v="2026-01-29"/>
    <n v="3.5017999999999998"/>
    <n v="0.28560000000000002"/>
    <n v="3.5045000000000002"/>
    <n v="1"/>
    <n v="384.42291999999998"/>
    <s v="UNITED STATES OF AMERICA US"/>
  </r>
  <r>
    <s v="BKMILL"/>
    <n v="159720"/>
    <n v="912466"/>
    <s v="Spot"/>
    <x v="40"/>
    <s v="Sell"/>
    <s v="CHF"/>
    <n v="-29985.54"/>
    <s v="PLN"/>
    <n v="137030.01999999999"/>
    <s v="2026-01-29"/>
    <n v="4.5698999999999996"/>
    <n v="0.21879999999999999"/>
    <n v="4.5683999999999996"/>
    <n v="1"/>
    <n v="44.079064000000002"/>
    <s v="UNITED STATES OF AMERICA US"/>
  </r>
  <r>
    <s v="BKMILL"/>
    <n v="159721"/>
    <n v="912467"/>
    <s v="Spot"/>
    <x v="40"/>
    <s v="Buy"/>
    <s v="USD"/>
    <n v="42509.65"/>
    <s v="PLN"/>
    <n v="-148950.41"/>
    <s v="2026-01-29"/>
    <n v="3.5038999999999998"/>
    <n v="0.28539999999999999"/>
    <n v="3.5045000000000002"/>
    <n v="1"/>
    <n v="24.658425000000001"/>
    <s v="UNITED STATES OF AMERICA US"/>
  </r>
  <r>
    <s v="BKMILL"/>
    <n v="159722"/>
    <n v="912468"/>
    <s v="Spot"/>
    <x v="40"/>
    <s v="Buy"/>
    <s v="EUR"/>
    <n v="44681.07"/>
    <s v="PLN"/>
    <n v="-187570.24"/>
    <s v="2026-01-29"/>
    <n v="4.1980000000000004"/>
    <n v="0.2382"/>
    <n v="4.2008999999999999"/>
    <n v="1"/>
    <n v="130.46696299999999"/>
    <s v="UNITED STATES OF AMERICA US"/>
  </r>
  <r>
    <s v="BKMILL"/>
    <n v="159723"/>
    <n v="912469"/>
    <s v="Spot"/>
    <x v="40"/>
    <s v="Buy"/>
    <s v="GBP"/>
    <n v="686.45"/>
    <s v="PLN"/>
    <n v="-3315.14"/>
    <s v="2026-01-29"/>
    <n v="4.8293999999999997"/>
    <n v="0.20710000000000001"/>
    <n v="4.8319999999999999"/>
    <n v="1"/>
    <n v="1.7864"/>
    <s v="UNITED STATES OF AMERICA US"/>
  </r>
  <r>
    <s v="BKMILL"/>
    <n v="159724"/>
    <n v="912474"/>
    <s v="Spot"/>
    <x v="40"/>
    <s v="Buy"/>
    <s v="EUR"/>
    <n v="109369.76"/>
    <s v="PLN"/>
    <n v="-459113.47"/>
    <s v="2026-01-29"/>
    <n v="4.1978"/>
    <n v="0.2382"/>
    <n v="4.2008999999999999"/>
    <n v="1"/>
    <n v="337.95478400000002"/>
    <s v="UNITED STATES OF AMERICA US"/>
  </r>
  <r>
    <s v="BKMILL"/>
    <n v="159725"/>
    <n v="912476"/>
    <s v="Spot"/>
    <x v="41"/>
    <s v="Sell"/>
    <s v="GBP"/>
    <n v="-4879.0600000000004"/>
    <s v="PLN"/>
    <n v="23580.98"/>
    <s v="2026-01-29"/>
    <n v="4.8331"/>
    <n v="0.2069"/>
    <n v="4.8319999999999999"/>
    <n v="1"/>
    <n v="5.3620799999999997"/>
    <s v="GERMANY DE"/>
  </r>
  <r>
    <s v="BKMILL"/>
    <n v="159726"/>
    <n v="912477"/>
    <s v="Spot"/>
    <x v="40"/>
    <s v="Buy"/>
    <s v="USD"/>
    <n v="63629.87"/>
    <s v="PLN"/>
    <n v="-223151.23"/>
    <s v="2026-01-29"/>
    <n v="3.5070000000000001"/>
    <n v="0.28510000000000002"/>
    <n v="3.5045000000000002"/>
    <n v="1"/>
    <n v="-160.350585"/>
    <s v="UNITED STATES OF AMERICA US"/>
  </r>
  <r>
    <s v="BKMILL"/>
    <n v="159727"/>
    <n v="912478"/>
    <s v="Spot"/>
    <x v="40"/>
    <s v="Buy"/>
    <s v="EUR"/>
    <n v="20579.650000000001"/>
    <s v="PLN"/>
    <n v="-86436.59"/>
    <s v="2026-01-29"/>
    <n v="4.2000999999999999"/>
    <n v="0.23810000000000001"/>
    <n v="4.2008999999999999"/>
    <n v="1"/>
    <n v="16.461684999999999"/>
    <s v="UNITED STATES OF AMERICA US"/>
  </r>
  <r>
    <s v="BKMILL"/>
    <n v="159728"/>
    <n v="912479"/>
    <s v="Spot"/>
    <x v="40"/>
    <s v="Sell"/>
    <s v="CHF"/>
    <n v="-9213.81"/>
    <s v="PLN"/>
    <n v="42151.89"/>
    <s v="2026-01-29"/>
    <n v="4.5749000000000004"/>
    <n v="0.21859999999999999"/>
    <n v="4.5683999999999996"/>
    <n v="1"/>
    <n v="59.520395999999998"/>
    <s v="UNITED STATES OF AMERICA US"/>
  </r>
  <r>
    <s v="BKMILL"/>
    <n v="159729"/>
    <n v="912484"/>
    <s v="Spot"/>
    <x v="41"/>
    <s v="Buy"/>
    <s v="USD"/>
    <n v="110082.66"/>
    <s v="PLN"/>
    <n v="-385982.83"/>
    <s v="2026-01-29"/>
    <n v="3.5063"/>
    <n v="0.28520000000000001"/>
    <n v="3.5045000000000002"/>
    <n v="1"/>
    <n v="-198.14803000000001"/>
    <s v="GERMANY DE"/>
  </r>
  <r>
    <s v="BKMILL"/>
    <n v="159730"/>
    <n v="912486"/>
    <s v="Spot"/>
    <x v="40"/>
    <s v="Buy"/>
    <s v="USD"/>
    <n v="1200000"/>
    <s v="PLN"/>
    <n v="-4189440"/>
    <s v="2026-01-29"/>
    <n v="3.4912000000000001"/>
    <n v="0.28639999999999999"/>
    <n v="3.5045000000000002"/>
    <n v="1"/>
    <n v="15960"/>
    <s v="UNITED STATES OF AMERICA US"/>
  </r>
  <r>
    <s v="BKMILL"/>
    <n v="159731"/>
    <n v="912487"/>
    <s v="Spot"/>
    <x v="40"/>
    <s v="Buy"/>
    <s v="USD"/>
    <n v="1000000"/>
    <s v="PLN"/>
    <n v="-3488500"/>
    <s v="2026-01-29"/>
    <n v="3.4885000000000002"/>
    <n v="0.28670000000000001"/>
    <n v="3.5045000000000002"/>
    <n v="1"/>
    <n v="16000"/>
    <s v="UNITED STATES OF AMERICA US"/>
  </r>
  <r>
    <s v="BKMILL"/>
    <n v="159732"/>
    <n v="912488"/>
    <s v="Spot"/>
    <x v="41"/>
    <s v="Buy"/>
    <s v="USD"/>
    <n v="209063.35"/>
    <s v="PLN"/>
    <n v="-729526.56"/>
    <s v="2026-01-29"/>
    <n v="3.4895"/>
    <n v="0.28660000000000002"/>
    <n v="3.5045000000000002"/>
    <n v="1"/>
    <n v="3135.9500750000002"/>
    <s v="GERMANY DE"/>
  </r>
  <r>
    <s v="BKMILL"/>
    <n v="159733"/>
    <n v="912490"/>
    <s v="Spot"/>
    <x v="42"/>
    <s v="Buy"/>
    <s v="EUR"/>
    <n v="30632.01"/>
    <s v="PLN"/>
    <n v="-128644.03"/>
    <s v="2026-01-30"/>
    <n v="4.1997"/>
    <n v="0.23810000000000001"/>
    <n v="4.2072000000000003"/>
    <n v="1"/>
    <n v="230.96247199999999"/>
    <s v="SWITZERLAND CH"/>
  </r>
  <r>
    <s v="BKMILL"/>
    <n v="159734"/>
    <n v="912491"/>
    <s v="Spot"/>
    <x v="40"/>
    <s v="Buy"/>
    <s v="USD"/>
    <n v="93631.28"/>
    <s v="PLN"/>
    <n v="-326518.49"/>
    <s v="2026-01-30"/>
    <n v="3.4872999999999998"/>
    <n v="0.2868"/>
    <n v="3.5188999999999999"/>
    <n v="1"/>
    <n v="2960.6211920000001"/>
    <s v="UNITED STATES OF AMERICA US"/>
  </r>
  <r>
    <s v="BKMILL"/>
    <n v="159735"/>
    <n v="912492"/>
    <s v="Spot"/>
    <x v="40"/>
    <s v="Sell"/>
    <s v="CHF"/>
    <n v="-1839.78"/>
    <s v="PLN"/>
    <n v="8413.31"/>
    <s v="2026-01-30"/>
    <n v="4.5730000000000004"/>
    <n v="0.21870000000000001"/>
    <n v="4.5830000000000002"/>
    <n v="1"/>
    <n v="-18.40174"/>
    <s v="UNITED STATES OF AMERICA US"/>
  </r>
  <r>
    <s v="BKMILL"/>
    <n v="159736"/>
    <n v="912525"/>
    <s v="Spot"/>
    <x v="43"/>
    <s v="Buy"/>
    <s v="USD"/>
    <n v="23455.09"/>
    <s v="PLN"/>
    <n v="-82082.960000000006"/>
    <s v="2026-01-30"/>
    <n v="3.4996"/>
    <n v="0.28570000000000001"/>
    <n v="3.5188999999999999"/>
    <n v="1"/>
    <n v="453.15620100000001"/>
    <s v="FRANCE FR"/>
  </r>
  <r>
    <s v="BKMILL"/>
    <n v="159737"/>
    <n v="912526"/>
    <s v="Spot"/>
    <x v="43"/>
    <s v="Buy"/>
    <s v="EUR"/>
    <n v="9209.77"/>
    <s v="PLN"/>
    <n v="-38677.81"/>
    <s v="2026-01-30"/>
    <n v="4.1997"/>
    <n v="0.23810000000000001"/>
    <n v="4.2072000000000003"/>
    <n v="1"/>
    <n v="69.534344000000004"/>
    <s v="FRANCE FR"/>
  </r>
  <r>
    <s v="BKMILL"/>
    <n v="159738"/>
    <n v="912527"/>
    <s v="Spot"/>
    <x v="43"/>
    <s v="Sell"/>
    <s v="GBP"/>
    <n v="-2354"/>
    <s v="PLN"/>
    <n v="11377"/>
    <s v="2026-01-30"/>
    <n v="4.8331"/>
    <n v="0.2069"/>
    <n v="4.8574000000000002"/>
    <n v="1"/>
    <n v="-57.319600000000001"/>
    <s v="FRANCE FR"/>
  </r>
  <r>
    <s v="BKMILL"/>
    <n v="159739"/>
    <n v="220668"/>
    <s v="Forward"/>
    <x v="55"/>
    <s v="Sell Fwd"/>
    <s v="EUR"/>
    <n v="-1000"/>
    <s v="PLN"/>
    <n v="4197.5"/>
    <s v="2026-01-28"/>
    <n v="4.1981000000000002"/>
    <n v="0.2382"/>
    <n v="4.2031999999999998"/>
    <n v="1"/>
    <n v="-5.7"/>
    <s v="SPAIN ES"/>
  </r>
  <r>
    <s v="BKMILL"/>
    <n v="159740"/>
    <n v="220670"/>
    <s v="Forward"/>
    <x v="26"/>
    <s v="Sell Fwd"/>
    <s v="USD"/>
    <n v="-25000"/>
    <s v="PLN"/>
    <n v="87597.5"/>
    <s v="2026-01-28"/>
    <n v="3.5038"/>
    <n v="0.28539999999999999"/>
    <n v="3.5354000000000001"/>
    <n v="1"/>
    <n v="-787.5"/>
    <s v="POLAND PL"/>
  </r>
  <r>
    <s v="BKMILL"/>
    <n v="159741"/>
    <n v="220671"/>
    <s v="Forward"/>
    <x v="55"/>
    <s v="Buy Fwd"/>
    <s v="USD"/>
    <n v="25000"/>
    <s v="PLN"/>
    <n v="87472.35"/>
    <s v="2026-01-28"/>
    <n v="3.4988000000000001"/>
    <n v="0.2858"/>
    <n v="3.5354000000000001"/>
    <n v="1"/>
    <n v="175857.35"/>
    <s v="SPAIN ES"/>
  </r>
  <r>
    <s v="BKMILL"/>
    <n v="159742"/>
    <n v="220673"/>
    <s v="Forward"/>
    <x v="42"/>
    <s v="Buy Fwd"/>
    <s v="EUR"/>
    <n v="7285"/>
    <s v="PLN"/>
    <n v="30582.58"/>
    <s v="2026-01-28"/>
    <n v="4.1982999999999997"/>
    <n v="0.2382"/>
    <n v="4.2031999999999998"/>
    <n v="1"/>
    <n v="61202.892"/>
    <s v="SWITZERLAND CH"/>
  </r>
  <r>
    <s v="BKMILL"/>
    <n v="159743"/>
    <n v="220674"/>
    <s v="Forward"/>
    <x v="40"/>
    <s v="Sell Fwd"/>
    <s v="EUR"/>
    <n v="-1300"/>
    <s v="PLN"/>
    <n v="5455.54"/>
    <s v="2026-01-28"/>
    <n v="4.1970000000000001"/>
    <n v="0.23830000000000001"/>
    <n v="4.2031999999999998"/>
    <n v="1"/>
    <n v="-8.6199999999999992"/>
    <s v="UNITED STATES OF AMERICA US"/>
  </r>
  <r>
    <s v="BKMILL"/>
    <n v="159744"/>
    <n v="220676"/>
    <s v="Forward"/>
    <x v="41"/>
    <s v="Buy Fwd"/>
    <s v="USD"/>
    <n v="34000"/>
    <s v="PLN"/>
    <n v="118985.99"/>
    <s v="2026-01-28"/>
    <n v="3.4994999999999998"/>
    <n v="0.2858"/>
    <n v="3.5354000000000001"/>
    <n v="1"/>
    <n v="239189.59"/>
    <s v="GERMANY DE"/>
  </r>
  <r>
    <s v="BKMILL"/>
    <n v="159745"/>
    <n v="220678"/>
    <s v="Forward"/>
    <x v="41"/>
    <s v="Buy Fwd"/>
    <s v="EUR"/>
    <n v="20000"/>
    <s v="PLN"/>
    <n v="83950.56"/>
    <s v="2026-01-28"/>
    <n v="4.1978"/>
    <n v="0.2382"/>
    <n v="4.2031999999999998"/>
    <n v="1"/>
    <n v="168014.56"/>
    <s v="GERMANY DE"/>
  </r>
  <r>
    <s v="BKMILL"/>
    <n v="159746"/>
    <n v="220680"/>
    <s v="Forward"/>
    <x v="42"/>
    <s v="Buy Fwd"/>
    <s v="EUR"/>
    <n v="50000"/>
    <s v="PLN"/>
    <n v="209802.55"/>
    <s v="2026-01-28"/>
    <n v="4.1962999999999999"/>
    <n v="0.23830000000000001"/>
    <n v="4.2031999999999998"/>
    <n v="1"/>
    <n v="419962.55"/>
    <s v="SWITZERLAND CH"/>
  </r>
  <r>
    <s v="BKMILL"/>
    <n v="159747"/>
    <n v="912559"/>
    <s v="Spot"/>
    <x v="42"/>
    <s v="Sell"/>
    <s v="CHF"/>
    <n v="-1652.74"/>
    <s v="PLN"/>
    <n v="7555.48"/>
    <s v="2026-01-30"/>
    <n v="4.5715000000000003"/>
    <n v="0.21870000000000001"/>
    <n v="4.5830000000000002"/>
    <n v="1"/>
    <n v="-19.027419999999999"/>
    <s v="SWITZERLAND CH"/>
  </r>
  <r>
    <s v="BKMILL"/>
    <n v="159748"/>
    <n v="912560"/>
    <s v="Spot"/>
    <x v="42"/>
    <s v="Sell"/>
    <s v="EUR"/>
    <n v="-6215.3"/>
    <s v="PLN"/>
    <n v="26072.5"/>
    <s v="2026-01-30"/>
    <n v="4.1948999999999996"/>
    <n v="0.2384"/>
    <n v="4.2072000000000003"/>
    <n v="1"/>
    <n v="-76.510159999999999"/>
    <s v="SWITZERLAND CH"/>
  </r>
  <r>
    <s v="BKMILL"/>
    <n v="159749"/>
    <n v="912561"/>
    <s v="Spot"/>
    <x v="42"/>
    <s v="Sell"/>
    <s v="USD"/>
    <n v="-37333.089999999997"/>
    <s v="PLN"/>
    <n v="130251.42"/>
    <s v="2026-01-30"/>
    <n v="3.4889000000000001"/>
    <n v="0.28660000000000002"/>
    <n v="3.5188999999999999"/>
    <n v="1"/>
    <n v="-1119.990401"/>
    <s v="SWITZERLAND CH"/>
  </r>
  <r>
    <s v="BKMILL"/>
    <n v="159750"/>
    <n v="912562"/>
    <s v="Spot"/>
    <x v="42"/>
    <s v="Sell"/>
    <s v="GBP"/>
    <n v="-6990.66"/>
    <s v="PLN"/>
    <n v="33726.300000000003"/>
    <s v="2026-01-30"/>
    <n v="4.8244999999999996"/>
    <n v="0.20730000000000001"/>
    <n v="4.8574000000000002"/>
    <n v="1"/>
    <n v="-230.13188400000001"/>
    <s v="SWITZERLAND CH"/>
  </r>
  <r>
    <s v="BKMILL"/>
    <n v="159751"/>
    <n v="220683"/>
    <s v="Forward"/>
    <x v="36"/>
    <s v="Buy Fwd"/>
    <s v="EUR"/>
    <n v="48500"/>
    <s v="PLN"/>
    <n v="203510.27"/>
    <s v="2026-01-28"/>
    <n v="4.1963999999999997"/>
    <n v="0.23830000000000001"/>
    <n v="4.2031999999999998"/>
    <n v="1"/>
    <n v="407365.47"/>
    <s v="UNITED KINGDOM GB"/>
  </r>
  <r>
    <s v="BKMILL"/>
    <n v="159752"/>
    <n v="220685"/>
    <s v="Forward"/>
    <x v="41"/>
    <s v="Buy Fwd"/>
    <s v="EUR"/>
    <n v="22682"/>
    <s v="PLN"/>
    <n v="95163.08"/>
    <s v="2026-01-28"/>
    <n v="4.1958000000000002"/>
    <n v="0.23830000000000001"/>
    <n v="4.2031999999999998"/>
    <n v="1"/>
    <n v="190500.0624"/>
    <s v="GERMANY DE"/>
  </r>
  <r>
    <s v="BKMILL"/>
    <n v="159753"/>
    <n v="220686"/>
    <s v="Forward"/>
    <x v="41"/>
    <s v="Buy Fwd"/>
    <s v="EUR"/>
    <n v="10000"/>
    <s v="PLN"/>
    <n v="41950.36"/>
    <s v="2026-01-28"/>
    <n v="4.1952999999999996"/>
    <n v="0.2384"/>
    <n v="4.2031999999999998"/>
    <n v="1"/>
    <n v="83982.36"/>
    <s v="GERMANY DE"/>
  </r>
  <r>
    <s v="BKMILL"/>
    <n v="159754"/>
    <n v="220688"/>
    <s v="Forward"/>
    <x v="36"/>
    <s v="Sell Fwd"/>
    <s v="EUR"/>
    <n v="-1500"/>
    <s v="PLN"/>
    <n v="6291.72"/>
    <s v="2026-01-28"/>
    <n v="4.1948999999999996"/>
    <n v="0.2384"/>
    <n v="4.2031999999999998"/>
    <n v="1"/>
    <n v="-13.08"/>
    <s v="UNITED KINGDOM GB"/>
  </r>
  <r>
    <s v="BKMILL"/>
    <n v="159755"/>
    <n v="220690"/>
    <s v="Forward"/>
    <x v="41"/>
    <s v="Buy Fwd"/>
    <s v="EUR"/>
    <n v="8000"/>
    <s v="PLN"/>
    <n v="33565.089999999997"/>
    <s v="2026-01-28"/>
    <n v="4.1959"/>
    <n v="0.23830000000000001"/>
    <n v="4.2031999999999998"/>
    <n v="1"/>
    <n v="67190.69"/>
    <s v="GERMANY DE"/>
  </r>
  <r>
    <s v="BKMILL"/>
    <n v="159756"/>
    <n v="220693"/>
    <s v="Forward"/>
    <x v="70"/>
    <s v="Buy Fwd"/>
    <s v="EUR"/>
    <n v="40000"/>
    <s v="PLN"/>
    <n v="167640"/>
    <s v="2026-01-28"/>
    <n v="4.1909999999999998"/>
    <n v="0.23860000000000001"/>
    <n v="4.2031999999999998"/>
    <n v="1"/>
    <n v="335768"/>
    <s v="POLAND PL"/>
  </r>
  <r>
    <s v="BKMILL"/>
    <n v="159757"/>
    <n v="220694"/>
    <s v="Forward"/>
    <x v="70"/>
    <s v="Buy Fwd"/>
    <s v="EUR"/>
    <n v="17871.61"/>
    <s v="PLN"/>
    <n v="75000"/>
    <s v="2026-01-28"/>
    <n v="4.1909999999999998"/>
    <n v="0.23860000000000001"/>
    <n v="4.2031999999999998"/>
    <n v="1"/>
    <n v="150117.95115199999"/>
    <s v="POLAND PL"/>
  </r>
  <r>
    <s v="BKMILL"/>
    <n v="159758"/>
    <n v="220698"/>
    <s v="Forward"/>
    <x v="623"/>
    <s v="Sell Fwd"/>
    <s v="EUR"/>
    <n v="-50000"/>
    <s v="PLN"/>
    <n v="210440"/>
    <s v="2026-01-28"/>
    <n v="4.2092000000000001"/>
    <n v="0.23760000000000001"/>
    <n v="4.2031999999999998"/>
    <n v="1"/>
    <n v="280"/>
    <s v="POLAND PL"/>
  </r>
  <r>
    <s v="BKMILL"/>
    <n v="159759"/>
    <n v="220699"/>
    <s v="Forward"/>
    <x v="623"/>
    <s v="Sell Fwd"/>
    <s v="USD"/>
    <n v="-50000"/>
    <s v="PLN"/>
    <n v="175590"/>
    <s v="2026-01-28"/>
    <n v="3.5118"/>
    <n v="0.2848"/>
    <n v="3.5354000000000001"/>
    <n v="1"/>
    <n v="-1180"/>
    <s v="POLAND PL"/>
  </r>
  <r>
    <s v="BKMILL"/>
    <n v="159762"/>
    <n v="912628"/>
    <s v="Spot"/>
    <x v="527"/>
    <s v="Sell"/>
    <s v="EUR"/>
    <n v="-20475.189999999999"/>
    <s v="PLN"/>
    <n v="86759.52"/>
    <s v="2026-01-30"/>
    <n v="4.2373000000000003"/>
    <n v="0.23599999999999999"/>
    <n v="4.2072000000000003"/>
    <n v="1"/>
    <n v="616.30063199999995"/>
    <s v="POLAND PL"/>
  </r>
  <r>
    <s v="BKMILL"/>
    <n v="159763"/>
    <n v="220705"/>
    <s v="Forward"/>
    <x v="129"/>
    <s v="Buy Fwd"/>
    <s v="EUR"/>
    <n v="3417"/>
    <s v="USD"/>
    <n v="4090.49"/>
    <s v="2026-01-28"/>
    <n v="1.1973"/>
    <n v="0.83520000000000005"/>
    <n v="4.2031999999999998"/>
    <n v="3.5354000000000001"/>
    <n v="28823.852746"/>
    <s v="POLAND PL"/>
  </r>
  <r>
    <s v="BKMILL"/>
    <n v="159764"/>
    <n v="220706"/>
    <s v="Forward"/>
    <x v="32"/>
    <s v="Sell Fwd"/>
    <s v="EUR"/>
    <n v="-10000"/>
    <s v="PLN"/>
    <n v="41993"/>
    <s v="2026-01-28"/>
    <n v="4.1997"/>
    <n v="0.23810000000000001"/>
    <n v="4.2031999999999998"/>
    <n v="1"/>
    <n v="-39"/>
    <s v="POLAND PL"/>
  </r>
  <r>
    <s v="BKMILL"/>
    <n v="159765"/>
    <n v="912642"/>
    <s v="Spot"/>
    <x v="40"/>
    <s v="Buy"/>
    <s v="EUR"/>
    <n v="2610510"/>
    <s v="PLN"/>
    <n v="-10952394.710000001"/>
    <s v="2026-01-30"/>
    <n v="4.1955"/>
    <n v="0.2384"/>
    <n v="4.2072000000000003"/>
    <n v="1"/>
    <n v="30542.962"/>
    <s v="UNITED STATES OF AMERICA US"/>
  </r>
  <r>
    <s v="BKMILL"/>
    <n v="159766"/>
    <n v="220709"/>
    <s v="Forward"/>
    <x v="216"/>
    <s v="Buy Fwd"/>
    <s v="EUR"/>
    <n v="100000"/>
    <s v="USD"/>
    <n v="119800"/>
    <s v="2026-01-28"/>
    <n v="1.1981999999999999"/>
    <n v="0.83460000000000001"/>
    <n v="4.2031999999999998"/>
    <n v="3.5354000000000001"/>
    <n v="843860.92"/>
    <s v="POLAND PL"/>
  </r>
  <r>
    <s v="BKMILL"/>
    <n v="159768"/>
    <n v="220712"/>
    <s v="Forward"/>
    <x v="32"/>
    <s v="Sell Fwd"/>
    <s v="EUR"/>
    <n v="-10000"/>
    <s v="PLN"/>
    <n v="41997"/>
    <s v="2026-01-28"/>
    <n v="4.2000999999999999"/>
    <n v="0.23810000000000001"/>
    <n v="4.2031999999999998"/>
    <n v="1"/>
    <n v="-35"/>
    <s v="POLAND PL"/>
  </r>
  <r>
    <s v="BKMILL"/>
    <n v="159769"/>
    <n v="912662"/>
    <s v="Spot"/>
    <x v="44"/>
    <s v="Buy"/>
    <s v="EUR"/>
    <n v="500000"/>
    <s v="PLN"/>
    <n v="-2098600"/>
    <s v="2026-01-30"/>
    <n v="4.1971999999999996"/>
    <n v="0.23830000000000001"/>
    <n v="4.2072000000000003"/>
    <n v="1"/>
    <n v="5000"/>
    <s v="GERMANY DE"/>
  </r>
  <r>
    <s v="BKMILL"/>
    <n v="159770"/>
    <n v="220714"/>
    <s v="Forward"/>
    <x v="160"/>
    <s v="Buy Fwd"/>
    <s v="EUR"/>
    <n v="105000"/>
    <s v="PLN"/>
    <n v="439635"/>
    <s v="2026-01-28"/>
    <n v="4.1874000000000002"/>
    <n v="0.23880000000000001"/>
    <n v="4.2031999999999998"/>
    <n v="1"/>
    <n v="880971"/>
    <s v="POLAND PL"/>
  </r>
  <r>
    <s v="BKMILL"/>
    <n v="159771"/>
    <n v="220718"/>
    <s v="Forward"/>
    <x v="313"/>
    <s v="Sell Fwd"/>
    <s v="EUR"/>
    <n v="-50000"/>
    <s v="PLN"/>
    <n v="209975"/>
    <s v="2026-01-28"/>
    <n v="4.1994999999999996"/>
    <n v="0.23810000000000001"/>
    <n v="4.2031999999999998"/>
    <n v="1"/>
    <n v="-185"/>
    <s v="POLAND PL"/>
  </r>
  <r>
    <s v="BKMILL"/>
    <n v="159772"/>
    <n v="912682"/>
    <s v="Spot"/>
    <x v="51"/>
    <s v="Sell"/>
    <s v="EUR"/>
    <n v="-200000"/>
    <s v="PLN"/>
    <n v="839520"/>
    <s v="2026-01-30"/>
    <n v="4.1976000000000004"/>
    <n v="0.2382"/>
    <n v="4.2072000000000003"/>
    <n v="1"/>
    <n v="-1920"/>
    <s v="POLAND PL"/>
  </r>
  <r>
    <s v="BKMILL"/>
    <n v="159773"/>
    <n v="912683"/>
    <s v="Spot"/>
    <x v="32"/>
    <s v="Sell"/>
    <s v="EUR"/>
    <n v="-10000"/>
    <s v="PLN"/>
    <n v="41977"/>
    <s v="2026-01-30"/>
    <n v="4.1977000000000002"/>
    <n v="0.2382"/>
    <n v="4.2072000000000003"/>
    <n v="1"/>
    <n v="-95"/>
    <s v="POLAND PL"/>
  </r>
  <r>
    <s v="BKMILL"/>
    <n v="159775"/>
    <n v="220722"/>
    <s v="Forward"/>
    <x v="32"/>
    <s v="Sell Fwd"/>
    <s v="EUR"/>
    <n v="-10000"/>
    <s v="PLN"/>
    <n v="41965"/>
    <s v="2026-01-28"/>
    <n v="4.1969000000000003"/>
    <n v="0.23830000000000001"/>
    <n v="4.2031999999999998"/>
    <n v="1"/>
    <n v="-67"/>
    <s v="POLAND PL"/>
  </r>
  <r>
    <s v="BKMILL"/>
    <n v="159776"/>
    <n v="220723"/>
    <s v="Forward"/>
    <x v="133"/>
    <s v="Buy Fwd"/>
    <s v="EUR"/>
    <n v="10000"/>
    <s v="PLN"/>
    <n v="41900"/>
    <s v="2026-01-28"/>
    <n v="4.1904000000000003"/>
    <n v="0.23860000000000001"/>
    <n v="4.2031999999999998"/>
    <n v="1"/>
    <n v="83932"/>
    <s v="POLAND PL"/>
  </r>
  <r>
    <s v="BKMILL"/>
    <n v="159777"/>
    <n v="912696"/>
    <s v="Spot"/>
    <x v="63"/>
    <s v="Sell"/>
    <s v="USD"/>
    <n v="-5000"/>
    <s v="PLN"/>
    <n v="17507.5"/>
    <s v="2026-01-30"/>
    <n v="3.5015000000000001"/>
    <n v="0.28560000000000002"/>
    <n v="3.5188999999999999"/>
    <n v="1"/>
    <n v="-87"/>
    <s v="POLAND PL"/>
  </r>
  <r>
    <s v="BKMILL"/>
    <n v="159779"/>
    <n v="220727"/>
    <s v="Forward"/>
    <x v="68"/>
    <s v="Sell Fwd"/>
    <s v="EUR"/>
    <n v="-454300"/>
    <s v="PLN"/>
    <n v="1906379.09"/>
    <s v="2026-01-28"/>
    <n v="4.1966999999999999"/>
    <n v="0.23830000000000001"/>
    <n v="4.2031999999999998"/>
    <n v="1"/>
    <n v="-3134.67"/>
    <s v="POLAND PL"/>
  </r>
  <r>
    <s v="BKMILL"/>
    <n v="159780"/>
    <n v="220731"/>
    <s v="Forward"/>
    <x v="32"/>
    <s v="Sell Fwd"/>
    <s v="EUR"/>
    <n v="-10000"/>
    <s v="PLN"/>
    <n v="41980"/>
    <s v="2026-01-28"/>
    <n v="4.1984000000000004"/>
    <n v="0.2382"/>
    <n v="4.2031999999999998"/>
    <n v="1"/>
    <n v="-52"/>
    <s v="POLAND PL"/>
  </r>
  <r>
    <s v="BKMILL"/>
    <n v="159781"/>
    <n v="912721"/>
    <s v="Spot"/>
    <x v="624"/>
    <s v="Buy"/>
    <s v="EUR"/>
    <n v="1000"/>
    <s v="PLN"/>
    <n v="-4145.5"/>
    <s v="2026-01-30"/>
    <n v="4.1455000000000002"/>
    <n v="0.2412"/>
    <n v="4.2072000000000003"/>
    <n v="1"/>
    <n v="61.7"/>
    <s v="CYPRUS CY"/>
  </r>
  <r>
    <s v="BKMILL"/>
    <n v="159783"/>
    <n v="912723"/>
    <s v="Spot"/>
    <x v="38"/>
    <s v="Buy"/>
    <s v="EUR"/>
    <n v="500000"/>
    <s v="PLN"/>
    <n v="-2097885"/>
    <s v="2026-01-30"/>
    <n v="4.1958000000000002"/>
    <n v="0.23830000000000001"/>
    <n v="4.2072000000000003"/>
    <n v="1"/>
    <n v="5715"/>
    <s v="NETHERLANDS NL"/>
  </r>
  <r>
    <s v="BKMILL"/>
    <n v="159784"/>
    <n v="220732"/>
    <s v="Forward"/>
    <x v="292"/>
    <s v="Buy Fwd"/>
    <s v="EUR"/>
    <n v="10000"/>
    <s v="PLN"/>
    <n v="41300"/>
    <s v="2026-01-28"/>
    <n v="4.1303999999999998"/>
    <n v="0.24210000000000001"/>
    <n v="4.2031999999999998"/>
    <n v="1"/>
    <n v="83332"/>
    <s v="POLAND PL"/>
  </r>
  <r>
    <s v="BKMILL"/>
    <n v="159785"/>
    <n v="912727"/>
    <s v="Spot"/>
    <x v="41"/>
    <s v="Buy"/>
    <s v="EUR"/>
    <n v="500000"/>
    <s v="PLN"/>
    <n v="-2097900"/>
    <s v="2026-01-30"/>
    <n v="4.1958000000000002"/>
    <n v="0.23830000000000001"/>
    <n v="4.2072000000000003"/>
    <n v="1"/>
    <n v="5700"/>
    <s v="GERMANY DE"/>
  </r>
  <r>
    <s v="BKMILL"/>
    <n v="159786"/>
    <n v="912728"/>
    <s v="Spot"/>
    <x v="91"/>
    <s v="Buy"/>
    <s v="USD"/>
    <n v="50000"/>
    <s v="PLN"/>
    <n v="-174875"/>
    <s v="2026-01-30"/>
    <n v="3.4975000000000001"/>
    <n v="0.28589999999999999"/>
    <n v="3.5188999999999999"/>
    <n v="1"/>
    <n v="1070"/>
    <s v="POLAND PL"/>
  </r>
  <r>
    <s v="BKMILL"/>
    <n v="159787"/>
    <n v="220733"/>
    <s v="Forward"/>
    <x v="149"/>
    <s v="Sell Fwd"/>
    <s v="EUR"/>
    <n v="-50000"/>
    <s v="PLN"/>
    <n v="209975"/>
    <s v="2026-01-28"/>
    <n v="4.1994999999999996"/>
    <n v="0.23810000000000001"/>
    <n v="4.2031999999999998"/>
    <n v="1"/>
    <n v="-185"/>
    <s v="POLAND PL"/>
  </r>
  <r>
    <s v="BKMILL"/>
    <n v="159788"/>
    <n v="220735"/>
    <s v="Forward"/>
    <x v="32"/>
    <s v="Sell Fwd"/>
    <s v="EUR"/>
    <n v="-10000"/>
    <s v="PLN"/>
    <n v="41996"/>
    <s v="2026-01-28"/>
    <n v="4.2"/>
    <n v="0.23810000000000001"/>
    <n v="4.2031999999999998"/>
    <n v="1"/>
    <n v="-36"/>
    <s v="POLAND PL"/>
  </r>
  <r>
    <s v="BKMILL"/>
    <n v="159789"/>
    <n v="912738"/>
    <s v="Spot"/>
    <x v="91"/>
    <s v="Buy"/>
    <s v="CNY"/>
    <n v="500000"/>
    <s v="PLN"/>
    <n v="-251800"/>
    <s v="2026-01-30"/>
    <n v="0.50360000000000005"/>
    <n v="1.9857"/>
    <n v="0.50660000000000005"/>
    <n v="1"/>
    <n v="1500"/>
    <s v="POLAND PL"/>
  </r>
  <r>
    <s v="BKMILL"/>
    <n v="159790"/>
    <n v="220736"/>
    <s v="Forward"/>
    <x v="32"/>
    <s v="Sell Fwd"/>
    <s v="EUR"/>
    <n v="-10000"/>
    <s v="PLN"/>
    <n v="41990"/>
    <s v="2026-01-28"/>
    <n v="4.1993999999999998"/>
    <n v="0.23810000000000001"/>
    <n v="4.2031999999999998"/>
    <n v="1"/>
    <n v="-42"/>
    <s v="POLAND PL"/>
  </r>
  <r>
    <s v="BKMILL"/>
    <n v="159792"/>
    <n v="220739"/>
    <s v="Forward"/>
    <x v="274"/>
    <s v="Sell Fwd"/>
    <s v="EUR"/>
    <n v="-8500"/>
    <s v="PLN"/>
    <n v="35793.5"/>
    <s v="2026-01-28"/>
    <n v="4.2114000000000003"/>
    <n v="0.23749999999999999"/>
    <n v="4.2031999999999998"/>
    <n v="1"/>
    <n v="66.3"/>
    <s v="POLAND PL"/>
  </r>
  <r>
    <s v="BKMILL"/>
    <n v="159797"/>
    <n v="912766"/>
    <s v="Spot"/>
    <x v="43"/>
    <s v="Buy"/>
    <s v="EUR"/>
    <n v="250000"/>
    <s v="CNY"/>
    <n v="-2077932.5"/>
    <s v="2026-01-30"/>
    <n v="8.3117000000000001"/>
    <n v="0.1203"/>
    <n v="4.2072000000000003"/>
    <n v="0.50660000000000005"/>
    <n v="-880.60450000000003"/>
    <s v="FRANCE FR"/>
  </r>
  <r>
    <s v="BKMILL"/>
    <n v="159799"/>
    <n v="220746"/>
    <s v="Forward"/>
    <x v="460"/>
    <s v="Buy Fwd"/>
    <s v="EUR"/>
    <n v="400000"/>
    <s v="PLN"/>
    <n v="1640000"/>
    <s v="2026-01-28"/>
    <n v="4.0999999999999996"/>
    <n v="0.24390000000000001"/>
    <n v="4.2031999999999998"/>
    <n v="1"/>
    <n v="3321280"/>
    <s v="POLAND PL"/>
  </r>
  <r>
    <s v="BKMILL"/>
    <n v="159800"/>
    <n v="912779"/>
    <s v="Spot"/>
    <x v="30"/>
    <s v="Sell"/>
    <s v="EUR"/>
    <n v="-40000"/>
    <s v="NOK"/>
    <n v="460788"/>
    <s v="2026-01-30"/>
    <n v="11.5197"/>
    <n v="8.6800000000000002E-2"/>
    <n v="4.2072000000000003"/>
    <n v="0.3674"/>
    <n v="1005.5112"/>
    <s v="POLAND PL"/>
  </r>
  <r>
    <s v="BKMILL"/>
    <n v="159801"/>
    <n v="912793"/>
    <s v="Spot"/>
    <x v="45"/>
    <s v="Buy"/>
    <s v="EUR"/>
    <n v="100000"/>
    <s v="NOK"/>
    <n v="-1151680"/>
    <s v="2026-01-30"/>
    <n v="11.5168"/>
    <n v="8.6800000000000002E-2"/>
    <n v="4.2072000000000003"/>
    <n v="0.3674"/>
    <n v="-2407.232"/>
    <s v="SWITZERLAND CH"/>
  </r>
  <r>
    <s v="BKMILL"/>
    <n v="159805"/>
    <n v="220750"/>
    <s v="Forward"/>
    <x v="132"/>
    <s v="Buy Fwd"/>
    <s v="USD"/>
    <n v="100000"/>
    <s v="PLN"/>
    <n v="349340"/>
    <s v="2026-01-28"/>
    <n v="3.4935"/>
    <n v="0.28620000000000001"/>
    <n v="3.5354000000000001"/>
    <n v="1"/>
    <n v="702880"/>
    <s v="POLAND PL"/>
  </r>
  <r>
    <s v="BKMILL"/>
    <n v="159806"/>
    <n v="912807"/>
    <s v="Spot"/>
    <x v="41"/>
    <s v="Buy"/>
    <s v="USD"/>
    <n v="500000"/>
    <s v="PLN"/>
    <n v="-1751900"/>
    <s v="2026-01-30"/>
    <n v="3.5038"/>
    <n v="0.28539999999999999"/>
    <n v="3.5188999999999999"/>
    <n v="1"/>
    <n v="7550"/>
    <s v="GERMANY DE"/>
  </r>
  <r>
    <s v="BKMILL"/>
    <n v="159808"/>
    <n v="912811"/>
    <s v="Spot"/>
    <x v="41"/>
    <s v="Buy"/>
    <s v="USD"/>
    <n v="500000"/>
    <s v="PLN"/>
    <n v="-1751700"/>
    <s v="2026-01-30"/>
    <n v="3.5034000000000001"/>
    <n v="0.28539999999999999"/>
    <n v="3.5188999999999999"/>
    <n v="1"/>
    <n v="7750"/>
    <s v="GERMANY DE"/>
  </r>
  <r>
    <s v="BKMILL"/>
    <n v="159809"/>
    <n v="220753"/>
    <s v="Forward"/>
    <x v="469"/>
    <s v="Buy Fwd"/>
    <s v="EUR"/>
    <n v="2216.75"/>
    <s v="PLN"/>
    <n v="9088.68"/>
    <s v="2026-01-28"/>
    <n v="4.0999999999999996"/>
    <n v="0.24390000000000001"/>
    <n v="4.2031999999999998"/>
    <n v="1"/>
    <n v="18406.123599999999"/>
    <s v="POLAND PL"/>
  </r>
  <r>
    <s v="BKMILL"/>
    <n v="159810"/>
    <n v="220754"/>
    <s v="Forward"/>
    <x v="469"/>
    <s v="Buy Fwd"/>
    <s v="EUR"/>
    <n v="2821.22"/>
    <s v="PLN"/>
    <n v="11567"/>
    <s v="2026-01-28"/>
    <n v="4.0999999999999996"/>
    <n v="0.24390000000000001"/>
    <n v="4.2031999999999998"/>
    <n v="1"/>
    <n v="23425.151903999998"/>
    <s v="POLAND PL"/>
  </r>
  <r>
    <s v="BKMILL"/>
    <n v="159811"/>
    <n v="220755"/>
    <s v="Forward"/>
    <x v="469"/>
    <s v="Buy Fwd"/>
    <s v="EUR"/>
    <n v="1617.71"/>
    <s v="PLN"/>
    <n v="6632.61"/>
    <s v="2026-01-28"/>
    <n v="4.0999999999999996"/>
    <n v="0.24390000000000001"/>
    <n v="4.2031999999999998"/>
    <n v="1"/>
    <n v="13432.168672"/>
    <s v="POLAND PL"/>
  </r>
  <r>
    <s v="BKMILL"/>
    <n v="159812"/>
    <n v="220756"/>
    <s v="Forward"/>
    <x v="469"/>
    <s v="Buy Fwd"/>
    <s v="EUR"/>
    <n v="3501.37"/>
    <s v="PLN"/>
    <n v="14355.62"/>
    <s v="2026-01-28"/>
    <n v="4.0999999999999996"/>
    <n v="0.24390000000000001"/>
    <n v="4.2031999999999998"/>
    <n v="1"/>
    <n v="29072.578384"/>
    <s v="POLAND PL"/>
  </r>
  <r>
    <s v="BKMILL"/>
    <n v="159813"/>
    <n v="220757"/>
    <s v="Forward"/>
    <x v="469"/>
    <s v="Buy Fwd"/>
    <s v="EUR"/>
    <n v="2272.33"/>
    <s v="PLN"/>
    <n v="9316.5499999999993"/>
    <s v="2026-01-28"/>
    <n v="4.0999999999999996"/>
    <n v="0.24390000000000001"/>
    <n v="4.2031999999999998"/>
    <n v="1"/>
    <n v="18867.607456000002"/>
    <s v="POLAND PL"/>
  </r>
  <r>
    <s v="BKMILL"/>
    <n v="159814"/>
    <n v="220758"/>
    <s v="Forward"/>
    <x v="469"/>
    <s v="Buy Fwd"/>
    <s v="EUR"/>
    <n v="600"/>
    <s v="PLN"/>
    <n v="2460"/>
    <s v="2026-01-28"/>
    <n v="4.0999999999999996"/>
    <n v="0.24390000000000001"/>
    <n v="4.2031999999999998"/>
    <n v="1"/>
    <n v="4981.92"/>
    <s v="POLAND PL"/>
  </r>
  <r>
    <s v="BKMILL"/>
    <n v="159815"/>
    <n v="220760"/>
    <s v="Forward"/>
    <x v="469"/>
    <s v="Buy Fwd"/>
    <s v="EUR"/>
    <n v="2209.21"/>
    <s v="PLN"/>
    <n v="9057.76"/>
    <s v="2026-01-28"/>
    <n v="4.0999999999999996"/>
    <n v="0.24390000000000001"/>
    <n v="4.2031999999999998"/>
    <n v="1"/>
    <n v="18343.511471999998"/>
    <s v="POLAND PL"/>
  </r>
  <r>
    <s v="BKMILL"/>
    <n v="159816"/>
    <n v="220762"/>
    <s v="Forward"/>
    <x v="469"/>
    <s v="Buy Fwd"/>
    <s v="EUR"/>
    <n v="2441.19"/>
    <s v="PLN"/>
    <n v="10008.879999999999"/>
    <s v="2026-01-28"/>
    <n v="4.0999999999999996"/>
    <n v="0.24390000000000001"/>
    <n v="4.2031999999999998"/>
    <n v="1"/>
    <n v="20269.689807999999"/>
    <s v="POLAND PL"/>
  </r>
  <r>
    <s v="BKMILL"/>
    <n v="159817"/>
    <n v="220763"/>
    <s v="Forward"/>
    <x v="469"/>
    <s v="Buy Fwd"/>
    <s v="EUR"/>
    <n v="2180.21"/>
    <s v="PLN"/>
    <n v="8938.86"/>
    <s v="2026-01-28"/>
    <n v="4.0999999999999996"/>
    <n v="0.24390000000000001"/>
    <n v="4.2031999999999998"/>
    <n v="1"/>
    <n v="18102.718671999999"/>
    <s v="POLAND PL"/>
  </r>
  <r>
    <s v="BKMILL"/>
    <n v="159818"/>
    <n v="220764"/>
    <s v="Forward"/>
    <x v="469"/>
    <s v="Buy Fwd"/>
    <s v="EUR"/>
    <n v="2179.84"/>
    <s v="PLN"/>
    <n v="8937.34"/>
    <s v="2026-01-28"/>
    <n v="4.0999999999999996"/>
    <n v="0.24390000000000001"/>
    <n v="4.2031999999999998"/>
    <n v="1"/>
    <n v="18099.643488000002"/>
    <s v="POLAND PL"/>
  </r>
  <r>
    <s v="BKMILL"/>
    <n v="159819"/>
    <n v="220765"/>
    <s v="Forward"/>
    <x v="469"/>
    <s v="Buy Fwd"/>
    <s v="EUR"/>
    <n v="600"/>
    <s v="PLN"/>
    <n v="2460"/>
    <s v="2026-01-28"/>
    <n v="4.0999999999999996"/>
    <n v="0.24390000000000001"/>
    <n v="4.2031999999999998"/>
    <n v="1"/>
    <n v="4981.92"/>
    <s v="POLAND PL"/>
  </r>
  <r>
    <s v="BKMILL"/>
    <n v="159820"/>
    <n v="220766"/>
    <s v="Forward"/>
    <x v="469"/>
    <s v="Buy Fwd"/>
    <s v="EUR"/>
    <n v="287.51"/>
    <s v="PLN"/>
    <n v="1178.79"/>
    <s v="2026-01-28"/>
    <n v="4.0999999999999996"/>
    <n v="0.24390000000000001"/>
    <n v="4.2031999999999998"/>
    <n v="1"/>
    <n v="2387.2520319999999"/>
    <s v="POLAND PL"/>
  </r>
  <r>
    <s v="BKMILL"/>
    <n v="159821"/>
    <n v="220767"/>
    <s v="Forward"/>
    <x v="469"/>
    <s v="Buy Fwd"/>
    <s v="EUR"/>
    <n v="1233.8699999999999"/>
    <s v="PLN"/>
    <n v="5058.87"/>
    <s v="2026-01-28"/>
    <n v="4.0999999999999996"/>
    <n v="0.24390000000000001"/>
    <n v="4.2031999999999998"/>
    <n v="1"/>
    <n v="10245.072383999999"/>
    <s v="POLAND PL"/>
  </r>
  <r>
    <s v="BKMILL"/>
    <n v="159822"/>
    <n v="220769"/>
    <s v="Forward"/>
    <x v="336"/>
    <s v="Buy Fwd"/>
    <s v="EUR"/>
    <n v="40000"/>
    <s v="PLN"/>
    <n v="166800"/>
    <s v="2026-01-28"/>
    <n v="4.17"/>
    <n v="0.23980000000000001"/>
    <n v="4.2031999999999998"/>
    <n v="1"/>
    <n v="334928"/>
    <s v="POLAND PL"/>
  </r>
  <r>
    <s v="BKMILL"/>
    <n v="159823"/>
    <n v="220771"/>
    <s v="Forward"/>
    <x v="172"/>
    <s v="Buy Fwd"/>
    <s v="EUR"/>
    <n v="20000"/>
    <s v="PLN"/>
    <n v="83850"/>
    <s v="2026-01-28"/>
    <n v="4.1924999999999999"/>
    <n v="0.23849999999999999"/>
    <n v="4.2031999999999998"/>
    <n v="1"/>
    <n v="167914"/>
    <s v="POLAND PL"/>
  </r>
  <r>
    <s v="BKMILL"/>
    <n v="159828"/>
    <n v="220780"/>
    <s v="Forward"/>
    <x v="625"/>
    <s v="Buy Fwd"/>
    <s v="EUR"/>
    <n v="10000"/>
    <s v="PLN"/>
    <n v="41773"/>
    <s v="2026-01-28"/>
    <n v="4.1778000000000004"/>
    <n v="0.2394"/>
    <n v="4.2031999999999998"/>
    <n v="1"/>
    <n v="83805"/>
    <s v="POLAND PL"/>
  </r>
  <r>
    <s v="BKMILL"/>
    <n v="159832"/>
    <n v="220787"/>
    <s v="Forward"/>
    <x v="122"/>
    <s v="Buy Fwd"/>
    <s v="EUR"/>
    <n v="40000"/>
    <s v="PLN"/>
    <n v="167800"/>
    <s v="2026-01-28"/>
    <n v="4.1950000000000003"/>
    <n v="0.2384"/>
    <n v="4.2031999999999998"/>
    <n v="1"/>
    <n v="335928"/>
    <s v="POLAND PL"/>
  </r>
  <r>
    <s v="BKMILL"/>
    <n v="159833"/>
    <n v="912940"/>
    <s v="Spot"/>
    <x v="626"/>
    <s v="Sell"/>
    <s v="EUR"/>
    <n v="-127676.46"/>
    <s v="PLN"/>
    <n v="536917.81999999995"/>
    <s v="2026-01-30"/>
    <n v="4.2053000000000003"/>
    <n v="0.23780000000000001"/>
    <n v="4.2072000000000003"/>
    <n v="1"/>
    <n v="-242.58251200000001"/>
    <s v="POLAND PL"/>
  </r>
  <r>
    <s v="BKMILL"/>
    <n v="159834"/>
    <n v="220792"/>
    <s v="Forward"/>
    <x v="249"/>
    <s v="Sell Fwd"/>
    <s v="EUR"/>
    <n v="-18966.330000000002"/>
    <s v="PLN"/>
    <n v="79999.98"/>
    <s v="2026-01-28"/>
    <n v="4.2175000000000002"/>
    <n v="0.23710000000000001"/>
    <n v="4.2031999999999998"/>
    <n v="1"/>
    <n v="280.70174400000002"/>
    <s v="POLAND PL"/>
  </r>
  <r>
    <s v="BKMILL"/>
    <n v="159835"/>
    <n v="912948"/>
    <s v="Spot"/>
    <x v="40"/>
    <s v="Sell"/>
    <s v="EUR"/>
    <n v="-100000"/>
    <s v="USD"/>
    <n v="119910"/>
    <s v="2026-01-30"/>
    <n v="1.1991000000000001"/>
    <n v="0.83399999999999996"/>
    <n v="4.2072000000000003"/>
    <n v="3.5188999999999999"/>
    <n v="1231.299"/>
    <s v="UNITED STATES OF AMERICA US"/>
  </r>
  <r>
    <s v="BKMILL"/>
    <n v="159837"/>
    <n v="220803"/>
    <s v="Forward"/>
    <x v="627"/>
    <s v="Buy Fwd"/>
    <s v="EUR"/>
    <n v="70000"/>
    <s v="PLN"/>
    <n v="292250"/>
    <s v="2026-01-29"/>
    <n v="4.1752000000000002"/>
    <n v="0.23949999999999999"/>
    <n v="4.2008999999999999"/>
    <n v="1"/>
    <n v="586313"/>
    <s v="POLAND PL"/>
  </r>
  <r>
    <s v="BKMILL"/>
    <n v="159838"/>
    <n v="220809"/>
    <s v="Forward"/>
    <x v="628"/>
    <s v="Sell Fwd"/>
    <s v="EUR"/>
    <n v="-10000"/>
    <s v="PLN"/>
    <n v="42075"/>
    <s v="2026-01-28"/>
    <n v="4.2074999999999996"/>
    <n v="0.23769999999999999"/>
    <n v="4.2031999999999998"/>
    <n v="1"/>
    <n v="43"/>
    <s v="POLAND PL"/>
  </r>
  <r>
    <s v="BKMILL"/>
    <n v="159839"/>
    <n v="913011"/>
    <s v="Spot"/>
    <x v="167"/>
    <s v="Sell"/>
    <s v="EUR"/>
    <n v="-600000"/>
    <s v="PLN"/>
    <n v="2521800"/>
    <s v="2026-01-30"/>
    <n v="4.2030000000000003"/>
    <n v="0.2379"/>
    <n v="4.2072000000000003"/>
    <n v="1"/>
    <n v="-2520"/>
    <s v="POLAND PL"/>
  </r>
  <r>
    <s v="BKMILL"/>
    <n v="159840"/>
    <n v="913012"/>
    <s v="Spot"/>
    <x v="366"/>
    <s v="Sell"/>
    <s v="EUR"/>
    <n v="-1000"/>
    <s v="PLN"/>
    <n v="4221.2"/>
    <s v="2026-01-30"/>
    <n v="4.2211999999999996"/>
    <n v="0.2369"/>
    <n v="4.2072000000000003"/>
    <n v="1"/>
    <n v="14"/>
    <s v="POLAND PL"/>
  </r>
  <r>
    <s v="BKMILL"/>
    <n v="159841"/>
    <n v="220814"/>
    <s v="Forward"/>
    <x v="472"/>
    <s v="Sell Fwd"/>
    <s v="EUR"/>
    <n v="-38707"/>
    <s v="PLN"/>
    <n v="162685.51999999999"/>
    <s v="2026-01-28"/>
    <n v="4.2030000000000003"/>
    <n v="0.2379"/>
    <n v="4.2031999999999998"/>
    <n v="1"/>
    <n v="-7.7423999999999999"/>
    <s v="POLAND PL"/>
  </r>
  <r>
    <s v="BKMILL"/>
    <n v="159842"/>
    <n v="220822"/>
    <s v="Forward"/>
    <x v="28"/>
    <s v="Buy Fwd"/>
    <s v="EUR"/>
    <n v="278070"/>
    <s v="PLN"/>
    <n v="1166503.6499999999"/>
    <s v="2026-01-28"/>
    <n v="4.1954000000000002"/>
    <n v="0.2384"/>
    <n v="4.2031999999999998"/>
    <n v="1"/>
    <n v="2335287.4739999999"/>
    <s v="POLAND PL"/>
  </r>
  <r>
    <s v="BKMILL"/>
    <n v="159843"/>
    <n v="220825"/>
    <s v="Forward"/>
    <x v="103"/>
    <s v="Sell Fwd"/>
    <s v="EUR"/>
    <n v="-51557.61"/>
    <s v="PLN"/>
    <n v="217005.98"/>
    <s v="2026-01-28"/>
    <n v="4.2089999999999996"/>
    <n v="0.23760000000000001"/>
    <n v="4.2031999999999998"/>
    <n v="1"/>
    <n v="299.03364800000003"/>
    <s v="POLAND PL"/>
  </r>
  <r>
    <s v="BKMILL"/>
    <n v="159844"/>
    <n v="913091"/>
    <s v="Spot"/>
    <x v="44"/>
    <s v="Buy"/>
    <s v="EUR"/>
    <n v="500000"/>
    <s v="PLN"/>
    <n v="-2100600"/>
    <s v="2026-01-30"/>
    <n v="4.2012"/>
    <n v="0.23799999999999999"/>
    <n v="4.2072000000000003"/>
    <n v="1"/>
    <n v="3000"/>
    <s v="GERMANY DE"/>
  </r>
  <r>
    <s v="BKMILL"/>
    <n v="159845"/>
    <n v="220834"/>
    <s v="Forward"/>
    <x v="30"/>
    <s v="Buy Fwd"/>
    <s v="EUR"/>
    <n v="5000"/>
    <s v="NOK"/>
    <n v="57601.5"/>
    <s v="2026-01-28"/>
    <n v="11.5215"/>
    <n v="8.6800000000000002E-2"/>
    <n v="4.2031999999999998"/>
    <n v="0.36259999999999998"/>
    <n v="41902.303899999999"/>
    <s v="POLAND PL"/>
  </r>
  <r>
    <s v="BKMILL"/>
    <n v="159846"/>
    <n v="220835"/>
    <s v="Forward"/>
    <x v="346"/>
    <s v="Buy Fwd"/>
    <s v="EUR"/>
    <n v="10000"/>
    <s v="PLN"/>
    <n v="41910"/>
    <s v="2026-01-28"/>
    <n v="4.1909999999999998"/>
    <n v="0.23860000000000001"/>
    <n v="4.2031999999999998"/>
    <n v="1"/>
    <n v="83942"/>
    <s v="POLAND PL"/>
  </r>
  <r>
    <s v="BKMILL"/>
    <n v="159847"/>
    <n v="220837"/>
    <s v="Forward"/>
    <x v="525"/>
    <s v="Sell Fwd"/>
    <s v="EUR"/>
    <n v="-115000"/>
    <s v="PLN"/>
    <n v="483805"/>
    <s v="2026-01-28"/>
    <n v="4.2069999999999999"/>
    <n v="0.23769999999999999"/>
    <n v="4.2031999999999998"/>
    <n v="1"/>
    <n v="437"/>
    <s v="POLAND PL"/>
  </r>
  <r>
    <s v="BKMILL"/>
    <n v="159855"/>
    <n v="913130"/>
    <s v="Spot"/>
    <x v="39"/>
    <s v="Sell"/>
    <s v="USD"/>
    <n v="-500000"/>
    <s v="PLN"/>
    <n v="1754325"/>
    <s v="2026-01-30"/>
    <n v="3.5085999999999999"/>
    <n v="0.28499999999999998"/>
    <n v="3.5188999999999999"/>
    <n v="1"/>
    <n v="-5125"/>
    <s v="UNITED KINGDOM GB"/>
  </r>
  <r>
    <s v="BKMILL"/>
    <n v="159860"/>
    <n v="913162"/>
    <s v="Spot"/>
    <x v="101"/>
    <s v="Buy"/>
    <s v="EUR"/>
    <n v="25000"/>
    <s v="PLN"/>
    <n v="-105000"/>
    <s v="2026-01-30"/>
    <n v="4.2"/>
    <n v="0.23810000000000001"/>
    <n v="4.2072000000000003"/>
    <n v="1"/>
    <n v="180"/>
    <s v="POLAND PL"/>
  </r>
  <r>
    <s v="BKMILL"/>
    <n v="159861"/>
    <n v="913163"/>
    <s v="Spot"/>
    <x v="101"/>
    <s v="Buy"/>
    <s v="EUR"/>
    <n v="25000"/>
    <s v="PLN"/>
    <n v="-105000"/>
    <s v="2026-01-30"/>
    <n v="4.2"/>
    <n v="0.23810000000000001"/>
    <n v="4.2072000000000003"/>
    <n v="1"/>
    <n v="180"/>
    <s v="POLAND PL"/>
  </r>
  <r>
    <s v="BKMILL"/>
    <n v="159862"/>
    <n v="220855"/>
    <s v="Forward"/>
    <x v="119"/>
    <s v="Buy Fwd"/>
    <s v="EUR"/>
    <n v="190000"/>
    <s v="PLN"/>
    <n v="795302"/>
    <s v="2026-01-28"/>
    <n v="4.1862000000000004"/>
    <n v="0.2389"/>
    <n v="4.2031999999999998"/>
    <n v="1"/>
    <n v="1593910"/>
    <s v="POLAND PL"/>
  </r>
  <r>
    <s v="BKMILL"/>
    <n v="159866"/>
    <n v="220862"/>
    <s v="Forward"/>
    <x v="330"/>
    <s v="Buy Fwd"/>
    <s v="EUR"/>
    <n v="5000"/>
    <s v="PLN"/>
    <n v="21000"/>
    <s v="2026-01-29"/>
    <n v="4.2"/>
    <n v="0.23810000000000001"/>
    <n v="4.2008999999999999"/>
    <n v="1"/>
    <n v="42004.5"/>
    <s v="POLAND PL"/>
  </r>
  <r>
    <s v="BKMILL"/>
    <n v="159869"/>
    <n v="220864"/>
    <s v="Forward"/>
    <x v="77"/>
    <s v="Buy Fwd"/>
    <s v="EUR"/>
    <n v="40000"/>
    <s v="PLN"/>
    <n v="167640"/>
    <s v="2026-01-28"/>
    <n v="4.1909999999999998"/>
    <n v="0.23860000000000001"/>
    <n v="4.2031999999999998"/>
    <n v="1"/>
    <n v="335768"/>
    <s v="POLAND PL"/>
  </r>
  <r>
    <s v="BKMILL"/>
    <n v="159870"/>
    <n v="220866"/>
    <s v="Forward"/>
    <x v="300"/>
    <s v="Buy Fwd"/>
    <s v="EUR"/>
    <n v="20000"/>
    <s v="PLN"/>
    <n v="82450"/>
    <s v="2026-01-28"/>
    <n v="4.1224999999999996"/>
    <n v="0.24260000000000001"/>
    <n v="4.2031999999999998"/>
    <n v="1"/>
    <n v="166514"/>
    <s v="POLAND PL"/>
  </r>
  <r>
    <s v="BKMILL"/>
    <n v="159871"/>
    <n v="220870"/>
    <s v="Forward"/>
    <x v="172"/>
    <s v="Buy Fwd"/>
    <s v="EUR"/>
    <n v="20000"/>
    <s v="PLN"/>
    <n v="83900"/>
    <s v="2026-01-28"/>
    <n v="4.1950000000000003"/>
    <n v="0.2384"/>
    <n v="4.2031999999999998"/>
    <n v="1"/>
    <n v="167964"/>
    <s v="POLAND PL"/>
  </r>
  <r>
    <s v="BKMILL"/>
    <n v="159873"/>
    <n v="220871"/>
    <s v="Forward"/>
    <x v="64"/>
    <s v="Sell Fwd"/>
    <s v="EUR"/>
    <n v="-50000"/>
    <s v="PLN"/>
    <n v="210250"/>
    <s v="2026-01-28"/>
    <n v="4.2050000000000001"/>
    <n v="0.23780000000000001"/>
    <n v="4.2031999999999998"/>
    <n v="1"/>
    <n v="90"/>
    <s v="POLAND PL"/>
  </r>
  <r>
    <s v="BKMILL"/>
    <n v="159874"/>
    <n v="220874"/>
    <s v="Forward"/>
    <x v="27"/>
    <s v="Buy Fwd"/>
    <s v="EUR"/>
    <n v="7813.25"/>
    <s v="PLN"/>
    <n v="32796.120000000003"/>
    <s v="2026-01-28"/>
    <n v="4.1978999999999997"/>
    <n v="0.2382"/>
    <n v="4.2031999999999998"/>
    <n v="1"/>
    <n v="65636.772400000002"/>
    <s v="POLAND PL"/>
  </r>
  <r>
    <s v="BKMILL"/>
    <n v="159875"/>
    <n v="220877"/>
    <s v="Forward"/>
    <x v="338"/>
    <s v="Sell Fwd"/>
    <s v="EUR"/>
    <n v="-10000"/>
    <s v="PLN"/>
    <n v="42185"/>
    <s v="2026-01-28"/>
    <n v="4.2188999999999997"/>
    <n v="0.23699999999999999"/>
    <n v="4.2031999999999998"/>
    <n v="1"/>
    <n v="153"/>
    <s v="POLAND PL"/>
  </r>
  <r>
    <s v="BKMILL"/>
    <n v="159888"/>
    <n v="220884"/>
    <s v="Forward"/>
    <x v="74"/>
    <s v="Buy Fwd"/>
    <s v="EUR"/>
    <n v="125000"/>
    <s v="PLN"/>
    <n v="523250"/>
    <s v="2026-01-28"/>
    <n v="4.1859999999999999"/>
    <n v="0.2389"/>
    <n v="4.2031999999999998"/>
    <n v="1"/>
    <n v="1048650"/>
    <s v="POLAND PL"/>
  </r>
  <r>
    <s v="BKMILL"/>
    <n v="159889"/>
    <n v="220885"/>
    <s v="Forward"/>
    <x v="629"/>
    <s v="Buy Fwd"/>
    <s v="EUR"/>
    <n v="100000"/>
    <s v="PLN"/>
    <n v="419060"/>
    <s v="2026-01-28"/>
    <n v="4.1909999999999998"/>
    <n v="0.23860000000000001"/>
    <n v="4.2031999999999998"/>
    <n v="1"/>
    <n v="839380"/>
    <s v="POLAND PL"/>
  </r>
  <r>
    <s v="BKMILL"/>
    <n v="159891"/>
    <n v="913299"/>
    <s v="Spot"/>
    <x v="44"/>
    <s v="Buy"/>
    <s v="USD"/>
    <n v="1000000"/>
    <s v="PLN"/>
    <n v="-3513100"/>
    <s v="2026-01-30"/>
    <n v="3.5131000000000001"/>
    <n v="0.28460000000000002"/>
    <n v="3.5188999999999999"/>
    <n v="1"/>
    <n v="5800"/>
    <s v="GERMANY DE"/>
  </r>
  <r>
    <s v="BKMILL"/>
    <n v="159892"/>
    <n v="913300"/>
    <s v="Spot"/>
    <x v="44"/>
    <s v="Buy"/>
    <s v="EUR"/>
    <n v="1000000"/>
    <s v="PLN"/>
    <n v="-4204300"/>
    <s v="2026-01-30"/>
    <n v="4.2042999999999999"/>
    <n v="0.2379"/>
    <n v="4.2072000000000003"/>
    <n v="1"/>
    <n v="2900"/>
    <s v="GERMANY DE"/>
  </r>
  <r>
    <s v="BKMILL"/>
    <n v="159893"/>
    <n v="913301"/>
    <s v="Spot"/>
    <x v="39"/>
    <s v="Buy"/>
    <s v="EUR"/>
    <n v="1000000"/>
    <s v="PLN"/>
    <n v="-4204400"/>
    <s v="2026-01-30"/>
    <n v="4.2043999999999997"/>
    <n v="0.23780000000000001"/>
    <n v="4.2072000000000003"/>
    <n v="1"/>
    <n v="2800"/>
    <s v="UNITED KINGDOM GB"/>
  </r>
  <r>
    <s v="BKMILL"/>
    <n v="159894"/>
    <n v="913302"/>
    <s v="Spot"/>
    <x v="39"/>
    <s v="Buy"/>
    <s v="EUR"/>
    <n v="1000000"/>
    <s v="PLN"/>
    <n v="-4204270"/>
    <s v="2026-01-30"/>
    <n v="4.2042999999999999"/>
    <n v="0.2379"/>
    <n v="4.2072000000000003"/>
    <n v="1"/>
    <n v="2930"/>
    <s v="UNITED KINGDOM GB"/>
  </r>
  <r>
    <s v="BKMILL"/>
    <n v="159895"/>
    <n v="913306"/>
    <s v="Spot"/>
    <x v="42"/>
    <s v="Buy"/>
    <s v="EUR"/>
    <n v="1000000"/>
    <s v="PLN"/>
    <n v="-4203900"/>
    <s v="2026-01-30"/>
    <n v="4.2039"/>
    <n v="0.2379"/>
    <n v="4.2072000000000003"/>
    <n v="1"/>
    <n v="3300"/>
    <s v="SWITZERLAND CH"/>
  </r>
  <r>
    <s v="BKMILL"/>
    <n v="159896"/>
    <n v="220893"/>
    <s v="Forward"/>
    <x v="349"/>
    <s v="Sell Fwd"/>
    <s v="USD"/>
    <n v="-650000"/>
    <s v="PLN"/>
    <n v="2286700"/>
    <s v="2026-01-28"/>
    <n v="3.5179999999999998"/>
    <n v="0.2843"/>
    <n v="3.5354000000000001"/>
    <n v="1"/>
    <n v="-11310"/>
    <s v="POLAND PL"/>
  </r>
  <r>
    <s v="BKMILL"/>
    <n v="159898"/>
    <n v="220894"/>
    <s v="Forward"/>
    <x v="12"/>
    <s v="Sell Fwd"/>
    <s v="EUR"/>
    <n v="-1000000"/>
    <s v="PLN"/>
    <n v="4206000"/>
    <s v="2026-01-28"/>
    <n v="4.2064000000000004"/>
    <n v="0.23769999999999999"/>
    <n v="4.2031999999999998"/>
    <n v="1"/>
    <n v="2800"/>
    <s v="POLAND PL"/>
  </r>
  <r>
    <s v="BKMILL"/>
    <n v="159900"/>
    <n v="220897"/>
    <s v="Forward"/>
    <x v="12"/>
    <s v="Sell Fwd"/>
    <s v="EUR"/>
    <n v="-1000000"/>
    <s v="PLN"/>
    <n v="4197000"/>
    <s v="2026-01-28"/>
    <n v="4.1974"/>
    <n v="0.2382"/>
    <n v="4.2031999999999998"/>
    <n v="1"/>
    <n v="-6200"/>
    <s v="POLAND PL"/>
  </r>
  <r>
    <s v="BKMILL"/>
    <n v="159901"/>
    <n v="220898"/>
    <s v="Forward"/>
    <x v="12"/>
    <s v="Sell Fwd"/>
    <s v="EUR"/>
    <n v="-1000000"/>
    <s v="PLN"/>
    <n v="4197000"/>
    <s v="2026-01-28"/>
    <n v="4.1974"/>
    <n v="0.2382"/>
    <n v="4.2031999999999998"/>
    <n v="1"/>
    <n v="-6200"/>
    <s v="POLAND PL"/>
  </r>
  <r>
    <s v="BKMILL"/>
    <n v="159902"/>
    <n v="220899"/>
    <s v="Forward"/>
    <x v="12"/>
    <s v="Sell Fwd"/>
    <s v="EUR"/>
    <n v="-1000000"/>
    <s v="PLN"/>
    <n v="4197000"/>
    <s v="2026-01-28"/>
    <n v="4.1974"/>
    <n v="0.2382"/>
    <n v="4.2031999999999998"/>
    <n v="1"/>
    <n v="-6200"/>
    <s v="POLAND PL"/>
  </r>
  <r>
    <s v="BKMILL"/>
    <n v="159903"/>
    <n v="220903"/>
    <s v="Forward"/>
    <x v="333"/>
    <s v="Buy Fwd"/>
    <s v="EUR"/>
    <n v="72540.84"/>
    <s v="PLN"/>
    <n v="304816.61"/>
    <s v="2026-01-28"/>
    <n v="4.1935000000000002"/>
    <n v="0.23849999999999999"/>
    <n v="4.2031999999999998"/>
    <n v="1"/>
    <n v="609720.26868800004"/>
    <s v="POLAND PL"/>
  </r>
  <r>
    <s v="BKMILL"/>
    <n v="159904"/>
    <n v="220905"/>
    <s v="Forward"/>
    <x v="630"/>
    <s v="Buy Fwd"/>
    <s v="EUR"/>
    <n v="16000"/>
    <s v="PLN"/>
    <n v="67040"/>
    <s v="2026-01-28"/>
    <n v="4.1900000000000004"/>
    <n v="0.2387"/>
    <n v="4.2031999999999998"/>
    <n v="1"/>
    <n v="134291.20000000001"/>
    <s v="POLAND PL"/>
  </r>
  <r>
    <s v="BKMILL"/>
    <n v="159905"/>
    <n v="220907"/>
    <s v="Forward"/>
    <x v="631"/>
    <s v="Buy Fwd"/>
    <s v="GBP"/>
    <n v="24962.38"/>
    <s v="PLN"/>
    <n v="120308.69"/>
    <s v="2026-01-28"/>
    <n v="4.8201999999999998"/>
    <n v="0.20749999999999999"/>
    <n v="4.8432000000000004"/>
    <n v="1"/>
    <n v="241206.488816"/>
    <s v="POLAND PL"/>
  </r>
  <r>
    <s v="BKMILL"/>
    <n v="159906"/>
    <n v="913358"/>
    <s v="Spot"/>
    <x v="101"/>
    <s v="Buy"/>
    <s v="EUR"/>
    <n v="25000"/>
    <s v="PLN"/>
    <n v="-105012.5"/>
    <s v="2026-01-30"/>
    <n v="4.2004999999999999"/>
    <n v="0.23810000000000001"/>
    <n v="4.2072000000000003"/>
    <n v="1"/>
    <n v="167.5"/>
    <s v="POLAND PL"/>
  </r>
  <r>
    <s v="BKMILL"/>
    <n v="159907"/>
    <n v="913359"/>
    <s v="Spot"/>
    <x v="101"/>
    <s v="Buy"/>
    <s v="EUR"/>
    <n v="25000"/>
    <s v="PLN"/>
    <n v="-105007.5"/>
    <s v="2026-01-30"/>
    <n v="4.2003000000000004"/>
    <n v="0.23810000000000001"/>
    <n v="4.2072000000000003"/>
    <n v="1"/>
    <n v="172.5"/>
    <s v="POLAND PL"/>
  </r>
  <r>
    <s v="BKMILL"/>
    <n v="159909"/>
    <n v="913360"/>
    <s v="Spot"/>
    <x v="101"/>
    <s v="Buy"/>
    <s v="EUR"/>
    <n v="10000"/>
    <s v="PLN"/>
    <n v="-42005"/>
    <s v="2026-01-30"/>
    <n v="4.2004999999999999"/>
    <n v="0.23810000000000001"/>
    <n v="4.2072000000000003"/>
    <n v="1"/>
    <n v="67"/>
    <s v="POLAND PL"/>
  </r>
  <r>
    <s v="BKMILL"/>
    <n v="159911"/>
    <n v="220910"/>
    <s v="Forward"/>
    <x v="602"/>
    <s v="Sell Fwd"/>
    <s v="EUR"/>
    <n v="-60000"/>
    <s v="PLN"/>
    <n v="252480"/>
    <s v="2026-01-28"/>
    <n v="4.2080000000000002"/>
    <n v="0.23760000000000001"/>
    <n v="4.2031999999999998"/>
    <n v="1"/>
    <n v="288"/>
    <s v="POLAND PL"/>
  </r>
  <r>
    <s v="BKMILL"/>
    <n v="159912"/>
    <n v="220913"/>
    <s v="Forward"/>
    <x v="479"/>
    <s v="Buy Fwd"/>
    <s v="EUR"/>
    <n v="50000"/>
    <s v="PLN"/>
    <n v="210025"/>
    <s v="2026-01-28"/>
    <n v="4.2008999999999999"/>
    <n v="0.23799999999999999"/>
    <n v="4.2031999999999998"/>
    <n v="1"/>
    <n v="420185"/>
    <s v="POLAND PL"/>
  </r>
  <r>
    <s v="BKMILL"/>
    <n v="159914"/>
    <n v="220917"/>
    <s v="Forward"/>
    <x v="632"/>
    <s v="Sell Fwd"/>
    <s v="USD"/>
    <n v="-200000"/>
    <s v="PLN"/>
    <n v="702400"/>
    <s v="2026-01-28"/>
    <n v="3.512"/>
    <n v="0.28470000000000001"/>
    <n v="3.5354000000000001"/>
    <n v="1"/>
    <n v="-4680"/>
    <s v="POLAND PL"/>
  </r>
  <r>
    <s v="BKMILL"/>
    <n v="159915"/>
    <n v="220919"/>
    <s v="Forward"/>
    <x v="155"/>
    <s v="Sell Fwd"/>
    <s v="EUR"/>
    <n v="-110000"/>
    <s v="PLN"/>
    <n v="462869"/>
    <s v="2026-01-28"/>
    <n v="4.2083000000000004"/>
    <n v="0.23760000000000001"/>
    <n v="4.2031999999999998"/>
    <n v="1"/>
    <n v="517"/>
    <s v="POLAND PL"/>
  </r>
  <r>
    <s v="BKMILL"/>
    <n v="159917"/>
    <n v="913411"/>
    <s v="Spot"/>
    <x v="38"/>
    <s v="Buy"/>
    <s v="USD"/>
    <n v="300000"/>
    <s v="NOK"/>
    <n v="-2886021"/>
    <s v="2026-01-30"/>
    <n v="9.6201000000000008"/>
    <n v="0.10390000000000001"/>
    <n v="3.5188999999999999"/>
    <n v="0.3674"/>
    <n v="-4654.1153999999997"/>
    <s v="NETHERLANDS NL"/>
  </r>
  <r>
    <s v="BKMILL"/>
    <n v="159939"/>
    <n v="220950"/>
    <s v="Forward"/>
    <x v="89"/>
    <s v="Sell Fwd"/>
    <s v="EUR"/>
    <n v="-4500"/>
    <s v="PLN"/>
    <n v="18936.900000000001"/>
    <s v="2026-01-28"/>
    <n v="4.2085999999999997"/>
    <n v="0.23760000000000001"/>
    <n v="4.2031999999999998"/>
    <n v="1"/>
    <n v="22.5"/>
    <s v="POLAND PL"/>
  </r>
  <r>
    <s v="BKMILL"/>
    <n v="159941"/>
    <n v="913499"/>
    <s v="Spot"/>
    <x v="44"/>
    <s v="Sell"/>
    <s v="EUR"/>
    <n v="-500000"/>
    <s v="PLN"/>
    <n v="2101500"/>
    <s v="2026-01-30"/>
    <n v="4.2030000000000003"/>
    <n v="0.2379"/>
    <n v="4.2072000000000003"/>
    <n v="1"/>
    <n v="-2100"/>
    <s v="GERMANY DE"/>
  </r>
  <r>
    <s v="BKMILL"/>
    <n v="159945"/>
    <n v="220953"/>
    <s v="Forward"/>
    <x v="128"/>
    <s v="Buy Fwd"/>
    <s v="EUR"/>
    <n v="400000"/>
    <s v="PLN"/>
    <n v="1680480"/>
    <s v="2026-01-28"/>
    <n v="4.2016"/>
    <n v="0.23799999999999999"/>
    <n v="4.2031999999999998"/>
    <n v="1"/>
    <n v="3361760"/>
    <s v="POLAND PL"/>
  </r>
  <r>
    <s v="BKMILL"/>
    <n v="159949"/>
    <n v="913521"/>
    <s v="Spot"/>
    <x v="47"/>
    <s v="Sell"/>
    <s v="EUR"/>
    <n v="-500000"/>
    <s v="PLN"/>
    <n v="2101800"/>
    <s v="2026-01-30"/>
    <n v="4.2035999999999998"/>
    <n v="0.2379"/>
    <n v="4.2072000000000003"/>
    <n v="1"/>
    <n v="-1800"/>
    <s v="FRANCE FR"/>
  </r>
  <r>
    <s v="BKMILL"/>
    <n v="159984"/>
    <n v="913646"/>
    <s v="Spot"/>
    <x v="47"/>
    <s v="Sell"/>
    <s v="EUR"/>
    <n v="-500000"/>
    <s v="PLN"/>
    <n v="2102000"/>
    <s v="2026-01-30"/>
    <n v="4.2039999999999997"/>
    <n v="0.2379"/>
    <n v="4.2072000000000003"/>
    <n v="1"/>
    <n v="-1600"/>
    <s v="FRANCE FR"/>
  </r>
  <r>
    <s v="BKMILL"/>
    <n v="159985"/>
    <n v="913647"/>
    <s v="Spot"/>
    <x v="36"/>
    <s v="Buy"/>
    <s v="EUR"/>
    <n v="100000"/>
    <s v="GBP"/>
    <n v="-86853"/>
    <s v="2026-01-30"/>
    <n v="0.86850000000000005"/>
    <n v="1.1514"/>
    <n v="4.2072000000000003"/>
    <n v="4.8574000000000002"/>
    <n v="-1159.7621999999999"/>
    <s v="UNITED KINGDOM GB"/>
  </r>
  <r>
    <s v="BKMILL"/>
    <n v="159995"/>
    <n v="913669"/>
    <s v="Spot"/>
    <x v="47"/>
    <s v="Sell"/>
    <s v="EUR"/>
    <n v="-500000"/>
    <s v="PLN"/>
    <n v="2102100"/>
    <s v="2026-01-30"/>
    <n v="4.2042000000000002"/>
    <n v="0.2379"/>
    <n v="4.2072000000000003"/>
    <n v="1"/>
    <n v="-1500"/>
    <s v="FRANCE FR"/>
  </r>
  <r>
    <s v="BKMILL"/>
    <n v="159996"/>
    <n v="221002"/>
    <s v="Forward"/>
    <x v="633"/>
    <s v="Buy Fwd"/>
    <s v="EUR"/>
    <n v="5891.86"/>
    <s v="PLN"/>
    <n v="24686.89"/>
    <s v="2026-01-28"/>
    <n v="4.1905000000000001"/>
    <n v="0.23860000000000001"/>
    <n v="4.2031999999999998"/>
    <n v="1"/>
    <n v="49451.555952000002"/>
    <s v="POLAND PL"/>
  </r>
  <r>
    <s v="BKMILL"/>
    <n v="159997"/>
    <n v="913673"/>
    <s v="Spot"/>
    <x v="534"/>
    <s v="Sell"/>
    <s v="EUR"/>
    <n v="-500000"/>
    <s v="PLN"/>
    <n v="2102615"/>
    <s v="2026-01-30"/>
    <n v="4.2051999999999996"/>
    <n v="0.23780000000000001"/>
    <n v="4.2072000000000003"/>
    <n v="1"/>
    <n v="-985"/>
    <s v="POLAND PL"/>
  </r>
  <r>
    <s v="BKMILL"/>
    <n v="159998"/>
    <n v="221004"/>
    <s v="Forward"/>
    <x v="634"/>
    <s v="Sell Fwd"/>
    <s v="EUR"/>
    <n v="-1589.48"/>
    <s v="PLN"/>
    <n v="6720.32"/>
    <s v="2026-01-28"/>
    <n v="4.2279999999999998"/>
    <n v="0.23649999999999999"/>
    <n v="4.2031999999999998"/>
    <n v="1"/>
    <n v="39.417664000000002"/>
    <s v="POLAND PL"/>
  </r>
  <r>
    <s v="BKMILL"/>
    <n v="159999"/>
    <n v="913684"/>
    <s v="Spot"/>
    <x v="534"/>
    <s v="Sell"/>
    <s v="EUR"/>
    <n v="-500000"/>
    <s v="PLN"/>
    <n v="2102575"/>
    <s v="2026-01-30"/>
    <n v="4.2050999999999998"/>
    <n v="0.23780000000000001"/>
    <n v="4.2072000000000003"/>
    <n v="1"/>
    <n v="-1025"/>
    <s v="POLAND PL"/>
  </r>
  <r>
    <s v="BKMILL"/>
    <n v="160000"/>
    <n v="221006"/>
    <s v="Forward"/>
    <x v="470"/>
    <s v="Buy Fwd"/>
    <s v="EUR"/>
    <n v="6000"/>
    <s v="PLN"/>
    <n v="25218"/>
    <s v="2026-01-28"/>
    <n v="4.2030000000000003"/>
    <n v="0.2379"/>
    <n v="4.2031999999999998"/>
    <n v="1"/>
    <n v="50437.2"/>
    <s v="POLAND PL"/>
  </r>
  <r>
    <s v="BKMILL"/>
    <n v="160001"/>
    <n v="221007"/>
    <s v="Forward"/>
    <x v="106"/>
    <s v="Sell Fwd"/>
    <s v="EUR"/>
    <n v="-23600"/>
    <s v="PLN"/>
    <n v="99297"/>
    <s v="2026-01-28"/>
    <n v="4.2079000000000004"/>
    <n v="0.23760000000000001"/>
    <n v="4.2031999999999998"/>
    <n v="1"/>
    <n v="101.48"/>
    <s v="POLAND PL"/>
  </r>
  <r>
    <s v="BKMILL"/>
    <n v="160003"/>
    <n v="913707"/>
    <s v="Spot"/>
    <x v="36"/>
    <s v="Sell"/>
    <s v="EUR"/>
    <n v="-100000"/>
    <s v="GBP"/>
    <n v="86816"/>
    <s v="2026-01-30"/>
    <n v="0.86819999999999997"/>
    <n v="1.1518999999999999"/>
    <n v="4.2072000000000003"/>
    <n v="4.8574000000000002"/>
    <n v="980.03840000000002"/>
    <s v="UNITED KINGDOM GB"/>
  </r>
  <r>
    <s v="BKMILL"/>
    <n v="160004"/>
    <n v="913708"/>
    <s v="Spot"/>
    <x v="44"/>
    <s v="Buy"/>
    <s v="EUR"/>
    <n v="500000"/>
    <s v="PLN"/>
    <n v="-2102590"/>
    <s v="2026-01-30"/>
    <n v="4.2051999999999996"/>
    <n v="0.23780000000000001"/>
    <n v="4.2072000000000003"/>
    <n v="1"/>
    <n v="1010"/>
    <s v="GERMANY DE"/>
  </r>
  <r>
    <s v="BKMILL"/>
    <n v="160005"/>
    <n v="913709"/>
    <s v="Spot"/>
    <x v="44"/>
    <s v="Buy"/>
    <s v="EUR"/>
    <n v="500000"/>
    <s v="PLN"/>
    <n v="-2102210"/>
    <s v="2026-01-30"/>
    <n v="4.2043999999999997"/>
    <n v="0.23780000000000001"/>
    <n v="4.2072000000000003"/>
    <n v="1"/>
    <n v="1390"/>
    <s v="GERMANY DE"/>
  </r>
  <r>
    <s v="BKMILL"/>
    <n v="160006"/>
    <n v="913710"/>
    <s v="Spot"/>
    <x v="39"/>
    <s v="Buy"/>
    <s v="EUR"/>
    <n v="500000"/>
    <s v="PLN"/>
    <n v="-2101760"/>
    <s v="2026-01-30"/>
    <n v="4.2035"/>
    <n v="0.2379"/>
    <n v="4.2072000000000003"/>
    <n v="1"/>
    <n v="1840"/>
    <s v="UNITED KINGDOM GB"/>
  </r>
  <r>
    <s v="BKMILL"/>
    <n v="160007"/>
    <n v="221012"/>
    <s v="Forward"/>
    <x v="635"/>
    <s v="Sell Fwd"/>
    <s v="EUR"/>
    <n v="-250000"/>
    <s v="PLN"/>
    <n v="1076250"/>
    <s v="2026-01-28"/>
    <n v="4.3049999999999997"/>
    <n v="0.23230000000000001"/>
    <n v="4.2031999999999998"/>
    <n v="1"/>
    <n v="25450"/>
    <s v="POLAND PL"/>
  </r>
  <r>
    <s v="BKMILL"/>
    <n v="160009"/>
    <n v="913717"/>
    <s v="Spot"/>
    <x v="30"/>
    <s v="Sell"/>
    <s v="EUR"/>
    <n v="-55000"/>
    <s v="NOK"/>
    <n v="632830"/>
    <s v="2026-01-30"/>
    <n v="11.506"/>
    <n v="8.6900000000000005E-2"/>
    <n v="4.2072000000000003"/>
    <n v="0.3674"/>
    <n v="1105.742"/>
    <s v="POLAND PL"/>
  </r>
  <r>
    <s v="BKMILL"/>
    <n v="160010"/>
    <n v="913719"/>
    <s v="Spot"/>
    <x v="40"/>
    <s v="Buy"/>
    <s v="EUR"/>
    <n v="500000"/>
    <s v="PLN"/>
    <n v="-2101650"/>
    <s v="2026-01-30"/>
    <n v="4.2032999999999996"/>
    <n v="0.2379"/>
    <n v="4.2072000000000003"/>
    <n v="1"/>
    <n v="1950"/>
    <s v="UNITED STATES OF AMERICA US"/>
  </r>
  <r>
    <s v="BKMILL"/>
    <n v="160011"/>
    <n v="221017"/>
    <s v="Forward"/>
    <x v="151"/>
    <s v="Sell Fwd"/>
    <s v="EUR"/>
    <n v="-233012.56"/>
    <s v="PLN"/>
    <n v="982613.97"/>
    <s v="2026-01-28"/>
    <n v="4.2169999999999996"/>
    <n v="0.23710000000000001"/>
    <n v="4.2031999999999998"/>
    <n v="1"/>
    <n v="3215.577808"/>
    <s v="POLAND PL"/>
  </r>
  <r>
    <s v="BKMILL"/>
    <n v="160012"/>
    <n v="221023"/>
    <s v="Forward"/>
    <x v="423"/>
    <s v="Sell Fwd"/>
    <s v="EUR"/>
    <n v="-18000"/>
    <s v="PLN"/>
    <n v="77544"/>
    <s v="2026-01-28"/>
    <n v="4.3079999999999998"/>
    <n v="0.2321"/>
    <n v="4.2031999999999998"/>
    <n v="1"/>
    <n v="1886.4"/>
    <s v="POLAND PL"/>
  </r>
  <r>
    <s v="BKMILL"/>
    <n v="160014"/>
    <n v="221024"/>
    <s v="Forward"/>
    <x v="188"/>
    <s v="Buy Fwd"/>
    <s v="EUR"/>
    <n v="45000"/>
    <s v="PLN"/>
    <n v="189157.5"/>
    <s v="2026-01-28"/>
    <n v="4.2039"/>
    <n v="0.2379"/>
    <n v="4.2031999999999998"/>
    <n v="1"/>
    <n v="378301.5"/>
    <s v="POLAND PL"/>
  </r>
  <r>
    <s v="BKMILL"/>
    <n v="160016"/>
    <n v="913790"/>
    <s v="Spot"/>
    <x v="44"/>
    <s v="Sell"/>
    <s v="EUR"/>
    <n v="-500000"/>
    <s v="PLN"/>
    <n v="2103050"/>
    <s v="2026-01-30"/>
    <n v="4.2061000000000002"/>
    <n v="0.23769999999999999"/>
    <n v="4.2072000000000003"/>
    <n v="1"/>
    <n v="-550"/>
    <s v="GERMANY DE"/>
  </r>
  <r>
    <s v="BKMILL"/>
    <n v="160021"/>
    <n v="221026"/>
    <s v="Forward"/>
    <x v="129"/>
    <s v="Buy Fwd"/>
    <s v="EUR"/>
    <n v="78187"/>
    <s v="USD"/>
    <n v="93472.56"/>
    <s v="2026-01-28"/>
    <n v="1.1957"/>
    <n v="0.83630000000000004"/>
    <n v="4.2031999999999998"/>
    <n v="3.5354000000000001"/>
    <n v="659098.48702400003"/>
    <s v="POLAND PL"/>
  </r>
  <r>
    <s v="BKMILL"/>
    <n v="160023"/>
    <n v="221029"/>
    <s v="Forward"/>
    <x v="488"/>
    <s v="Sell Fwd"/>
    <s v="EUR"/>
    <n v="-12000"/>
    <s v="PLN"/>
    <n v="50526"/>
    <s v="2026-01-28"/>
    <n v="4.2104999999999997"/>
    <n v="0.23749999999999999"/>
    <n v="4.2031999999999998"/>
    <n v="1"/>
    <n v="87.6"/>
    <s v="POLAND PL"/>
  </r>
  <r>
    <s v="BKMILL"/>
    <n v="160025"/>
    <n v="913834"/>
    <s v="Spot"/>
    <x v="39"/>
    <s v="Sell"/>
    <s v="EUR"/>
    <n v="-500000"/>
    <s v="PLN"/>
    <n v="2103305"/>
    <s v="2026-01-30"/>
    <n v="4.2065999999999999"/>
    <n v="0.23769999999999999"/>
    <n v="4.2072000000000003"/>
    <n v="1"/>
    <n v="-295"/>
    <s v="UNITED KINGDOM GB"/>
  </r>
  <r>
    <s v="BKMILL"/>
    <n v="160026"/>
    <n v="913839"/>
    <s v="Spot"/>
    <x v="40"/>
    <s v="Sell"/>
    <s v="EUR"/>
    <n v="-100000"/>
    <s v="USD"/>
    <n v="119756"/>
    <s v="2026-01-30"/>
    <n v="1.1976"/>
    <n v="0.83499999999999996"/>
    <n v="4.2072000000000003"/>
    <n v="3.5188999999999999"/>
    <n v="689.38840000000005"/>
    <s v="UNITED STATES OF AMERICA US"/>
  </r>
  <r>
    <s v="BKMILL"/>
    <n v="160027"/>
    <n v="913842"/>
    <s v="Spot"/>
    <x v="40"/>
    <s v="Sell"/>
    <s v="EUR"/>
    <n v="-400000"/>
    <s v="USD"/>
    <n v="479036"/>
    <s v="2026-01-30"/>
    <n v="1.1976"/>
    <n v="0.83499999999999996"/>
    <n v="4.2072000000000003"/>
    <n v="3.5188999999999999"/>
    <n v="2799.7804000000001"/>
    <s v="UNITED STATES OF AMERICA US"/>
  </r>
  <r>
    <s v="BKMILL"/>
    <n v="160028"/>
    <n v="913880"/>
    <s v="Spot"/>
    <x v="41"/>
    <s v="Buy"/>
    <s v="EUR"/>
    <n v="100000"/>
    <s v="SEK"/>
    <n v="-1057810"/>
    <s v="2026-01-30"/>
    <n v="10.578099999999999"/>
    <n v="9.4500000000000001E-2"/>
    <n v="4.2072000000000003"/>
    <n v="0.39760000000000001"/>
    <n v="134.744"/>
    <s v="GERMANY DE"/>
  </r>
  <r>
    <s v="BKMILL"/>
    <n v="160029"/>
    <n v="913891"/>
    <s v="Spot"/>
    <x v="39"/>
    <s v="Sell"/>
    <s v="EUR"/>
    <n v="-150000"/>
    <s v="PLN"/>
    <n v="630934.5"/>
    <s v="2026-01-30"/>
    <n v="4.2061999999999999"/>
    <n v="0.23769999999999999"/>
    <n v="4.2072000000000003"/>
    <n v="1"/>
    <n v="-145.5"/>
    <s v="UNITED KINGDOM GB"/>
  </r>
  <r>
    <s v="BKMILL"/>
    <n v="160031"/>
    <n v="221033"/>
    <s v="Forward"/>
    <x v="636"/>
    <s v="Sell Fwd"/>
    <s v="EUR"/>
    <n v="-4754.66"/>
    <s v="PLN"/>
    <n v="20000"/>
    <s v="2026-01-28"/>
    <n v="4.2099000000000002"/>
    <n v="0.23749999999999999"/>
    <n v="4.2031999999999998"/>
    <n v="1"/>
    <n v="15.213088000000001"/>
    <s v="POLAND PL"/>
  </r>
  <r>
    <s v="BKMILL"/>
    <n v="160055"/>
    <n v="221041"/>
    <s v="Forward"/>
    <x v="152"/>
    <s v="Buy Fwd"/>
    <s v="EUR"/>
    <n v="150000"/>
    <s v="PLN"/>
    <n v="630450"/>
    <s v="2026-01-28"/>
    <n v="4.2030000000000003"/>
    <n v="0.2379"/>
    <n v="4.2031999999999998"/>
    <n v="1"/>
    <n v="1260930"/>
    <s v="POLAND PL"/>
  </r>
  <r>
    <s v="BKMILL"/>
    <n v="160071"/>
    <n v="913956"/>
    <s v="Spot"/>
    <x v="44"/>
    <s v="Sell"/>
    <s v="EUR"/>
    <n v="-500000"/>
    <s v="PLN"/>
    <n v="2102300"/>
    <s v="2026-01-30"/>
    <n v="4.2046000000000001"/>
    <n v="0.23780000000000001"/>
    <n v="4.2072000000000003"/>
    <n v="1"/>
    <n v="-1300"/>
    <s v="GERMANY DE"/>
  </r>
  <r>
    <s v="BKMILL"/>
    <n v="160072"/>
    <n v="221042"/>
    <s v="Forward"/>
    <x v="373"/>
    <s v="Sell Fwd"/>
    <s v="USD"/>
    <n v="-100000"/>
    <s v="PLN"/>
    <n v="352300"/>
    <s v="2026-01-28"/>
    <n v="3.5230000000000001"/>
    <n v="0.2838"/>
    <n v="3.5354000000000001"/>
    <n v="1"/>
    <n v="-1240"/>
    <s v="POLAND PL"/>
  </r>
  <r>
    <s v="BKMILL"/>
    <n v="160102"/>
    <n v="221048"/>
    <s v="Forward"/>
    <x v="157"/>
    <s v="Buy Fwd"/>
    <s v="EUR"/>
    <n v="5000"/>
    <s v="PLN"/>
    <n v="20960"/>
    <s v="2026-01-28"/>
    <n v="4.1924999999999999"/>
    <n v="0.23849999999999999"/>
    <n v="4.2031999999999998"/>
    <n v="1"/>
    <n v="41976"/>
    <s v="POLAND PL"/>
  </r>
  <r>
    <s v="BKMILL"/>
    <n v="160112"/>
    <n v="914030"/>
    <s v="Spot"/>
    <x v="36"/>
    <s v="Sell"/>
    <s v="EUR"/>
    <n v="-101406.68"/>
    <s v="PLN"/>
    <n v="426482.02"/>
    <s v="2026-01-30"/>
    <n v="4.2057000000000002"/>
    <n v="0.23780000000000001"/>
    <n v="4.2072000000000003"/>
    <n v="1"/>
    <n v="-156.164096"/>
    <s v="UNITED KINGDOM GB"/>
  </r>
  <r>
    <s v="BKMILL"/>
    <n v="160113"/>
    <n v="914031"/>
    <s v="Spot"/>
    <x v="40"/>
    <s v="Sell"/>
    <s v="EUR"/>
    <n v="-472.04"/>
    <s v="PLN"/>
    <n v="1985.14"/>
    <s v="2026-01-30"/>
    <n v="4.2054"/>
    <n v="0.23780000000000001"/>
    <n v="4.2072000000000003"/>
    <n v="1"/>
    <n v="-0.82668799999999998"/>
    <s v="UNITED STATES OF AMERICA US"/>
  </r>
  <r>
    <s v="BKMILL"/>
    <n v="160114"/>
    <n v="914032"/>
    <s v="Spot"/>
    <x v="41"/>
    <s v="Sell"/>
    <s v="CHF"/>
    <n v="-2079.89"/>
    <s v="PLN"/>
    <n v="9519.66"/>
    <s v="2026-01-30"/>
    <n v="4.577"/>
    <n v="0.2185"/>
    <n v="4.5830000000000002"/>
    <n v="1"/>
    <n v="-12.47587"/>
    <s v="GERMANY DE"/>
  </r>
  <r>
    <s v="BKMILL"/>
    <n v="160115"/>
    <n v="914034"/>
    <s v="Spot"/>
    <x v="41"/>
    <s v="Sell"/>
    <s v="GBP"/>
    <n v="-126663.76"/>
    <s v="PLN"/>
    <n v="614990.55000000005"/>
    <s v="2026-01-30"/>
    <n v="4.8552999999999997"/>
    <n v="0.20599999999999999"/>
    <n v="4.8574000000000002"/>
    <n v="1"/>
    <n v="-265.99782399999998"/>
    <s v="GERMANY DE"/>
  </r>
  <r>
    <s v="BKMILL"/>
    <n v="160116"/>
    <n v="914035"/>
    <s v="Spot"/>
    <x v="36"/>
    <s v="Sell"/>
    <s v="USD"/>
    <n v="-225.24"/>
    <s v="PLN"/>
    <n v="793.19"/>
    <s v="2026-01-30"/>
    <n v="3.5215000000000001"/>
    <n v="0.28399999999999997"/>
    <n v="3.5188999999999999"/>
    <n v="1"/>
    <n v="0.59296400000000005"/>
    <s v="UNITED KINGDOM GB"/>
  </r>
  <r>
    <s v="BKMILL"/>
    <n v="160117"/>
    <n v="914040"/>
    <s v="Spot"/>
    <x v="42"/>
    <s v="Sell"/>
    <s v="EUR"/>
    <n v="-103188.33"/>
    <s v="PLN"/>
    <n v="433853.27"/>
    <s v="2026-01-30"/>
    <n v="4.2045000000000003"/>
    <n v="0.23780000000000001"/>
    <n v="4.2072000000000003"/>
    <n v="1"/>
    <n v="-280.67197599999997"/>
    <s v="SWITZERLAND CH"/>
  </r>
  <r>
    <s v="BKMILL"/>
    <n v="160118"/>
    <n v="914042"/>
    <s v="Spot"/>
    <x v="40"/>
    <s v="Buy"/>
    <s v="USD"/>
    <n v="105374.19"/>
    <s v="PLN"/>
    <n v="-371066.78"/>
    <s v="2026-01-30"/>
    <n v="3.5213999999999999"/>
    <n v="0.28399999999999997"/>
    <n v="3.5188999999999999"/>
    <n v="1"/>
    <n v="-265.54280899999998"/>
    <s v="UNITED STATES OF AMERICA US"/>
  </r>
  <r>
    <s v="BKMILL"/>
    <n v="160119"/>
    <n v="914043"/>
    <s v="Spot"/>
    <x v="42"/>
    <s v="Sell"/>
    <s v="CHF"/>
    <n v="-10963.65"/>
    <s v="PLN"/>
    <n v="50140.61"/>
    <s v="2026-01-30"/>
    <n v="4.5732999999999997"/>
    <n v="0.21870000000000001"/>
    <n v="4.5830000000000002"/>
    <n v="1"/>
    <n v="-105.79795"/>
    <s v="SWITZERLAND CH"/>
  </r>
  <r>
    <s v="BKMILL"/>
    <n v="160120"/>
    <n v="914044"/>
    <s v="Spot"/>
    <x v="42"/>
    <s v="Sell"/>
    <s v="GBP"/>
    <n v="-15752.27"/>
    <s v="PLN"/>
    <n v="76492.710000000006"/>
    <s v="2026-01-30"/>
    <n v="4.8559999999999999"/>
    <n v="0.2059"/>
    <n v="4.8574000000000002"/>
    <n v="1"/>
    <n v="-22.366298"/>
    <s v="SWITZERLAND CH"/>
  </r>
  <r>
    <s v="BKMILL"/>
    <n v="160121"/>
    <n v="914045"/>
    <s v="Spot"/>
    <x v="42"/>
    <s v="Sell"/>
    <s v="EUR"/>
    <n v="-177.09"/>
    <s v="PLN"/>
    <n v="744.46"/>
    <s v="2026-01-30"/>
    <n v="4.2039"/>
    <n v="0.2379"/>
    <n v="4.2072000000000003"/>
    <n v="1"/>
    <n v="-0.59304800000000002"/>
    <s v="SWITZERLAND CH"/>
  </r>
  <r>
    <s v="BKMILL"/>
    <n v="160126"/>
    <n v="221049"/>
    <s v="Forward"/>
    <x v="41"/>
    <s v="Sell Fwd"/>
    <s v="EUR"/>
    <n v="-30000"/>
    <s v="PLN"/>
    <n v="126066.72"/>
    <s v="2026-01-29"/>
    <n v="4.2032999999999996"/>
    <n v="0.2379"/>
    <n v="4.2008999999999999"/>
    <n v="1"/>
    <n v="39.72"/>
    <s v="GERMANY DE"/>
  </r>
  <r>
    <s v="BKMILL"/>
    <n v="160131"/>
    <n v="221051"/>
    <s v="Forward"/>
    <x v="55"/>
    <s v="Sell Fwd"/>
    <s v="EUR"/>
    <n v="-52500"/>
    <s v="PLN"/>
    <n v="220681.28"/>
    <s v="2026-01-29"/>
    <n v="4.2043999999999997"/>
    <n v="0.23780000000000001"/>
    <n v="4.2008999999999999"/>
    <n v="1"/>
    <n v="134.03"/>
    <s v="SPAIN ES"/>
  </r>
  <r>
    <s v="BKMILL"/>
    <n v="160132"/>
    <n v="221054"/>
    <s v="Forward"/>
    <x v="55"/>
    <s v="Sell Fwd"/>
    <s v="EUR"/>
    <n v="-5800"/>
    <s v="PLN"/>
    <n v="24378.29"/>
    <s v="2026-01-29"/>
    <n v="4.2041000000000004"/>
    <n v="0.2379"/>
    <n v="4.2008999999999999"/>
    <n v="1"/>
    <n v="13.07"/>
    <s v="SPAIN ES"/>
  </r>
  <r>
    <s v="BKMILL"/>
    <n v="160133"/>
    <n v="221055"/>
    <s v="Forward"/>
    <x v="40"/>
    <s v="Buy Fwd"/>
    <s v="EUR"/>
    <n v="6250"/>
    <s v="PLN"/>
    <n v="26273.93"/>
    <s v="2026-01-29"/>
    <n v="4.2046000000000001"/>
    <n v="0.23780000000000001"/>
    <n v="4.2008999999999999"/>
    <n v="1"/>
    <n v="52529.555"/>
    <s v="UNITED STATES OF AMERICA US"/>
  </r>
  <r>
    <s v="BKMILL"/>
    <n v="160145"/>
    <n v="221068"/>
    <s v="Forward"/>
    <x v="41"/>
    <s v="Sell Fwd"/>
    <s v="EUR"/>
    <n v="-1000"/>
    <s v="PLN"/>
    <n v="4202.12"/>
    <s v="2026-01-29"/>
    <n v="4.2031999999999998"/>
    <n v="0.2379"/>
    <n v="4.2008999999999999"/>
    <n v="1"/>
    <n v="1.22"/>
    <s v="GERMANY DE"/>
  </r>
  <r>
    <s v="BKMILL"/>
    <n v="160150"/>
    <n v="221069"/>
    <s v="Forward"/>
    <x v="41"/>
    <s v="Sell Fwd"/>
    <s v="EUR"/>
    <n v="-10000"/>
    <s v="PLN"/>
    <n v="42004.26"/>
    <s v="2026-01-29"/>
    <n v="4.2015000000000002"/>
    <n v="0.23799999999999999"/>
    <n v="4.2008999999999999"/>
    <n v="1"/>
    <n v="-4.74"/>
    <s v="GERMANY DE"/>
  </r>
  <r>
    <s v="BKMILL"/>
    <n v="160151"/>
    <n v="221072"/>
    <s v="Forward"/>
    <x v="36"/>
    <s v="Sell Fwd"/>
    <s v="EUR"/>
    <n v="-9000"/>
    <s v="PLN"/>
    <n v="37814.89"/>
    <s v="2026-01-29"/>
    <n v="4.2024999999999997"/>
    <n v="0.23799999999999999"/>
    <n v="4.2008999999999999"/>
    <n v="1"/>
    <n v="6.79"/>
    <s v="UNITED KINGDOM GB"/>
  </r>
  <r>
    <s v="BKMILL"/>
    <n v="160153"/>
    <n v="221084"/>
    <s v="Forward"/>
    <x v="106"/>
    <s v="Sell Fwd"/>
    <s v="EUR"/>
    <n v="-23000"/>
    <s v="PLN"/>
    <n v="96659.8"/>
    <s v="2026-01-29"/>
    <n v="4.2035"/>
    <n v="0.2379"/>
    <n v="4.2008999999999999"/>
    <n v="1"/>
    <n v="39.1"/>
    <s v="POLAND PL"/>
  </r>
  <r>
    <s v="BKMILL"/>
    <n v="160155"/>
    <n v="221086"/>
    <s v="Forward"/>
    <x v="215"/>
    <s v="Sell Fwd"/>
    <s v="EUR"/>
    <n v="-19000"/>
    <s v="PLN"/>
    <n v="80028"/>
    <s v="2026-01-29"/>
    <n v="4.2129000000000003"/>
    <n v="0.2374"/>
    <n v="4.2008999999999999"/>
    <n v="1"/>
    <n v="210.9"/>
    <s v="POLAND PL"/>
  </r>
  <r>
    <s v="BKMILL"/>
    <n v="160157"/>
    <n v="221098"/>
    <s v="Forward"/>
    <x v="30"/>
    <s v="Sell Fwd"/>
    <s v="EUR"/>
    <n v="-100000"/>
    <s v="NOK"/>
    <n v="1145130"/>
    <s v="2026-01-30"/>
    <n v="11.453099999999999"/>
    <n v="8.7300000000000003E-2"/>
    <n v="4.2072000000000003"/>
    <n v="0.3674"/>
    <n v="0.76200000000000001"/>
    <s v="POLAND PL"/>
  </r>
  <r>
    <s v="BKMILL"/>
    <n v="160160"/>
    <n v="221104"/>
    <s v="Forward"/>
    <x v="637"/>
    <s v="Buy Fwd"/>
    <s v="EUR"/>
    <n v="11000"/>
    <s v="PLN"/>
    <n v="46007.5"/>
    <s v="2026-01-29"/>
    <n v="4.1825000000000001"/>
    <n v="0.23910000000000001"/>
    <n v="4.2008999999999999"/>
    <n v="1"/>
    <n v="92217.4"/>
    <s v="POLAND PL"/>
  </r>
  <r>
    <s v="BKMILL"/>
    <n v="160161"/>
    <n v="221109"/>
    <s v="Forward"/>
    <x v="32"/>
    <s v="Sell Fwd"/>
    <s v="EUR"/>
    <n v="-10000"/>
    <s v="PLN"/>
    <n v="42023"/>
    <s v="2026-01-29"/>
    <n v="4.2031999999999998"/>
    <n v="0.2379"/>
    <n v="4.2008999999999999"/>
    <n v="1"/>
    <n v="14"/>
    <s v="POLAND PL"/>
  </r>
  <r>
    <s v="BKMILL"/>
    <n v="160163"/>
    <n v="221114"/>
    <s v="Forward"/>
    <x v="76"/>
    <s v="Buy Fwd"/>
    <s v="EUR"/>
    <n v="12000"/>
    <s v="PLN"/>
    <n v="50208"/>
    <s v="2026-01-29"/>
    <n v="4.1840000000000002"/>
    <n v="0.23899999999999999"/>
    <n v="4.2008999999999999"/>
    <n v="1"/>
    <n v="100618.8"/>
    <s v="POLAND PL"/>
  </r>
  <r>
    <s v="BKMILL"/>
    <n v="160164"/>
    <n v="221115"/>
    <s v="Forward"/>
    <x v="372"/>
    <s v="Sell Fwd"/>
    <s v="USD"/>
    <n v="-120000"/>
    <s v="PLN"/>
    <n v="422760"/>
    <s v="2026-01-29"/>
    <n v="3.5234999999999999"/>
    <n v="0.2838"/>
    <n v="3.5045000000000002"/>
    <n v="1"/>
    <n v="2220"/>
    <s v="POLAND PL"/>
  </r>
  <r>
    <s v="BKMILL"/>
    <n v="160165"/>
    <n v="221116"/>
    <s v="Forward"/>
    <x v="265"/>
    <s v="Sell Fwd"/>
    <s v="USD"/>
    <n v="-80000"/>
    <s v="PLN"/>
    <n v="281840"/>
    <s v="2026-01-29"/>
    <n v="3.5234999999999999"/>
    <n v="0.2838"/>
    <n v="3.5045000000000002"/>
    <n v="1"/>
    <n v="1480"/>
    <s v="POLAND PL"/>
  </r>
  <r>
    <s v="BKMILL"/>
    <n v="160166"/>
    <n v="221119"/>
    <s v="Forward"/>
    <x v="199"/>
    <s v="Buy Fwd"/>
    <s v="EUR"/>
    <n v="15000"/>
    <s v="PLN"/>
    <n v="62917.5"/>
    <s v="2026-01-29"/>
    <n v="4.1954000000000002"/>
    <n v="0.2384"/>
    <n v="4.2008999999999999"/>
    <n v="1"/>
    <n v="125931"/>
    <s v="POLAND PL"/>
  </r>
  <r>
    <s v="BKMILL"/>
    <n v="160167"/>
    <n v="221130"/>
    <s v="Forward"/>
    <x v="638"/>
    <s v="Sell Fwd"/>
    <s v="EUR"/>
    <n v="-58651.3"/>
    <s v="PLN"/>
    <n v="246529"/>
    <s v="2026-01-29"/>
    <n v="4.2130000000000001"/>
    <n v="0.2374"/>
    <n v="4.2008999999999999"/>
    <n v="1"/>
    <n v="140.75382999999999"/>
    <s v="POLAND PL"/>
  </r>
  <r>
    <s v="BKMILL"/>
    <n v="160170"/>
    <n v="221135"/>
    <s v="Forward"/>
    <x v="453"/>
    <s v="Buy Fwd"/>
    <s v="EUR"/>
    <n v="400000"/>
    <s v="PLN"/>
    <n v="1669600"/>
    <s v="2026-01-29"/>
    <n v="4.1740000000000004"/>
    <n v="0.23960000000000001"/>
    <n v="4.2008999999999999"/>
    <n v="1"/>
    <n v="3349960"/>
    <s v="POLAND PL"/>
  </r>
  <r>
    <s v="BKMILL"/>
    <n v="160171"/>
    <n v="221136"/>
    <s v="Forward"/>
    <x v="248"/>
    <s v="Buy Fwd"/>
    <s v="SEK"/>
    <n v="253000"/>
    <s v="PLN"/>
    <n v="99682"/>
    <s v="2026-01-29"/>
    <n v="0.39400000000000002"/>
    <n v="2.5381"/>
    <n v="0.3977"/>
    <n v="1"/>
    <n v="200300.1"/>
    <s v="POLAND PL"/>
  </r>
  <r>
    <s v="BKMILL"/>
    <n v="160174"/>
    <n v="221145"/>
    <s v="Forward"/>
    <x v="639"/>
    <s v="Sell Fwd"/>
    <s v="EUR"/>
    <n v="-5000"/>
    <s v="PLN"/>
    <n v="21047.5"/>
    <s v="2026-01-29"/>
    <n v="4.2103999999999999"/>
    <n v="0.23749999999999999"/>
    <n v="4.2008999999999999"/>
    <n v="1"/>
    <n v="43"/>
    <s v="POLAND PL"/>
  </r>
  <r>
    <s v="BKMILL"/>
    <n v="160176"/>
    <n v="221148"/>
    <s v="Forward"/>
    <x v="253"/>
    <s v="Sell Fwd"/>
    <s v="DKK"/>
    <n v="-550000"/>
    <s v="PLN"/>
    <n v="311080"/>
    <s v="2026-01-29"/>
    <n v="0.56469999999999998"/>
    <n v="1.7708999999999999"/>
    <n v="0.56259999999999999"/>
    <n v="1"/>
    <n v="1650"/>
    <s v="POLAND PL"/>
  </r>
  <r>
    <s v="BKMILL"/>
    <n v="160177"/>
    <n v="221149"/>
    <s v="Forward"/>
    <x v="32"/>
    <s v="Sell Fwd"/>
    <s v="EUR"/>
    <n v="-10000"/>
    <s v="PLN"/>
    <n v="42089"/>
    <s v="2026-01-29"/>
    <n v="4.2098000000000004"/>
    <n v="0.23749999999999999"/>
    <n v="4.2008999999999999"/>
    <n v="1"/>
    <n v="80"/>
    <s v="POLAND PL"/>
  </r>
  <r>
    <s v="BKMILL"/>
    <n v="160181"/>
    <n v="221151"/>
    <s v="Forward"/>
    <x v="189"/>
    <s v="Buy Fwd"/>
    <s v="EUR"/>
    <n v="15000"/>
    <s v="PLN"/>
    <n v="62925"/>
    <s v="2026-01-29"/>
    <n v="4.1962999999999999"/>
    <n v="0.23830000000000001"/>
    <n v="4.2008999999999999"/>
    <n v="1"/>
    <n v="125938.5"/>
    <s v="POLAND PL"/>
  </r>
  <r>
    <s v="BKMILL"/>
    <n v="160182"/>
    <n v="221154"/>
    <s v="Forward"/>
    <x v="525"/>
    <s v="Sell Fwd"/>
    <s v="EUR"/>
    <n v="-20000"/>
    <s v="PLN"/>
    <n v="84220"/>
    <s v="2026-01-29"/>
    <n v="4.2110000000000003"/>
    <n v="0.23749999999999999"/>
    <n v="4.2008999999999999"/>
    <n v="1"/>
    <n v="202"/>
    <s v="POLAND PL"/>
  </r>
  <r>
    <s v="BKMILL"/>
    <n v="160188"/>
    <n v="221160"/>
    <s v="Forward"/>
    <x v="10"/>
    <s v="Buy Fwd"/>
    <s v="EUR"/>
    <n v="10000"/>
    <s v="PLN"/>
    <n v="42031"/>
    <s v="2026-01-29"/>
    <n v="4.2039999999999997"/>
    <n v="0.2379"/>
    <n v="4.2008999999999999"/>
    <n v="1"/>
    <n v="84040"/>
    <s v="POLAND PL"/>
  </r>
  <r>
    <s v="BKMILL"/>
    <n v="160191"/>
    <n v="221164"/>
    <s v="Forward"/>
    <x v="640"/>
    <s v="Sell Fwd"/>
    <s v="CHF"/>
    <n v="-10000"/>
    <s v="PLN"/>
    <n v="46132"/>
    <s v="2026-01-29"/>
    <n v="4.6151999999999997"/>
    <n v="0.2167"/>
    <n v="4.5683999999999996"/>
    <n v="1"/>
    <n v="448"/>
    <s v="POLAND PL"/>
  </r>
  <r>
    <s v="BKMILL"/>
    <n v="160195"/>
    <n v="221174"/>
    <s v="Forward"/>
    <x v="131"/>
    <s v="Sell Fwd"/>
    <s v="EUR"/>
    <n v="-4699.3999999999996"/>
    <s v="PLN"/>
    <n v="19780.71"/>
    <s v="2026-01-29"/>
    <n v="4.2100999999999997"/>
    <n v="0.23749999999999999"/>
    <n v="4.2008999999999999"/>
    <n v="1"/>
    <n v="39.000540000000001"/>
    <s v="POLAND PL"/>
  </r>
  <r>
    <s v="BKMILL"/>
    <n v="160196"/>
    <n v="221181"/>
    <s v="Forward"/>
    <x v="457"/>
    <s v="Buy Fwd"/>
    <s v="EUR"/>
    <n v="100000"/>
    <s v="PLN"/>
    <n v="418150"/>
    <s v="2026-01-29"/>
    <n v="4.1817000000000002"/>
    <n v="0.23910000000000001"/>
    <n v="4.2008999999999999"/>
    <n v="1"/>
    <n v="838240"/>
    <s v="POLAND PL"/>
  </r>
  <r>
    <s v="BKMILL"/>
    <n v="160198"/>
    <n v="221188"/>
    <s v="Forward"/>
    <x v="91"/>
    <s v="Buy Fwd"/>
    <s v="USD"/>
    <n v="50000"/>
    <s v="PLN"/>
    <n v="175735"/>
    <s v="2026-01-30"/>
    <n v="3.5146999999999999"/>
    <n v="0.28449999999999998"/>
    <n v="3.5188999999999999"/>
    <n v="1"/>
    <n v="351680"/>
    <s v="POLAND PL"/>
  </r>
  <r>
    <s v="BKMILL"/>
    <n v="160200"/>
    <n v="221191"/>
    <s v="Forward"/>
    <x v="195"/>
    <s v="Sell Fwd"/>
    <s v="EUR"/>
    <n v="-4000"/>
    <s v="PLN"/>
    <n v="16872"/>
    <s v="2026-01-29"/>
    <n v="4.2188999999999997"/>
    <n v="0.23699999999999999"/>
    <n v="4.2008999999999999"/>
    <n v="1"/>
    <n v="68.400000000000006"/>
    <s v="POLAND PL"/>
  </r>
  <r>
    <s v="BKMILL"/>
    <n v="160201"/>
    <n v="221196"/>
    <s v="Forward"/>
    <x v="91"/>
    <s v="Sell Fwd"/>
    <s v="EUR"/>
    <n v="-2000000"/>
    <s v="PLN"/>
    <n v="8416000"/>
    <s v="2026-01-30"/>
    <n v="4.2087000000000003"/>
    <n v="0.23760000000000001"/>
    <n v="4.2072000000000003"/>
    <n v="1"/>
    <n v="1600"/>
    <s v="POLAND PL"/>
  </r>
  <r>
    <s v="BKMILL"/>
    <n v="160202"/>
    <n v="221197"/>
    <s v="Forward"/>
    <x v="641"/>
    <s v="Buy Fwd"/>
    <s v="EUR"/>
    <n v="5000"/>
    <s v="PLN"/>
    <n v="20975"/>
    <s v="2026-01-29"/>
    <n v="4.1961000000000004"/>
    <n v="0.23830000000000001"/>
    <n v="4.2008999999999999"/>
    <n v="1"/>
    <n v="41979.5"/>
    <s v="POLAND PL"/>
  </r>
  <r>
    <s v="BKMILL"/>
    <n v="160207"/>
    <n v="221203"/>
    <s v="Forward"/>
    <x v="642"/>
    <s v="Sell Fwd"/>
    <s v="EUR"/>
    <n v="-30500"/>
    <s v="PLN"/>
    <n v="128429.4"/>
    <s v="2026-01-29"/>
    <n v="4.2107999999999999"/>
    <n v="0.23749999999999999"/>
    <n v="4.2008999999999999"/>
    <n v="1"/>
    <n v="301.95"/>
    <s v="POLAND PL"/>
  </r>
  <r>
    <s v="BKMILL"/>
    <n v="160208"/>
    <n v="221205"/>
    <s v="Forward"/>
    <x v="643"/>
    <s v="Buy Fwd"/>
    <s v="EUR"/>
    <n v="155000"/>
    <s v="PLN"/>
    <n v="650054.5"/>
    <s v="2026-01-29"/>
    <n v="4.1950000000000003"/>
    <n v="0.2384"/>
    <n v="4.2008999999999999"/>
    <n v="1"/>
    <n v="1301194"/>
    <s v="POLAND PL"/>
  </r>
  <r>
    <s v="BKMILL"/>
    <n v="160209"/>
    <n v="221209"/>
    <s v="Forward"/>
    <x v="100"/>
    <s v="Sell Fwd"/>
    <s v="USD"/>
    <n v="-15000"/>
    <s v="PLN"/>
    <n v="52860"/>
    <s v="2026-01-29"/>
    <n v="3.524"/>
    <n v="0.2838"/>
    <n v="3.5045000000000002"/>
    <n v="1"/>
    <n v="292.5"/>
    <s v="POLAND PL"/>
  </r>
  <r>
    <s v="BKMILL"/>
    <n v="160210"/>
    <n v="221210"/>
    <s v="Forward"/>
    <x v="644"/>
    <s v="Sell Fwd"/>
    <s v="EUR"/>
    <n v="-50000"/>
    <s v="PLN"/>
    <n v="210425"/>
    <s v="2026-01-29"/>
    <n v="4.2084999999999999"/>
    <n v="0.23760000000000001"/>
    <n v="4.2008999999999999"/>
    <n v="1"/>
    <n v="380"/>
    <s v="POLAND PL"/>
  </r>
  <r>
    <s v="BKMILL"/>
    <n v="160213"/>
    <n v="221216"/>
    <s v="Forward"/>
    <x v="645"/>
    <s v="Buy Fwd"/>
    <s v="EUR"/>
    <n v="100000"/>
    <s v="PLN"/>
    <n v="420150"/>
    <s v="2026-01-29"/>
    <n v="4.2015000000000002"/>
    <n v="0.23799999999999999"/>
    <n v="4.2008999999999999"/>
    <n v="1"/>
    <n v="840240"/>
    <s v="POLAND PL"/>
  </r>
  <r>
    <s v="BKMILL"/>
    <n v="160214"/>
    <n v="221217"/>
    <s v="Forward"/>
    <x v="578"/>
    <s v="Buy Fwd"/>
    <s v="EUR"/>
    <n v="19000"/>
    <s v="PLN"/>
    <n v="79648"/>
    <s v="2026-01-29"/>
    <n v="4.1920000000000002"/>
    <n v="0.23849999999999999"/>
    <n v="4.2008999999999999"/>
    <n v="1"/>
    <n v="159465.1"/>
    <s v="POLAND PL"/>
  </r>
  <r>
    <s v="BKMILL"/>
    <n v="160215"/>
    <n v="221218"/>
    <s v="Forward"/>
    <x v="439"/>
    <s v="Buy Fwd"/>
    <s v="EUR"/>
    <n v="7891.96"/>
    <s v="PLN"/>
    <n v="33183.31"/>
    <s v="2026-01-29"/>
    <n v="4.1695000000000002"/>
    <n v="0.23980000000000001"/>
    <n v="4.2008999999999999"/>
    <n v="1"/>
    <n v="66336.644763999997"/>
    <s v="POLAND PL"/>
  </r>
  <r>
    <s v="BKMILL"/>
    <n v="160216"/>
    <n v="221219"/>
    <s v="Forward"/>
    <x v="439"/>
    <s v="Buy Fwd"/>
    <s v="EUR"/>
    <n v="6005.13"/>
    <s v="PLN"/>
    <n v="25249.78"/>
    <s v="2026-01-29"/>
    <n v="4.1695000000000002"/>
    <n v="0.23980000000000001"/>
    <n v="4.2008999999999999"/>
    <n v="1"/>
    <n v="50476.730617000001"/>
    <s v="POLAND PL"/>
  </r>
  <r>
    <s v="BKMILL"/>
    <n v="160217"/>
    <n v="221220"/>
    <s v="Forward"/>
    <x v="160"/>
    <s v="Buy Fwd"/>
    <s v="EUR"/>
    <n v="1066000"/>
    <s v="PLN"/>
    <n v="4475068"/>
    <s v="2026-01-29"/>
    <n v="4.1986999999999997"/>
    <n v="0.2382"/>
    <n v="4.2008999999999999"/>
    <n v="1"/>
    <n v="8953227.4000000004"/>
    <s v="POLAND PL"/>
  </r>
  <r>
    <s v="BKMILL"/>
    <n v="160218"/>
    <n v="221221"/>
    <s v="Forward"/>
    <x v="439"/>
    <s v="Buy Fwd"/>
    <s v="EUR"/>
    <n v="4777.71"/>
    <s v="PLN"/>
    <n v="20088.82"/>
    <s v="2026-01-29"/>
    <n v="4.1695000000000002"/>
    <n v="0.23980000000000001"/>
    <n v="4.2008999999999999"/>
    <n v="1"/>
    <n v="40159.501939000002"/>
    <s v="POLAND PL"/>
  </r>
  <r>
    <s v="BKMILL"/>
    <n v="160219"/>
    <n v="221223"/>
    <s v="Forward"/>
    <x v="439"/>
    <s v="Buy Fwd"/>
    <s v="EUR"/>
    <n v="3981.25"/>
    <s v="PLN"/>
    <n v="16739.98"/>
    <s v="2026-01-29"/>
    <n v="4.1695000000000002"/>
    <n v="0.23980000000000001"/>
    <n v="4.2008999999999999"/>
    <n v="1"/>
    <n v="33464.813125000001"/>
    <s v="POLAND PL"/>
  </r>
  <r>
    <s v="BKMILL"/>
    <n v="160220"/>
    <n v="221224"/>
    <s v="Forward"/>
    <x v="439"/>
    <s v="Buy Fwd"/>
    <s v="EUR"/>
    <n v="3259.67"/>
    <s v="PLN"/>
    <n v="13705.94"/>
    <s v="2026-01-29"/>
    <n v="4.1695000000000002"/>
    <n v="0.23980000000000001"/>
    <n v="4.2008999999999999"/>
    <n v="1"/>
    <n v="27399.487702999999"/>
    <s v="POLAND PL"/>
  </r>
  <r>
    <s v="BKMILL"/>
    <n v="160221"/>
    <n v="221225"/>
    <s v="Forward"/>
    <x v="439"/>
    <s v="Buy Fwd"/>
    <s v="EUR"/>
    <n v="3065.38"/>
    <s v="PLN"/>
    <n v="12889"/>
    <s v="2026-01-29"/>
    <n v="4.1695000000000002"/>
    <n v="0.23980000000000001"/>
    <n v="4.2008999999999999"/>
    <n v="1"/>
    <n v="25766.354842000001"/>
    <s v="POLAND PL"/>
  </r>
  <r>
    <s v="BKMILL"/>
    <n v="160222"/>
    <n v="221226"/>
    <s v="Forward"/>
    <x v="439"/>
    <s v="Buy Fwd"/>
    <s v="EUR"/>
    <n v="1073.31"/>
    <s v="PLN"/>
    <n v="4512.9399999999996"/>
    <s v="2026-01-29"/>
    <n v="4.1695000000000002"/>
    <n v="0.23980000000000001"/>
    <n v="4.2008999999999999"/>
    <n v="1"/>
    <n v="9021.8079789999992"/>
    <s v="POLAND PL"/>
  </r>
  <r>
    <s v="BKMILL"/>
    <n v="160223"/>
    <n v="221231"/>
    <s v="Forward"/>
    <x v="169"/>
    <s v="Buy Fwd"/>
    <s v="EUR"/>
    <n v="140000"/>
    <s v="PLN"/>
    <n v="587720"/>
    <s v="2026-01-29"/>
    <n v="4.1989000000000001"/>
    <n v="0.2382"/>
    <n v="4.2008999999999999"/>
    <n v="1"/>
    <n v="1175846"/>
    <s v="POLAND PL"/>
  </r>
  <r>
    <s v="BKMILL"/>
    <n v="160224"/>
    <n v="221233"/>
    <s v="Forward"/>
    <x v="140"/>
    <s v="Buy Fwd"/>
    <s v="USD"/>
    <n v="8000"/>
    <s v="PLN"/>
    <n v="28000"/>
    <s v="2026-01-29"/>
    <n v="3.5005000000000002"/>
    <n v="0.28570000000000001"/>
    <n v="3.5045000000000002"/>
    <n v="1"/>
    <n v="56036"/>
    <s v="POLAND PL"/>
  </r>
  <r>
    <s v="BKMILL"/>
    <n v="160225"/>
    <n v="221235"/>
    <s v="Forward"/>
    <x v="635"/>
    <s v="Sell Fwd"/>
    <s v="EUR"/>
    <n v="-300000"/>
    <s v="PLN"/>
    <n v="1293000"/>
    <s v="2026-01-29"/>
    <n v="4.3102"/>
    <n v="0.23200000000000001"/>
    <n v="4.2008999999999999"/>
    <n v="1"/>
    <n v="32730"/>
    <s v="POLAND PL"/>
  </r>
  <r>
    <s v="BKMILL"/>
    <n v="160226"/>
    <n v="221237"/>
    <s v="Forward"/>
    <x v="128"/>
    <s v="Buy Fwd"/>
    <s v="EUR"/>
    <n v="150000"/>
    <s v="PLN"/>
    <n v="630600"/>
    <s v="2026-01-29"/>
    <n v="4.2049000000000003"/>
    <n v="0.23780000000000001"/>
    <n v="4.2008999999999999"/>
    <n v="1"/>
    <n v="1260735"/>
    <s v="POLAND PL"/>
  </r>
  <r>
    <s v="BKMILL"/>
    <n v="160228"/>
    <n v="221240"/>
    <s v="Forward"/>
    <x v="493"/>
    <s v="Buy Fwd"/>
    <s v="EUR"/>
    <n v="800000"/>
    <s v="PLN"/>
    <n v="3361600"/>
    <s v="2026-01-29"/>
    <n v="4.202"/>
    <n v="0.23799999999999999"/>
    <n v="4.2008999999999999"/>
    <n v="1"/>
    <n v="6722320"/>
    <s v="POLAND PL"/>
  </r>
  <r>
    <s v="BKMILL"/>
    <n v="160229"/>
    <n v="221241"/>
    <s v="Forward"/>
    <x v="193"/>
    <s v="Sell Fwd"/>
    <s v="EUR"/>
    <n v="-400000"/>
    <s v="PLN"/>
    <n v="1684400"/>
    <s v="2026-01-29"/>
    <n v="4.2119"/>
    <n v="0.2374"/>
    <n v="4.2008999999999999"/>
    <n v="1"/>
    <n v="4040"/>
    <s v="POLAND PL"/>
  </r>
  <r>
    <s v="BKMILL"/>
    <n v="160230"/>
    <n v="221242"/>
    <s v="Forward"/>
    <x v="175"/>
    <s v="Sell Fwd"/>
    <s v="EUR"/>
    <n v="-60000"/>
    <s v="PLN"/>
    <n v="252480"/>
    <s v="2026-01-29"/>
    <n v="4.2080000000000002"/>
    <n v="0.23760000000000001"/>
    <n v="4.2008999999999999"/>
    <n v="1"/>
    <n v="426"/>
    <s v="POLAND PL"/>
  </r>
  <r>
    <s v="BKMILL"/>
    <n v="160231"/>
    <n v="221245"/>
    <s v="Forward"/>
    <x v="34"/>
    <s v="Sell Fwd"/>
    <s v="USD"/>
    <n v="-16000"/>
    <s v="PLN"/>
    <n v="56326.400000000001"/>
    <s v="2026-01-29"/>
    <n v="3.5204"/>
    <n v="0.28410000000000002"/>
    <n v="3.5045000000000002"/>
    <n v="1"/>
    <n v="254.4"/>
    <s v="POLAND PL"/>
  </r>
  <r>
    <s v="BKMILL"/>
    <n v="160233"/>
    <n v="221248"/>
    <s v="Forward"/>
    <x v="500"/>
    <s v="Sell Fwd"/>
    <s v="EUR"/>
    <n v="-155905.92000000001"/>
    <s v="PLN"/>
    <n v="655600"/>
    <s v="2026-01-29"/>
    <n v="4.2169999999999996"/>
    <n v="0.23710000000000001"/>
    <n v="4.2008999999999999"/>
    <n v="1"/>
    <n v="654.82067199999995"/>
    <s v="POLAND PL"/>
  </r>
  <r>
    <s v="BKMILL"/>
    <n v="160236"/>
    <n v="221251"/>
    <s v="Forward"/>
    <x v="68"/>
    <s v="Sell Fwd"/>
    <s v="EUR"/>
    <n v="-54200"/>
    <s v="PLN"/>
    <n v="227873.06"/>
    <s v="2026-01-29"/>
    <n v="4.2051999999999996"/>
    <n v="0.23780000000000001"/>
    <n v="4.2008999999999999"/>
    <n v="1"/>
    <n v="184.28"/>
    <s v="POLAND PL"/>
  </r>
  <r>
    <s v="BKMILL"/>
    <n v="160237"/>
    <n v="221253"/>
    <s v="Forward"/>
    <x v="646"/>
    <s v="Buy Fwd"/>
    <s v="EUR"/>
    <n v="300000"/>
    <s v="PLN"/>
    <n v="1260600"/>
    <s v="2026-01-29"/>
    <n v="4.202"/>
    <n v="0.23799999999999999"/>
    <n v="4.2008999999999999"/>
    <n v="1"/>
    <n v="2520870"/>
    <s v="POLAND PL"/>
  </r>
  <r>
    <s v="BKMILL"/>
    <n v="160238"/>
    <n v="221258"/>
    <s v="Forward"/>
    <x v="647"/>
    <s v="Sell Fwd"/>
    <s v="EUR"/>
    <n v="-100000"/>
    <s v="PLN"/>
    <n v="421600"/>
    <s v="2026-01-29"/>
    <n v="4.2160000000000002"/>
    <n v="0.23719999999999999"/>
    <n v="4.2008999999999999"/>
    <n v="1"/>
    <n v="1510"/>
    <s v="POLAND PL"/>
  </r>
  <r>
    <s v="BKMILL"/>
    <n v="160248"/>
    <n v="221259"/>
    <s v="Forward"/>
    <x v="139"/>
    <s v="Buy Fwd"/>
    <s v="EUR"/>
    <n v="200505.63"/>
    <s v="PLN"/>
    <n v="841401.83"/>
    <s v="2026-01-29"/>
    <n v="4.1973000000000003"/>
    <n v="0.2382"/>
    <n v="4.2008999999999999"/>
    <n v="1"/>
    <n v="1683705.9310669999"/>
    <s v="POLAND PL"/>
  </r>
  <r>
    <s v="BKMILL"/>
    <n v="160250"/>
    <n v="221263"/>
    <s v="Forward"/>
    <x v="340"/>
    <s v="Buy Fwd"/>
    <s v="EUR"/>
    <n v="5000"/>
    <s v="PLN"/>
    <n v="20910"/>
    <s v="2026-01-29"/>
    <n v="4.1820000000000004"/>
    <n v="0.23910000000000001"/>
    <n v="4.2008999999999999"/>
    <n v="1"/>
    <n v="41914.5"/>
    <s v="POLAND PL"/>
  </r>
  <r>
    <s v="BKMILL"/>
    <n v="160254"/>
    <n v="221268"/>
    <s v="Forward"/>
    <x v="134"/>
    <s v="Buy Fwd"/>
    <s v="EUR"/>
    <n v="480000"/>
    <s v="PLN"/>
    <n v="2015520"/>
    <s v="2026-01-29"/>
    <n v="4.1999000000000004"/>
    <n v="0.23810000000000001"/>
    <n v="4.2008999999999999"/>
    <n v="1"/>
    <n v="4031952"/>
    <s v="POLAND PL"/>
  </r>
  <r>
    <s v="BKMILL"/>
    <n v="160255"/>
    <n v="221270"/>
    <s v="Forward"/>
    <x v="114"/>
    <s v="Sell Fwd"/>
    <s v="EUR"/>
    <n v="-40000"/>
    <s v="PLN"/>
    <n v="168480"/>
    <s v="2026-01-29"/>
    <n v="4.2129000000000003"/>
    <n v="0.2374"/>
    <n v="4.2008999999999999"/>
    <n v="1"/>
    <n v="444"/>
    <s v="POLAND PL"/>
  </r>
  <r>
    <s v="BKMILL"/>
    <n v="160258"/>
    <n v="221271"/>
    <s v="Forward"/>
    <x v="70"/>
    <s v="Buy Fwd"/>
    <s v="EUR"/>
    <n v="158100"/>
    <s v="PLN"/>
    <n v="663545.69999999995"/>
    <s v="2026-01-29"/>
    <n v="4.1970000000000001"/>
    <n v="0.23830000000000001"/>
    <n v="4.2008999999999999"/>
    <n v="1"/>
    <n v="1327707.99"/>
    <s v="POLAND PL"/>
  </r>
  <r>
    <s v="BKMILL"/>
    <n v="160262"/>
    <n v="221279"/>
    <s v="Forward"/>
    <x v="64"/>
    <s v="Sell Fwd"/>
    <s v="EUR"/>
    <n v="-65000"/>
    <s v="PLN"/>
    <n v="273585"/>
    <s v="2026-01-29"/>
    <n v="4.2089999999999996"/>
    <n v="0.23760000000000001"/>
    <n v="4.2008999999999999"/>
    <n v="1"/>
    <n v="526.5"/>
    <s v="POLAND PL"/>
  </r>
  <r>
    <s v="BKMILL"/>
    <n v="160272"/>
    <n v="221289"/>
    <s v="Forward"/>
    <x v="30"/>
    <s v="Sell Fwd"/>
    <s v="EUR"/>
    <n v="-60000"/>
    <s v="NOK"/>
    <n v="685248"/>
    <s v="2026-01-30"/>
    <n v="11.422499999999999"/>
    <n v="8.7499999999999994E-2"/>
    <n v="4.2072000000000003"/>
    <n v="0.3674"/>
    <n v="-671.88480000000004"/>
    <s v="POLAND PL"/>
  </r>
  <r>
    <s v="BKMILL"/>
    <n v="160275"/>
    <n v="221292"/>
    <s v="Forward"/>
    <x v="464"/>
    <s v="Buy Fwd"/>
    <s v="EUR"/>
    <n v="130000"/>
    <s v="PLN"/>
    <n v="546130"/>
    <s v="2026-01-29"/>
    <n v="4.2009999999999996"/>
    <n v="0.23799999999999999"/>
    <n v="4.2008999999999999"/>
    <n v="1"/>
    <n v="1092247"/>
    <s v="POLAND PL"/>
  </r>
  <r>
    <s v="BKMILL"/>
    <n v="160277"/>
    <n v="221297"/>
    <s v="Forward"/>
    <x v="648"/>
    <s v="Buy Fwd"/>
    <s v="EUR"/>
    <n v="30000"/>
    <s v="PLN"/>
    <n v="126000"/>
    <s v="2026-01-29"/>
    <n v="4.2"/>
    <n v="0.23810000000000001"/>
    <n v="4.2008999999999999"/>
    <n v="1"/>
    <n v="252027"/>
    <s v="POLAND PL"/>
  </r>
  <r>
    <s v="BKMILL"/>
    <n v="160279"/>
    <n v="221298"/>
    <s v="Forward"/>
    <x v="543"/>
    <s v="Buy Fwd"/>
    <s v="EUR"/>
    <n v="250000"/>
    <s v="PLN"/>
    <n v="1037750"/>
    <s v="2026-01-29"/>
    <n v="4.1509999999999998"/>
    <n v="0.2409"/>
    <n v="4.2008999999999999"/>
    <n v="1"/>
    <n v="2087975"/>
    <s v="POLAND PL"/>
  </r>
  <r>
    <s v="BKMILL"/>
    <n v="160282"/>
    <n v="221300"/>
    <s v="Forward"/>
    <x v="30"/>
    <s v="Sell Fwd"/>
    <s v="EUR"/>
    <n v="-50000"/>
    <s v="NOK"/>
    <n v="570510"/>
    <s v="2026-01-30"/>
    <n v="11.412000000000001"/>
    <n v="8.7599999999999997E-2"/>
    <n v="4.2072000000000003"/>
    <n v="0.3674"/>
    <n v="-754.62599999999998"/>
    <s v="POLAND PL"/>
  </r>
  <r>
    <s v="BKMILL"/>
    <n v="160285"/>
    <n v="221304"/>
    <s v="Forward"/>
    <x v="155"/>
    <s v="Sell Fwd"/>
    <s v="EUR"/>
    <n v="-20000"/>
    <s v="PLN"/>
    <n v="84220"/>
    <s v="2026-01-29"/>
    <n v="4.2119"/>
    <n v="0.2374"/>
    <n v="4.2008999999999999"/>
    <n v="1"/>
    <n v="202"/>
    <s v="POLAND PL"/>
  </r>
  <r>
    <s v="BKMILL"/>
    <n v="160286"/>
    <n v="221306"/>
    <s v="Forward"/>
    <x v="155"/>
    <s v="Sell Fwd"/>
    <s v="EUR"/>
    <n v="-10000"/>
    <s v="PLN"/>
    <n v="42105"/>
    <s v="2026-01-29"/>
    <n v="4.2114000000000003"/>
    <n v="0.23749999999999999"/>
    <n v="4.2008999999999999"/>
    <n v="1"/>
    <n v="96"/>
    <s v="POLAND PL"/>
  </r>
  <r>
    <s v="BKMILL"/>
    <n v="160287"/>
    <n v="221307"/>
    <s v="Forward"/>
    <x v="504"/>
    <s v="Buy Fwd"/>
    <s v="EUR"/>
    <n v="150000"/>
    <s v="PLN"/>
    <n v="630330"/>
    <s v="2026-01-29"/>
    <n v="4.2022000000000004"/>
    <n v="0.23799999999999999"/>
    <n v="4.2008999999999999"/>
    <n v="1"/>
    <n v="1260465"/>
    <s v="POLAND PL"/>
  </r>
  <r>
    <s v="BKMILL"/>
    <n v="160288"/>
    <n v="221309"/>
    <s v="Forward"/>
    <x v="139"/>
    <s v="Buy Fwd"/>
    <s v="EUR"/>
    <n v="89281.31"/>
    <s v="PLN"/>
    <n v="374838.65"/>
    <s v="2026-01-29"/>
    <n v="4.1993"/>
    <n v="0.23810000000000001"/>
    <n v="4.2008999999999999"/>
    <n v="1"/>
    <n v="749900.50517899997"/>
    <s v="POLAND PL"/>
  </r>
  <r>
    <s v="BKMILL"/>
    <n v="160293"/>
    <n v="221315"/>
    <s v="Forward"/>
    <x v="164"/>
    <s v="Buy Fwd"/>
    <s v="EUR"/>
    <n v="20000"/>
    <s v="PLN"/>
    <n v="84006"/>
    <s v="2026-01-29"/>
    <n v="4.2012"/>
    <n v="0.23799999999999999"/>
    <n v="4.2008999999999999"/>
    <n v="1"/>
    <n v="168024"/>
    <s v="POLAND PL"/>
  </r>
  <r>
    <s v="BKMILL"/>
    <n v="160299"/>
    <n v="221317"/>
    <s v="Forward"/>
    <x v="129"/>
    <s v="Buy Fwd"/>
    <s v="EUR"/>
    <n v="24400"/>
    <s v="USD"/>
    <n v="29145.8"/>
    <s v="2026-01-29"/>
    <n v="1.1948000000000001"/>
    <n v="0.83699999999999997"/>
    <n v="4.2008999999999999"/>
    <n v="3.5045000000000002"/>
    <n v="204643.4161"/>
    <s v="POLAND PL"/>
  </r>
  <r>
    <s v="BKMILL"/>
    <n v="160303"/>
    <n v="221339"/>
    <s v="Forward"/>
    <x v="232"/>
    <s v="Buy Fwd"/>
    <s v="EUR"/>
    <n v="40000"/>
    <s v="PLN"/>
    <n v="167600"/>
    <s v="2026-01-29"/>
    <n v="4.1900000000000004"/>
    <n v="0.2387"/>
    <n v="4.2008999999999999"/>
    <n v="1"/>
    <n v="335636"/>
    <s v="POLAND PL"/>
  </r>
  <r>
    <s v="BKMILL"/>
    <n v="160317"/>
    <n v="221350"/>
    <s v="Forward"/>
    <x v="10"/>
    <s v="Buy Fwd"/>
    <s v="EUR"/>
    <n v="2000"/>
    <s v="PLN"/>
    <n v="8405.6"/>
    <s v="2026-01-29"/>
    <n v="4.2037000000000004"/>
    <n v="0.2379"/>
    <n v="4.2008999999999999"/>
    <n v="1"/>
    <n v="16807.400000000001"/>
    <s v="POLAND PL"/>
  </r>
  <r>
    <s v="BKMILL"/>
    <n v="160318"/>
    <n v="221352"/>
    <s v="Forward"/>
    <x v="475"/>
    <s v="Buy Fwd"/>
    <s v="EUR"/>
    <n v="2377.1"/>
    <s v="PLN"/>
    <n v="10000"/>
    <s v="2026-01-29"/>
    <n v="4.1885000000000003"/>
    <n v="0.2387"/>
    <n v="4.2008999999999999"/>
    <n v="1"/>
    <n v="19985.95939"/>
    <s v="POLAND PL"/>
  </r>
  <r>
    <s v="BKMILL"/>
    <n v="160319"/>
    <n v="221354"/>
    <s v="Forward"/>
    <x v="152"/>
    <s v="Buy Fwd"/>
    <s v="EUR"/>
    <n v="150000"/>
    <s v="PLN"/>
    <n v="630750"/>
    <s v="2026-01-29"/>
    <n v="4.2050000000000001"/>
    <n v="0.23780000000000001"/>
    <n v="4.2008999999999999"/>
    <n v="1"/>
    <n v="1260885"/>
    <s v="POLAND PL"/>
  </r>
  <r>
    <s v="BKMILL"/>
    <n v="160323"/>
    <n v="221362"/>
    <s v="Forward"/>
    <x v="649"/>
    <s v="Sell Fwd"/>
    <s v="EUR"/>
    <n v="-47467.6"/>
    <s v="PLN"/>
    <n v="200000"/>
    <s v="2026-01-29"/>
    <n v="4.2439"/>
    <n v="0.2356"/>
    <n v="4.2008999999999999"/>
    <n v="1"/>
    <n v="593.35915999999997"/>
    <s v="POLAND PL"/>
  </r>
  <r>
    <s v="BKMILL"/>
    <n v="160324"/>
    <n v="221363"/>
    <s v="Forward"/>
    <x v="143"/>
    <s v="Buy Fwd"/>
    <s v="EUR"/>
    <n v="40000"/>
    <s v="PLN"/>
    <n v="168400"/>
    <s v="2026-01-29"/>
    <n v="4.2108999999999996"/>
    <n v="0.23749999999999999"/>
    <n v="4.2008999999999999"/>
    <n v="1"/>
    <n v="336436"/>
    <s v="POLAND PL"/>
  </r>
  <r>
    <s v="BKMILL"/>
    <n v="160346"/>
    <n v="221371"/>
    <s v="Forward"/>
    <x v="650"/>
    <s v="Sell Fwd"/>
    <s v="USD"/>
    <n v="-63000"/>
    <s v="PLN"/>
    <n v="222894"/>
    <s v="2026-01-29"/>
    <n v="3.5379999999999998"/>
    <n v="0.28260000000000002"/>
    <n v="3.5045000000000002"/>
    <n v="1"/>
    <n v="2110.5"/>
    <s v="POLAND PL"/>
  </r>
  <r>
    <s v="BKMILL"/>
    <n v="160347"/>
    <n v="221372"/>
    <s v="Forward"/>
    <x v="250"/>
    <s v="Buy Fwd"/>
    <s v="EUR"/>
    <n v="220000"/>
    <s v="PLN"/>
    <n v="926640"/>
    <s v="2026-01-30"/>
    <n v="4.2119999999999997"/>
    <n v="0.2374"/>
    <n v="4.2072000000000003"/>
    <n v="1"/>
    <n v="1852224"/>
    <s v="POLAND PL"/>
  </r>
  <r>
    <s v="BKMILL"/>
    <n v="160349"/>
    <n v="221375"/>
    <s v="Forward"/>
    <x v="154"/>
    <s v="Buy Fwd"/>
    <s v="USD"/>
    <n v="100000"/>
    <s v="PLN"/>
    <n v="353000"/>
    <s v="2026-01-29"/>
    <n v="3.53"/>
    <n v="0.2833"/>
    <n v="3.5045000000000002"/>
    <n v="1"/>
    <n v="703450"/>
    <s v="POLAND PL"/>
  </r>
  <r>
    <s v="BKMILL"/>
    <n v="160370"/>
    <n v="221376"/>
    <s v="Forward"/>
    <x v="42"/>
    <s v="Sell Fwd"/>
    <s v="EUR"/>
    <n v="-4800"/>
    <s v="PLN"/>
    <n v="20186.63"/>
    <s v="2026-01-30"/>
    <n v="4.2065999999999999"/>
    <n v="0.23769999999999999"/>
    <n v="4.2072000000000003"/>
    <n v="1"/>
    <n v="-7.93"/>
    <s v="SWITZERLAND CH"/>
  </r>
  <r>
    <s v="BKMILL"/>
    <n v="160371"/>
    <n v="221378"/>
    <s v="Forward"/>
    <x v="55"/>
    <s v="Sell Fwd"/>
    <s v="EUR"/>
    <n v="-5000"/>
    <s v="PLN"/>
    <n v="21031.89"/>
    <s v="2026-01-30"/>
    <n v="4.2074999999999996"/>
    <n v="0.23769999999999999"/>
    <n v="4.2072000000000003"/>
    <n v="1"/>
    <n v="-4.1100000000000003"/>
    <s v="SPAIN ES"/>
  </r>
  <r>
    <s v="BKMILL"/>
    <n v="160372"/>
    <n v="221381"/>
    <s v="Forward"/>
    <x v="55"/>
    <s v="Buy Fwd"/>
    <s v="EUR"/>
    <n v="6000"/>
    <s v="PLN"/>
    <n v="25253.7"/>
    <s v="2026-01-30"/>
    <n v="4.2096999999999998"/>
    <n v="0.23749999999999999"/>
    <n v="4.2072000000000003"/>
    <n v="1"/>
    <n v="50496.9"/>
    <s v="SPAIN ES"/>
  </r>
  <r>
    <s v="BKMILL"/>
    <n v="160374"/>
    <n v="221383"/>
    <s v="Forward"/>
    <x v="40"/>
    <s v="Sell Fwd"/>
    <s v="EUR"/>
    <n v="-5000"/>
    <s v="PLN"/>
    <n v="21048.17"/>
    <s v="2026-01-30"/>
    <n v="4.2106000000000003"/>
    <n v="0.23749999999999999"/>
    <n v="4.2072000000000003"/>
    <n v="1"/>
    <n v="12.17"/>
    <s v="UNITED STATES OF AMERICA US"/>
  </r>
  <r>
    <s v="BKMILL"/>
    <n v="160375"/>
    <n v="221385"/>
    <s v="Forward"/>
    <x v="43"/>
    <s v="Sell Fwd"/>
    <s v="EUR"/>
    <n v="-8449"/>
    <s v="USD"/>
    <n v="10073.75"/>
    <s v="2026-01-30"/>
    <n v="1.1924999999999999"/>
    <n v="0.83850000000000002"/>
    <n v="4.2072000000000003"/>
    <n v="3.5188999999999999"/>
    <n v="-98.113924999999995"/>
    <s v="FRANCE FR"/>
  </r>
  <r>
    <s v="BKMILL"/>
    <n v="160376"/>
    <n v="221386"/>
    <s v="Forward"/>
    <x v="40"/>
    <s v="Sell Fwd"/>
    <s v="EUR"/>
    <n v="-2000"/>
    <s v="PLN"/>
    <n v="8420.01"/>
    <s v="2026-01-30"/>
    <n v="4.2110000000000003"/>
    <n v="0.23749999999999999"/>
    <n v="4.2072000000000003"/>
    <n v="1"/>
    <n v="5.61"/>
    <s v="UNITED STATES OF AMERICA US"/>
  </r>
  <r>
    <s v="BKMILL"/>
    <n v="160377"/>
    <n v="221388"/>
    <s v="Forward"/>
    <x v="55"/>
    <s v="Buy Fwd"/>
    <s v="EUR"/>
    <n v="9500"/>
    <s v="PLN"/>
    <n v="40005.96"/>
    <s v="2026-01-30"/>
    <n v="4.2119999999999997"/>
    <n v="0.2374"/>
    <n v="4.2072000000000003"/>
    <n v="1"/>
    <n v="79974.36"/>
    <s v="SPAIN ES"/>
  </r>
  <r>
    <s v="BKMILL"/>
    <n v="160378"/>
    <n v="221390"/>
    <s v="Forward"/>
    <x v="40"/>
    <s v="Sell Fwd"/>
    <s v="EUR"/>
    <n v="-2000"/>
    <s v="PLN"/>
    <n v="8419.91"/>
    <s v="2026-01-30"/>
    <n v="4.2110000000000003"/>
    <n v="0.23749999999999999"/>
    <n v="4.2072000000000003"/>
    <n v="1"/>
    <n v="5.51"/>
    <s v="UNITED STATES OF AMERICA US"/>
  </r>
  <r>
    <s v="BKMILL"/>
    <n v="160379"/>
    <n v="221392"/>
    <s v="Forward"/>
    <x v="164"/>
    <s v="Buy Fwd"/>
    <s v="EUR"/>
    <n v="20000"/>
    <s v="PLN"/>
    <n v="84104"/>
    <s v="2026-01-30"/>
    <n v="4.2061999999999999"/>
    <n v="0.23769999999999999"/>
    <n v="4.2072000000000003"/>
    <n v="1"/>
    <n v="168248"/>
    <s v="POLAND PL"/>
  </r>
  <r>
    <s v="BKMILL"/>
    <n v="160380"/>
    <n v="221393"/>
    <s v="Forward"/>
    <x v="40"/>
    <s v="Sell Fwd"/>
    <s v="EUR"/>
    <n v="-20000"/>
    <s v="PLN"/>
    <n v="84224.26"/>
    <s v="2026-01-30"/>
    <n v="4.2122000000000002"/>
    <n v="0.2374"/>
    <n v="4.2072000000000003"/>
    <n v="1"/>
    <n v="80.260000000000005"/>
    <s v="UNITED STATES OF AMERICA US"/>
  </r>
  <r>
    <s v="BKMILL"/>
    <n v="160385"/>
    <n v="221394"/>
    <s v="Forward"/>
    <x v="41"/>
    <s v="Sell Fwd"/>
    <s v="EUR"/>
    <n v="-3000"/>
    <s v="PLN"/>
    <n v="12635.51"/>
    <s v="2026-01-30"/>
    <n v="4.2130000000000001"/>
    <n v="0.2374"/>
    <n v="4.2072000000000003"/>
    <n v="1"/>
    <n v="13.91"/>
    <s v="GERMANY DE"/>
  </r>
  <r>
    <s v="BKMILL"/>
    <n v="160386"/>
    <n v="221396"/>
    <s v="Forward"/>
    <x v="26"/>
    <s v="Sell Fwd"/>
    <s v="USD"/>
    <n v="-25000"/>
    <s v="PLN"/>
    <n v="88422.5"/>
    <s v="2026-01-30"/>
    <n v="3.5369000000000002"/>
    <n v="0.28270000000000001"/>
    <n v="3.5188999999999999"/>
    <n v="1"/>
    <n v="450"/>
    <s v="POLAND PL"/>
  </r>
  <r>
    <s v="BKMILL"/>
    <n v="160387"/>
    <n v="221397"/>
    <s v="Forward"/>
    <x v="55"/>
    <s v="Buy Fwd"/>
    <s v="USD"/>
    <n v="25000"/>
    <s v="PLN"/>
    <n v="88296.25"/>
    <s v="2026-01-30"/>
    <n v="3.5318000000000001"/>
    <n v="0.28310000000000002"/>
    <n v="3.5188999999999999"/>
    <n v="1"/>
    <n v="176268.75"/>
    <s v="SPAIN ES"/>
  </r>
  <r>
    <s v="BKMILL"/>
    <n v="160388"/>
    <n v="221398"/>
    <s v="Forward"/>
    <x v="41"/>
    <s v="Buy Fwd"/>
    <s v="EUR"/>
    <n v="237394.36"/>
    <s v="PLN"/>
    <n v="1000000"/>
    <s v="2026-01-30"/>
    <n v="4.2123999999999997"/>
    <n v="0.2374"/>
    <n v="4.2072000000000003"/>
    <n v="1"/>
    <n v="1998765.5513919999"/>
    <s v="GERMANY DE"/>
  </r>
  <r>
    <s v="BKMILL"/>
    <n v="160389"/>
    <n v="221401"/>
    <s v="Forward"/>
    <x v="41"/>
    <s v="Buy Fwd"/>
    <s v="EUR"/>
    <n v="47478.87"/>
    <s v="PLN"/>
    <n v="200000"/>
    <s v="2026-01-30"/>
    <n v="4.2123999999999997"/>
    <n v="0.2374"/>
    <n v="4.2072000000000003"/>
    <n v="1"/>
    <n v="399753.10186400003"/>
    <s v="GERMANY DE"/>
  </r>
  <r>
    <s v="BKMILL"/>
    <n v="160391"/>
    <n v="221409"/>
    <s v="Forward"/>
    <x v="131"/>
    <s v="Sell Fwd"/>
    <s v="USD"/>
    <n v="-16178"/>
    <s v="PLN"/>
    <n v="57156.87"/>
    <s v="2026-01-30"/>
    <n v="3.5329999999999999"/>
    <n v="0.28299999999999997"/>
    <n v="3.5188999999999999"/>
    <n v="1"/>
    <n v="228.10579999999999"/>
    <s v="POLAND PL"/>
  </r>
  <r>
    <s v="BKMILL"/>
    <n v="160410"/>
    <n v="221415"/>
    <s v="Forward"/>
    <x v="203"/>
    <s v="Buy Fwd"/>
    <s v="EUR"/>
    <n v="100000"/>
    <s v="PLN"/>
    <n v="420200"/>
    <s v="2026-01-30"/>
    <n v="4.202"/>
    <n v="0.23799999999999999"/>
    <n v="4.2072000000000003"/>
    <n v="1"/>
    <n v="840920"/>
    <s v="POLAND PL"/>
  </r>
  <r>
    <s v="BKMILL"/>
    <n v="160411"/>
    <n v="221416"/>
    <s v="Forward"/>
    <x v="374"/>
    <s v="Buy Fwd"/>
    <s v="EUR"/>
    <n v="32000"/>
    <s v="PLN"/>
    <n v="134304"/>
    <s v="2026-01-30"/>
    <n v="4.1978999999999997"/>
    <n v="0.2382"/>
    <n v="4.2072000000000003"/>
    <n v="1"/>
    <n v="268934.40000000002"/>
    <s v="POLAND PL"/>
  </r>
  <r>
    <s v="BKMILL"/>
    <n v="160412"/>
    <n v="221417"/>
    <s v="Forward"/>
    <x v="374"/>
    <s v="Buy Fwd"/>
    <s v="USD"/>
    <n v="24000"/>
    <s v="PLN"/>
    <n v="84312"/>
    <s v="2026-01-30"/>
    <n v="3.5131000000000001"/>
    <n v="0.28460000000000002"/>
    <n v="3.5188999999999999"/>
    <n v="1"/>
    <n v="168765.6"/>
    <s v="POLAND PL"/>
  </r>
  <r>
    <s v="BKMILL"/>
    <n v="160413"/>
    <n v="221418"/>
    <s v="Forward"/>
    <x v="81"/>
    <s v="Buy Fwd"/>
    <s v="EUR"/>
    <n v="73400"/>
    <s v="PLN"/>
    <n v="308426.8"/>
    <s v="2026-01-30"/>
    <n v="4.2028999999999996"/>
    <n v="0.2379"/>
    <n v="4.2072000000000003"/>
    <n v="1"/>
    <n v="617235.28"/>
    <s v="POLAND PL"/>
  </r>
  <r>
    <s v="BKMILL"/>
    <n v="160414"/>
    <n v="221419"/>
    <s v="Forward"/>
    <x v="374"/>
    <s v="Buy Fwd"/>
    <s v="CAD"/>
    <n v="78000"/>
    <s v="PLN"/>
    <n v="202644"/>
    <s v="2026-01-30"/>
    <n v="2.5985"/>
    <n v="0.38479999999999998"/>
    <n v="2.6002000000000001"/>
    <n v="1"/>
    <n v="405459.6"/>
    <s v="POLAND PL"/>
  </r>
  <r>
    <s v="BKMILL"/>
    <n v="160415"/>
    <n v="221422"/>
    <s v="Forward"/>
    <x v="97"/>
    <s v="Sell Fwd"/>
    <s v="EUR"/>
    <n v="-100000"/>
    <s v="PLN"/>
    <n v="422000"/>
    <s v="2026-01-30"/>
    <n v="4.2209000000000003"/>
    <n v="0.2369"/>
    <n v="4.2072000000000003"/>
    <n v="1"/>
    <n v="1280"/>
    <s v="POLAND PL"/>
  </r>
  <r>
    <s v="BKMILL"/>
    <n v="160419"/>
    <n v="221428"/>
    <s v="Forward"/>
    <x v="458"/>
    <s v="Sell Fwd"/>
    <s v="GBP"/>
    <n v="-5500"/>
    <s v="PLN"/>
    <n v="26801.5"/>
    <s v="2026-01-30"/>
    <n v="4.8730000000000002"/>
    <n v="0.20519999999999999"/>
    <n v="4.8574000000000002"/>
    <n v="1"/>
    <n v="85.8"/>
    <s v="POLAND PL"/>
  </r>
  <r>
    <s v="BKMILL"/>
    <n v="160427"/>
    <n v="221433"/>
    <s v="Forward"/>
    <x v="485"/>
    <s v="Sell Fwd"/>
    <s v="EUR"/>
    <n v="-2300000"/>
    <s v="PLN"/>
    <n v="9688750"/>
    <s v="2026-01-30"/>
    <n v="4.2134"/>
    <n v="0.23730000000000001"/>
    <n v="4.2072000000000003"/>
    <n v="1"/>
    <n v="12190"/>
    <s v="POLAND PL"/>
  </r>
  <r>
    <s v="BKMILL"/>
    <n v="160429"/>
    <n v="221445"/>
    <s v="Forward"/>
    <x v="651"/>
    <s v="Buy Fwd"/>
    <s v="EUR"/>
    <n v="40000"/>
    <s v="PLN"/>
    <n v="168240"/>
    <s v="2026-01-30"/>
    <n v="4.2060000000000004"/>
    <n v="0.23780000000000001"/>
    <n v="4.2072000000000003"/>
    <n v="1"/>
    <n v="336528"/>
    <s v="POLAND PL"/>
  </r>
  <r>
    <s v="BKMILL"/>
    <n v="160430"/>
    <n v="221447"/>
    <s v="Forward"/>
    <x v="652"/>
    <s v="Sell Fwd"/>
    <s v="EUR"/>
    <n v="-22200"/>
    <s v="PLN"/>
    <n v="93772.800000000003"/>
    <s v="2026-01-30"/>
    <n v="4.2248000000000001"/>
    <n v="0.23669999999999999"/>
    <n v="4.2072000000000003"/>
    <n v="1"/>
    <n v="372.96"/>
    <s v="POLAND PL"/>
  </r>
  <r>
    <s v="BKMILL"/>
    <n v="160431"/>
    <n v="221452"/>
    <s v="Forward"/>
    <x v="653"/>
    <s v="Sell Fwd"/>
    <s v="EUR"/>
    <n v="-100000"/>
    <s v="PLN"/>
    <n v="421450"/>
    <s v="2026-01-30"/>
    <n v="4.2145000000000001"/>
    <n v="0.23730000000000001"/>
    <n v="4.2072000000000003"/>
    <n v="1"/>
    <n v="730"/>
    <s v="POLAND PL"/>
  </r>
  <r>
    <s v="BKMILL"/>
    <n v="160432"/>
    <n v="221453"/>
    <s v="Forward"/>
    <x v="540"/>
    <s v="Buy Fwd"/>
    <s v="EUR"/>
    <n v="7000"/>
    <s v="PLN"/>
    <n v="29400"/>
    <s v="2026-01-30"/>
    <n v="4.2008999999999999"/>
    <n v="0.23799999999999999"/>
    <n v="4.2072000000000003"/>
    <n v="1"/>
    <n v="58850.400000000001"/>
    <s v="POLAND PL"/>
  </r>
  <r>
    <s v="BKMILL"/>
    <n v="160433"/>
    <n v="221456"/>
    <s v="Forward"/>
    <x v="509"/>
    <s v="Buy Fwd"/>
    <s v="EUR"/>
    <n v="10000"/>
    <s v="PLN"/>
    <n v="41980"/>
    <s v="2026-01-30"/>
    <n v="4.1989000000000001"/>
    <n v="0.2382"/>
    <n v="4.2072000000000003"/>
    <n v="1"/>
    <n v="84052"/>
    <s v="POLAND PL"/>
  </r>
  <r>
    <s v="BKMILL"/>
    <n v="160434"/>
    <n v="221458"/>
    <s v="Forward"/>
    <x v="338"/>
    <s v="Buy Fwd"/>
    <s v="EUR"/>
    <n v="53000"/>
    <s v="PLN"/>
    <n v="222600"/>
    <s v="2026-01-30"/>
    <n v="4.2009999999999996"/>
    <n v="0.23799999999999999"/>
    <n v="4.2072000000000003"/>
    <n v="1"/>
    <n v="445581.6"/>
    <s v="POLAND PL"/>
  </r>
  <r>
    <s v="BKMILL"/>
    <n v="160435"/>
    <n v="221459"/>
    <s v="Forward"/>
    <x v="432"/>
    <s v="Buy Fwd"/>
    <s v="EUR"/>
    <n v="12200"/>
    <s v="PLN"/>
    <n v="51276.6"/>
    <s v="2026-01-30"/>
    <n v="4.2030000000000003"/>
    <n v="0.2379"/>
    <n v="4.2072000000000003"/>
    <n v="1"/>
    <n v="102604.44"/>
    <s v="POLAND PL"/>
  </r>
  <r>
    <s v="BKMILL"/>
    <n v="160437"/>
    <n v="221460"/>
    <s v="Forward"/>
    <x v="654"/>
    <s v="Sell Fwd"/>
    <s v="EUR"/>
    <n v="-140000"/>
    <s v="PLN"/>
    <n v="601300"/>
    <s v="2026-01-30"/>
    <n v="4.2949999999999999"/>
    <n v="0.23280000000000001"/>
    <n v="4.2072000000000003"/>
    <n v="1"/>
    <n v="12292"/>
    <s v="POLAND PL"/>
  </r>
  <r>
    <s v="BKMILL"/>
    <n v="160438"/>
    <n v="221461"/>
    <s v="Forward"/>
    <x v="32"/>
    <s v="Sell Fwd"/>
    <s v="EUR"/>
    <n v="-10000"/>
    <s v="PLN"/>
    <n v="42129"/>
    <s v="2026-01-30"/>
    <n v="4.2138"/>
    <n v="0.23730000000000001"/>
    <n v="4.2072000000000003"/>
    <n v="1"/>
    <n v="57"/>
    <s v="POLAND PL"/>
  </r>
  <r>
    <s v="BKMILL"/>
    <n v="160439"/>
    <n v="221463"/>
    <s v="Forward"/>
    <x v="133"/>
    <s v="Buy Fwd"/>
    <s v="EUR"/>
    <n v="20000"/>
    <s v="PLN"/>
    <n v="84110"/>
    <s v="2026-01-30"/>
    <n v="4.2064000000000004"/>
    <n v="0.23769999999999999"/>
    <n v="4.2072000000000003"/>
    <n v="1"/>
    <n v="168254"/>
    <s v="POLAND PL"/>
  </r>
  <r>
    <s v="BKMILL"/>
    <n v="160440"/>
    <n v="221464"/>
    <s v="Forward"/>
    <x v="655"/>
    <s v="Buy Fwd"/>
    <s v="EUR"/>
    <n v="25000"/>
    <s v="PLN"/>
    <n v="105062.5"/>
    <s v="2026-01-30"/>
    <n v="4.2034000000000002"/>
    <n v="0.2379"/>
    <n v="4.2072000000000003"/>
    <n v="1"/>
    <n v="210242.5"/>
    <s v="POLAND PL"/>
  </r>
  <r>
    <s v="BKMILL"/>
    <n v="160448"/>
    <n v="221475"/>
    <s v="Forward"/>
    <x v="443"/>
    <s v="Sell Fwd"/>
    <s v="USD"/>
    <n v="-289850"/>
    <s v="PLN"/>
    <n v="1027518.25"/>
    <s v="2026-01-30"/>
    <n v="3.5449999999999999"/>
    <n v="0.28210000000000002"/>
    <n v="3.5188999999999999"/>
    <n v="1"/>
    <n v="7565.085"/>
    <s v="POLAND PL"/>
  </r>
  <r>
    <s v="BKMILL"/>
    <n v="160449"/>
    <n v="221477"/>
    <s v="Forward"/>
    <x v="443"/>
    <s v="Buy Fwd"/>
    <s v="EUR"/>
    <n v="385000"/>
    <s v="USD"/>
    <n v="458150"/>
    <s v="2026-01-30"/>
    <n v="1.19"/>
    <n v="0.84030000000000005"/>
    <n v="4.2072000000000003"/>
    <n v="3.5188999999999999"/>
    <n v="3231956.0350000001"/>
    <s v="POLAND PL"/>
  </r>
  <r>
    <s v="BKMILL"/>
    <n v="160452"/>
    <n v="221481"/>
    <s v="Forward"/>
    <x v="552"/>
    <s v="Buy Fwd"/>
    <s v="EUR"/>
    <n v="50000"/>
    <s v="PLN"/>
    <n v="209500"/>
    <s v="2026-01-30"/>
    <n v="4.1900000000000004"/>
    <n v="0.2387"/>
    <n v="4.2072000000000003"/>
    <n v="1"/>
    <n v="419860"/>
    <s v="POLAND PL"/>
  </r>
  <r>
    <s v="BKMILL"/>
    <n v="160453"/>
    <n v="221491"/>
    <s v="Forward"/>
    <x v="142"/>
    <s v="Buy Fwd"/>
    <s v="EUR"/>
    <n v="300000"/>
    <s v="PLN"/>
    <n v="1260600"/>
    <s v="2026-01-30"/>
    <n v="4.202"/>
    <n v="0.23799999999999999"/>
    <n v="4.2072000000000003"/>
    <n v="1"/>
    <n v="2522760"/>
    <s v="POLAND PL"/>
  </r>
  <r>
    <s v="BKMILL"/>
    <n v="160454"/>
    <n v="221492"/>
    <s v="Forward"/>
    <x v="139"/>
    <s v="Buy Fwd"/>
    <s v="EUR"/>
    <n v="152932"/>
    <s v="PLN"/>
    <n v="643033.18000000005"/>
    <s v="2026-01-30"/>
    <n v="4.2057000000000002"/>
    <n v="0.23780000000000001"/>
    <n v="4.2072000000000003"/>
    <n v="1"/>
    <n v="1286448.6904"/>
    <s v="POLAND PL"/>
  </r>
  <r>
    <s v="BKMILL"/>
    <n v="160455"/>
    <n v="221495"/>
    <s v="Forward"/>
    <x v="272"/>
    <s v="Buy Fwd"/>
    <s v="EUR"/>
    <n v="30000"/>
    <s v="PLN"/>
    <n v="126105"/>
    <s v="2026-01-30"/>
    <n v="4.2035"/>
    <n v="0.2379"/>
    <n v="4.2072000000000003"/>
    <n v="1"/>
    <n v="252321"/>
    <s v="POLAND PL"/>
  </r>
  <r>
    <s v="BKMILL"/>
    <n v="160461"/>
    <n v="221503"/>
    <s v="Forward"/>
    <x v="524"/>
    <s v="Sell Fwd"/>
    <s v="EUR"/>
    <n v="-30000"/>
    <s v="PLN"/>
    <n v="126495"/>
    <s v="2026-01-30"/>
    <n v="4.2164999999999999"/>
    <n v="0.23719999999999999"/>
    <n v="4.2072000000000003"/>
    <n v="1"/>
    <n v="279"/>
    <s v="POLAND PL"/>
  </r>
  <r>
    <s v="BKMILL"/>
    <n v="160471"/>
    <n v="221513"/>
    <s v="Forward"/>
    <x v="129"/>
    <s v="Buy Fwd"/>
    <s v="EUR"/>
    <n v="4450"/>
    <s v="USD"/>
    <n v="5295.5"/>
    <s v="2026-01-30"/>
    <n v="1.1902999999999999"/>
    <n v="0.84009999999999996"/>
    <n v="4.2072000000000003"/>
    <n v="3.5188999999999999"/>
    <n v="37356.374949999998"/>
    <s v="POLAND PL"/>
  </r>
  <r>
    <s v="BKMILL"/>
    <n v="160472"/>
    <n v="221521"/>
    <s v="Forward"/>
    <x v="280"/>
    <s v="Buy Fwd"/>
    <s v="EUR"/>
    <n v="15000"/>
    <s v="PLN"/>
    <n v="63030"/>
    <s v="2026-01-30"/>
    <n v="4.2031000000000001"/>
    <n v="0.2379"/>
    <n v="4.2072000000000003"/>
    <n v="1"/>
    <n v="126138"/>
    <s v="POLAND PL"/>
  </r>
  <r>
    <s v="BKMILL"/>
    <n v="160473"/>
    <n v="221528"/>
    <s v="Forward"/>
    <x v="327"/>
    <s v="Sell Fwd"/>
    <s v="EUR"/>
    <n v="-10000"/>
    <s v="PLN"/>
    <n v="42240"/>
    <s v="2026-01-30"/>
    <n v="4.2248999999999999"/>
    <n v="0.23669999999999999"/>
    <n v="4.2072000000000003"/>
    <n v="1"/>
    <n v="168"/>
    <s v="POLAND PL"/>
  </r>
  <r>
    <s v="BKMILL"/>
    <n v="160474"/>
    <n v="221530"/>
    <s v="Forward"/>
    <x v="139"/>
    <s v="Buy Fwd"/>
    <s v="EUR"/>
    <n v="72326"/>
    <s v="PLN"/>
    <n v="304029.57"/>
    <s v="2026-01-30"/>
    <n v="4.2046000000000001"/>
    <n v="0.23780000000000001"/>
    <n v="4.2072000000000003"/>
    <n v="1"/>
    <n v="608319.5172"/>
    <s v="POLAND PL"/>
  </r>
  <r>
    <s v="BKMILL"/>
    <n v="160478"/>
    <n v="221535"/>
    <s v="Forward"/>
    <x v="212"/>
    <s v="Buy Fwd"/>
    <s v="GBP"/>
    <n v="147379.88"/>
    <s v="PLN"/>
    <n v="715234.56"/>
    <s v="2026-01-30"/>
    <n v="4.8529999999999998"/>
    <n v="0.20610000000000001"/>
    <n v="4.8574000000000002"/>
    <n v="1"/>
    <n v="1431117.5891120001"/>
    <s v="UNITED KINGDOM GB"/>
  </r>
  <r>
    <s v="BKMILL"/>
    <n v="160479"/>
    <n v="221536"/>
    <s v="Forward"/>
    <x v="81"/>
    <s v="Buy Fwd"/>
    <s v="EUR"/>
    <n v="179000"/>
    <s v="PLN"/>
    <n v="752158"/>
    <s v="2026-01-30"/>
    <n v="4.202"/>
    <n v="0.23799999999999999"/>
    <n v="4.2072000000000003"/>
    <n v="1"/>
    <n v="1505246.8"/>
    <s v="POLAND PL"/>
  </r>
  <r>
    <s v="BKMILL"/>
    <n v="160480"/>
    <n v="221544"/>
    <s v="Forward"/>
    <x v="74"/>
    <s v="Buy Fwd"/>
    <s v="EUR"/>
    <n v="100000"/>
    <s v="PLN"/>
    <n v="419300"/>
    <s v="2026-01-30"/>
    <n v="4.1929999999999996"/>
    <n v="0.23849999999999999"/>
    <n v="4.2072000000000003"/>
    <n v="1"/>
    <n v="840020"/>
    <s v="POLAND PL"/>
  </r>
  <r>
    <s v="BKMILL"/>
    <n v="160487"/>
    <n v="221555"/>
    <s v="Forward"/>
    <x v="199"/>
    <s v="Buy Fwd"/>
    <s v="EUR"/>
    <n v="28000"/>
    <s v="PLN"/>
    <n v="117642"/>
    <s v="2026-01-30"/>
    <n v="4.2023999999999999"/>
    <n v="0.23799999999999999"/>
    <n v="4.2072000000000003"/>
    <n v="1"/>
    <n v="235443.6"/>
    <s v="POLAND PL"/>
  </r>
  <r>
    <s v="BKMILL"/>
    <n v="160493"/>
    <n v="221563"/>
    <s v="Forward"/>
    <x v="656"/>
    <s v="Sell Fwd"/>
    <s v="EUR"/>
    <n v="-32000"/>
    <s v="PLN"/>
    <n v="134841.60000000001"/>
    <s v="2026-01-30"/>
    <n v="4.2138"/>
    <n v="0.23730000000000001"/>
    <n v="4.2072000000000003"/>
    <n v="1"/>
    <n v="211.2"/>
    <s v="POLAND PL"/>
  </r>
  <r>
    <s v="BKMILL"/>
    <n v="160496"/>
    <n v="221567"/>
    <s v="Forward"/>
    <x v="619"/>
    <s v="Buy Fwd"/>
    <s v="EUR"/>
    <n v="2700000"/>
    <s v="PLN"/>
    <n v="11367000"/>
    <s v="2026-01-30"/>
    <n v="4.21"/>
    <n v="0.23749999999999999"/>
    <n v="4.2072000000000003"/>
    <n v="1"/>
    <n v="22726440"/>
    <s v="POLAND PL"/>
  </r>
  <r>
    <s v="BKMILL"/>
    <n v="160497"/>
    <n v="221568"/>
    <s v="Forward"/>
    <x v="162"/>
    <s v="Buy Fwd"/>
    <s v="EUR"/>
    <n v="1500000"/>
    <s v="PLN"/>
    <n v="6315000"/>
    <s v="2026-01-30"/>
    <n v="4.21"/>
    <n v="0.23749999999999999"/>
    <n v="4.2072000000000003"/>
    <n v="1"/>
    <n v="12625800"/>
    <s v="POLAND PL"/>
  </r>
  <r>
    <s v="BKMILL"/>
    <n v="160500"/>
    <n v="221570"/>
    <s v="Forward"/>
    <x v="657"/>
    <s v="Sell Fwd"/>
    <s v="EUR"/>
    <n v="-30100"/>
    <s v="PLN"/>
    <n v="127142.39999999999"/>
    <s v="2026-01-30"/>
    <n v="4.2240000000000002"/>
    <n v="0.23669999999999999"/>
    <n v="4.2072000000000003"/>
    <n v="1"/>
    <n v="505.68"/>
    <s v="POLAND PL"/>
  </r>
  <r>
    <s v="BKMILL"/>
    <n v="160501"/>
    <n v="221571"/>
    <s v="Forward"/>
    <x v="172"/>
    <s v="Buy Fwd"/>
    <s v="EUR"/>
    <n v="15000"/>
    <s v="PLN"/>
    <n v="63075"/>
    <s v="2026-01-30"/>
    <n v="4.2050000000000001"/>
    <n v="0.23780000000000001"/>
    <n v="4.2072000000000003"/>
    <n v="1"/>
    <n v="126183"/>
    <s v="POLAND PL"/>
  </r>
  <r>
    <s v="BKMILL"/>
    <n v="160502"/>
    <n v="221572"/>
    <s v="Forward"/>
    <x v="658"/>
    <s v="Buy Fwd"/>
    <s v="EUR"/>
    <n v="10000"/>
    <s v="PLN"/>
    <n v="41900"/>
    <s v="2026-01-30"/>
    <n v="4.1910999999999996"/>
    <n v="0.23860000000000001"/>
    <n v="4.2072000000000003"/>
    <n v="1"/>
    <n v="83972"/>
    <s v="POLAND PL"/>
  </r>
  <r>
    <s v="BKMILL"/>
    <n v="160503"/>
    <n v="221578"/>
    <s v="Forward"/>
    <x v="180"/>
    <s v="Sell Fwd"/>
    <s v="USD"/>
    <n v="-65000"/>
    <s v="PLN"/>
    <n v="229274.5"/>
    <s v="2026-01-30"/>
    <n v="3.5274000000000001"/>
    <n v="0.28349999999999997"/>
    <n v="3.5188999999999999"/>
    <n v="1"/>
    <n v="546"/>
    <s v="POLAND PL"/>
  </r>
  <r>
    <s v="BKMILL"/>
    <n v="160517"/>
    <n v="221589"/>
    <s v="Forward"/>
    <x v="208"/>
    <s v="Buy Fwd"/>
    <s v="EUR"/>
    <n v="40000"/>
    <s v="PLN"/>
    <n v="165600"/>
    <s v="2026-01-30"/>
    <n v="4.1399999999999997"/>
    <n v="0.24149999999999999"/>
    <n v="4.2072000000000003"/>
    <n v="1"/>
    <n v="333888"/>
    <s v="POLAND PL"/>
  </r>
  <r>
    <s v="BKMILL"/>
    <n v="160518"/>
    <n v="221593"/>
    <s v="Forward"/>
    <x v="288"/>
    <s v="Buy Fwd"/>
    <s v="EUR"/>
    <n v="20000"/>
    <s v="PLN"/>
    <n v="84000"/>
    <s v="2026-01-30"/>
    <n v="4.2008999999999999"/>
    <n v="0.23799999999999999"/>
    <n v="4.2072000000000003"/>
    <n v="1"/>
    <n v="168144"/>
    <s v="POLAND PL"/>
  </r>
  <r>
    <s v="BKMILL"/>
    <n v="160524"/>
    <n v="221597"/>
    <s v="Forward"/>
    <x v="70"/>
    <s v="Buy Fwd"/>
    <s v="GBP"/>
    <n v="34572.39"/>
    <s v="PLN"/>
    <n v="167503.23000000001"/>
    <s v="2026-01-30"/>
    <n v="4.8449999999999998"/>
    <n v="0.2064"/>
    <n v="4.8574000000000002"/>
    <n v="1"/>
    <n v="335435.15718600003"/>
    <s v="POLAND PL"/>
  </r>
  <r>
    <s v="BKMILL"/>
    <n v="160527"/>
    <n v="221602"/>
    <s v="Forward"/>
    <x v="348"/>
    <s v="Buy Fwd"/>
    <s v="EUR"/>
    <n v="12000"/>
    <s v="PLN"/>
    <n v="50298"/>
    <s v="2026-01-30"/>
    <n v="4.1923000000000004"/>
    <n v="0.23849999999999999"/>
    <n v="4.2072000000000003"/>
    <n v="1"/>
    <n v="100784.4"/>
    <s v="POLAND PL"/>
  </r>
  <r>
    <s v="BKMILL"/>
    <n v="160532"/>
    <n v="221607"/>
    <s v="Forward"/>
    <x v="256"/>
    <s v="Buy Fwd"/>
    <s v="EUR"/>
    <n v="270000"/>
    <s v="PLN"/>
    <n v="1132380"/>
    <s v="2026-01-30"/>
    <n v="4.1948999999999996"/>
    <n v="0.2384"/>
    <n v="4.2072000000000003"/>
    <n v="1"/>
    <n v="2268324"/>
    <s v="POLAND PL"/>
  </r>
  <r>
    <s v="BKMILL"/>
    <n v="160533"/>
    <n v="221611"/>
    <s v="Forward"/>
    <x v="30"/>
    <s v="Sell Fwd"/>
    <s v="EUR"/>
    <n v="-50000"/>
    <s v="NOK"/>
    <n v="569410"/>
    <s v="2026-01-30"/>
    <n v="11.3904"/>
    <n v="8.7800000000000003E-2"/>
    <n v="4.2072000000000003"/>
    <n v="0.3674"/>
    <n v="-1158.7660000000001"/>
    <s v="POLAND PL"/>
  </r>
  <r>
    <s v="BKMILL"/>
    <n v="160536"/>
    <n v="221613"/>
    <s v="Forward"/>
    <x v="637"/>
    <s v="Buy Fwd"/>
    <s v="EUR"/>
    <n v="7000"/>
    <s v="PLN"/>
    <n v="29330"/>
    <s v="2026-01-30"/>
    <n v="4.1900000000000004"/>
    <n v="0.2387"/>
    <n v="4.2072000000000003"/>
    <n v="1"/>
    <n v="58780.4"/>
    <s v="POLAND PL"/>
  </r>
  <r>
    <s v="BKMILL"/>
    <n v="160540"/>
    <n v="221618"/>
    <s v="Forward"/>
    <x v="30"/>
    <s v="Sell Fwd"/>
    <s v="EUR"/>
    <n v="-40000"/>
    <s v="NOK"/>
    <n v="455420"/>
    <s v="2026-01-30"/>
    <n v="11.387700000000001"/>
    <n v="8.7800000000000003E-2"/>
    <n v="4.2072000000000003"/>
    <n v="0.3674"/>
    <n v="-966.69200000000001"/>
    <s v="POLAND PL"/>
  </r>
  <r>
    <s v="BKMILL"/>
    <n v="160543"/>
    <n v="221620"/>
    <s v="Forward"/>
    <x v="366"/>
    <s v="Sell Fwd"/>
    <s v="USD"/>
    <n v="-200000"/>
    <s v="PLN"/>
    <n v="707200"/>
    <s v="2026-01-30"/>
    <n v="3.536"/>
    <n v="0.2828"/>
    <n v="3.5188999999999999"/>
    <n v="1"/>
    <n v="3420"/>
    <s v="POLAND PL"/>
  </r>
  <r>
    <s v="BKMILL"/>
    <n v="160549"/>
    <n v="221623"/>
    <s v="Forward"/>
    <x v="659"/>
    <s v="Buy Fwd"/>
    <s v="EUR"/>
    <n v="7360"/>
    <s v="PLN"/>
    <n v="30875.200000000001"/>
    <s v="2026-01-30"/>
    <n v="4.1961000000000004"/>
    <n v="0.23830000000000001"/>
    <n v="4.2072000000000003"/>
    <n v="1"/>
    <n v="61840.192000000003"/>
    <s v="POLAND PL"/>
  </r>
  <r>
    <s v="BKMILL"/>
    <n v="160550"/>
    <n v="221624"/>
    <s v="Forward"/>
    <x v="486"/>
    <s v="Buy Fwd"/>
    <s v="EUR"/>
    <n v="10000"/>
    <s v="PLN"/>
    <n v="41750"/>
    <s v="2026-01-30"/>
    <n v="4.1749999999999998"/>
    <n v="0.23949999999999999"/>
    <n v="4.2072000000000003"/>
    <n v="1"/>
    <n v="83822"/>
    <s v="POLAND PL"/>
  </r>
  <r>
    <s v="BKMILL"/>
    <n v="160551"/>
    <n v="221627"/>
    <s v="Forward"/>
    <x v="76"/>
    <s v="Buy Fwd"/>
    <s v="EUR"/>
    <n v="10000"/>
    <s v="PLN"/>
    <n v="41900"/>
    <s v="2026-01-30"/>
    <n v="4.1900000000000004"/>
    <n v="0.2387"/>
    <n v="4.2072000000000003"/>
    <n v="1"/>
    <n v="83972"/>
    <s v="POLAND PL"/>
  </r>
  <r>
    <s v="BKMILL"/>
    <n v="160552"/>
    <n v="221638"/>
    <s v="Forward"/>
    <x v="170"/>
    <s v="Buy Fwd"/>
    <s v="EUR"/>
    <n v="30000"/>
    <s v="PLN"/>
    <n v="126126"/>
    <s v="2026-01-30"/>
    <n v="4.2051999999999996"/>
    <n v="0.23780000000000001"/>
    <n v="4.2072000000000003"/>
    <n v="1"/>
    <n v="252342"/>
    <s v="POLAND PL"/>
  </r>
  <r>
    <s v="BKMILL"/>
    <n v="160553"/>
    <n v="221639"/>
    <s v="Forward"/>
    <x v="660"/>
    <s v="Buy Fwd"/>
    <s v="EUR"/>
    <n v="12200"/>
    <s v="USD"/>
    <n v="14493.6"/>
    <s v="2026-01-30"/>
    <n v="1.1881999999999999"/>
    <n v="0.84160000000000001"/>
    <n v="4.2072000000000003"/>
    <n v="3.5188999999999999"/>
    <n v="102329.36904000001"/>
    <s v="POLAND PL"/>
  </r>
  <r>
    <s v="BKMILL"/>
    <n v="160556"/>
    <n v="221645"/>
    <s v="Forward"/>
    <x v="558"/>
    <s v="Sell Fwd"/>
    <s v="EUR"/>
    <n v="-200000"/>
    <s v="PLN"/>
    <n v="843000"/>
    <s v="2026-01-30"/>
    <n v="4.2159000000000004"/>
    <n v="0.23719999999999999"/>
    <n v="4.2072000000000003"/>
    <n v="1"/>
    <n v="1560"/>
    <s v="POLAND PL"/>
  </r>
  <r>
    <s v="BKMILL"/>
    <n v="160557"/>
    <n v="221646"/>
    <s v="Forward"/>
    <x v="129"/>
    <s v="Buy Fwd"/>
    <s v="EUR"/>
    <n v="32500"/>
    <s v="USD"/>
    <n v="38707.5"/>
    <s v="2026-01-30"/>
    <n v="1.1913"/>
    <n v="0.83940000000000003"/>
    <n v="4.2072000000000003"/>
    <n v="3.5188999999999999"/>
    <n v="272941.82175"/>
    <s v="POLAND PL"/>
  </r>
  <r>
    <s v="BKMILL"/>
    <n v="160558"/>
    <n v="221650"/>
    <s v="Forward"/>
    <x v="103"/>
    <s v="Sell Fwd"/>
    <s v="EUR"/>
    <n v="-180666.85"/>
    <s v="PLN"/>
    <n v="761601.11"/>
    <s v="2026-01-30"/>
    <n v="4.2154999999999996"/>
    <n v="0.23719999999999999"/>
    <n v="4.2072000000000003"/>
    <n v="1"/>
    <n v="1499.5386800000001"/>
    <s v="POLAND PL"/>
  </r>
  <r>
    <s v="BKMILL"/>
    <n v="160559"/>
    <n v="221653"/>
    <s v="Forward"/>
    <x v="661"/>
    <s v="Sell Fwd"/>
    <s v="EUR"/>
    <n v="-100000"/>
    <s v="PLN"/>
    <n v="420900"/>
    <s v="2026-01-30"/>
    <n v="4.2089999999999996"/>
    <n v="0.23760000000000001"/>
    <n v="4.2072000000000003"/>
    <n v="1"/>
    <n v="180"/>
    <s v="POLAND PL"/>
  </r>
  <r>
    <s v="BKMILL"/>
    <n v="160564"/>
    <n v="221661"/>
    <s v="Forward"/>
    <x v="175"/>
    <s v="Sell Fwd"/>
    <s v="EUR"/>
    <n v="-60000"/>
    <s v="PLN"/>
    <n v="252600"/>
    <s v="2026-01-30"/>
    <n v="4.2107999999999999"/>
    <n v="0.23749999999999999"/>
    <n v="4.2072000000000003"/>
    <n v="1"/>
    <n v="168"/>
    <s v="POLAND PL"/>
  </r>
  <r>
    <s v="BKMILL"/>
    <n v="160569"/>
    <n v="221670"/>
    <s v="Forward"/>
    <x v="139"/>
    <s v="Buy Fwd"/>
    <s v="EUR"/>
    <n v="173506.33"/>
    <s v="PLN"/>
    <n v="729108.3"/>
    <s v="2026-01-30"/>
    <n v="4.2031999999999998"/>
    <n v="0.2379"/>
    <n v="4.2072000000000003"/>
    <n v="1"/>
    <n v="1459084.131576"/>
    <s v="POLAND PL"/>
  </r>
  <r>
    <s v="BKMILL"/>
    <n v="160576"/>
    <n v="221678"/>
    <s v="Forward"/>
    <x v="314"/>
    <s v="Buy Fwd"/>
    <s v="EUR"/>
    <n v="120000"/>
    <s v="PLN"/>
    <n v="501480"/>
    <s v="2026-01-30"/>
    <n v="4.1798999999999999"/>
    <n v="0.2392"/>
    <n v="4.2072000000000003"/>
    <n v="1"/>
    <n v="1006344"/>
    <s v="POLAND PL"/>
  </r>
  <r>
    <s v="BKMILL"/>
    <n v="160578"/>
    <n v="221679"/>
    <s v="Forward"/>
    <x v="80"/>
    <s v="Sell Fwd"/>
    <s v="EUR"/>
    <n v="-276000"/>
    <s v="PLN"/>
    <n v="1163064"/>
    <s v="2026-01-30"/>
    <n v="4.2149000000000001"/>
    <n v="0.23730000000000001"/>
    <n v="4.2072000000000003"/>
    <n v="1"/>
    <n v="1876.8"/>
    <s v="POLAND PL"/>
  </r>
  <r>
    <s v="BKMILL"/>
    <n v="160584"/>
    <n v="221680"/>
    <s v="Forward"/>
    <x v="160"/>
    <s v="Buy Fwd"/>
    <s v="EUR"/>
    <n v="228000"/>
    <s v="PLN"/>
    <n v="957372"/>
    <s v="2026-01-30"/>
    <n v="4.1997999999999998"/>
    <n v="0.23810000000000001"/>
    <n v="4.2072000000000003"/>
    <n v="1"/>
    <n v="1916613.6"/>
    <s v="POLAND PL"/>
  </r>
  <r>
    <s v="BKMILL"/>
    <n v="160588"/>
    <n v="221684"/>
    <s v="Forward"/>
    <x v="151"/>
    <s v="Sell Fwd"/>
    <s v="EUR"/>
    <n v="-235824"/>
    <s v="PLN"/>
    <n v="996120.58"/>
    <s v="2026-01-30"/>
    <n v="4.2240000000000002"/>
    <n v="0.23669999999999999"/>
    <n v="4.2072000000000003"/>
    <n v="1"/>
    <n v="3961.8472000000002"/>
    <s v="POLAND PL"/>
  </r>
  <r>
    <s v="BKMILL"/>
    <n v="160604"/>
    <n v="221707"/>
    <s v="Forward"/>
    <x v="662"/>
    <s v="Buy Fwd"/>
    <s v="CHF"/>
    <n v="200000"/>
    <s v="PLN"/>
    <n v="916360"/>
    <s v="2026-01-30"/>
    <n v="4.5839999999999996"/>
    <n v="0.21820000000000001"/>
    <n v="4.5830000000000002"/>
    <n v="1"/>
    <n v="1832960"/>
    <s v="POLAND PL"/>
  </r>
  <r>
    <s v="BKMILL"/>
    <n v="160607"/>
    <n v="221709"/>
    <s v="Forward"/>
    <x v="663"/>
    <s v="Buy Fwd"/>
    <s v="EUR"/>
    <n v="100000"/>
    <s v="USD"/>
    <n v="118800"/>
    <s v="2026-01-30"/>
    <n v="1.1882999999999999"/>
    <n v="0.84150000000000003"/>
    <n v="4.2072000000000003"/>
    <n v="3.5188999999999999"/>
    <n v="838765.32"/>
    <s v="POLAND PL"/>
  </r>
  <r>
    <s v="BKMILL"/>
    <n v="160612"/>
    <n v="221713"/>
    <s v="Forward"/>
    <x v="597"/>
    <s v="Sell Fwd"/>
    <s v="EUR"/>
    <n v="-1000"/>
    <s v="PLN"/>
    <n v="4211"/>
    <s v="2026-01-30"/>
    <n v="4.2119"/>
    <n v="0.2374"/>
    <n v="4.2072000000000003"/>
    <n v="1"/>
    <n v="3.8"/>
    <s v="POLAND PL"/>
  </r>
  <r>
    <s v="BKMILL"/>
    <n v="160616"/>
    <n v="221718"/>
    <s v="Forward"/>
    <x v="355"/>
    <s v="Buy Fwd"/>
    <s v="EUR"/>
    <n v="2000"/>
    <s v="PLN"/>
    <n v="8384"/>
    <s v="2026-01-30"/>
    <n v="4.1920000000000002"/>
    <n v="0.23849999999999999"/>
    <n v="4.2072000000000003"/>
    <n v="1"/>
    <n v="16798.400000000001"/>
    <s v="POLAND PL"/>
  </r>
  <r>
    <s v="BKMILL"/>
    <n v="160631"/>
    <n v="221720"/>
    <s v="Forward"/>
    <x v="143"/>
    <s v="Buy Fwd"/>
    <s v="EUR"/>
    <n v="40000"/>
    <s v="PLN"/>
    <n v="168400"/>
    <s v="2026-01-30"/>
    <n v="4.2110000000000003"/>
    <n v="0.23749999999999999"/>
    <n v="4.2072000000000003"/>
    <n v="1"/>
    <n v="336688"/>
    <s v="POLAND P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E15A0-1AE3-4CB2-8030-9C6AB440BB3F}" name="Tabela przestawna4" cacheId="6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A668" firstHeaderRow="1" firstDataRow="1" firstDataCol="1"/>
  <pivotFields count="17">
    <pivotField showAll="0"/>
    <pivotField numFmtId="1" showAll="0"/>
    <pivotField numFmtId="1" showAll="0"/>
    <pivotField showAll="0"/>
    <pivotField axis="axisRow" showAll="0">
      <items count="665">
        <item x="38"/>
        <item x="534"/>
        <item x="55"/>
        <item x="85"/>
        <item x="84"/>
        <item x="43"/>
        <item x="614"/>
        <item x="44"/>
        <item x="39"/>
        <item x="40"/>
        <item x="41"/>
        <item x="50"/>
        <item x="404"/>
        <item x="270"/>
        <item x="36"/>
        <item x="283"/>
        <item x="94"/>
        <item x="47"/>
        <item x="42"/>
        <item x="45"/>
        <item x="587"/>
        <item x="193"/>
        <item x="559"/>
        <item x="199"/>
        <item x="548"/>
        <item x="141"/>
        <item x="60"/>
        <item x="407"/>
        <item x="57"/>
        <item x="150"/>
        <item x="172"/>
        <item x="620"/>
        <item x="76"/>
        <item x="224"/>
        <item x="522"/>
        <item x="577"/>
        <item x="621"/>
        <item x="279"/>
        <item x="509"/>
        <item x="600"/>
        <item x="368"/>
        <item x="240"/>
        <item x="537"/>
        <item x="17"/>
        <item x="71"/>
        <item x="82"/>
        <item x="319"/>
        <item x="89"/>
        <item x="294"/>
        <item x="472"/>
        <item x="293"/>
        <item x="425"/>
        <item x="517"/>
        <item x="207"/>
        <item x="301"/>
        <item x="531"/>
        <item x="484"/>
        <item x="138"/>
        <item x="91"/>
        <item x="214"/>
        <item x="590"/>
        <item x="188"/>
        <item x="520"/>
        <item x="72"/>
        <item x="225"/>
        <item x="151"/>
        <item x="622"/>
        <item x="396"/>
        <item x="268"/>
        <item x="648"/>
        <item x="554"/>
        <item x="479"/>
        <item x="327"/>
        <item x="213"/>
        <item x="623"/>
        <item x="205"/>
        <item x="573"/>
        <item x="397"/>
        <item x="486"/>
        <item x="398"/>
        <item x="324"/>
        <item x="595"/>
        <item x="53"/>
        <item x="445"/>
        <item x="331"/>
        <item x="452"/>
        <item x="494"/>
        <item x="108"/>
        <item x="20"/>
        <item x="238"/>
        <item x="14"/>
        <item x="491"/>
        <item x="379"/>
        <item x="186"/>
        <item x="64"/>
        <item x="460"/>
        <item x="49"/>
        <item x="290"/>
        <item x="430"/>
        <item x="347"/>
        <item x="415"/>
        <item x="24"/>
        <item x="305"/>
        <item x="168"/>
        <item x="67"/>
        <item x="110"/>
        <item x="556"/>
        <item x="126"/>
        <item x="163"/>
        <item x="506"/>
        <item x="1"/>
        <item x="596"/>
        <item x="497"/>
        <item x="652"/>
        <item x="291"/>
        <item x="399"/>
        <item x="307"/>
        <item x="284"/>
        <item x="541"/>
        <item x="148"/>
        <item x="390"/>
        <item x="261"/>
        <item x="329"/>
        <item x="408"/>
        <item x="437"/>
        <item x="632"/>
        <item x="144"/>
        <item x="646"/>
        <item x="475"/>
        <item x="485"/>
        <item x="226"/>
        <item x="102"/>
        <item x="538"/>
        <item x="13"/>
        <item x="242"/>
        <item x="298"/>
        <item x="527"/>
        <item x="250"/>
        <item x="496"/>
        <item x="215"/>
        <item x="453"/>
        <item x="633"/>
        <item x="269"/>
        <item x="112"/>
        <item x="656"/>
        <item x="239"/>
        <item x="58"/>
        <item x="195"/>
        <item x="140"/>
        <item x="25"/>
        <item x="177"/>
        <item x="355"/>
        <item x="528"/>
        <item x="386"/>
        <item x="635"/>
        <item x="501"/>
        <item x="118"/>
        <item x="546"/>
        <item x="535"/>
        <item x="626"/>
        <item x="251"/>
        <item x="593"/>
        <item x="115"/>
        <item x="468"/>
        <item x="171"/>
        <item x="378"/>
        <item x="243"/>
        <item x="113"/>
        <item x="637"/>
        <item x="413"/>
        <item x="137"/>
        <item x="267"/>
        <item x="580"/>
        <item x="146"/>
        <item x="585"/>
        <item x="147"/>
        <item x="246"/>
        <item x="549"/>
        <item x="105"/>
        <item x="216"/>
        <item x="174"/>
        <item x="557"/>
        <item x="516"/>
        <item x="135"/>
        <item x="134"/>
        <item x="136"/>
        <item x="617"/>
        <item x="618"/>
        <item x="406"/>
        <item x="560"/>
        <item x="513"/>
        <item x="335"/>
        <item x="360"/>
        <item x="330"/>
        <item x="295"/>
        <item x="131"/>
        <item x="169"/>
        <item x="500"/>
        <item x="521"/>
        <item x="579"/>
        <item x="454"/>
        <item x="440"/>
        <item x="462"/>
        <item x="383"/>
        <item x="581"/>
        <item x="592"/>
        <item x="156"/>
        <item x="385"/>
        <item x="86"/>
        <item x="256"/>
        <item x="369"/>
        <item x="373"/>
        <item x="411"/>
        <item x="642"/>
        <item x="553"/>
        <item x="597"/>
        <item x="52"/>
        <item x="539"/>
        <item x="351"/>
        <item x="628"/>
        <item x="551"/>
        <item x="264"/>
        <item x="442"/>
        <item x="427"/>
        <item x="282"/>
        <item x="100"/>
        <item x="106"/>
        <item x="433"/>
        <item x="184"/>
        <item x="167"/>
        <item x="417"/>
        <item x="79"/>
        <item x="202"/>
        <item x="371"/>
        <item x="249"/>
        <item x="651"/>
        <item x="492"/>
        <item x="603"/>
        <item x="362"/>
        <item x="487"/>
        <item x="649"/>
        <item x="230"/>
        <item x="185"/>
        <item x="241"/>
        <item x="372"/>
        <item x="370"/>
        <item x="630"/>
        <item x="248"/>
        <item x="114"/>
        <item x="458"/>
        <item x="405"/>
        <item x="409"/>
        <item x="203"/>
        <item x="381"/>
        <item x="120"/>
        <item x="149"/>
        <item x="277"/>
        <item x="457"/>
        <item x="157"/>
        <item x="73"/>
        <item x="518"/>
        <item x="122"/>
        <item x="10"/>
        <item x="182"/>
        <item x="227"/>
        <item x="532"/>
        <item x="558"/>
        <item x="467"/>
        <item x="166"/>
        <item x="340"/>
        <item x="191"/>
        <item x="401"/>
        <item x="456"/>
        <item x="498"/>
        <item x="660"/>
        <item x="647"/>
        <item x="289"/>
        <item x="245"/>
        <item x="130"/>
        <item x="98"/>
        <item x="27"/>
        <item x="524"/>
        <item x="436"/>
        <item x="602"/>
        <item x="326"/>
        <item x="424"/>
        <item x="570"/>
        <item x="258"/>
        <item x="9"/>
        <item x="655"/>
        <item x="555"/>
        <item x="303"/>
        <item x="304"/>
        <item x="568"/>
        <item x="97"/>
        <item x="4"/>
        <item x="423"/>
        <item x="353"/>
        <item x="495"/>
        <item x="387"/>
        <item x="505"/>
        <item x="441"/>
        <item x="588"/>
        <item x="470"/>
        <item x="142"/>
        <item x="591"/>
        <item x="562"/>
        <item x="179"/>
        <item x="464"/>
        <item x="447"/>
        <item x="444"/>
        <item x="365"/>
        <item x="306"/>
        <item x="318"/>
        <item x="334"/>
        <item x="544"/>
        <item x="181"/>
        <item x="139"/>
        <item x="514"/>
        <item x="526"/>
        <item x="18"/>
        <item x="627"/>
        <item x="349"/>
        <item x="530"/>
        <item x="208"/>
        <item x="180"/>
        <item x="567"/>
        <item x="504"/>
        <item x="342"/>
        <item x="653"/>
        <item x="659"/>
        <item x="634"/>
        <item x="170"/>
        <item x="601"/>
        <item x="255"/>
        <item x="161"/>
        <item x="28"/>
        <item x="56"/>
        <item x="219"/>
        <item x="561"/>
        <item x="316"/>
        <item x="488"/>
        <item x="432"/>
        <item x="610"/>
        <item x="266"/>
        <item x="123"/>
        <item x="16"/>
        <item x="23"/>
        <item x="552"/>
        <item x="446"/>
        <item x="356"/>
        <item x="377"/>
        <item x="101"/>
        <item x="605"/>
        <item x="483"/>
        <item x="510"/>
        <item x="175"/>
        <item x="211"/>
        <item x="311"/>
        <item x="565"/>
        <item x="576"/>
        <item x="616"/>
        <item x="533"/>
        <item x="74"/>
        <item x="232"/>
        <item x="54"/>
        <item x="178"/>
        <item x="63"/>
        <item x="236"/>
        <item x="418"/>
        <item x="222"/>
        <item x="127"/>
        <item x="339"/>
        <item x="426"/>
        <item x="348"/>
        <item x="449"/>
        <item x="609"/>
        <item x="572"/>
        <item x="299"/>
        <item x="78"/>
        <item x="341"/>
        <item x="265"/>
        <item x="48"/>
        <item x="286"/>
        <item x="511"/>
        <item x="93"/>
        <item x="125"/>
        <item x="421"/>
        <item x="229"/>
        <item x="51"/>
        <item x="382"/>
        <item x="519"/>
        <item x="332"/>
        <item x="278"/>
        <item x="367"/>
        <item x="121"/>
        <item x="364"/>
        <item x="3"/>
        <item x="471"/>
        <item x="223"/>
        <item x="615"/>
        <item x="37"/>
        <item x="589"/>
        <item x="384"/>
        <item x="323"/>
        <item x="443"/>
        <item x="62"/>
        <item x="133"/>
        <item x="272"/>
        <item x="87"/>
        <item x="0"/>
        <item x="608"/>
        <item x="542"/>
        <item x="129"/>
        <item x="374"/>
        <item x="619"/>
        <item x="523"/>
        <item x="189"/>
        <item x="155"/>
        <item x="317"/>
        <item x="210"/>
        <item x="221"/>
        <item x="473"/>
        <item x="508"/>
        <item x="545"/>
        <item x="212"/>
        <item x="354"/>
        <item x="312"/>
        <item x="604"/>
        <item x="68"/>
        <item x="30"/>
        <item x="259"/>
        <item x="375"/>
        <item x="65"/>
        <item x="80"/>
        <item x="376"/>
        <item x="574"/>
        <item x="33"/>
        <item x="465"/>
        <item x="394"/>
        <item x="489"/>
        <item x="461"/>
        <item x="220"/>
        <item x="414"/>
        <item x="7"/>
        <item x="313"/>
        <item x="481"/>
        <item x="328"/>
        <item x="345"/>
        <item x="507"/>
        <item x="636"/>
        <item x="197"/>
        <item x="344"/>
        <item x="192"/>
        <item x="391"/>
        <item x="70"/>
        <item x="173"/>
        <item x="314"/>
        <item x="419"/>
        <item x="145"/>
        <item x="254"/>
        <item x="392"/>
        <item x="583"/>
        <item x="164"/>
        <item x="512"/>
        <item x="639"/>
        <item x="431"/>
        <item x="128"/>
        <item x="111"/>
        <item x="645"/>
        <item x="336"/>
        <item x="103"/>
        <item x="482"/>
        <item x="237"/>
        <item x="61"/>
        <item x="59"/>
        <item x="12"/>
        <item x="77"/>
        <item x="310"/>
        <item x="380"/>
        <item x="474"/>
        <item x="400"/>
        <item x="661"/>
        <item x="302"/>
        <item x="322"/>
        <item x="217"/>
        <item x="594"/>
        <item x="416"/>
        <item x="152"/>
        <item x="395"/>
        <item x="309"/>
        <item x="75"/>
        <item x="11"/>
        <item x="280"/>
        <item x="96"/>
        <item x="624"/>
        <item x="154"/>
        <item x="578"/>
        <item x="477"/>
        <item x="32"/>
        <item x="363"/>
        <item x="569"/>
        <item x="582"/>
        <item x="321"/>
        <item x="343"/>
        <item x="90"/>
        <item x="297"/>
        <item x="571"/>
        <item x="34"/>
        <item x="333"/>
        <item x="480"/>
        <item x="8"/>
        <item x="253"/>
        <item x="190"/>
        <item x="654"/>
        <item x="262"/>
        <item x="611"/>
        <item x="638"/>
        <item x="247"/>
        <item x="599"/>
        <item x="429"/>
        <item x="536"/>
        <item x="204"/>
        <item x="300"/>
        <item x="187"/>
        <item x="650"/>
        <item x="357"/>
        <item x="281"/>
        <item x="274"/>
        <item x="448"/>
        <item x="493"/>
        <item x="543"/>
        <item x="183"/>
        <item x="459"/>
        <item x="359"/>
        <item x="2"/>
        <item x="81"/>
        <item x="46"/>
        <item x="657"/>
        <item x="117"/>
        <item x="463"/>
        <item x="287"/>
        <item x="275"/>
        <item x="598"/>
        <item x="176"/>
        <item x="641"/>
        <item x="388"/>
        <item x="26"/>
        <item x="540"/>
        <item x="29"/>
        <item x="575"/>
        <item x="410"/>
        <item x="143"/>
        <item x="547"/>
        <item x="31"/>
        <item x="663"/>
        <item x="292"/>
        <item x="124"/>
        <item x="109"/>
        <item x="160"/>
        <item x="158"/>
        <item x="244"/>
        <item x="296"/>
        <item x="6"/>
        <item x="285"/>
        <item x="325"/>
        <item x="198"/>
        <item x="389"/>
        <item x="515"/>
        <item x="550"/>
        <item x="206"/>
        <item x="478"/>
        <item x="99"/>
        <item x="15"/>
        <item x="466"/>
        <item x="228"/>
        <item x="346"/>
        <item x="503"/>
        <item x="366"/>
        <item x="21"/>
        <item x="257"/>
        <item x="273"/>
        <item x="35"/>
        <item x="260"/>
        <item x="402"/>
        <item x="455"/>
        <item x="586"/>
        <item x="231"/>
        <item x="19"/>
        <item x="403"/>
        <item x="393"/>
        <item x="315"/>
        <item x="159"/>
        <item x="320"/>
        <item x="162"/>
        <item x="201"/>
        <item x="566"/>
        <item x="644"/>
        <item x="438"/>
        <item x="350"/>
        <item x="352"/>
        <item x="450"/>
        <item x="235"/>
        <item x="69"/>
        <item x="271"/>
        <item x="361"/>
        <item x="83"/>
        <item x="358"/>
        <item x="196"/>
        <item x="337"/>
        <item x="5"/>
        <item x="525"/>
        <item x="288"/>
        <item x="22"/>
        <item x="451"/>
        <item x="612"/>
        <item x="116"/>
        <item x="252"/>
        <item x="95"/>
        <item x="435"/>
        <item x="308"/>
        <item x="107"/>
        <item x="476"/>
        <item x="607"/>
        <item x="420"/>
        <item x="499"/>
        <item x="165"/>
        <item x="119"/>
        <item x="104"/>
        <item x="218"/>
        <item x="66"/>
        <item x="276"/>
        <item x="92"/>
        <item x="529"/>
        <item x="490"/>
        <item x="613"/>
        <item x="194"/>
        <item x="564"/>
        <item x="200"/>
        <item x="643"/>
        <item x="658"/>
        <item x="640"/>
        <item x="153"/>
        <item x="631"/>
        <item x="584"/>
        <item x="606"/>
        <item x="412"/>
        <item x="338"/>
        <item x="422"/>
        <item x="428"/>
        <item x="502"/>
        <item x="629"/>
        <item x="662"/>
        <item x="88"/>
        <item x="563"/>
        <item x="263"/>
        <item x="434"/>
        <item x="625"/>
        <item x="132"/>
        <item x="234"/>
        <item x="209"/>
        <item x="469"/>
        <item x="439"/>
        <item x="233"/>
        <item t="default"/>
      </items>
    </pivotField>
    <pivotField showAll="0"/>
    <pivotField showAll="0"/>
    <pivotField numFmtId="164" showAll="0"/>
    <pivotField showAll="0"/>
    <pivotField numFmtId="164" showAll="0"/>
    <pivotField showAll="0"/>
    <pivotField numFmtId="165" showAll="0"/>
    <pivotField numFmtId="165" showAll="0"/>
    <pivotField numFmtId="165" showAll="0"/>
    <pivotField numFmtId="165" showAll="0"/>
    <pivotField numFmtId="164" showAll="0"/>
    <pivotField showAll="0"/>
  </pivotFields>
  <rowFields count="1">
    <field x="4"/>
  </rowFields>
  <rowItems count="66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3565-F6DB-4042-946B-AD25A42AA0F4}">
  <dimension ref="A3:D668"/>
  <sheetViews>
    <sheetView topLeftCell="A630" workbookViewId="0">
      <selection activeCell="D4" sqref="D4:D667"/>
    </sheetView>
  </sheetViews>
  <sheetFormatPr defaultRowHeight="14.4" x14ac:dyDescent="0.3"/>
  <cols>
    <col min="1" max="1" width="17.21875" bestFit="1" customWidth="1"/>
  </cols>
  <sheetData>
    <row r="3" spans="1:4" x14ac:dyDescent="0.3">
      <c r="A3" s="7" t="s">
        <v>723</v>
      </c>
    </row>
    <row r="4" spans="1:4" x14ac:dyDescent="0.3">
      <c r="A4" s="8" t="s">
        <v>86</v>
      </c>
      <c r="C4" s="8" t="s">
        <v>86</v>
      </c>
      <c r="D4" t="s">
        <v>725</v>
      </c>
    </row>
    <row r="5" spans="1:4" x14ac:dyDescent="0.3">
      <c r="A5" s="8" t="s">
        <v>591</v>
      </c>
      <c r="C5" s="8" t="s">
        <v>591</v>
      </c>
      <c r="D5" t="s">
        <v>726</v>
      </c>
    </row>
    <row r="6" spans="1:4" x14ac:dyDescent="0.3">
      <c r="A6" s="8" t="s">
        <v>111</v>
      </c>
      <c r="C6" s="8" t="s">
        <v>111</v>
      </c>
      <c r="D6" t="s">
        <v>727</v>
      </c>
    </row>
    <row r="7" spans="1:4" x14ac:dyDescent="0.3">
      <c r="A7" s="8" t="s">
        <v>141</v>
      </c>
      <c r="C7" s="8" t="s">
        <v>141</v>
      </c>
      <c r="D7" t="s">
        <v>728</v>
      </c>
    </row>
    <row r="8" spans="1:4" x14ac:dyDescent="0.3">
      <c r="A8" s="8" t="s">
        <v>140</v>
      </c>
      <c r="C8" s="8" t="s">
        <v>140</v>
      </c>
      <c r="D8" t="s">
        <v>729</v>
      </c>
    </row>
    <row r="9" spans="1:4" x14ac:dyDescent="0.3">
      <c r="A9" s="8" t="s">
        <v>95</v>
      </c>
      <c r="C9" s="8" t="s">
        <v>95</v>
      </c>
      <c r="D9" t="s">
        <v>730</v>
      </c>
    </row>
    <row r="10" spans="1:4" x14ac:dyDescent="0.3">
      <c r="A10" s="8" t="s">
        <v>673</v>
      </c>
      <c r="C10" s="8" t="s">
        <v>673</v>
      </c>
      <c r="D10" t="s">
        <v>731</v>
      </c>
    </row>
    <row r="11" spans="1:4" x14ac:dyDescent="0.3">
      <c r="A11" s="8" t="s">
        <v>96</v>
      </c>
      <c r="C11" s="8" t="s">
        <v>96</v>
      </c>
      <c r="D11" t="s">
        <v>732</v>
      </c>
    </row>
    <row r="12" spans="1:4" x14ac:dyDescent="0.3">
      <c r="A12" s="8" t="s">
        <v>88</v>
      </c>
      <c r="C12" s="8" t="s">
        <v>88</v>
      </c>
      <c r="D12" t="s">
        <v>733</v>
      </c>
    </row>
    <row r="13" spans="1:4" x14ac:dyDescent="0.3">
      <c r="A13" s="8" t="s">
        <v>90</v>
      </c>
      <c r="C13" s="8" t="s">
        <v>90</v>
      </c>
      <c r="D13" t="s">
        <v>734</v>
      </c>
    </row>
    <row r="14" spans="1:4" x14ac:dyDescent="0.3">
      <c r="A14" s="8" t="s">
        <v>92</v>
      </c>
      <c r="C14" s="8" t="s">
        <v>92</v>
      </c>
      <c r="D14" t="s">
        <v>735</v>
      </c>
    </row>
    <row r="15" spans="1:4" x14ac:dyDescent="0.3">
      <c r="A15" s="8" t="s">
        <v>103</v>
      </c>
      <c r="C15" s="8" t="s">
        <v>103</v>
      </c>
      <c r="D15" t="s">
        <v>736</v>
      </c>
    </row>
    <row r="16" spans="1:4" x14ac:dyDescent="0.3">
      <c r="A16" s="8" t="s">
        <v>461</v>
      </c>
      <c r="C16" s="8" t="s">
        <v>461</v>
      </c>
      <c r="D16" t="s">
        <v>737</v>
      </c>
    </row>
    <row r="17" spans="1:4" x14ac:dyDescent="0.3">
      <c r="A17" s="8" t="s">
        <v>326</v>
      </c>
      <c r="C17" s="8" t="s">
        <v>326</v>
      </c>
      <c r="D17" t="s">
        <v>738</v>
      </c>
    </row>
    <row r="18" spans="1:4" x14ac:dyDescent="0.3">
      <c r="A18" s="8" t="s">
        <v>82</v>
      </c>
      <c r="C18" s="8" t="s">
        <v>82</v>
      </c>
      <c r="D18" t="s">
        <v>739</v>
      </c>
    </row>
    <row r="19" spans="1:4" x14ac:dyDescent="0.3">
      <c r="A19" s="8" t="s">
        <v>339</v>
      </c>
      <c r="C19" s="8" t="s">
        <v>339</v>
      </c>
      <c r="D19" t="s">
        <v>740</v>
      </c>
    </row>
    <row r="20" spans="1:4" x14ac:dyDescent="0.3">
      <c r="A20" s="8" t="s">
        <v>150</v>
      </c>
      <c r="C20" s="8" t="s">
        <v>150</v>
      </c>
      <c r="D20" t="s">
        <v>741</v>
      </c>
    </row>
    <row r="21" spans="1:4" x14ac:dyDescent="0.3">
      <c r="A21" s="8" t="s">
        <v>99</v>
      </c>
      <c r="C21" s="8" t="s">
        <v>99</v>
      </c>
      <c r="D21" t="s">
        <v>742</v>
      </c>
    </row>
    <row r="22" spans="1:4" x14ac:dyDescent="0.3">
      <c r="A22" s="8" t="s">
        <v>94</v>
      </c>
      <c r="C22" s="8" t="s">
        <v>94</v>
      </c>
      <c r="D22" t="s">
        <v>743</v>
      </c>
    </row>
    <row r="23" spans="1:4" x14ac:dyDescent="0.3">
      <c r="A23" s="8" t="s">
        <v>97</v>
      </c>
      <c r="C23" s="8" t="s">
        <v>97</v>
      </c>
      <c r="D23" t="s">
        <v>744</v>
      </c>
    </row>
    <row r="24" spans="1:4" x14ac:dyDescent="0.3">
      <c r="A24" s="8" t="s">
        <v>646</v>
      </c>
      <c r="C24" s="8" t="s">
        <v>646</v>
      </c>
      <c r="D24" t="s">
        <v>745</v>
      </c>
    </row>
    <row r="25" spans="1:4" x14ac:dyDescent="0.3">
      <c r="A25" s="8" t="s">
        <v>249</v>
      </c>
      <c r="C25" s="8" t="s">
        <v>249</v>
      </c>
      <c r="D25" t="s">
        <v>746</v>
      </c>
    </row>
    <row r="26" spans="1:4" x14ac:dyDescent="0.3">
      <c r="A26" s="8" t="s">
        <v>617</v>
      </c>
      <c r="C26" s="8" t="s">
        <v>617</v>
      </c>
      <c r="D26" t="s">
        <v>747</v>
      </c>
    </row>
    <row r="27" spans="1:4" x14ac:dyDescent="0.3">
      <c r="A27" s="8" t="s">
        <v>255</v>
      </c>
      <c r="C27" s="8" t="s">
        <v>255</v>
      </c>
      <c r="D27" t="s">
        <v>748</v>
      </c>
    </row>
    <row r="28" spans="1:4" x14ac:dyDescent="0.3">
      <c r="A28" s="8" t="s">
        <v>606</v>
      </c>
      <c r="C28" s="8" t="s">
        <v>606</v>
      </c>
      <c r="D28" t="s">
        <v>749</v>
      </c>
    </row>
    <row r="29" spans="1:4" x14ac:dyDescent="0.3">
      <c r="A29" s="8" t="s">
        <v>197</v>
      </c>
      <c r="C29" s="8" t="s">
        <v>197</v>
      </c>
      <c r="D29" t="s">
        <v>750</v>
      </c>
    </row>
    <row r="30" spans="1:4" x14ac:dyDescent="0.3">
      <c r="A30" s="8" t="s">
        <v>116</v>
      </c>
      <c r="C30" s="8" t="s">
        <v>116</v>
      </c>
      <c r="D30" t="s">
        <v>751</v>
      </c>
    </row>
    <row r="31" spans="1:4" x14ac:dyDescent="0.3">
      <c r="A31" s="8" t="s">
        <v>464</v>
      </c>
      <c r="C31" s="8" t="s">
        <v>464</v>
      </c>
      <c r="D31" t="s">
        <v>752</v>
      </c>
    </row>
    <row r="32" spans="1:4" x14ac:dyDescent="0.3">
      <c r="A32" s="8" t="s">
        <v>113</v>
      </c>
      <c r="C32" s="8" t="s">
        <v>113</v>
      </c>
      <c r="D32" t="s">
        <v>753</v>
      </c>
    </row>
    <row r="33" spans="1:4" x14ac:dyDescent="0.3">
      <c r="A33" s="8" t="s">
        <v>206</v>
      </c>
      <c r="C33" s="8" t="s">
        <v>206</v>
      </c>
      <c r="D33" t="s">
        <v>754</v>
      </c>
    </row>
    <row r="34" spans="1:4" x14ac:dyDescent="0.3">
      <c r="A34" s="8" t="s">
        <v>228</v>
      </c>
      <c r="C34" s="8" t="s">
        <v>228</v>
      </c>
      <c r="D34" t="s">
        <v>755</v>
      </c>
    </row>
    <row r="35" spans="1:4" x14ac:dyDescent="0.3">
      <c r="A35" s="8" t="s">
        <v>679</v>
      </c>
      <c r="C35" s="8" t="s">
        <v>679</v>
      </c>
      <c r="D35" t="s">
        <v>756</v>
      </c>
    </row>
    <row r="36" spans="1:4" x14ac:dyDescent="0.3">
      <c r="A36" s="8" t="s">
        <v>132</v>
      </c>
      <c r="C36" s="8" t="s">
        <v>132</v>
      </c>
      <c r="D36" t="s">
        <v>757</v>
      </c>
    </row>
    <row r="37" spans="1:4" x14ac:dyDescent="0.3">
      <c r="A37" s="8" t="s">
        <v>280</v>
      </c>
      <c r="C37" s="8" t="s">
        <v>280</v>
      </c>
      <c r="D37" t="s">
        <v>758</v>
      </c>
    </row>
    <row r="38" spans="1:4" x14ac:dyDescent="0.3">
      <c r="A38" s="8" t="s">
        <v>579</v>
      </c>
      <c r="C38" s="8" t="s">
        <v>579</v>
      </c>
      <c r="D38" t="s">
        <v>759</v>
      </c>
    </row>
    <row r="39" spans="1:4" x14ac:dyDescent="0.3">
      <c r="A39" s="8" t="s">
        <v>636</v>
      </c>
      <c r="C39" s="8" t="s">
        <v>636</v>
      </c>
      <c r="D39" t="s">
        <v>760</v>
      </c>
    </row>
    <row r="40" spans="1:4" x14ac:dyDescent="0.3">
      <c r="A40" s="8" t="s">
        <v>680</v>
      </c>
      <c r="C40" s="8" t="s">
        <v>680</v>
      </c>
      <c r="D40" t="s">
        <v>761</v>
      </c>
    </row>
    <row r="41" spans="1:4" x14ac:dyDescent="0.3">
      <c r="A41" s="8" t="s">
        <v>335</v>
      </c>
      <c r="C41" s="8" t="s">
        <v>335</v>
      </c>
      <c r="D41" t="s">
        <v>762</v>
      </c>
    </row>
    <row r="42" spans="1:4" x14ac:dyDescent="0.3">
      <c r="A42" s="8" t="s">
        <v>566</v>
      </c>
      <c r="C42" s="8" t="s">
        <v>566</v>
      </c>
      <c r="D42" t="s">
        <v>763</v>
      </c>
    </row>
    <row r="43" spans="1:4" x14ac:dyDescent="0.3">
      <c r="A43" s="8" t="s">
        <v>659</v>
      </c>
      <c r="C43" s="8" t="s">
        <v>659</v>
      </c>
      <c r="D43" t="s">
        <v>764</v>
      </c>
    </row>
    <row r="44" spans="1:4" x14ac:dyDescent="0.3">
      <c r="A44" s="8" t="s">
        <v>424</v>
      </c>
      <c r="C44" s="8" t="s">
        <v>424</v>
      </c>
      <c r="D44" t="s">
        <v>765</v>
      </c>
    </row>
    <row r="45" spans="1:4" x14ac:dyDescent="0.3">
      <c r="A45" s="8" t="s">
        <v>296</v>
      </c>
      <c r="C45" s="8" t="s">
        <v>296</v>
      </c>
      <c r="D45" t="s">
        <v>766</v>
      </c>
    </row>
    <row r="46" spans="1:4" x14ac:dyDescent="0.3">
      <c r="A46" s="8" t="s">
        <v>594</v>
      </c>
      <c r="C46" s="8" t="s">
        <v>594</v>
      </c>
      <c r="D46" t="s">
        <v>767</v>
      </c>
    </row>
    <row r="47" spans="1:4" x14ac:dyDescent="0.3">
      <c r="A47" s="8" t="s">
        <v>60</v>
      </c>
      <c r="C47" s="8" t="s">
        <v>60</v>
      </c>
      <c r="D47" t="s">
        <v>768</v>
      </c>
    </row>
    <row r="48" spans="1:4" x14ac:dyDescent="0.3">
      <c r="A48" s="8" t="s">
        <v>127</v>
      </c>
      <c r="C48" s="8" t="s">
        <v>127</v>
      </c>
      <c r="D48" t="s">
        <v>769</v>
      </c>
    </row>
    <row r="49" spans="1:4" x14ac:dyDescent="0.3">
      <c r="A49" s="8" t="s">
        <v>138</v>
      </c>
      <c r="C49" s="8" t="s">
        <v>138</v>
      </c>
      <c r="D49" t="s">
        <v>770</v>
      </c>
    </row>
    <row r="50" spans="1:4" x14ac:dyDescent="0.3">
      <c r="A50" s="8" t="s">
        <v>375</v>
      </c>
      <c r="C50" s="8" t="s">
        <v>375</v>
      </c>
      <c r="D50" t="s">
        <v>771</v>
      </c>
    </row>
    <row r="51" spans="1:4" x14ac:dyDescent="0.3">
      <c r="A51" s="8" t="s">
        <v>145</v>
      </c>
      <c r="C51" s="8" t="s">
        <v>145</v>
      </c>
      <c r="D51" t="s">
        <v>772</v>
      </c>
    </row>
    <row r="52" spans="1:4" x14ac:dyDescent="0.3">
      <c r="A52" s="8" t="s">
        <v>350</v>
      </c>
      <c r="C52" s="8" t="s">
        <v>350</v>
      </c>
      <c r="D52" t="s">
        <v>773</v>
      </c>
    </row>
    <row r="53" spans="1:4" x14ac:dyDescent="0.3">
      <c r="A53" s="8" t="s">
        <v>529</v>
      </c>
      <c r="C53" s="8" t="s">
        <v>529</v>
      </c>
      <c r="D53" t="s">
        <v>774</v>
      </c>
    </row>
    <row r="54" spans="1:4" x14ac:dyDescent="0.3">
      <c r="A54" s="8" t="s">
        <v>349</v>
      </c>
      <c r="C54" s="8" t="s">
        <v>349</v>
      </c>
      <c r="D54" t="s">
        <v>775</v>
      </c>
    </row>
    <row r="55" spans="1:4" x14ac:dyDescent="0.3">
      <c r="A55" s="8" t="s">
        <v>482</v>
      </c>
      <c r="C55" s="8" t="s">
        <v>482</v>
      </c>
      <c r="D55" t="s">
        <v>776</v>
      </c>
    </row>
    <row r="56" spans="1:4" x14ac:dyDescent="0.3">
      <c r="A56" s="8" t="s">
        <v>574</v>
      </c>
      <c r="C56" s="8" t="s">
        <v>574</v>
      </c>
      <c r="D56" t="s">
        <v>777</v>
      </c>
    </row>
    <row r="57" spans="1:4" x14ac:dyDescent="0.3">
      <c r="A57" s="8" t="s">
        <v>263</v>
      </c>
      <c r="C57" s="8" t="s">
        <v>263</v>
      </c>
      <c r="D57" t="s">
        <v>778</v>
      </c>
    </row>
    <row r="58" spans="1:4" x14ac:dyDescent="0.3">
      <c r="A58" s="8" t="s">
        <v>357</v>
      </c>
      <c r="C58" s="8" t="s">
        <v>357</v>
      </c>
      <c r="D58" t="s">
        <v>779</v>
      </c>
    </row>
    <row r="59" spans="1:4" x14ac:dyDescent="0.3">
      <c r="A59" s="8" t="s">
        <v>588</v>
      </c>
      <c r="C59" s="8" t="s">
        <v>588</v>
      </c>
      <c r="D59" t="s">
        <v>780</v>
      </c>
    </row>
    <row r="60" spans="1:4" x14ac:dyDescent="0.3">
      <c r="A60" s="8" t="s">
        <v>541</v>
      </c>
      <c r="C60" s="8" t="s">
        <v>541</v>
      </c>
      <c r="D60" t="s">
        <v>781</v>
      </c>
    </row>
    <row r="61" spans="1:4" x14ac:dyDescent="0.3">
      <c r="A61" s="8" t="s">
        <v>194</v>
      </c>
      <c r="C61" s="8" t="s">
        <v>194</v>
      </c>
      <c r="D61" t="s">
        <v>782</v>
      </c>
    </row>
    <row r="62" spans="1:4" x14ac:dyDescent="0.3">
      <c r="A62" s="8" t="s">
        <v>147</v>
      </c>
      <c r="C62" s="8" t="s">
        <v>147</v>
      </c>
      <c r="D62" t="s">
        <v>783</v>
      </c>
    </row>
    <row r="63" spans="1:4" x14ac:dyDescent="0.3">
      <c r="A63" s="8" t="s">
        <v>270</v>
      </c>
      <c r="C63" s="8" t="s">
        <v>270</v>
      </c>
      <c r="D63" t="s">
        <v>784</v>
      </c>
    </row>
    <row r="64" spans="1:4" x14ac:dyDescent="0.3">
      <c r="A64" s="8" t="s">
        <v>649</v>
      </c>
      <c r="C64" s="8" t="s">
        <v>649</v>
      </c>
      <c r="D64" t="s">
        <v>785</v>
      </c>
    </row>
    <row r="65" spans="1:4" x14ac:dyDescent="0.3">
      <c r="A65" s="8" t="s">
        <v>244</v>
      </c>
      <c r="C65" s="8" t="s">
        <v>244</v>
      </c>
      <c r="D65" t="s">
        <v>786</v>
      </c>
    </row>
    <row r="66" spans="1:4" x14ac:dyDescent="0.3">
      <c r="A66" s="8" t="s">
        <v>577</v>
      </c>
      <c r="C66" s="8" t="s">
        <v>577</v>
      </c>
      <c r="D66" t="s">
        <v>787</v>
      </c>
    </row>
    <row r="67" spans="1:4" x14ac:dyDescent="0.3">
      <c r="A67" s="8" t="s">
        <v>128</v>
      </c>
      <c r="C67" s="8" t="s">
        <v>128</v>
      </c>
      <c r="D67" t="s">
        <v>788</v>
      </c>
    </row>
    <row r="68" spans="1:4" x14ac:dyDescent="0.3">
      <c r="A68" s="8" t="s">
        <v>281</v>
      </c>
      <c r="C68" s="8" t="s">
        <v>281</v>
      </c>
      <c r="D68" t="s">
        <v>789</v>
      </c>
    </row>
    <row r="69" spans="1:4" x14ac:dyDescent="0.3">
      <c r="A69" s="8" t="s">
        <v>207</v>
      </c>
      <c r="C69" s="8" t="s">
        <v>207</v>
      </c>
      <c r="D69" t="s">
        <v>790</v>
      </c>
    </row>
    <row r="70" spans="1:4" x14ac:dyDescent="0.3">
      <c r="A70" s="8" t="s">
        <v>681</v>
      </c>
      <c r="C70" s="8" t="s">
        <v>681</v>
      </c>
      <c r="D70" t="s">
        <v>791</v>
      </c>
    </row>
    <row r="71" spans="1:4" x14ac:dyDescent="0.3">
      <c r="A71" s="8" t="s">
        <v>452</v>
      </c>
      <c r="C71" s="8" t="s">
        <v>452</v>
      </c>
      <c r="D71" t="s">
        <v>792</v>
      </c>
    </row>
    <row r="72" spans="1:4" x14ac:dyDescent="0.3">
      <c r="A72" s="8" t="s">
        <v>324</v>
      </c>
      <c r="C72" s="8" t="s">
        <v>324</v>
      </c>
      <c r="D72" t="s">
        <v>793</v>
      </c>
    </row>
    <row r="73" spans="1:4" x14ac:dyDescent="0.3">
      <c r="A73" s="8" t="s">
        <v>707</v>
      </c>
      <c r="C73" s="8" t="s">
        <v>707</v>
      </c>
      <c r="D73" t="s">
        <v>794</v>
      </c>
    </row>
    <row r="74" spans="1:4" x14ac:dyDescent="0.3">
      <c r="A74" s="8" t="s">
        <v>612</v>
      </c>
      <c r="C74" s="8" t="s">
        <v>612</v>
      </c>
      <c r="D74" t="s">
        <v>795</v>
      </c>
    </row>
    <row r="75" spans="1:4" x14ac:dyDescent="0.3">
      <c r="A75" s="8" t="s">
        <v>536</v>
      </c>
      <c r="C75" s="8" t="s">
        <v>536</v>
      </c>
      <c r="D75" t="s">
        <v>796</v>
      </c>
    </row>
    <row r="76" spans="1:4" x14ac:dyDescent="0.3">
      <c r="A76" s="8" t="s">
        <v>383</v>
      </c>
      <c r="C76" s="8" t="s">
        <v>383</v>
      </c>
      <c r="D76" t="s">
        <v>797</v>
      </c>
    </row>
    <row r="77" spans="1:4" x14ac:dyDescent="0.3">
      <c r="A77" s="8" t="s">
        <v>269</v>
      </c>
      <c r="C77" s="8" t="s">
        <v>269</v>
      </c>
      <c r="D77" t="s">
        <v>798</v>
      </c>
    </row>
    <row r="78" spans="1:4" x14ac:dyDescent="0.3">
      <c r="A78" s="8" t="s">
        <v>682</v>
      </c>
      <c r="C78" s="8" t="s">
        <v>682</v>
      </c>
      <c r="D78" t="s">
        <v>799</v>
      </c>
    </row>
    <row r="79" spans="1:4" x14ac:dyDescent="0.3">
      <c r="A79" s="8" t="s">
        <v>261</v>
      </c>
      <c r="C79" s="8" t="s">
        <v>261</v>
      </c>
      <c r="D79" t="s">
        <v>800</v>
      </c>
    </row>
    <row r="80" spans="1:4" x14ac:dyDescent="0.3">
      <c r="A80" s="8" t="s">
        <v>632</v>
      </c>
      <c r="C80" s="8" t="s">
        <v>632</v>
      </c>
      <c r="D80" t="s">
        <v>801</v>
      </c>
    </row>
    <row r="81" spans="1:4" x14ac:dyDescent="0.3">
      <c r="A81" s="8" t="s">
        <v>454</v>
      </c>
      <c r="C81" s="8" t="s">
        <v>454</v>
      </c>
      <c r="D81" t="s">
        <v>802</v>
      </c>
    </row>
    <row r="82" spans="1:4" x14ac:dyDescent="0.3">
      <c r="A82" s="8" t="s">
        <v>543</v>
      </c>
      <c r="C82" s="8" t="s">
        <v>543</v>
      </c>
      <c r="D82" t="s">
        <v>803</v>
      </c>
    </row>
    <row r="83" spans="1:4" x14ac:dyDescent="0.3">
      <c r="A83" s="8" t="s">
        <v>455</v>
      </c>
      <c r="C83" s="8" t="s">
        <v>455</v>
      </c>
      <c r="D83" t="s">
        <v>804</v>
      </c>
    </row>
    <row r="84" spans="1:4" x14ac:dyDescent="0.3">
      <c r="A84" s="8" t="s">
        <v>380</v>
      </c>
      <c r="C84" s="8" t="s">
        <v>380</v>
      </c>
      <c r="D84" t="s">
        <v>805</v>
      </c>
    </row>
    <row r="85" spans="1:4" x14ac:dyDescent="0.3">
      <c r="A85" s="8" t="s">
        <v>654</v>
      </c>
      <c r="C85" s="8" t="s">
        <v>654</v>
      </c>
      <c r="D85" t="s">
        <v>806</v>
      </c>
    </row>
    <row r="86" spans="1:4" x14ac:dyDescent="0.3">
      <c r="A86" s="8" t="s">
        <v>108</v>
      </c>
      <c r="C86" s="8" t="s">
        <v>108</v>
      </c>
      <c r="D86" t="s">
        <v>807</v>
      </c>
    </row>
    <row r="87" spans="1:4" x14ac:dyDescent="0.3">
      <c r="A87" s="8" t="s">
        <v>502</v>
      </c>
      <c r="C87" s="8" t="s">
        <v>502</v>
      </c>
      <c r="D87" t="s">
        <v>808</v>
      </c>
    </row>
    <row r="88" spans="1:4" x14ac:dyDescent="0.3">
      <c r="A88" s="8" t="s">
        <v>387</v>
      </c>
      <c r="C88" s="8" t="s">
        <v>387</v>
      </c>
      <c r="D88" t="s">
        <v>809</v>
      </c>
    </row>
    <row r="89" spans="1:4" x14ac:dyDescent="0.3">
      <c r="A89" s="8" t="s">
        <v>509</v>
      </c>
      <c r="C89" s="8" t="s">
        <v>509</v>
      </c>
      <c r="D89" t="s">
        <v>810</v>
      </c>
    </row>
    <row r="90" spans="1:4" x14ac:dyDescent="0.3">
      <c r="A90" s="8" t="s">
        <v>551</v>
      </c>
      <c r="C90" s="8" t="s">
        <v>551</v>
      </c>
      <c r="D90" t="s">
        <v>811</v>
      </c>
    </row>
    <row r="91" spans="1:4" x14ac:dyDescent="0.3">
      <c r="A91" s="8" t="s">
        <v>164</v>
      </c>
      <c r="C91" s="8" t="s">
        <v>164</v>
      </c>
      <c r="D91" t="s">
        <v>812</v>
      </c>
    </row>
    <row r="92" spans="1:4" x14ac:dyDescent="0.3">
      <c r="A92" s="8" t="s">
        <v>63</v>
      </c>
      <c r="C92" s="8" t="s">
        <v>63</v>
      </c>
      <c r="D92" t="s">
        <v>813</v>
      </c>
    </row>
    <row r="93" spans="1:4" x14ac:dyDescent="0.3">
      <c r="A93" s="8" t="s">
        <v>294</v>
      </c>
      <c r="C93" s="8" t="s">
        <v>294</v>
      </c>
      <c r="D93" t="s">
        <v>814</v>
      </c>
    </row>
    <row r="94" spans="1:4" x14ac:dyDescent="0.3">
      <c r="A94" s="8" t="s">
        <v>57</v>
      </c>
      <c r="C94" s="8" t="s">
        <v>57</v>
      </c>
      <c r="D94" t="s">
        <v>815</v>
      </c>
    </row>
    <row r="95" spans="1:4" x14ac:dyDescent="0.3">
      <c r="A95" s="8" t="s">
        <v>548</v>
      </c>
      <c r="C95" s="8" t="s">
        <v>548</v>
      </c>
      <c r="D95" t="s">
        <v>816</v>
      </c>
    </row>
    <row r="96" spans="1:4" x14ac:dyDescent="0.3">
      <c r="A96" s="8" t="s">
        <v>435</v>
      </c>
      <c r="C96" s="8" t="s">
        <v>435</v>
      </c>
      <c r="D96" t="s">
        <v>817</v>
      </c>
    </row>
    <row r="97" spans="1:4" x14ac:dyDescent="0.3">
      <c r="A97" s="8" t="s">
        <v>242</v>
      </c>
      <c r="C97" s="8" t="s">
        <v>242</v>
      </c>
      <c r="D97" t="s">
        <v>818</v>
      </c>
    </row>
    <row r="98" spans="1:4" x14ac:dyDescent="0.3">
      <c r="A98" s="8" t="s">
        <v>120</v>
      </c>
      <c r="C98" s="8" t="s">
        <v>120</v>
      </c>
      <c r="D98" t="s">
        <v>819</v>
      </c>
    </row>
    <row r="99" spans="1:4" x14ac:dyDescent="0.3">
      <c r="A99" s="8" t="s">
        <v>517</v>
      </c>
      <c r="C99" s="8" t="s">
        <v>517</v>
      </c>
      <c r="D99" t="s">
        <v>820</v>
      </c>
    </row>
    <row r="100" spans="1:4" x14ac:dyDescent="0.3">
      <c r="A100" s="8" t="s">
        <v>102</v>
      </c>
      <c r="C100" s="8" t="s">
        <v>102</v>
      </c>
      <c r="D100" t="s">
        <v>821</v>
      </c>
    </row>
    <row r="101" spans="1:4" x14ac:dyDescent="0.3">
      <c r="A101" s="8" t="s">
        <v>346</v>
      </c>
      <c r="C101" s="8" t="s">
        <v>346</v>
      </c>
      <c r="D101" t="s">
        <v>822</v>
      </c>
    </row>
    <row r="102" spans="1:4" x14ac:dyDescent="0.3">
      <c r="A102" s="8" t="s">
        <v>487</v>
      </c>
      <c r="C102" s="8" t="s">
        <v>487</v>
      </c>
      <c r="D102" t="s">
        <v>823</v>
      </c>
    </row>
    <row r="103" spans="1:4" x14ac:dyDescent="0.3">
      <c r="A103" s="8" t="s">
        <v>403</v>
      </c>
      <c r="C103" s="8" t="s">
        <v>403</v>
      </c>
      <c r="D103" t="s">
        <v>824</v>
      </c>
    </row>
    <row r="104" spans="1:4" x14ac:dyDescent="0.3">
      <c r="A104" s="8" t="s">
        <v>472</v>
      </c>
      <c r="C104" s="8" t="s">
        <v>472</v>
      </c>
      <c r="D104" t="s">
        <v>825</v>
      </c>
    </row>
    <row r="105" spans="1:4" x14ac:dyDescent="0.3">
      <c r="A105" s="8" t="s">
        <v>67</v>
      </c>
      <c r="C105" s="8" t="s">
        <v>67</v>
      </c>
      <c r="D105" t="s">
        <v>826</v>
      </c>
    </row>
    <row r="106" spans="1:4" x14ac:dyDescent="0.3">
      <c r="A106" s="8" t="s">
        <v>361</v>
      </c>
      <c r="C106" s="8" t="s">
        <v>361</v>
      </c>
      <c r="D106" t="s">
        <v>827</v>
      </c>
    </row>
    <row r="107" spans="1:4" x14ac:dyDescent="0.3">
      <c r="A107" s="8" t="s">
        <v>224</v>
      </c>
      <c r="C107" s="8" t="s">
        <v>224</v>
      </c>
      <c r="D107" t="s">
        <v>828</v>
      </c>
    </row>
    <row r="108" spans="1:4" x14ac:dyDescent="0.3">
      <c r="A108" s="8" t="s">
        <v>123</v>
      </c>
      <c r="C108" s="8" t="s">
        <v>123</v>
      </c>
      <c r="D108" t="s">
        <v>829</v>
      </c>
    </row>
    <row r="109" spans="1:4" x14ac:dyDescent="0.3">
      <c r="A109" s="8" t="s">
        <v>166</v>
      </c>
      <c r="C109" s="8" t="s">
        <v>166</v>
      </c>
      <c r="D109" t="s">
        <v>830</v>
      </c>
    </row>
    <row r="110" spans="1:4" x14ac:dyDescent="0.3">
      <c r="A110" s="8" t="s">
        <v>614</v>
      </c>
      <c r="C110" s="8" t="s">
        <v>614</v>
      </c>
      <c r="D110" t="s">
        <v>831</v>
      </c>
    </row>
    <row r="111" spans="1:4" x14ac:dyDescent="0.3">
      <c r="A111" s="8" t="s">
        <v>182</v>
      </c>
      <c r="C111" s="8" t="s">
        <v>182</v>
      </c>
      <c r="D111" t="s">
        <v>832</v>
      </c>
    </row>
    <row r="112" spans="1:4" x14ac:dyDescent="0.3">
      <c r="A112" s="8" t="s">
        <v>219</v>
      </c>
      <c r="C112" s="8" t="s">
        <v>219</v>
      </c>
      <c r="D112" t="s">
        <v>833</v>
      </c>
    </row>
    <row r="113" spans="1:4" x14ac:dyDescent="0.3">
      <c r="A113" s="8" t="s">
        <v>563</v>
      </c>
      <c r="C113" s="8" t="s">
        <v>563</v>
      </c>
      <c r="D113" t="s">
        <v>834</v>
      </c>
    </row>
    <row r="114" spans="1:4" x14ac:dyDescent="0.3">
      <c r="A114" s="8" t="s">
        <v>23</v>
      </c>
      <c r="C114" s="8" t="s">
        <v>23</v>
      </c>
      <c r="D114" t="s">
        <v>835</v>
      </c>
    </row>
    <row r="115" spans="1:4" x14ac:dyDescent="0.3">
      <c r="A115" s="8" t="s">
        <v>655</v>
      </c>
      <c r="C115" s="8" t="s">
        <v>655</v>
      </c>
      <c r="D115" t="s">
        <v>836</v>
      </c>
    </row>
    <row r="116" spans="1:4" x14ac:dyDescent="0.3">
      <c r="A116" s="8" t="s">
        <v>554</v>
      </c>
      <c r="C116" s="8" t="s">
        <v>554</v>
      </c>
      <c r="D116" t="s">
        <v>837</v>
      </c>
    </row>
    <row r="117" spans="1:4" x14ac:dyDescent="0.3">
      <c r="A117" s="8" t="s">
        <v>711</v>
      </c>
      <c r="C117" s="8" t="s">
        <v>711</v>
      </c>
      <c r="D117" t="s">
        <v>838</v>
      </c>
    </row>
    <row r="118" spans="1:4" x14ac:dyDescent="0.3">
      <c r="A118" s="8" t="s">
        <v>347</v>
      </c>
      <c r="C118" s="8" t="s">
        <v>347</v>
      </c>
      <c r="D118" t="s">
        <v>839</v>
      </c>
    </row>
    <row r="119" spans="1:4" x14ac:dyDescent="0.3">
      <c r="A119" s="8" t="s">
        <v>456</v>
      </c>
      <c r="C119" s="8" t="s">
        <v>456</v>
      </c>
      <c r="D119" t="s">
        <v>840</v>
      </c>
    </row>
    <row r="120" spans="1:4" x14ac:dyDescent="0.3">
      <c r="A120" s="8" t="s">
        <v>363</v>
      </c>
      <c r="C120" s="8" t="s">
        <v>363</v>
      </c>
      <c r="D120" t="s">
        <v>841</v>
      </c>
    </row>
    <row r="121" spans="1:4" x14ac:dyDescent="0.3">
      <c r="A121" s="8" t="s">
        <v>340</v>
      </c>
      <c r="C121" s="8" t="s">
        <v>340</v>
      </c>
      <c r="D121" t="s">
        <v>842</v>
      </c>
    </row>
    <row r="122" spans="1:4" x14ac:dyDescent="0.3">
      <c r="A122" s="8" t="s">
        <v>599</v>
      </c>
      <c r="C122" s="8" t="s">
        <v>599</v>
      </c>
      <c r="D122" t="s">
        <v>843</v>
      </c>
    </row>
    <row r="123" spans="1:4" x14ac:dyDescent="0.3">
      <c r="A123" s="8" t="s">
        <v>204</v>
      </c>
      <c r="C123" s="8" t="s">
        <v>204</v>
      </c>
      <c r="D123" t="s">
        <v>844</v>
      </c>
    </row>
    <row r="124" spans="1:4" x14ac:dyDescent="0.3">
      <c r="A124" s="8" t="s">
        <v>446</v>
      </c>
      <c r="C124" s="8" t="s">
        <v>446</v>
      </c>
      <c r="D124" t="s">
        <v>845</v>
      </c>
    </row>
    <row r="125" spans="1:4" x14ac:dyDescent="0.3">
      <c r="A125" s="8" t="s">
        <v>317</v>
      </c>
      <c r="C125" s="8" t="s">
        <v>317</v>
      </c>
      <c r="D125" t="s">
        <v>846</v>
      </c>
    </row>
    <row r="126" spans="1:4" x14ac:dyDescent="0.3">
      <c r="A126" s="8" t="s">
        <v>385</v>
      </c>
      <c r="C126" s="8" t="s">
        <v>385</v>
      </c>
      <c r="D126" t="s">
        <v>847</v>
      </c>
    </row>
    <row r="127" spans="1:4" x14ac:dyDescent="0.3">
      <c r="A127" s="8" t="s">
        <v>465</v>
      </c>
      <c r="C127" s="8" t="s">
        <v>465</v>
      </c>
      <c r="D127" t="s">
        <v>848</v>
      </c>
    </row>
    <row r="128" spans="1:4" x14ac:dyDescent="0.3">
      <c r="A128" s="8" t="s">
        <v>494</v>
      </c>
      <c r="C128" s="8" t="s">
        <v>494</v>
      </c>
      <c r="D128" t="s">
        <v>849</v>
      </c>
    </row>
    <row r="129" spans="1:4" x14ac:dyDescent="0.3">
      <c r="A129" s="8" t="s">
        <v>691</v>
      </c>
      <c r="C129" s="8" t="s">
        <v>691</v>
      </c>
      <c r="D129" t="s">
        <v>850</v>
      </c>
    </row>
    <row r="130" spans="1:4" x14ac:dyDescent="0.3">
      <c r="A130" s="8" t="s">
        <v>200</v>
      </c>
      <c r="C130" s="8" t="s">
        <v>200</v>
      </c>
      <c r="D130" t="s">
        <v>851</v>
      </c>
    </row>
    <row r="131" spans="1:4" x14ac:dyDescent="0.3">
      <c r="A131" s="8" t="s">
        <v>705</v>
      </c>
      <c r="C131" s="8" t="s">
        <v>705</v>
      </c>
      <c r="D131" t="s">
        <v>852</v>
      </c>
    </row>
    <row r="132" spans="1:4" x14ac:dyDescent="0.3">
      <c r="A132" s="8" t="s">
        <v>532</v>
      </c>
      <c r="C132" s="8" t="s">
        <v>532</v>
      </c>
      <c r="D132" t="s">
        <v>853</v>
      </c>
    </row>
    <row r="133" spans="1:4" x14ac:dyDescent="0.3">
      <c r="A133" s="8" t="s">
        <v>542</v>
      </c>
      <c r="C133" s="8" t="s">
        <v>542</v>
      </c>
      <c r="D133" t="s">
        <v>854</v>
      </c>
    </row>
    <row r="134" spans="1:4" x14ac:dyDescent="0.3">
      <c r="A134" s="8" t="s">
        <v>282</v>
      </c>
      <c r="C134" s="8" t="s">
        <v>282</v>
      </c>
      <c r="D134" t="s">
        <v>855</v>
      </c>
    </row>
    <row r="135" spans="1:4" x14ac:dyDescent="0.3">
      <c r="A135" s="8" t="s">
        <v>158</v>
      </c>
      <c r="C135" s="8" t="s">
        <v>158</v>
      </c>
      <c r="D135" t="s">
        <v>856</v>
      </c>
    </row>
    <row r="136" spans="1:4" x14ac:dyDescent="0.3">
      <c r="A136" s="8" t="s">
        <v>595</v>
      </c>
      <c r="C136" s="8" t="s">
        <v>595</v>
      </c>
      <c r="D136" t="s">
        <v>857</v>
      </c>
    </row>
    <row r="137" spans="1:4" x14ac:dyDescent="0.3">
      <c r="A137" s="8" t="s">
        <v>56</v>
      </c>
      <c r="C137" s="8" t="s">
        <v>56</v>
      </c>
      <c r="D137" t="s">
        <v>858</v>
      </c>
    </row>
    <row r="138" spans="1:4" x14ac:dyDescent="0.3">
      <c r="A138" s="8" t="s">
        <v>298</v>
      </c>
      <c r="C138" s="8" t="s">
        <v>298</v>
      </c>
      <c r="D138" t="s">
        <v>859</v>
      </c>
    </row>
    <row r="139" spans="1:4" x14ac:dyDescent="0.3">
      <c r="A139" s="8" t="s">
        <v>354</v>
      </c>
      <c r="C139" s="8" t="s">
        <v>354</v>
      </c>
      <c r="D139" t="s">
        <v>860</v>
      </c>
    </row>
    <row r="140" spans="1:4" x14ac:dyDescent="0.3">
      <c r="A140" s="8" t="s">
        <v>584</v>
      </c>
      <c r="C140" s="8" t="s">
        <v>584</v>
      </c>
      <c r="D140" t="s">
        <v>861</v>
      </c>
    </row>
    <row r="141" spans="1:4" x14ac:dyDescent="0.3">
      <c r="A141" s="8" t="s">
        <v>306</v>
      </c>
      <c r="C141" s="8" t="s">
        <v>306</v>
      </c>
      <c r="D141" t="s">
        <v>862</v>
      </c>
    </row>
    <row r="142" spans="1:4" x14ac:dyDescent="0.3">
      <c r="A142" s="8" t="s">
        <v>553</v>
      </c>
      <c r="C142" s="8" t="s">
        <v>553</v>
      </c>
      <c r="D142" t="s">
        <v>863</v>
      </c>
    </row>
    <row r="143" spans="1:4" x14ac:dyDescent="0.3">
      <c r="A143" s="8" t="s">
        <v>271</v>
      </c>
      <c r="C143" s="8" t="s">
        <v>271</v>
      </c>
      <c r="D143" t="s">
        <v>864</v>
      </c>
    </row>
    <row r="144" spans="1:4" x14ac:dyDescent="0.3">
      <c r="A144" s="8" t="s">
        <v>510</v>
      </c>
      <c r="C144" s="8" t="s">
        <v>510</v>
      </c>
      <c r="D144" t="s">
        <v>865</v>
      </c>
    </row>
    <row r="145" spans="1:4" x14ac:dyDescent="0.3">
      <c r="A145" s="8" t="s">
        <v>692</v>
      </c>
      <c r="C145" s="8" t="s">
        <v>692</v>
      </c>
      <c r="D145" t="s">
        <v>866</v>
      </c>
    </row>
    <row r="146" spans="1:4" x14ac:dyDescent="0.3">
      <c r="A146" s="8" t="s">
        <v>325</v>
      </c>
      <c r="C146" s="8" t="s">
        <v>325</v>
      </c>
      <c r="D146" t="s">
        <v>867</v>
      </c>
    </row>
    <row r="147" spans="1:4" x14ac:dyDescent="0.3">
      <c r="A147" s="8" t="s">
        <v>168</v>
      </c>
      <c r="C147" s="8" t="s">
        <v>168</v>
      </c>
      <c r="D147" t="s">
        <v>868</v>
      </c>
    </row>
    <row r="148" spans="1:4" x14ac:dyDescent="0.3">
      <c r="A148" s="8" t="s">
        <v>715</v>
      </c>
      <c r="C148" s="8" t="s">
        <v>715</v>
      </c>
      <c r="D148" t="s">
        <v>869</v>
      </c>
    </row>
    <row r="149" spans="1:4" x14ac:dyDescent="0.3">
      <c r="A149" s="8" t="s">
        <v>295</v>
      </c>
      <c r="C149" s="8" t="s">
        <v>295</v>
      </c>
      <c r="D149" t="s">
        <v>870</v>
      </c>
    </row>
    <row r="150" spans="1:4" x14ac:dyDescent="0.3">
      <c r="A150" s="8" t="s">
        <v>114</v>
      </c>
      <c r="C150" s="8" t="s">
        <v>114</v>
      </c>
      <c r="D150" t="s">
        <v>871</v>
      </c>
    </row>
    <row r="151" spans="1:4" x14ac:dyDescent="0.3">
      <c r="A151" s="8" t="s">
        <v>251</v>
      </c>
      <c r="C151" s="8" t="s">
        <v>251</v>
      </c>
      <c r="D151" t="s">
        <v>872</v>
      </c>
    </row>
    <row r="152" spans="1:4" x14ac:dyDescent="0.3">
      <c r="A152" s="8" t="s">
        <v>196</v>
      </c>
      <c r="C152" s="8" t="s">
        <v>196</v>
      </c>
      <c r="D152" t="s">
        <v>873</v>
      </c>
    </row>
    <row r="153" spans="1:4" x14ac:dyDescent="0.3">
      <c r="A153" s="8" t="s">
        <v>68</v>
      </c>
      <c r="C153" s="8" t="s">
        <v>68</v>
      </c>
      <c r="D153" t="s">
        <v>874</v>
      </c>
    </row>
    <row r="154" spans="1:4" x14ac:dyDescent="0.3">
      <c r="A154" s="8" t="s">
        <v>233</v>
      </c>
      <c r="C154" s="8" t="s">
        <v>233</v>
      </c>
      <c r="D154" t="s">
        <v>875</v>
      </c>
    </row>
    <row r="155" spans="1:4" x14ac:dyDescent="0.3">
      <c r="A155" s="8" t="s">
        <v>411</v>
      </c>
      <c r="C155" s="8" t="s">
        <v>411</v>
      </c>
      <c r="D155" t="s">
        <v>876</v>
      </c>
    </row>
    <row r="156" spans="1:4" x14ac:dyDescent="0.3">
      <c r="A156" s="8" t="s">
        <v>585</v>
      </c>
      <c r="C156" s="8" t="s">
        <v>585</v>
      </c>
      <c r="D156" t="s">
        <v>877</v>
      </c>
    </row>
    <row r="157" spans="1:4" x14ac:dyDescent="0.3">
      <c r="A157" s="8" t="s">
        <v>442</v>
      </c>
      <c r="C157" s="8" t="s">
        <v>442</v>
      </c>
      <c r="D157" t="s">
        <v>878</v>
      </c>
    </row>
    <row r="158" spans="1:4" x14ac:dyDescent="0.3">
      <c r="A158" s="8" t="s">
        <v>694</v>
      </c>
      <c r="C158" s="8" t="s">
        <v>694</v>
      </c>
      <c r="D158" t="s">
        <v>879</v>
      </c>
    </row>
    <row r="159" spans="1:4" x14ac:dyDescent="0.3">
      <c r="A159" s="8" t="s">
        <v>558</v>
      </c>
      <c r="C159" s="8" t="s">
        <v>558</v>
      </c>
      <c r="D159" t="s">
        <v>880</v>
      </c>
    </row>
    <row r="160" spans="1:4" x14ac:dyDescent="0.3">
      <c r="A160" s="8" t="s">
        <v>174</v>
      </c>
      <c r="C160" s="8" t="s">
        <v>174</v>
      </c>
      <c r="D160" t="s">
        <v>881</v>
      </c>
    </row>
    <row r="161" spans="1:4" x14ac:dyDescent="0.3">
      <c r="A161" s="8" t="s">
        <v>604</v>
      </c>
      <c r="C161" s="8" t="s">
        <v>604</v>
      </c>
      <c r="D161" t="s">
        <v>882</v>
      </c>
    </row>
    <row r="162" spans="1:4" x14ac:dyDescent="0.3">
      <c r="A162" s="8" t="s">
        <v>592</v>
      </c>
      <c r="C162" s="8" t="s">
        <v>592</v>
      </c>
      <c r="D162" t="s">
        <v>883</v>
      </c>
    </row>
    <row r="163" spans="1:4" x14ac:dyDescent="0.3">
      <c r="A163" s="8" t="s">
        <v>685</v>
      </c>
      <c r="C163" s="8" t="s">
        <v>685</v>
      </c>
      <c r="D163" t="s">
        <v>884</v>
      </c>
    </row>
    <row r="164" spans="1:4" x14ac:dyDescent="0.3">
      <c r="A164" s="8" t="s">
        <v>307</v>
      </c>
      <c r="C164" s="8" t="s">
        <v>307</v>
      </c>
      <c r="D164" t="s">
        <v>885</v>
      </c>
    </row>
    <row r="165" spans="1:4" x14ac:dyDescent="0.3">
      <c r="A165" s="8" t="s">
        <v>652</v>
      </c>
      <c r="C165" s="8" t="s">
        <v>652</v>
      </c>
      <c r="D165" t="s">
        <v>886</v>
      </c>
    </row>
    <row r="166" spans="1:4" x14ac:dyDescent="0.3">
      <c r="A166" s="8" t="s">
        <v>171</v>
      </c>
      <c r="C166" s="8" t="s">
        <v>171</v>
      </c>
      <c r="D166" t="s">
        <v>887</v>
      </c>
    </row>
    <row r="167" spans="1:4" x14ac:dyDescent="0.3">
      <c r="A167" s="8" t="s">
        <v>525</v>
      </c>
      <c r="C167" s="8" t="s">
        <v>525</v>
      </c>
      <c r="D167" t="s">
        <v>888</v>
      </c>
    </row>
    <row r="168" spans="1:4" x14ac:dyDescent="0.3">
      <c r="A168" s="8" t="s">
        <v>227</v>
      </c>
      <c r="C168" s="8" t="s">
        <v>227</v>
      </c>
      <c r="D168" t="s">
        <v>889</v>
      </c>
    </row>
    <row r="169" spans="1:4" x14ac:dyDescent="0.3">
      <c r="A169" s="8" t="s">
        <v>434</v>
      </c>
      <c r="C169" s="8" t="s">
        <v>434</v>
      </c>
      <c r="D169" t="s">
        <v>890</v>
      </c>
    </row>
    <row r="170" spans="1:4" x14ac:dyDescent="0.3">
      <c r="A170" s="8" t="s">
        <v>299</v>
      </c>
      <c r="C170" s="8" t="s">
        <v>299</v>
      </c>
      <c r="D170" t="s">
        <v>891</v>
      </c>
    </row>
    <row r="171" spans="1:4" x14ac:dyDescent="0.3">
      <c r="A171" s="8" t="s">
        <v>169</v>
      </c>
      <c r="C171" s="8" t="s">
        <v>169</v>
      </c>
      <c r="D171" t="s">
        <v>892</v>
      </c>
    </row>
    <row r="172" spans="1:4" x14ac:dyDescent="0.3">
      <c r="A172" s="8" t="s">
        <v>696</v>
      </c>
      <c r="C172" s="8" t="s">
        <v>696</v>
      </c>
      <c r="D172" t="s">
        <v>893</v>
      </c>
    </row>
    <row r="173" spans="1:4" x14ac:dyDescent="0.3">
      <c r="A173" s="8" t="s">
        <v>470</v>
      </c>
      <c r="C173" s="8" t="s">
        <v>470</v>
      </c>
      <c r="D173" t="s">
        <v>894</v>
      </c>
    </row>
    <row r="174" spans="1:4" x14ac:dyDescent="0.3">
      <c r="A174" s="8" t="s">
        <v>193</v>
      </c>
      <c r="C174" s="8" t="s">
        <v>193</v>
      </c>
      <c r="D174" t="s">
        <v>895</v>
      </c>
    </row>
    <row r="175" spans="1:4" x14ac:dyDescent="0.3">
      <c r="A175" s="8" t="s">
        <v>323</v>
      </c>
      <c r="C175" s="8" t="s">
        <v>323</v>
      </c>
      <c r="D175" t="s">
        <v>896</v>
      </c>
    </row>
    <row r="176" spans="1:4" x14ac:dyDescent="0.3">
      <c r="A176" s="8" t="s">
        <v>639</v>
      </c>
      <c r="C176" s="8" t="s">
        <v>639</v>
      </c>
      <c r="D176" t="s">
        <v>897</v>
      </c>
    </row>
    <row r="177" spans="1:4" x14ac:dyDescent="0.3">
      <c r="A177" s="8" t="s">
        <v>202</v>
      </c>
      <c r="C177" s="8" t="s">
        <v>202</v>
      </c>
      <c r="D177" t="s">
        <v>898</v>
      </c>
    </row>
    <row r="178" spans="1:4" x14ac:dyDescent="0.3">
      <c r="A178" s="8" t="s">
        <v>644</v>
      </c>
      <c r="C178" s="8" t="s">
        <v>644</v>
      </c>
      <c r="D178" t="s">
        <v>899</v>
      </c>
    </row>
    <row r="179" spans="1:4" x14ac:dyDescent="0.3">
      <c r="A179" s="8" t="s">
        <v>203</v>
      </c>
      <c r="C179" s="8" t="s">
        <v>203</v>
      </c>
      <c r="D179" t="s">
        <v>900</v>
      </c>
    </row>
    <row r="180" spans="1:4" x14ac:dyDescent="0.3">
      <c r="A180" s="8" t="s">
        <v>302</v>
      </c>
      <c r="C180" s="8" t="s">
        <v>302</v>
      </c>
      <c r="D180" t="s">
        <v>901</v>
      </c>
    </row>
    <row r="181" spans="1:4" x14ac:dyDescent="0.3">
      <c r="A181" s="8" t="s">
        <v>607</v>
      </c>
      <c r="C181" s="8" t="s">
        <v>607</v>
      </c>
      <c r="D181" t="s">
        <v>902</v>
      </c>
    </row>
    <row r="182" spans="1:4" x14ac:dyDescent="0.3">
      <c r="A182" s="8" t="s">
        <v>161</v>
      </c>
      <c r="C182" s="8" t="s">
        <v>161</v>
      </c>
      <c r="D182" t="s">
        <v>903</v>
      </c>
    </row>
    <row r="183" spans="1:4" x14ac:dyDescent="0.3">
      <c r="A183" s="8" t="s">
        <v>272</v>
      </c>
      <c r="C183" s="8" t="s">
        <v>272</v>
      </c>
      <c r="D183" t="s">
        <v>904</v>
      </c>
    </row>
    <row r="184" spans="1:4" x14ac:dyDescent="0.3">
      <c r="A184" s="8" t="s">
        <v>230</v>
      </c>
      <c r="C184" s="8" t="s">
        <v>230</v>
      </c>
      <c r="D184" t="s">
        <v>905</v>
      </c>
    </row>
    <row r="185" spans="1:4" x14ac:dyDescent="0.3">
      <c r="A185" s="8" t="s">
        <v>615</v>
      </c>
      <c r="C185" s="8" t="s">
        <v>615</v>
      </c>
      <c r="D185" t="s">
        <v>906</v>
      </c>
    </row>
    <row r="186" spans="1:4" x14ac:dyDescent="0.3">
      <c r="A186" s="8" t="s">
        <v>573</v>
      </c>
      <c r="C186" s="8" t="s">
        <v>573</v>
      </c>
      <c r="D186" t="s">
        <v>907</v>
      </c>
    </row>
    <row r="187" spans="1:4" x14ac:dyDescent="0.3">
      <c r="A187" s="8" t="s">
        <v>191</v>
      </c>
      <c r="C187" s="8" t="s">
        <v>191</v>
      </c>
      <c r="D187" t="s">
        <v>908</v>
      </c>
    </row>
    <row r="188" spans="1:4" x14ac:dyDescent="0.3">
      <c r="A188" s="8" t="s">
        <v>190</v>
      </c>
      <c r="C188" s="8" t="s">
        <v>190</v>
      </c>
      <c r="D188" t="s">
        <v>909</v>
      </c>
    </row>
    <row r="189" spans="1:4" x14ac:dyDescent="0.3">
      <c r="A189" s="8" t="s">
        <v>192</v>
      </c>
      <c r="C189" s="8" t="s">
        <v>192</v>
      </c>
      <c r="D189" t="s">
        <v>910</v>
      </c>
    </row>
    <row r="190" spans="1:4" x14ac:dyDescent="0.3">
      <c r="A190" s="8" t="s">
        <v>676</v>
      </c>
      <c r="C190" s="8" t="s">
        <v>676</v>
      </c>
      <c r="D190" t="s">
        <v>911</v>
      </c>
    </row>
    <row r="191" spans="1:4" x14ac:dyDescent="0.3">
      <c r="A191" s="8" t="s">
        <v>677</v>
      </c>
      <c r="C191" s="8" t="s">
        <v>677</v>
      </c>
      <c r="D191" t="s">
        <v>912</v>
      </c>
    </row>
    <row r="192" spans="1:4" x14ac:dyDescent="0.3">
      <c r="A192" s="8" t="s">
        <v>463</v>
      </c>
      <c r="C192" s="8" t="s">
        <v>463</v>
      </c>
      <c r="D192" t="s">
        <v>913</v>
      </c>
    </row>
    <row r="193" spans="1:4" x14ac:dyDescent="0.3">
      <c r="A193" s="8" t="s">
        <v>618</v>
      </c>
      <c r="C193" s="8" t="s">
        <v>618</v>
      </c>
      <c r="D193" t="s">
        <v>914</v>
      </c>
    </row>
    <row r="194" spans="1:4" x14ac:dyDescent="0.3">
      <c r="A194" s="8" t="s">
        <v>570</v>
      </c>
      <c r="C194" s="8" t="s">
        <v>570</v>
      </c>
      <c r="D194" t="s">
        <v>915</v>
      </c>
    </row>
    <row r="195" spans="1:4" x14ac:dyDescent="0.3">
      <c r="A195" s="8" t="s">
        <v>391</v>
      </c>
      <c r="C195" s="8" t="s">
        <v>391</v>
      </c>
      <c r="D195" t="s">
        <v>916</v>
      </c>
    </row>
    <row r="196" spans="1:4" x14ac:dyDescent="0.3">
      <c r="A196" s="8" t="s">
        <v>416</v>
      </c>
      <c r="C196" s="8" t="s">
        <v>416</v>
      </c>
      <c r="D196" t="s">
        <v>917</v>
      </c>
    </row>
    <row r="197" spans="1:4" x14ac:dyDescent="0.3">
      <c r="A197" s="8" t="s">
        <v>386</v>
      </c>
      <c r="C197" s="8" t="s">
        <v>386</v>
      </c>
      <c r="D197" t="s">
        <v>918</v>
      </c>
    </row>
    <row r="198" spans="1:4" x14ac:dyDescent="0.3">
      <c r="A198" s="8" t="s">
        <v>351</v>
      </c>
      <c r="C198" s="8" t="s">
        <v>351</v>
      </c>
      <c r="D198" t="s">
        <v>919</v>
      </c>
    </row>
    <row r="199" spans="1:4" x14ac:dyDescent="0.3">
      <c r="A199" s="8" t="s">
        <v>187</v>
      </c>
      <c r="C199" s="8" t="s">
        <v>187</v>
      </c>
      <c r="D199" t="s">
        <v>920</v>
      </c>
    </row>
    <row r="200" spans="1:4" x14ac:dyDescent="0.3">
      <c r="A200" s="8" t="s">
        <v>225</v>
      </c>
      <c r="C200" s="8" t="s">
        <v>225</v>
      </c>
      <c r="D200" t="s">
        <v>921</v>
      </c>
    </row>
    <row r="201" spans="1:4" x14ac:dyDescent="0.3">
      <c r="A201" s="8" t="s">
        <v>557</v>
      </c>
      <c r="C201" s="8" t="s">
        <v>557</v>
      </c>
      <c r="D201" t="s">
        <v>922</v>
      </c>
    </row>
    <row r="202" spans="1:4" x14ac:dyDescent="0.3">
      <c r="A202" s="8" t="s">
        <v>578</v>
      </c>
      <c r="C202" s="8" t="s">
        <v>578</v>
      </c>
      <c r="D202" t="s">
        <v>923</v>
      </c>
    </row>
    <row r="203" spans="1:4" x14ac:dyDescent="0.3">
      <c r="A203" s="8" t="s">
        <v>638</v>
      </c>
      <c r="C203" s="8" t="s">
        <v>638</v>
      </c>
      <c r="D203" t="s">
        <v>924</v>
      </c>
    </row>
    <row r="204" spans="1:4" x14ac:dyDescent="0.3">
      <c r="A204" s="8" t="s">
        <v>511</v>
      </c>
      <c r="C204" s="8" t="s">
        <v>511</v>
      </c>
      <c r="D204" t="s">
        <v>925</v>
      </c>
    </row>
    <row r="205" spans="1:4" x14ac:dyDescent="0.3">
      <c r="A205" s="8" t="s">
        <v>497</v>
      </c>
      <c r="C205" s="8" t="s">
        <v>497</v>
      </c>
      <c r="D205" t="s">
        <v>926</v>
      </c>
    </row>
    <row r="206" spans="1:4" x14ac:dyDescent="0.3">
      <c r="A206" s="8" t="s">
        <v>519</v>
      </c>
      <c r="C206" s="8" t="s">
        <v>519</v>
      </c>
      <c r="D206" t="s">
        <v>927</v>
      </c>
    </row>
    <row r="207" spans="1:4" x14ac:dyDescent="0.3">
      <c r="A207" s="8" t="s">
        <v>439</v>
      </c>
      <c r="C207" s="8" t="s">
        <v>439</v>
      </c>
      <c r="D207" t="s">
        <v>928</v>
      </c>
    </row>
    <row r="208" spans="1:4" x14ac:dyDescent="0.3">
      <c r="A208" s="8" t="s">
        <v>640</v>
      </c>
      <c r="C208" s="8" t="s">
        <v>640</v>
      </c>
      <c r="D208" t="s">
        <v>929</v>
      </c>
    </row>
    <row r="209" spans="1:4" x14ac:dyDescent="0.3">
      <c r="A209" s="8" t="s">
        <v>651</v>
      </c>
      <c r="C209" s="8" t="s">
        <v>651</v>
      </c>
      <c r="D209" t="s">
        <v>930</v>
      </c>
    </row>
    <row r="210" spans="1:4" x14ac:dyDescent="0.3">
      <c r="A210" s="8" t="s">
        <v>212</v>
      </c>
      <c r="C210" s="8" t="s">
        <v>212</v>
      </c>
      <c r="D210" t="s">
        <v>931</v>
      </c>
    </row>
    <row r="211" spans="1:4" x14ac:dyDescent="0.3">
      <c r="A211" s="8" t="s">
        <v>441</v>
      </c>
      <c r="C211" s="8" t="s">
        <v>441</v>
      </c>
      <c r="D211" t="s">
        <v>932</v>
      </c>
    </row>
    <row r="212" spans="1:4" x14ac:dyDescent="0.3">
      <c r="A212" s="8" t="s">
        <v>142</v>
      </c>
      <c r="C212" s="8" t="s">
        <v>142</v>
      </c>
      <c r="D212" t="s">
        <v>933</v>
      </c>
    </row>
    <row r="213" spans="1:4" x14ac:dyDescent="0.3">
      <c r="A213" s="8" t="s">
        <v>312</v>
      </c>
      <c r="C213" s="8" t="s">
        <v>312</v>
      </c>
      <c r="D213" t="s">
        <v>934</v>
      </c>
    </row>
    <row r="214" spans="1:4" x14ac:dyDescent="0.3">
      <c r="A214" s="8" t="s">
        <v>425</v>
      </c>
      <c r="C214" s="8" t="s">
        <v>425</v>
      </c>
      <c r="D214" t="s">
        <v>935</v>
      </c>
    </row>
    <row r="215" spans="1:4" x14ac:dyDescent="0.3">
      <c r="A215" s="8" t="s">
        <v>429</v>
      </c>
      <c r="C215" s="8" t="s">
        <v>429</v>
      </c>
      <c r="D215" t="s">
        <v>936</v>
      </c>
    </row>
    <row r="216" spans="1:4" x14ac:dyDescent="0.3">
      <c r="A216" s="8" t="s">
        <v>468</v>
      </c>
      <c r="C216" s="8" t="s">
        <v>468</v>
      </c>
      <c r="D216" t="s">
        <v>937</v>
      </c>
    </row>
    <row r="217" spans="1:4" x14ac:dyDescent="0.3">
      <c r="A217" s="8" t="s">
        <v>701</v>
      </c>
      <c r="C217" s="8" t="s">
        <v>701</v>
      </c>
      <c r="D217" t="s">
        <v>938</v>
      </c>
    </row>
    <row r="218" spans="1:4" x14ac:dyDescent="0.3">
      <c r="A218" s="8" t="s">
        <v>611</v>
      </c>
      <c r="C218" s="8" t="s">
        <v>611</v>
      </c>
      <c r="D218" t="s">
        <v>939</v>
      </c>
    </row>
    <row r="219" spans="1:4" x14ac:dyDescent="0.3">
      <c r="A219" s="8" t="s">
        <v>656</v>
      </c>
      <c r="C219" s="8" t="s">
        <v>656</v>
      </c>
      <c r="D219" t="s">
        <v>940</v>
      </c>
    </row>
    <row r="220" spans="1:4" x14ac:dyDescent="0.3">
      <c r="A220" s="8" t="s">
        <v>107</v>
      </c>
      <c r="C220" s="8" t="s">
        <v>107</v>
      </c>
      <c r="D220" t="s">
        <v>941</v>
      </c>
    </row>
    <row r="221" spans="1:4" x14ac:dyDescent="0.3">
      <c r="A221" s="8" t="s">
        <v>596</v>
      </c>
      <c r="C221" s="8" t="s">
        <v>596</v>
      </c>
      <c r="D221" t="s">
        <v>942</v>
      </c>
    </row>
    <row r="222" spans="1:4" x14ac:dyDescent="0.3">
      <c r="A222" s="8" t="s">
        <v>407</v>
      </c>
      <c r="C222" s="8" t="s">
        <v>407</v>
      </c>
      <c r="D222" t="s">
        <v>943</v>
      </c>
    </row>
    <row r="223" spans="1:4" x14ac:dyDescent="0.3">
      <c r="A223" s="8" t="s">
        <v>687</v>
      </c>
      <c r="C223" s="8" t="s">
        <v>687</v>
      </c>
      <c r="D223" t="s">
        <v>944</v>
      </c>
    </row>
    <row r="224" spans="1:4" x14ac:dyDescent="0.3">
      <c r="A224" s="8" t="s">
        <v>609</v>
      </c>
      <c r="C224" s="8" t="s">
        <v>609</v>
      </c>
      <c r="D224" t="s">
        <v>945</v>
      </c>
    </row>
    <row r="225" spans="1:4" x14ac:dyDescent="0.3">
      <c r="A225" s="8" t="s">
        <v>320</v>
      </c>
      <c r="C225" s="8" t="s">
        <v>320</v>
      </c>
      <c r="D225" t="s">
        <v>946</v>
      </c>
    </row>
    <row r="226" spans="1:4" x14ac:dyDescent="0.3">
      <c r="A226" s="8" t="s">
        <v>499</v>
      </c>
      <c r="C226" s="8" t="s">
        <v>499</v>
      </c>
      <c r="D226" t="s">
        <v>947</v>
      </c>
    </row>
    <row r="227" spans="1:4" x14ac:dyDescent="0.3">
      <c r="A227" s="8" t="s">
        <v>484</v>
      </c>
      <c r="C227" s="8" t="s">
        <v>484</v>
      </c>
      <c r="D227" t="s">
        <v>948</v>
      </c>
    </row>
    <row r="228" spans="1:4" x14ac:dyDescent="0.3">
      <c r="A228" s="8" t="s">
        <v>338</v>
      </c>
      <c r="C228" s="8" t="s">
        <v>338</v>
      </c>
      <c r="D228" t="s">
        <v>949</v>
      </c>
    </row>
    <row r="229" spans="1:4" x14ac:dyDescent="0.3">
      <c r="A229" s="8" t="s">
        <v>156</v>
      </c>
      <c r="C229" s="8" t="s">
        <v>156</v>
      </c>
      <c r="D229" t="s">
        <v>950</v>
      </c>
    </row>
    <row r="230" spans="1:4" x14ac:dyDescent="0.3">
      <c r="A230" s="8" t="s">
        <v>162</v>
      </c>
      <c r="C230" s="8" t="s">
        <v>162</v>
      </c>
      <c r="D230" t="s">
        <v>951</v>
      </c>
    </row>
    <row r="231" spans="1:4" x14ac:dyDescent="0.3">
      <c r="A231" s="8" t="s">
        <v>490</v>
      </c>
      <c r="C231" s="8" t="s">
        <v>490</v>
      </c>
      <c r="D231" t="s">
        <v>952</v>
      </c>
    </row>
    <row r="232" spans="1:4" x14ac:dyDescent="0.3">
      <c r="A232" s="8" t="s">
        <v>240</v>
      </c>
      <c r="C232" s="8" t="s">
        <v>240</v>
      </c>
      <c r="D232" t="s">
        <v>953</v>
      </c>
    </row>
    <row r="233" spans="1:4" x14ac:dyDescent="0.3">
      <c r="A233" s="8" t="s">
        <v>223</v>
      </c>
      <c r="C233" s="8" t="s">
        <v>223</v>
      </c>
      <c r="D233" t="s">
        <v>954</v>
      </c>
    </row>
    <row r="234" spans="1:4" x14ac:dyDescent="0.3">
      <c r="A234" s="8" t="s">
        <v>474</v>
      </c>
      <c r="C234" s="8" t="s">
        <v>474</v>
      </c>
      <c r="D234" t="s">
        <v>955</v>
      </c>
    </row>
    <row r="235" spans="1:4" x14ac:dyDescent="0.3">
      <c r="A235" s="8" t="s">
        <v>135</v>
      </c>
      <c r="C235" s="8" t="s">
        <v>135</v>
      </c>
      <c r="D235" t="s">
        <v>956</v>
      </c>
    </row>
    <row r="236" spans="1:4" x14ac:dyDescent="0.3">
      <c r="A236" s="8" t="s">
        <v>258</v>
      </c>
      <c r="C236" s="8" t="s">
        <v>258</v>
      </c>
      <c r="D236" t="s">
        <v>957</v>
      </c>
    </row>
    <row r="237" spans="1:4" x14ac:dyDescent="0.3">
      <c r="A237" s="8" t="s">
        <v>427</v>
      </c>
      <c r="C237" s="8" t="s">
        <v>427</v>
      </c>
      <c r="D237" t="s">
        <v>958</v>
      </c>
    </row>
    <row r="238" spans="1:4" x14ac:dyDescent="0.3">
      <c r="A238" s="8" t="s">
        <v>305</v>
      </c>
      <c r="C238" s="8" t="s">
        <v>305</v>
      </c>
      <c r="D238" t="s">
        <v>959</v>
      </c>
    </row>
    <row r="239" spans="1:4" x14ac:dyDescent="0.3">
      <c r="A239" s="8" t="s">
        <v>710</v>
      </c>
      <c r="C239" s="8" t="s">
        <v>710</v>
      </c>
      <c r="D239" t="s">
        <v>960</v>
      </c>
    </row>
    <row r="240" spans="1:4" x14ac:dyDescent="0.3">
      <c r="A240" s="8" t="s">
        <v>549</v>
      </c>
      <c r="C240" s="8" t="s">
        <v>549</v>
      </c>
      <c r="D240" t="s">
        <v>961</v>
      </c>
    </row>
    <row r="241" spans="1:4" x14ac:dyDescent="0.3">
      <c r="A241" s="8" t="s">
        <v>662</v>
      </c>
      <c r="C241" s="8" t="s">
        <v>662</v>
      </c>
      <c r="D241" t="s">
        <v>962</v>
      </c>
    </row>
    <row r="242" spans="1:4" x14ac:dyDescent="0.3">
      <c r="A242" s="8" t="s">
        <v>418</v>
      </c>
      <c r="C242" s="8" t="s">
        <v>418</v>
      </c>
      <c r="D242" t="s">
        <v>963</v>
      </c>
    </row>
    <row r="243" spans="1:4" x14ac:dyDescent="0.3">
      <c r="A243" s="8" t="s">
        <v>544</v>
      </c>
      <c r="C243" s="8" t="s">
        <v>544</v>
      </c>
      <c r="D243" t="s">
        <v>964</v>
      </c>
    </row>
    <row r="244" spans="1:4" x14ac:dyDescent="0.3">
      <c r="A244" s="8" t="s">
        <v>708</v>
      </c>
      <c r="C244" s="8" t="s">
        <v>708</v>
      </c>
      <c r="D244" t="s">
        <v>965</v>
      </c>
    </row>
    <row r="245" spans="1:4" x14ac:dyDescent="0.3">
      <c r="A245" s="8" t="s">
        <v>286</v>
      </c>
      <c r="C245" s="8" t="s">
        <v>286</v>
      </c>
      <c r="D245" t="s">
        <v>966</v>
      </c>
    </row>
    <row r="246" spans="1:4" x14ac:dyDescent="0.3">
      <c r="A246" s="8" t="s">
        <v>241</v>
      </c>
      <c r="C246" s="8" t="s">
        <v>241</v>
      </c>
      <c r="D246" t="s">
        <v>967</v>
      </c>
    </row>
    <row r="247" spans="1:4" x14ac:dyDescent="0.3">
      <c r="A247" s="8" t="s">
        <v>297</v>
      </c>
      <c r="C247" s="8" t="s">
        <v>297</v>
      </c>
      <c r="D247" t="s">
        <v>968</v>
      </c>
    </row>
    <row r="248" spans="1:4" x14ac:dyDescent="0.3">
      <c r="A248" s="8" t="s">
        <v>428</v>
      </c>
      <c r="C248" s="8" t="s">
        <v>428</v>
      </c>
      <c r="D248" t="s">
        <v>969</v>
      </c>
    </row>
    <row r="249" spans="1:4" x14ac:dyDescent="0.3">
      <c r="A249" s="8" t="s">
        <v>426</v>
      </c>
      <c r="C249" s="8" t="s">
        <v>426</v>
      </c>
      <c r="D249" t="s">
        <v>970</v>
      </c>
    </row>
    <row r="250" spans="1:4" x14ac:dyDescent="0.3">
      <c r="A250" s="8" t="s">
        <v>689</v>
      </c>
      <c r="C250" s="8" t="s">
        <v>689</v>
      </c>
      <c r="D250" t="s">
        <v>971</v>
      </c>
    </row>
    <row r="251" spans="1:4" x14ac:dyDescent="0.3">
      <c r="A251" s="8" t="s">
        <v>304</v>
      </c>
      <c r="C251" s="8" t="s">
        <v>304</v>
      </c>
      <c r="D251" t="s">
        <v>972</v>
      </c>
    </row>
    <row r="252" spans="1:4" x14ac:dyDescent="0.3">
      <c r="A252" s="8" t="s">
        <v>170</v>
      </c>
      <c r="C252" s="8" t="s">
        <v>170</v>
      </c>
      <c r="D252" t="s">
        <v>973</v>
      </c>
    </row>
    <row r="253" spans="1:4" x14ac:dyDescent="0.3">
      <c r="A253" s="8" t="s">
        <v>515</v>
      </c>
      <c r="C253" s="8" t="s">
        <v>515</v>
      </c>
      <c r="D253" t="s">
        <v>974</v>
      </c>
    </row>
    <row r="254" spans="1:4" x14ac:dyDescent="0.3">
      <c r="A254" s="8" t="s">
        <v>462</v>
      </c>
      <c r="C254" s="8" t="s">
        <v>462</v>
      </c>
      <c r="D254" t="s">
        <v>975</v>
      </c>
    </row>
    <row r="255" spans="1:4" x14ac:dyDescent="0.3">
      <c r="A255" s="8" t="s">
        <v>466</v>
      </c>
      <c r="C255" s="8" t="s">
        <v>466</v>
      </c>
      <c r="D255" t="s">
        <v>976</v>
      </c>
    </row>
    <row r="256" spans="1:4" x14ac:dyDescent="0.3">
      <c r="A256" s="8" t="s">
        <v>259</v>
      </c>
      <c r="C256" s="8" t="s">
        <v>259</v>
      </c>
      <c r="D256" t="s">
        <v>977</v>
      </c>
    </row>
    <row r="257" spans="1:4" x14ac:dyDescent="0.3">
      <c r="A257" s="8" t="s">
        <v>437</v>
      </c>
      <c r="C257" s="8" t="s">
        <v>437</v>
      </c>
      <c r="D257" t="s">
        <v>978</v>
      </c>
    </row>
    <row r="258" spans="1:4" x14ac:dyDescent="0.3">
      <c r="A258" s="8" t="s">
        <v>176</v>
      </c>
      <c r="C258" s="8" t="s">
        <v>176</v>
      </c>
      <c r="D258" t="s">
        <v>979</v>
      </c>
    </row>
    <row r="259" spans="1:4" x14ac:dyDescent="0.3">
      <c r="A259" s="8" t="s">
        <v>205</v>
      </c>
      <c r="C259" s="8" t="s">
        <v>205</v>
      </c>
      <c r="D259" t="s">
        <v>980</v>
      </c>
    </row>
    <row r="260" spans="1:4" x14ac:dyDescent="0.3">
      <c r="A260" s="8" t="s">
        <v>333</v>
      </c>
      <c r="C260" s="8" t="s">
        <v>333</v>
      </c>
      <c r="D260" t="s">
        <v>981</v>
      </c>
    </row>
    <row r="261" spans="1:4" x14ac:dyDescent="0.3">
      <c r="A261" s="8" t="s">
        <v>514</v>
      </c>
      <c r="C261" s="8" t="s">
        <v>514</v>
      </c>
      <c r="D261" t="s">
        <v>982</v>
      </c>
    </row>
    <row r="262" spans="1:4" x14ac:dyDescent="0.3">
      <c r="A262" s="8" t="s">
        <v>213</v>
      </c>
      <c r="C262" s="8" t="s">
        <v>213</v>
      </c>
      <c r="D262" t="s">
        <v>983</v>
      </c>
    </row>
    <row r="263" spans="1:4" x14ac:dyDescent="0.3">
      <c r="A263" s="8" t="s">
        <v>129</v>
      </c>
      <c r="C263" s="8" t="s">
        <v>129</v>
      </c>
      <c r="D263" t="s">
        <v>984</v>
      </c>
    </row>
    <row r="264" spans="1:4" x14ac:dyDescent="0.3">
      <c r="A264" s="8" t="s">
        <v>575</v>
      </c>
      <c r="C264" s="8" t="s">
        <v>575</v>
      </c>
      <c r="D264" t="s">
        <v>985</v>
      </c>
    </row>
    <row r="265" spans="1:4" x14ac:dyDescent="0.3">
      <c r="A265" s="8" t="s">
        <v>178</v>
      </c>
      <c r="C265" s="8" t="s">
        <v>178</v>
      </c>
      <c r="D265" t="s">
        <v>986</v>
      </c>
    </row>
    <row r="266" spans="1:4" x14ac:dyDescent="0.3">
      <c r="A266" s="8" t="s">
        <v>41</v>
      </c>
      <c r="C266" s="8" t="s">
        <v>41</v>
      </c>
      <c r="D266" t="s">
        <v>987</v>
      </c>
    </row>
    <row r="267" spans="1:4" x14ac:dyDescent="0.3">
      <c r="A267" s="8" t="s">
        <v>238</v>
      </c>
      <c r="C267" s="8" t="s">
        <v>238</v>
      </c>
      <c r="D267" t="s">
        <v>988</v>
      </c>
    </row>
    <row r="268" spans="1:4" x14ac:dyDescent="0.3">
      <c r="A268" s="8" t="s">
        <v>283</v>
      </c>
      <c r="C268" s="8" t="s">
        <v>283</v>
      </c>
      <c r="D268" t="s">
        <v>989</v>
      </c>
    </row>
    <row r="269" spans="1:4" x14ac:dyDescent="0.3">
      <c r="A269" s="8" t="s">
        <v>589</v>
      </c>
      <c r="C269" s="8" t="s">
        <v>589</v>
      </c>
      <c r="D269" t="s">
        <v>990</v>
      </c>
    </row>
    <row r="270" spans="1:4" x14ac:dyDescent="0.3">
      <c r="A270" s="8" t="s">
        <v>616</v>
      </c>
      <c r="C270" s="8" t="s">
        <v>616</v>
      </c>
      <c r="D270" t="s">
        <v>991</v>
      </c>
    </row>
    <row r="271" spans="1:4" x14ac:dyDescent="0.3">
      <c r="A271" s="8" t="s">
        <v>524</v>
      </c>
      <c r="C271" s="8" t="s">
        <v>524</v>
      </c>
      <c r="D271" t="s">
        <v>992</v>
      </c>
    </row>
    <row r="272" spans="1:4" x14ac:dyDescent="0.3">
      <c r="A272" s="8" t="s">
        <v>222</v>
      </c>
      <c r="C272" s="8" t="s">
        <v>222</v>
      </c>
      <c r="D272" t="s">
        <v>993</v>
      </c>
    </row>
    <row r="273" spans="1:4" x14ac:dyDescent="0.3">
      <c r="A273" s="8" t="s">
        <v>396</v>
      </c>
      <c r="C273" s="8" t="s">
        <v>396</v>
      </c>
      <c r="D273" t="s">
        <v>994</v>
      </c>
    </row>
    <row r="274" spans="1:4" x14ac:dyDescent="0.3">
      <c r="A274" s="8" t="s">
        <v>247</v>
      </c>
      <c r="C274" s="8" t="s">
        <v>247</v>
      </c>
      <c r="D274" t="s">
        <v>995</v>
      </c>
    </row>
    <row r="275" spans="1:4" x14ac:dyDescent="0.3">
      <c r="A275" s="8" t="s">
        <v>458</v>
      </c>
      <c r="C275" s="8" t="s">
        <v>458</v>
      </c>
      <c r="D275" t="s">
        <v>996</v>
      </c>
    </row>
    <row r="276" spans="1:4" x14ac:dyDescent="0.3">
      <c r="A276" s="8" t="s">
        <v>513</v>
      </c>
      <c r="C276" s="8" t="s">
        <v>513</v>
      </c>
      <c r="D276" t="s">
        <v>997</v>
      </c>
    </row>
    <row r="277" spans="1:4" x14ac:dyDescent="0.3">
      <c r="A277" s="8" t="s">
        <v>555</v>
      </c>
      <c r="C277" s="8" t="s">
        <v>555</v>
      </c>
      <c r="D277" t="s">
        <v>998</v>
      </c>
    </row>
    <row r="278" spans="1:4" x14ac:dyDescent="0.3">
      <c r="A278" s="8" t="s">
        <v>719</v>
      </c>
      <c r="C278" s="8" t="s">
        <v>719</v>
      </c>
      <c r="D278" t="s">
        <v>999</v>
      </c>
    </row>
    <row r="279" spans="1:4" x14ac:dyDescent="0.3">
      <c r="A279" s="8" t="s">
        <v>706</v>
      </c>
      <c r="C279" s="8" t="s">
        <v>706</v>
      </c>
      <c r="D279" t="s">
        <v>1000</v>
      </c>
    </row>
    <row r="280" spans="1:4" x14ac:dyDescent="0.3">
      <c r="A280" s="8" t="s">
        <v>345</v>
      </c>
      <c r="C280" s="8" t="s">
        <v>345</v>
      </c>
      <c r="D280" t="s">
        <v>1001</v>
      </c>
    </row>
    <row r="281" spans="1:4" x14ac:dyDescent="0.3">
      <c r="A281" s="8" t="s">
        <v>301</v>
      </c>
      <c r="C281" s="8" t="s">
        <v>301</v>
      </c>
      <c r="D281" t="s">
        <v>1002</v>
      </c>
    </row>
    <row r="282" spans="1:4" x14ac:dyDescent="0.3">
      <c r="A282" s="8" t="s">
        <v>186</v>
      </c>
      <c r="C282" s="8" t="s">
        <v>186</v>
      </c>
      <c r="D282" t="s">
        <v>1003</v>
      </c>
    </row>
    <row r="283" spans="1:4" x14ac:dyDescent="0.3">
      <c r="A283" s="8" t="s">
        <v>154</v>
      </c>
      <c r="C283" s="8" t="s">
        <v>154</v>
      </c>
      <c r="D283" t="s">
        <v>1004</v>
      </c>
    </row>
    <row r="284" spans="1:4" x14ac:dyDescent="0.3">
      <c r="A284" s="8" t="s">
        <v>70</v>
      </c>
      <c r="C284" s="8" t="s">
        <v>70</v>
      </c>
      <c r="D284" t="s">
        <v>1005</v>
      </c>
    </row>
    <row r="285" spans="1:4" x14ac:dyDescent="0.3">
      <c r="A285" s="8" t="s">
        <v>581</v>
      </c>
      <c r="C285" s="8" t="s">
        <v>581</v>
      </c>
      <c r="D285" t="s">
        <v>1006</v>
      </c>
    </row>
    <row r="286" spans="1:4" x14ac:dyDescent="0.3">
      <c r="A286" s="8" t="s">
        <v>493</v>
      </c>
      <c r="C286" s="8" t="s">
        <v>493</v>
      </c>
      <c r="D286" t="s">
        <v>1007</v>
      </c>
    </row>
    <row r="287" spans="1:4" x14ac:dyDescent="0.3">
      <c r="A287" s="8" t="s">
        <v>661</v>
      </c>
      <c r="C287" s="8" t="s">
        <v>661</v>
      </c>
      <c r="D287" t="s">
        <v>1008</v>
      </c>
    </row>
    <row r="288" spans="1:4" x14ac:dyDescent="0.3">
      <c r="A288" s="8" t="s">
        <v>382</v>
      </c>
      <c r="C288" s="8" t="s">
        <v>382</v>
      </c>
      <c r="D288" t="s">
        <v>1009</v>
      </c>
    </row>
    <row r="289" spans="1:4" x14ac:dyDescent="0.3">
      <c r="A289" s="8" t="s">
        <v>481</v>
      </c>
      <c r="C289" s="8" t="s">
        <v>481</v>
      </c>
      <c r="D289" t="s">
        <v>1010</v>
      </c>
    </row>
    <row r="290" spans="1:4" x14ac:dyDescent="0.3">
      <c r="A290" s="8" t="s">
        <v>629</v>
      </c>
      <c r="C290" s="8" t="s">
        <v>629</v>
      </c>
      <c r="D290" t="s">
        <v>1011</v>
      </c>
    </row>
    <row r="291" spans="1:4" x14ac:dyDescent="0.3">
      <c r="A291" s="8" t="s">
        <v>314</v>
      </c>
      <c r="C291" s="8" t="s">
        <v>314</v>
      </c>
      <c r="D291" t="s">
        <v>1012</v>
      </c>
    </row>
    <row r="292" spans="1:4" x14ac:dyDescent="0.3">
      <c r="A292" s="8" t="s">
        <v>40</v>
      </c>
      <c r="C292" s="8" t="s">
        <v>40</v>
      </c>
      <c r="D292" t="s">
        <v>1013</v>
      </c>
    </row>
    <row r="293" spans="1:4" x14ac:dyDescent="0.3">
      <c r="A293" s="8" t="s">
        <v>714</v>
      </c>
      <c r="C293" s="8" t="s">
        <v>714</v>
      </c>
      <c r="D293" t="s">
        <v>1014</v>
      </c>
    </row>
    <row r="294" spans="1:4" x14ac:dyDescent="0.3">
      <c r="A294" s="8" t="s">
        <v>613</v>
      </c>
      <c r="C294" s="8" t="s">
        <v>613</v>
      </c>
      <c r="D294" t="s">
        <v>1015</v>
      </c>
    </row>
    <row r="295" spans="1:4" x14ac:dyDescent="0.3">
      <c r="A295" s="8" t="s">
        <v>359</v>
      </c>
      <c r="C295" s="8" t="s">
        <v>359</v>
      </c>
      <c r="D295" t="s">
        <v>1016</v>
      </c>
    </row>
    <row r="296" spans="1:4" x14ac:dyDescent="0.3">
      <c r="A296" s="8" t="s">
        <v>360</v>
      </c>
      <c r="C296" s="8" t="s">
        <v>360</v>
      </c>
      <c r="D296" t="s">
        <v>1017</v>
      </c>
    </row>
    <row r="297" spans="1:4" x14ac:dyDescent="0.3">
      <c r="A297" s="8" t="s">
        <v>627</v>
      </c>
      <c r="C297" s="8" t="s">
        <v>627</v>
      </c>
      <c r="D297" t="s">
        <v>1018</v>
      </c>
    </row>
    <row r="298" spans="1:4" x14ac:dyDescent="0.3">
      <c r="A298" s="8" t="s">
        <v>153</v>
      </c>
      <c r="C298" s="8" t="s">
        <v>153</v>
      </c>
      <c r="D298" t="s">
        <v>1019</v>
      </c>
    </row>
    <row r="299" spans="1:4" x14ac:dyDescent="0.3">
      <c r="A299" s="8" t="s">
        <v>28</v>
      </c>
      <c r="C299" s="8" t="s">
        <v>28</v>
      </c>
      <c r="D299" t="s">
        <v>1020</v>
      </c>
    </row>
    <row r="300" spans="1:4" x14ac:dyDescent="0.3">
      <c r="A300" s="8" t="s">
        <v>480</v>
      </c>
      <c r="C300" s="8" t="s">
        <v>480</v>
      </c>
      <c r="D300" t="s">
        <v>1021</v>
      </c>
    </row>
    <row r="301" spans="1:4" x14ac:dyDescent="0.3">
      <c r="A301" s="8" t="s">
        <v>409</v>
      </c>
      <c r="C301" s="8" t="s">
        <v>409</v>
      </c>
      <c r="D301" t="s">
        <v>1022</v>
      </c>
    </row>
    <row r="302" spans="1:4" x14ac:dyDescent="0.3">
      <c r="A302" s="8" t="s">
        <v>552</v>
      </c>
      <c r="C302" s="8" t="s">
        <v>552</v>
      </c>
      <c r="D302" t="s">
        <v>1023</v>
      </c>
    </row>
    <row r="303" spans="1:4" x14ac:dyDescent="0.3">
      <c r="A303" s="8" t="s">
        <v>443</v>
      </c>
      <c r="C303" s="8" t="s">
        <v>443</v>
      </c>
      <c r="D303" t="s">
        <v>1024</v>
      </c>
    </row>
    <row r="304" spans="1:4" x14ac:dyDescent="0.3">
      <c r="A304" s="8" t="s">
        <v>562</v>
      </c>
      <c r="C304" s="8" t="s">
        <v>562</v>
      </c>
      <c r="D304" t="s">
        <v>1025</v>
      </c>
    </row>
    <row r="305" spans="1:4" x14ac:dyDescent="0.3">
      <c r="A305" s="8" t="s">
        <v>498</v>
      </c>
      <c r="C305" s="8" t="s">
        <v>498</v>
      </c>
      <c r="D305" t="s">
        <v>1026</v>
      </c>
    </row>
    <row r="306" spans="1:4" x14ac:dyDescent="0.3">
      <c r="A306" s="8" t="s">
        <v>647</v>
      </c>
      <c r="C306" s="8" t="s">
        <v>647</v>
      </c>
      <c r="D306" t="s">
        <v>1027</v>
      </c>
    </row>
    <row r="307" spans="1:4" x14ac:dyDescent="0.3">
      <c r="A307" s="8" t="s">
        <v>527</v>
      </c>
      <c r="C307" s="8" t="s">
        <v>527</v>
      </c>
      <c r="D307" t="s">
        <v>1028</v>
      </c>
    </row>
    <row r="308" spans="1:4" x14ac:dyDescent="0.3">
      <c r="A308" s="8" t="s">
        <v>198</v>
      </c>
      <c r="C308" s="8" t="s">
        <v>198</v>
      </c>
      <c r="D308" t="s">
        <v>1029</v>
      </c>
    </row>
    <row r="309" spans="1:4" x14ac:dyDescent="0.3">
      <c r="A309" s="8" t="s">
        <v>650</v>
      </c>
      <c r="C309" s="8" t="s">
        <v>650</v>
      </c>
      <c r="D309" t="s">
        <v>1030</v>
      </c>
    </row>
    <row r="310" spans="1:4" x14ac:dyDescent="0.3">
      <c r="A310" s="8" t="s">
        <v>620</v>
      </c>
      <c r="C310" s="8" t="s">
        <v>620</v>
      </c>
      <c r="D310" t="s">
        <v>1031</v>
      </c>
    </row>
    <row r="311" spans="1:4" x14ac:dyDescent="0.3">
      <c r="A311" s="8" t="s">
        <v>235</v>
      </c>
      <c r="C311" s="8" t="s">
        <v>235</v>
      </c>
      <c r="D311" t="s">
        <v>1032</v>
      </c>
    </row>
    <row r="312" spans="1:4" x14ac:dyDescent="0.3">
      <c r="A312" s="8" t="s">
        <v>521</v>
      </c>
      <c r="C312" s="8" t="s">
        <v>521</v>
      </c>
      <c r="D312" t="s">
        <v>1033</v>
      </c>
    </row>
    <row r="313" spans="1:4" x14ac:dyDescent="0.3">
      <c r="A313" s="8" t="s">
        <v>504</v>
      </c>
      <c r="C313" s="8" t="s">
        <v>504</v>
      </c>
      <c r="D313" t="s">
        <v>1034</v>
      </c>
    </row>
    <row r="314" spans="1:4" x14ac:dyDescent="0.3">
      <c r="A314" s="8" t="s">
        <v>501</v>
      </c>
      <c r="C314" s="8" t="s">
        <v>501</v>
      </c>
      <c r="D314" t="s">
        <v>1035</v>
      </c>
    </row>
    <row r="315" spans="1:4" x14ac:dyDescent="0.3">
      <c r="A315" s="8" t="s">
        <v>421</v>
      </c>
      <c r="C315" s="8" t="s">
        <v>421</v>
      </c>
      <c r="D315" t="s">
        <v>1036</v>
      </c>
    </row>
    <row r="316" spans="1:4" x14ac:dyDescent="0.3">
      <c r="A316" s="8" t="s">
        <v>362</v>
      </c>
      <c r="C316" s="8" t="s">
        <v>362</v>
      </c>
      <c r="D316" t="s">
        <v>1037</v>
      </c>
    </row>
    <row r="317" spans="1:4" x14ac:dyDescent="0.3">
      <c r="A317" s="8" t="s">
        <v>374</v>
      </c>
      <c r="C317" s="8" t="s">
        <v>374</v>
      </c>
      <c r="D317" t="s">
        <v>1038</v>
      </c>
    </row>
    <row r="318" spans="1:4" x14ac:dyDescent="0.3">
      <c r="A318" s="8" t="s">
        <v>390</v>
      </c>
      <c r="C318" s="8" t="s">
        <v>390</v>
      </c>
      <c r="D318" t="s">
        <v>1039</v>
      </c>
    </row>
    <row r="319" spans="1:4" x14ac:dyDescent="0.3">
      <c r="A319" s="8" t="s">
        <v>602</v>
      </c>
      <c r="C319" s="8" t="s">
        <v>602</v>
      </c>
      <c r="D319" t="s">
        <v>1040</v>
      </c>
    </row>
    <row r="320" spans="1:4" x14ac:dyDescent="0.3">
      <c r="A320" s="8" t="s">
        <v>237</v>
      </c>
      <c r="C320" s="8" t="s">
        <v>237</v>
      </c>
      <c r="D320" t="s">
        <v>1041</v>
      </c>
    </row>
    <row r="321" spans="1:4" x14ac:dyDescent="0.3">
      <c r="A321" s="8" t="s">
        <v>195</v>
      </c>
      <c r="C321" s="8" t="s">
        <v>195</v>
      </c>
      <c r="D321" t="s">
        <v>1042</v>
      </c>
    </row>
    <row r="322" spans="1:4" x14ac:dyDescent="0.3">
      <c r="A322" s="8" t="s">
        <v>571</v>
      </c>
      <c r="C322" s="8" t="s">
        <v>571</v>
      </c>
      <c r="D322" t="s">
        <v>1043</v>
      </c>
    </row>
    <row r="323" spans="1:4" x14ac:dyDescent="0.3">
      <c r="A323" s="8" t="s">
        <v>583</v>
      </c>
      <c r="C323" s="8" t="s">
        <v>583</v>
      </c>
      <c r="D323" t="s">
        <v>1044</v>
      </c>
    </row>
    <row r="324" spans="1:4" x14ac:dyDescent="0.3">
      <c r="A324" s="8" t="s">
        <v>61</v>
      </c>
      <c r="C324" s="8" t="s">
        <v>61</v>
      </c>
      <c r="D324" t="s">
        <v>1045</v>
      </c>
    </row>
    <row r="325" spans="1:4" x14ac:dyDescent="0.3">
      <c r="A325" s="8" t="s">
        <v>686</v>
      </c>
      <c r="C325" s="8" t="s">
        <v>686</v>
      </c>
      <c r="D325" t="s">
        <v>1046</v>
      </c>
    </row>
    <row r="326" spans="1:4" x14ac:dyDescent="0.3">
      <c r="A326" s="8" t="s">
        <v>405</v>
      </c>
      <c r="C326" s="8" t="s">
        <v>405</v>
      </c>
      <c r="D326" t="s">
        <v>1047</v>
      </c>
    </row>
    <row r="327" spans="1:4" x14ac:dyDescent="0.3">
      <c r="A327" s="8" t="s">
        <v>587</v>
      </c>
      <c r="C327" s="8" t="s">
        <v>587</v>
      </c>
      <c r="D327" t="s">
        <v>1048</v>
      </c>
    </row>
    <row r="328" spans="1:4" x14ac:dyDescent="0.3">
      <c r="A328" s="8" t="s">
        <v>264</v>
      </c>
      <c r="C328" s="8" t="s">
        <v>264</v>
      </c>
      <c r="D328" t="s">
        <v>1049</v>
      </c>
    </row>
    <row r="329" spans="1:4" x14ac:dyDescent="0.3">
      <c r="A329" s="8" t="s">
        <v>236</v>
      </c>
      <c r="C329" s="8" t="s">
        <v>236</v>
      </c>
      <c r="D329" t="s">
        <v>1050</v>
      </c>
    </row>
    <row r="330" spans="1:4" x14ac:dyDescent="0.3">
      <c r="A330" s="8" t="s">
        <v>626</v>
      </c>
      <c r="C330" s="8" t="s">
        <v>626</v>
      </c>
      <c r="D330" t="s">
        <v>1051</v>
      </c>
    </row>
    <row r="331" spans="1:4" x14ac:dyDescent="0.3">
      <c r="A331" s="8" t="s">
        <v>561</v>
      </c>
      <c r="C331" s="8" t="s">
        <v>561</v>
      </c>
      <c r="D331" t="s">
        <v>1052</v>
      </c>
    </row>
    <row r="332" spans="1:4" x14ac:dyDescent="0.3">
      <c r="A332" s="8" t="s">
        <v>398</v>
      </c>
      <c r="C332" s="8" t="s">
        <v>398</v>
      </c>
      <c r="D332" t="s">
        <v>1053</v>
      </c>
    </row>
    <row r="333" spans="1:4" x14ac:dyDescent="0.3">
      <c r="A333" s="8" t="s">
        <v>712</v>
      </c>
      <c r="C333" s="8" t="s">
        <v>712</v>
      </c>
      <c r="D333" t="s">
        <v>1054</v>
      </c>
    </row>
    <row r="334" spans="1:4" x14ac:dyDescent="0.3">
      <c r="A334" s="8" t="s">
        <v>718</v>
      </c>
      <c r="C334" s="8" t="s">
        <v>718</v>
      </c>
      <c r="D334" t="s">
        <v>1055</v>
      </c>
    </row>
    <row r="335" spans="1:4" x14ac:dyDescent="0.3">
      <c r="A335" s="8" t="s">
        <v>693</v>
      </c>
      <c r="C335" s="8" t="s">
        <v>693</v>
      </c>
      <c r="D335" t="s">
        <v>1056</v>
      </c>
    </row>
    <row r="336" spans="1:4" x14ac:dyDescent="0.3">
      <c r="A336" s="8" t="s">
        <v>226</v>
      </c>
      <c r="C336" s="8" t="s">
        <v>226</v>
      </c>
      <c r="D336" t="s">
        <v>1057</v>
      </c>
    </row>
    <row r="337" spans="1:4" x14ac:dyDescent="0.3">
      <c r="A337" s="8" t="s">
        <v>660</v>
      </c>
      <c r="C337" s="8" t="s">
        <v>660</v>
      </c>
      <c r="D337" t="s">
        <v>1058</v>
      </c>
    </row>
    <row r="338" spans="1:4" x14ac:dyDescent="0.3">
      <c r="A338" s="8" t="s">
        <v>311</v>
      </c>
      <c r="C338" s="8" t="s">
        <v>311</v>
      </c>
      <c r="D338" t="s">
        <v>1059</v>
      </c>
    </row>
    <row r="339" spans="1:4" x14ac:dyDescent="0.3">
      <c r="A339" s="8" t="s">
        <v>217</v>
      </c>
      <c r="C339" s="8" t="s">
        <v>217</v>
      </c>
      <c r="D339" t="s">
        <v>1060</v>
      </c>
    </row>
    <row r="340" spans="1:4" x14ac:dyDescent="0.3">
      <c r="A340" s="8" t="s">
        <v>71</v>
      </c>
      <c r="C340" s="8" t="s">
        <v>71</v>
      </c>
      <c r="D340" t="s">
        <v>1061</v>
      </c>
    </row>
    <row r="341" spans="1:4" x14ac:dyDescent="0.3">
      <c r="A341" s="8" t="s">
        <v>112</v>
      </c>
      <c r="C341" s="8" t="s">
        <v>112</v>
      </c>
      <c r="D341" t="s">
        <v>1062</v>
      </c>
    </row>
    <row r="342" spans="1:4" x14ac:dyDescent="0.3">
      <c r="A342" s="8" t="s">
        <v>275</v>
      </c>
      <c r="C342" s="8" t="s">
        <v>275</v>
      </c>
      <c r="D342" t="s">
        <v>1063</v>
      </c>
    </row>
    <row r="343" spans="1:4" x14ac:dyDescent="0.3">
      <c r="A343" s="8" t="s">
        <v>619</v>
      </c>
      <c r="C343" s="8" t="s">
        <v>619</v>
      </c>
      <c r="D343" t="s">
        <v>1064</v>
      </c>
    </row>
    <row r="344" spans="1:4" x14ac:dyDescent="0.3">
      <c r="A344" s="8" t="s">
        <v>372</v>
      </c>
      <c r="C344" s="8" t="s">
        <v>372</v>
      </c>
      <c r="D344" t="s">
        <v>1065</v>
      </c>
    </row>
    <row r="345" spans="1:4" x14ac:dyDescent="0.3">
      <c r="A345" s="8" t="s">
        <v>545</v>
      </c>
      <c r="C345" s="8" t="s">
        <v>545</v>
      </c>
      <c r="D345" t="s">
        <v>1066</v>
      </c>
    </row>
    <row r="346" spans="1:4" x14ac:dyDescent="0.3">
      <c r="A346" s="8" t="s">
        <v>489</v>
      </c>
      <c r="C346" s="8" t="s">
        <v>489</v>
      </c>
      <c r="D346" t="s">
        <v>1067</v>
      </c>
    </row>
    <row r="347" spans="1:4" x14ac:dyDescent="0.3">
      <c r="A347" s="8" t="s">
        <v>669</v>
      </c>
      <c r="C347" s="8" t="s">
        <v>669</v>
      </c>
      <c r="D347" t="s">
        <v>1068</v>
      </c>
    </row>
    <row r="348" spans="1:4" x14ac:dyDescent="0.3">
      <c r="A348" s="8" t="s">
        <v>322</v>
      </c>
      <c r="C348" s="8" t="s">
        <v>322</v>
      </c>
      <c r="D348" t="s">
        <v>1069</v>
      </c>
    </row>
    <row r="349" spans="1:4" x14ac:dyDescent="0.3">
      <c r="A349" s="8" t="s">
        <v>179</v>
      </c>
      <c r="C349" s="8" t="s">
        <v>179</v>
      </c>
      <c r="D349" t="s">
        <v>1070</v>
      </c>
    </row>
    <row r="350" spans="1:4" x14ac:dyDescent="0.3">
      <c r="A350" s="8" t="s">
        <v>59</v>
      </c>
      <c r="C350" s="8" t="s">
        <v>59</v>
      </c>
      <c r="D350" t="s">
        <v>1071</v>
      </c>
    </row>
    <row r="351" spans="1:4" x14ac:dyDescent="0.3">
      <c r="A351" s="8" t="s">
        <v>66</v>
      </c>
      <c r="C351" s="8" t="s">
        <v>66</v>
      </c>
      <c r="D351" t="s">
        <v>1072</v>
      </c>
    </row>
    <row r="352" spans="1:4" x14ac:dyDescent="0.3">
      <c r="A352" s="8" t="s">
        <v>610</v>
      </c>
      <c r="C352" s="8" t="s">
        <v>610</v>
      </c>
      <c r="D352" t="s">
        <v>1073</v>
      </c>
    </row>
    <row r="353" spans="1:4" x14ac:dyDescent="0.3">
      <c r="A353" s="8" t="s">
        <v>503</v>
      </c>
      <c r="C353" s="8" t="s">
        <v>503</v>
      </c>
      <c r="D353" t="s">
        <v>1074</v>
      </c>
    </row>
    <row r="354" spans="1:4" x14ac:dyDescent="0.3">
      <c r="A354" s="8" t="s">
        <v>412</v>
      </c>
      <c r="C354" s="8" t="s">
        <v>412</v>
      </c>
      <c r="D354" t="s">
        <v>1075</v>
      </c>
    </row>
    <row r="355" spans="1:4" x14ac:dyDescent="0.3">
      <c r="A355" s="8" t="s">
        <v>433</v>
      </c>
      <c r="C355" s="8" t="s">
        <v>433</v>
      </c>
      <c r="D355" t="s">
        <v>1076</v>
      </c>
    </row>
    <row r="356" spans="1:4" x14ac:dyDescent="0.3">
      <c r="A356" s="8" t="s">
        <v>157</v>
      </c>
      <c r="C356" s="8" t="s">
        <v>157</v>
      </c>
      <c r="D356" t="s">
        <v>1077</v>
      </c>
    </row>
    <row r="357" spans="1:4" x14ac:dyDescent="0.3">
      <c r="A357" s="8" t="s">
        <v>664</v>
      </c>
      <c r="C357" s="8" t="s">
        <v>664</v>
      </c>
      <c r="D357" t="s">
        <v>1078</v>
      </c>
    </row>
    <row r="358" spans="1:4" x14ac:dyDescent="0.3">
      <c r="A358" s="8" t="s">
        <v>540</v>
      </c>
      <c r="C358" s="8" t="s">
        <v>540</v>
      </c>
      <c r="D358" t="s">
        <v>1079</v>
      </c>
    </row>
    <row r="359" spans="1:4" x14ac:dyDescent="0.3">
      <c r="A359" s="8" t="s">
        <v>567</v>
      </c>
      <c r="C359" s="8" t="s">
        <v>567</v>
      </c>
      <c r="D359" t="s">
        <v>1080</v>
      </c>
    </row>
    <row r="360" spans="1:4" x14ac:dyDescent="0.3">
      <c r="A360" s="8" t="s">
        <v>231</v>
      </c>
      <c r="C360" s="8" t="s">
        <v>231</v>
      </c>
      <c r="D360" t="s">
        <v>1081</v>
      </c>
    </row>
    <row r="361" spans="1:4" x14ac:dyDescent="0.3">
      <c r="A361" s="8" t="s">
        <v>267</v>
      </c>
      <c r="C361" s="8" t="s">
        <v>267</v>
      </c>
      <c r="D361" t="s">
        <v>1082</v>
      </c>
    </row>
    <row r="362" spans="1:4" x14ac:dyDescent="0.3">
      <c r="A362" s="8" t="s">
        <v>367</v>
      </c>
      <c r="C362" s="8" t="s">
        <v>367</v>
      </c>
      <c r="D362" t="s">
        <v>1083</v>
      </c>
    </row>
    <row r="363" spans="1:4" x14ac:dyDescent="0.3">
      <c r="A363" s="8" t="s">
        <v>623</v>
      </c>
      <c r="C363" s="8" t="s">
        <v>623</v>
      </c>
      <c r="D363" t="s">
        <v>1084</v>
      </c>
    </row>
    <row r="364" spans="1:4" x14ac:dyDescent="0.3">
      <c r="A364" s="8" t="s">
        <v>635</v>
      </c>
      <c r="C364" s="8" t="s">
        <v>635</v>
      </c>
      <c r="D364" t="s">
        <v>1085</v>
      </c>
    </row>
    <row r="365" spans="1:4" x14ac:dyDescent="0.3">
      <c r="A365" s="8" t="s">
        <v>675</v>
      </c>
      <c r="C365" s="8" t="s">
        <v>675</v>
      </c>
      <c r="D365" t="s">
        <v>1086</v>
      </c>
    </row>
    <row r="366" spans="1:4" x14ac:dyDescent="0.3">
      <c r="A366" s="8" t="s">
        <v>590</v>
      </c>
      <c r="C366" s="8" t="s">
        <v>590</v>
      </c>
      <c r="D366" t="s">
        <v>1087</v>
      </c>
    </row>
    <row r="367" spans="1:4" x14ac:dyDescent="0.3">
      <c r="A367" s="8" t="s">
        <v>130</v>
      </c>
      <c r="C367" s="8" t="s">
        <v>130</v>
      </c>
      <c r="D367" t="s">
        <v>1088</v>
      </c>
    </row>
    <row r="368" spans="1:4" x14ac:dyDescent="0.3">
      <c r="A368" s="8" t="s">
        <v>288</v>
      </c>
      <c r="C368" s="8" t="s">
        <v>288</v>
      </c>
      <c r="D368" t="s">
        <v>1089</v>
      </c>
    </row>
    <row r="369" spans="1:4" x14ac:dyDescent="0.3">
      <c r="A369" s="8" t="s">
        <v>109</v>
      </c>
      <c r="C369" s="8" t="s">
        <v>109</v>
      </c>
      <c r="D369" t="s">
        <v>1090</v>
      </c>
    </row>
    <row r="370" spans="1:4" x14ac:dyDescent="0.3">
      <c r="A370" s="8" t="s">
        <v>234</v>
      </c>
      <c r="C370" s="8" t="s">
        <v>234</v>
      </c>
      <c r="D370" t="s">
        <v>1091</v>
      </c>
    </row>
    <row r="371" spans="1:4" x14ac:dyDescent="0.3">
      <c r="A371" s="8" t="s">
        <v>119</v>
      </c>
      <c r="C371" s="8" t="s">
        <v>119</v>
      </c>
      <c r="D371" t="s">
        <v>1092</v>
      </c>
    </row>
    <row r="372" spans="1:4" x14ac:dyDescent="0.3">
      <c r="A372" s="8" t="s">
        <v>292</v>
      </c>
      <c r="C372" s="8" t="s">
        <v>292</v>
      </c>
      <c r="D372" t="s">
        <v>1093</v>
      </c>
    </row>
    <row r="373" spans="1:4" x14ac:dyDescent="0.3">
      <c r="A373" s="8" t="s">
        <v>475</v>
      </c>
      <c r="C373" s="8" t="s">
        <v>475</v>
      </c>
      <c r="D373" t="s">
        <v>1094</v>
      </c>
    </row>
    <row r="374" spans="1:4" x14ac:dyDescent="0.3">
      <c r="A374" s="8" t="s">
        <v>278</v>
      </c>
      <c r="C374" s="8" t="s">
        <v>278</v>
      </c>
      <c r="D374" t="s">
        <v>1095</v>
      </c>
    </row>
    <row r="375" spans="1:4" x14ac:dyDescent="0.3">
      <c r="A375" s="8" t="s">
        <v>183</v>
      </c>
      <c r="C375" s="8" t="s">
        <v>183</v>
      </c>
      <c r="D375" t="s">
        <v>1096</v>
      </c>
    </row>
    <row r="376" spans="1:4" x14ac:dyDescent="0.3">
      <c r="A376" s="8" t="s">
        <v>395</v>
      </c>
      <c r="C376" s="8" t="s">
        <v>395</v>
      </c>
      <c r="D376" t="s">
        <v>1097</v>
      </c>
    </row>
    <row r="377" spans="1:4" x14ac:dyDescent="0.3">
      <c r="A377" s="8" t="s">
        <v>483</v>
      </c>
      <c r="C377" s="8" t="s">
        <v>483</v>
      </c>
      <c r="D377" t="s">
        <v>1098</v>
      </c>
    </row>
    <row r="378" spans="1:4" x14ac:dyDescent="0.3">
      <c r="A378" s="8" t="s">
        <v>404</v>
      </c>
      <c r="C378" s="8" t="s">
        <v>404</v>
      </c>
      <c r="D378" t="s">
        <v>1099</v>
      </c>
    </row>
    <row r="379" spans="1:4" x14ac:dyDescent="0.3">
      <c r="A379" s="8" t="s">
        <v>506</v>
      </c>
      <c r="C379" s="8" t="s">
        <v>506</v>
      </c>
      <c r="D379" t="s">
        <v>1100</v>
      </c>
    </row>
    <row r="380" spans="1:4" x14ac:dyDescent="0.3">
      <c r="A380" s="8" t="s">
        <v>668</v>
      </c>
      <c r="C380" s="8" t="s">
        <v>668</v>
      </c>
      <c r="D380" t="s">
        <v>1101</v>
      </c>
    </row>
    <row r="381" spans="1:4" x14ac:dyDescent="0.3">
      <c r="A381" s="8" t="s">
        <v>631</v>
      </c>
      <c r="C381" s="8" t="s">
        <v>631</v>
      </c>
      <c r="D381" t="s">
        <v>1102</v>
      </c>
    </row>
    <row r="382" spans="1:4" x14ac:dyDescent="0.3">
      <c r="A382" s="8" t="s">
        <v>355</v>
      </c>
      <c r="C382" s="8" t="s">
        <v>355</v>
      </c>
      <c r="D382" t="s">
        <v>1103</v>
      </c>
    </row>
    <row r="383" spans="1:4" x14ac:dyDescent="0.3">
      <c r="A383" s="8" t="s">
        <v>134</v>
      </c>
      <c r="C383" s="8" t="s">
        <v>134</v>
      </c>
      <c r="D383" t="s">
        <v>1104</v>
      </c>
    </row>
    <row r="384" spans="1:4" x14ac:dyDescent="0.3">
      <c r="A384" s="8" t="s">
        <v>397</v>
      </c>
      <c r="C384" s="8" t="s">
        <v>397</v>
      </c>
      <c r="D384" t="s">
        <v>1105</v>
      </c>
    </row>
    <row r="385" spans="1:4" x14ac:dyDescent="0.3">
      <c r="A385" s="8" t="s">
        <v>321</v>
      </c>
      <c r="C385" s="8" t="s">
        <v>321</v>
      </c>
      <c r="D385" t="s">
        <v>1106</v>
      </c>
    </row>
    <row r="386" spans="1:4" x14ac:dyDescent="0.3">
      <c r="A386" s="8" t="s">
        <v>100</v>
      </c>
      <c r="C386" s="8" t="s">
        <v>100</v>
      </c>
      <c r="D386" t="s">
        <v>1107</v>
      </c>
    </row>
    <row r="387" spans="1:4" x14ac:dyDescent="0.3">
      <c r="A387" s="8" t="s">
        <v>342</v>
      </c>
      <c r="C387" s="8" t="s">
        <v>342</v>
      </c>
      <c r="D387" t="s">
        <v>1108</v>
      </c>
    </row>
    <row r="388" spans="1:4" x14ac:dyDescent="0.3">
      <c r="A388" s="8" t="s">
        <v>568</v>
      </c>
      <c r="C388" s="8" t="s">
        <v>568</v>
      </c>
      <c r="D388" t="s">
        <v>1109</v>
      </c>
    </row>
    <row r="389" spans="1:4" x14ac:dyDescent="0.3">
      <c r="A389" s="8" t="s">
        <v>149</v>
      </c>
      <c r="C389" s="8" t="s">
        <v>149</v>
      </c>
      <c r="D389" t="s">
        <v>1110</v>
      </c>
    </row>
    <row r="390" spans="1:4" x14ac:dyDescent="0.3">
      <c r="A390" s="8" t="s">
        <v>181</v>
      </c>
      <c r="C390" s="8" t="s">
        <v>181</v>
      </c>
      <c r="D390" t="s">
        <v>1111</v>
      </c>
    </row>
    <row r="391" spans="1:4" x14ac:dyDescent="0.3">
      <c r="A391" s="8" t="s">
        <v>478</v>
      </c>
      <c r="C391" s="8" t="s">
        <v>478</v>
      </c>
      <c r="D391" t="s">
        <v>1112</v>
      </c>
    </row>
    <row r="392" spans="1:4" x14ac:dyDescent="0.3">
      <c r="A392" s="8" t="s">
        <v>285</v>
      </c>
      <c r="C392" s="8" t="s">
        <v>285</v>
      </c>
      <c r="D392" t="s">
        <v>1113</v>
      </c>
    </row>
    <row r="393" spans="1:4" x14ac:dyDescent="0.3">
      <c r="A393" s="8" t="s">
        <v>106</v>
      </c>
      <c r="C393" s="8" t="s">
        <v>106</v>
      </c>
      <c r="D393" t="s">
        <v>1114</v>
      </c>
    </row>
    <row r="394" spans="1:4" x14ac:dyDescent="0.3">
      <c r="A394" s="8" t="s">
        <v>438</v>
      </c>
      <c r="C394" s="8" t="s">
        <v>438</v>
      </c>
      <c r="D394" t="s">
        <v>1115</v>
      </c>
    </row>
    <row r="395" spans="1:4" x14ac:dyDescent="0.3">
      <c r="A395" s="8" t="s">
        <v>576</v>
      </c>
      <c r="C395" s="8" t="s">
        <v>576</v>
      </c>
      <c r="D395" t="s">
        <v>1116</v>
      </c>
    </row>
    <row r="396" spans="1:4" x14ac:dyDescent="0.3">
      <c r="A396" s="8" t="s">
        <v>388</v>
      </c>
      <c r="C396" s="8" t="s">
        <v>388</v>
      </c>
      <c r="D396" t="s">
        <v>1117</v>
      </c>
    </row>
    <row r="397" spans="1:4" x14ac:dyDescent="0.3">
      <c r="A397" s="8" t="s">
        <v>334</v>
      </c>
      <c r="C397" s="8" t="s">
        <v>334</v>
      </c>
      <c r="D397" t="s">
        <v>1118</v>
      </c>
    </row>
    <row r="398" spans="1:4" x14ac:dyDescent="0.3">
      <c r="A398" s="8" t="s">
        <v>423</v>
      </c>
      <c r="C398" s="8" t="s">
        <v>423</v>
      </c>
      <c r="D398" t="s">
        <v>1119</v>
      </c>
    </row>
    <row r="399" spans="1:4" x14ac:dyDescent="0.3">
      <c r="A399" s="8" t="s">
        <v>177</v>
      </c>
      <c r="C399" s="8" t="s">
        <v>177</v>
      </c>
      <c r="D399" t="s">
        <v>1120</v>
      </c>
    </row>
    <row r="400" spans="1:4" x14ac:dyDescent="0.3">
      <c r="A400" s="8" t="s">
        <v>420</v>
      </c>
      <c r="C400" s="8" t="s">
        <v>420</v>
      </c>
      <c r="D400" t="s">
        <v>1121</v>
      </c>
    </row>
    <row r="401" spans="1:4" x14ac:dyDescent="0.3">
      <c r="A401" s="8" t="s">
        <v>26</v>
      </c>
      <c r="C401" s="8" t="s">
        <v>26</v>
      </c>
      <c r="D401" t="s">
        <v>1122</v>
      </c>
    </row>
    <row r="402" spans="1:4" x14ac:dyDescent="0.3">
      <c r="A402" s="8" t="s">
        <v>528</v>
      </c>
      <c r="C402" s="8" t="s">
        <v>528</v>
      </c>
      <c r="D402" t="s">
        <v>1123</v>
      </c>
    </row>
    <row r="403" spans="1:4" x14ac:dyDescent="0.3">
      <c r="A403" s="8" t="s">
        <v>279</v>
      </c>
      <c r="C403" s="8" t="s">
        <v>279</v>
      </c>
      <c r="D403" t="s">
        <v>1124</v>
      </c>
    </row>
    <row r="404" spans="1:4" x14ac:dyDescent="0.3">
      <c r="A404" s="8" t="s">
        <v>674</v>
      </c>
      <c r="C404" s="8" t="s">
        <v>674</v>
      </c>
      <c r="D404" t="s">
        <v>1125</v>
      </c>
    </row>
    <row r="405" spans="1:4" x14ac:dyDescent="0.3">
      <c r="A405" s="8" t="s">
        <v>85</v>
      </c>
      <c r="C405" s="8" t="s">
        <v>85</v>
      </c>
      <c r="D405" t="s">
        <v>1126</v>
      </c>
    </row>
    <row r="406" spans="1:4" x14ac:dyDescent="0.3">
      <c r="A406" s="8" t="s">
        <v>648</v>
      </c>
      <c r="C406" s="8" t="s">
        <v>648</v>
      </c>
      <c r="D406" t="s">
        <v>1127</v>
      </c>
    </row>
    <row r="407" spans="1:4" x14ac:dyDescent="0.3">
      <c r="A407" s="8" t="s">
        <v>440</v>
      </c>
      <c r="C407" s="8" t="s">
        <v>440</v>
      </c>
      <c r="D407" t="s">
        <v>1128</v>
      </c>
    </row>
    <row r="408" spans="1:4" x14ac:dyDescent="0.3">
      <c r="A408" s="8" t="s">
        <v>379</v>
      </c>
      <c r="C408" s="8" t="s">
        <v>379</v>
      </c>
      <c r="D408" t="s">
        <v>1129</v>
      </c>
    </row>
    <row r="409" spans="1:4" x14ac:dyDescent="0.3">
      <c r="A409" s="8" t="s">
        <v>500</v>
      </c>
      <c r="C409" s="8" t="s">
        <v>500</v>
      </c>
      <c r="D409" t="s">
        <v>1130</v>
      </c>
    </row>
    <row r="410" spans="1:4" x14ac:dyDescent="0.3">
      <c r="A410" s="8" t="s">
        <v>118</v>
      </c>
      <c r="C410" s="8" t="s">
        <v>118</v>
      </c>
      <c r="D410" t="s">
        <v>1131</v>
      </c>
    </row>
    <row r="411" spans="1:4" x14ac:dyDescent="0.3">
      <c r="A411" s="8" t="s">
        <v>189</v>
      </c>
      <c r="C411" s="8" t="s">
        <v>189</v>
      </c>
      <c r="D411" t="s">
        <v>1132</v>
      </c>
    </row>
    <row r="412" spans="1:4" x14ac:dyDescent="0.3">
      <c r="A412" s="8" t="s">
        <v>328</v>
      </c>
      <c r="C412" s="8" t="s">
        <v>328</v>
      </c>
      <c r="D412" t="s">
        <v>1133</v>
      </c>
    </row>
    <row r="413" spans="1:4" x14ac:dyDescent="0.3">
      <c r="A413" s="8" t="s">
        <v>143</v>
      </c>
      <c r="C413" s="8" t="s">
        <v>143</v>
      </c>
      <c r="D413" t="s">
        <v>1134</v>
      </c>
    </row>
    <row r="414" spans="1:4" x14ac:dyDescent="0.3">
      <c r="A414" s="8" t="s">
        <v>18</v>
      </c>
      <c r="C414" s="8" t="s">
        <v>18</v>
      </c>
      <c r="D414" t="s">
        <v>1135</v>
      </c>
    </row>
    <row r="415" spans="1:4" x14ac:dyDescent="0.3">
      <c r="A415" s="8" t="s">
        <v>667</v>
      </c>
      <c r="C415" s="8" t="s">
        <v>667</v>
      </c>
      <c r="D415" t="s">
        <v>1136</v>
      </c>
    </row>
    <row r="416" spans="1:4" x14ac:dyDescent="0.3">
      <c r="A416" s="8" t="s">
        <v>600</v>
      </c>
      <c r="C416" s="8" t="s">
        <v>600</v>
      </c>
      <c r="D416" t="s">
        <v>1137</v>
      </c>
    </row>
    <row r="417" spans="1:4" x14ac:dyDescent="0.3">
      <c r="A417" s="8" t="s">
        <v>185</v>
      </c>
      <c r="C417" s="8" t="s">
        <v>185</v>
      </c>
      <c r="D417" t="s">
        <v>1138</v>
      </c>
    </row>
    <row r="418" spans="1:4" x14ac:dyDescent="0.3">
      <c r="A418" s="8" t="s">
        <v>430</v>
      </c>
      <c r="C418" s="8" t="s">
        <v>430</v>
      </c>
      <c r="D418" t="s">
        <v>1139</v>
      </c>
    </row>
    <row r="419" spans="1:4" x14ac:dyDescent="0.3">
      <c r="A419" s="8" t="s">
        <v>678</v>
      </c>
      <c r="C419" s="8" t="s">
        <v>678</v>
      </c>
      <c r="D419" t="s">
        <v>1140</v>
      </c>
    </row>
    <row r="420" spans="1:4" x14ac:dyDescent="0.3">
      <c r="A420" s="8" t="s">
        <v>580</v>
      </c>
      <c r="C420" s="8" t="s">
        <v>580</v>
      </c>
      <c r="D420" t="s">
        <v>1141</v>
      </c>
    </row>
    <row r="421" spans="1:4" x14ac:dyDescent="0.3">
      <c r="A421" s="8" t="s">
        <v>245</v>
      </c>
      <c r="C421" s="8" t="s">
        <v>245</v>
      </c>
      <c r="D421" t="s">
        <v>1142</v>
      </c>
    </row>
    <row r="422" spans="1:4" x14ac:dyDescent="0.3">
      <c r="A422" s="8" t="s">
        <v>211</v>
      </c>
      <c r="C422" s="8" t="s">
        <v>211</v>
      </c>
      <c r="D422" t="s">
        <v>1143</v>
      </c>
    </row>
    <row r="423" spans="1:4" x14ac:dyDescent="0.3">
      <c r="A423" s="8" t="s">
        <v>373</v>
      </c>
      <c r="C423" s="8" t="s">
        <v>373</v>
      </c>
      <c r="D423" t="s">
        <v>1144</v>
      </c>
    </row>
    <row r="424" spans="1:4" x14ac:dyDescent="0.3">
      <c r="A424" s="8" t="s">
        <v>266</v>
      </c>
      <c r="C424" s="8" t="s">
        <v>266</v>
      </c>
      <c r="D424" t="s">
        <v>1145</v>
      </c>
    </row>
    <row r="425" spans="1:4" x14ac:dyDescent="0.3">
      <c r="A425" s="8" t="s">
        <v>277</v>
      </c>
      <c r="C425" s="8" t="s">
        <v>277</v>
      </c>
      <c r="D425" t="s">
        <v>1146</v>
      </c>
    </row>
    <row r="426" spans="1:4" x14ac:dyDescent="0.3">
      <c r="A426" s="8" t="s">
        <v>530</v>
      </c>
      <c r="C426" s="8" t="s">
        <v>530</v>
      </c>
      <c r="D426" t="s">
        <v>1147</v>
      </c>
    </row>
    <row r="427" spans="1:4" x14ac:dyDescent="0.3">
      <c r="A427" s="8" t="s">
        <v>565</v>
      </c>
      <c r="C427" s="8" t="s">
        <v>565</v>
      </c>
      <c r="D427" t="s">
        <v>1148</v>
      </c>
    </row>
    <row r="428" spans="1:4" x14ac:dyDescent="0.3">
      <c r="A428" s="8" t="s">
        <v>603</v>
      </c>
      <c r="C428" s="8" t="s">
        <v>603</v>
      </c>
      <c r="D428" t="s">
        <v>1149</v>
      </c>
    </row>
    <row r="429" spans="1:4" x14ac:dyDescent="0.3">
      <c r="A429" s="8" t="s">
        <v>268</v>
      </c>
      <c r="C429" s="8" t="s">
        <v>268</v>
      </c>
      <c r="D429" t="s">
        <v>1150</v>
      </c>
    </row>
    <row r="430" spans="1:4" x14ac:dyDescent="0.3">
      <c r="A430" s="8" t="s">
        <v>410</v>
      </c>
      <c r="C430" s="8" t="s">
        <v>410</v>
      </c>
      <c r="D430" t="s">
        <v>1151</v>
      </c>
    </row>
    <row r="431" spans="1:4" x14ac:dyDescent="0.3">
      <c r="A431" s="8" t="s">
        <v>368</v>
      </c>
      <c r="C431" s="8" t="s">
        <v>368</v>
      </c>
      <c r="D431" t="s">
        <v>1152</v>
      </c>
    </row>
    <row r="432" spans="1:4" x14ac:dyDescent="0.3">
      <c r="A432" s="8" t="s">
        <v>663</v>
      </c>
      <c r="C432" s="8" t="s">
        <v>663</v>
      </c>
      <c r="D432" t="s">
        <v>1153</v>
      </c>
    </row>
    <row r="433" spans="1:4" x14ac:dyDescent="0.3">
      <c r="A433" s="8" t="s">
        <v>124</v>
      </c>
      <c r="C433" s="8" t="s">
        <v>124</v>
      </c>
      <c r="D433" t="s">
        <v>1154</v>
      </c>
    </row>
    <row r="434" spans="1:4" x14ac:dyDescent="0.3">
      <c r="A434" s="8" t="s">
        <v>73</v>
      </c>
      <c r="C434" s="8" t="s">
        <v>73</v>
      </c>
      <c r="D434" t="s">
        <v>1155</v>
      </c>
    </row>
    <row r="435" spans="1:4" x14ac:dyDescent="0.3">
      <c r="A435" s="8" t="s">
        <v>315</v>
      </c>
      <c r="C435" s="8" t="s">
        <v>315</v>
      </c>
      <c r="D435" t="s">
        <v>1156</v>
      </c>
    </row>
    <row r="436" spans="1:4" x14ac:dyDescent="0.3">
      <c r="A436" s="8" t="s">
        <v>431</v>
      </c>
      <c r="C436" s="8" t="s">
        <v>431</v>
      </c>
      <c r="D436" t="s">
        <v>1157</v>
      </c>
    </row>
    <row r="437" spans="1:4" x14ac:dyDescent="0.3">
      <c r="A437" s="8" t="s">
        <v>121</v>
      </c>
      <c r="C437" s="8" t="s">
        <v>121</v>
      </c>
      <c r="D437" t="s">
        <v>1158</v>
      </c>
    </row>
    <row r="438" spans="1:4" x14ac:dyDescent="0.3">
      <c r="A438" s="8" t="s">
        <v>136</v>
      </c>
      <c r="C438" s="8" t="s">
        <v>136</v>
      </c>
      <c r="D438" t="s">
        <v>1159</v>
      </c>
    </row>
    <row r="439" spans="1:4" x14ac:dyDescent="0.3">
      <c r="A439" s="8" t="s">
        <v>432</v>
      </c>
      <c r="C439" s="8" t="s">
        <v>432</v>
      </c>
      <c r="D439" t="s">
        <v>1160</v>
      </c>
    </row>
    <row r="440" spans="1:4" x14ac:dyDescent="0.3">
      <c r="A440" s="8" t="s">
        <v>633</v>
      </c>
      <c r="C440" s="8" t="s">
        <v>633</v>
      </c>
      <c r="D440" t="s">
        <v>1161</v>
      </c>
    </row>
    <row r="441" spans="1:4" x14ac:dyDescent="0.3">
      <c r="A441" s="8" t="s">
        <v>77</v>
      </c>
      <c r="C441" s="8" t="s">
        <v>77</v>
      </c>
      <c r="D441" t="s">
        <v>1162</v>
      </c>
    </row>
    <row r="442" spans="1:4" x14ac:dyDescent="0.3">
      <c r="A442" s="8" t="s">
        <v>522</v>
      </c>
      <c r="C442" s="8" t="s">
        <v>522</v>
      </c>
      <c r="D442" t="s">
        <v>1163</v>
      </c>
    </row>
    <row r="443" spans="1:4" x14ac:dyDescent="0.3">
      <c r="A443" s="8" t="s">
        <v>450</v>
      </c>
      <c r="C443" s="8" t="s">
        <v>450</v>
      </c>
      <c r="D443" t="s">
        <v>1164</v>
      </c>
    </row>
    <row r="444" spans="1:4" x14ac:dyDescent="0.3">
      <c r="A444" s="8" t="s">
        <v>546</v>
      </c>
      <c r="C444" s="8" t="s">
        <v>546</v>
      </c>
      <c r="D444" t="s">
        <v>1165</v>
      </c>
    </row>
    <row r="445" spans="1:4" x14ac:dyDescent="0.3">
      <c r="A445" s="8" t="s">
        <v>518</v>
      </c>
      <c r="C445" s="8" t="s">
        <v>518</v>
      </c>
      <c r="D445" t="s">
        <v>1166</v>
      </c>
    </row>
    <row r="446" spans="1:4" x14ac:dyDescent="0.3">
      <c r="A446" s="8" t="s">
        <v>276</v>
      </c>
      <c r="C446" s="8" t="s">
        <v>276</v>
      </c>
      <c r="D446" t="s">
        <v>1167</v>
      </c>
    </row>
    <row r="447" spans="1:4" x14ac:dyDescent="0.3">
      <c r="A447" s="8" t="s">
        <v>471</v>
      </c>
      <c r="C447" s="8" t="s">
        <v>471</v>
      </c>
      <c r="D447" t="s">
        <v>1168</v>
      </c>
    </row>
    <row r="448" spans="1:4" x14ac:dyDescent="0.3">
      <c r="A448" s="8" t="s">
        <v>36</v>
      </c>
      <c r="C448" s="8" t="s">
        <v>36</v>
      </c>
      <c r="D448" t="s">
        <v>1169</v>
      </c>
    </row>
    <row r="449" spans="1:4" x14ac:dyDescent="0.3">
      <c r="A449" s="8" t="s">
        <v>369</v>
      </c>
      <c r="C449" s="8" t="s">
        <v>369</v>
      </c>
      <c r="D449" t="s">
        <v>1170</v>
      </c>
    </row>
    <row r="450" spans="1:4" x14ac:dyDescent="0.3">
      <c r="A450" s="8" t="s">
        <v>538</v>
      </c>
      <c r="C450" s="8" t="s">
        <v>538</v>
      </c>
      <c r="D450" t="s">
        <v>1171</v>
      </c>
    </row>
    <row r="451" spans="1:4" x14ac:dyDescent="0.3">
      <c r="A451" s="8" t="s">
        <v>384</v>
      </c>
      <c r="C451" s="8" t="s">
        <v>384</v>
      </c>
      <c r="D451" t="s">
        <v>1172</v>
      </c>
    </row>
    <row r="452" spans="1:4" x14ac:dyDescent="0.3">
      <c r="A452" s="8" t="s">
        <v>401</v>
      </c>
      <c r="C452" s="8" t="s">
        <v>401</v>
      </c>
      <c r="D452" t="s">
        <v>1173</v>
      </c>
    </row>
    <row r="453" spans="1:4" x14ac:dyDescent="0.3">
      <c r="A453" s="8" t="s">
        <v>564</v>
      </c>
      <c r="C453" s="8" t="s">
        <v>564</v>
      </c>
      <c r="D453" t="s">
        <v>1174</v>
      </c>
    </row>
    <row r="454" spans="1:4" x14ac:dyDescent="0.3">
      <c r="A454" s="8" t="s">
        <v>695</v>
      </c>
      <c r="C454" s="8" t="s">
        <v>695</v>
      </c>
      <c r="D454" t="s">
        <v>1175</v>
      </c>
    </row>
    <row r="455" spans="1:4" x14ac:dyDescent="0.3">
      <c r="A455" s="8" t="s">
        <v>253</v>
      </c>
      <c r="C455" s="8" t="s">
        <v>253</v>
      </c>
      <c r="D455" t="s">
        <v>1176</v>
      </c>
    </row>
    <row r="456" spans="1:4" x14ac:dyDescent="0.3">
      <c r="A456" s="8" t="s">
        <v>400</v>
      </c>
      <c r="C456" s="8" t="s">
        <v>400</v>
      </c>
      <c r="D456" t="s">
        <v>1177</v>
      </c>
    </row>
    <row r="457" spans="1:4" x14ac:dyDescent="0.3">
      <c r="A457" s="8" t="s">
        <v>248</v>
      </c>
      <c r="C457" s="8" t="s">
        <v>248</v>
      </c>
      <c r="D457" t="s">
        <v>1178</v>
      </c>
    </row>
    <row r="458" spans="1:4" x14ac:dyDescent="0.3">
      <c r="A458" s="8" t="s">
        <v>447</v>
      </c>
      <c r="C458" s="8" t="s">
        <v>447</v>
      </c>
      <c r="D458" t="s">
        <v>1179</v>
      </c>
    </row>
    <row r="459" spans="1:4" x14ac:dyDescent="0.3">
      <c r="A459" s="8" t="s">
        <v>126</v>
      </c>
      <c r="C459" s="8" t="s">
        <v>126</v>
      </c>
      <c r="D459" t="s">
        <v>1180</v>
      </c>
    </row>
    <row r="460" spans="1:4" x14ac:dyDescent="0.3">
      <c r="A460" s="8" t="s">
        <v>229</v>
      </c>
      <c r="C460" s="8" t="s">
        <v>229</v>
      </c>
      <c r="D460" t="s">
        <v>1181</v>
      </c>
    </row>
    <row r="461" spans="1:4" x14ac:dyDescent="0.3">
      <c r="A461" s="8" t="s">
        <v>370</v>
      </c>
      <c r="C461" s="8" t="s">
        <v>370</v>
      </c>
      <c r="D461" t="s">
        <v>1182</v>
      </c>
    </row>
    <row r="462" spans="1:4" x14ac:dyDescent="0.3">
      <c r="A462" s="8" t="s">
        <v>476</v>
      </c>
      <c r="C462" s="8" t="s">
        <v>476</v>
      </c>
      <c r="D462" t="s">
        <v>1183</v>
      </c>
    </row>
    <row r="463" spans="1:4" x14ac:dyDescent="0.3">
      <c r="A463" s="8" t="s">
        <v>201</v>
      </c>
      <c r="C463" s="8" t="s">
        <v>201</v>
      </c>
      <c r="D463" t="s">
        <v>1184</v>
      </c>
    </row>
    <row r="464" spans="1:4" x14ac:dyDescent="0.3">
      <c r="A464" s="8" t="s">
        <v>310</v>
      </c>
      <c r="C464" s="8" t="s">
        <v>310</v>
      </c>
      <c r="D464" t="s">
        <v>1185</v>
      </c>
    </row>
    <row r="465" spans="1:4" x14ac:dyDescent="0.3">
      <c r="A465" s="8" t="s">
        <v>448</v>
      </c>
      <c r="C465" s="8" t="s">
        <v>448</v>
      </c>
      <c r="D465" t="s">
        <v>1186</v>
      </c>
    </row>
    <row r="466" spans="1:4" x14ac:dyDescent="0.3">
      <c r="A466" s="8" t="s">
        <v>642</v>
      </c>
      <c r="C466" s="8" t="s">
        <v>642</v>
      </c>
      <c r="D466" t="s">
        <v>1187</v>
      </c>
    </row>
    <row r="467" spans="1:4" x14ac:dyDescent="0.3">
      <c r="A467" s="8" t="s">
        <v>220</v>
      </c>
      <c r="C467" s="8" t="s">
        <v>220</v>
      </c>
      <c r="D467" t="s">
        <v>1188</v>
      </c>
    </row>
    <row r="468" spans="1:4" x14ac:dyDescent="0.3">
      <c r="A468" s="8" t="s">
        <v>569</v>
      </c>
      <c r="C468" s="8" t="s">
        <v>569</v>
      </c>
      <c r="D468" t="s">
        <v>1189</v>
      </c>
    </row>
    <row r="469" spans="1:4" x14ac:dyDescent="0.3">
      <c r="A469" s="8" t="s">
        <v>698</v>
      </c>
      <c r="C469" s="8" t="s">
        <v>698</v>
      </c>
      <c r="D469" t="s">
        <v>1190</v>
      </c>
    </row>
    <row r="470" spans="1:4" x14ac:dyDescent="0.3">
      <c r="A470" s="8" t="s">
        <v>488</v>
      </c>
      <c r="C470" s="8" t="s">
        <v>488</v>
      </c>
      <c r="D470" t="s">
        <v>1191</v>
      </c>
    </row>
    <row r="471" spans="1:4" x14ac:dyDescent="0.3">
      <c r="A471" s="8" t="s">
        <v>184</v>
      </c>
      <c r="C471" s="8" t="s">
        <v>184</v>
      </c>
      <c r="D471" t="s">
        <v>1192</v>
      </c>
    </row>
    <row r="472" spans="1:4" x14ac:dyDescent="0.3">
      <c r="A472" s="8" t="s">
        <v>167</v>
      </c>
      <c r="C472" s="8" t="s">
        <v>167</v>
      </c>
      <c r="D472" t="s">
        <v>1193</v>
      </c>
    </row>
    <row r="473" spans="1:4" x14ac:dyDescent="0.3">
      <c r="A473" s="8" t="s">
        <v>704</v>
      </c>
      <c r="C473" s="8" t="s">
        <v>704</v>
      </c>
      <c r="D473" t="s">
        <v>1194</v>
      </c>
    </row>
    <row r="474" spans="1:4" x14ac:dyDescent="0.3">
      <c r="A474" s="8" t="s">
        <v>392</v>
      </c>
      <c r="C474" s="8" t="s">
        <v>392</v>
      </c>
      <c r="D474" t="s">
        <v>1195</v>
      </c>
    </row>
    <row r="475" spans="1:4" x14ac:dyDescent="0.3">
      <c r="A475" s="8" t="s">
        <v>159</v>
      </c>
      <c r="C475" s="8" t="s">
        <v>159</v>
      </c>
      <c r="D475" t="s">
        <v>1196</v>
      </c>
    </row>
    <row r="476" spans="1:4" x14ac:dyDescent="0.3">
      <c r="A476" s="8" t="s">
        <v>539</v>
      </c>
      <c r="C476" s="8" t="s">
        <v>539</v>
      </c>
      <c r="D476" t="s">
        <v>1197</v>
      </c>
    </row>
    <row r="477" spans="1:4" x14ac:dyDescent="0.3">
      <c r="A477" s="8" t="s">
        <v>293</v>
      </c>
      <c r="C477" s="8" t="s">
        <v>293</v>
      </c>
      <c r="D477" t="s">
        <v>1198</v>
      </c>
    </row>
    <row r="478" spans="1:4" x14ac:dyDescent="0.3">
      <c r="A478" s="8" t="s">
        <v>117</v>
      </c>
      <c r="C478" s="8" t="s">
        <v>117</v>
      </c>
      <c r="D478" t="s">
        <v>1199</v>
      </c>
    </row>
    <row r="479" spans="1:4" x14ac:dyDescent="0.3">
      <c r="A479" s="8" t="s">
        <v>115</v>
      </c>
      <c r="C479" s="8" t="s">
        <v>115</v>
      </c>
      <c r="D479" t="s">
        <v>1200</v>
      </c>
    </row>
    <row r="480" spans="1:4" x14ac:dyDescent="0.3">
      <c r="A480" s="8" t="s">
        <v>44</v>
      </c>
      <c r="C480" s="8" t="s">
        <v>44</v>
      </c>
      <c r="D480" t="s">
        <v>1201</v>
      </c>
    </row>
    <row r="481" spans="1:4" x14ac:dyDescent="0.3">
      <c r="A481" s="8" t="s">
        <v>133</v>
      </c>
      <c r="C481" s="8" t="s">
        <v>133</v>
      </c>
      <c r="D481" t="s">
        <v>1202</v>
      </c>
    </row>
    <row r="482" spans="1:4" x14ac:dyDescent="0.3">
      <c r="A482" s="8" t="s">
        <v>366</v>
      </c>
      <c r="C482" s="8" t="s">
        <v>366</v>
      </c>
      <c r="D482" t="s">
        <v>1203</v>
      </c>
    </row>
    <row r="483" spans="1:4" x14ac:dyDescent="0.3">
      <c r="A483" s="8" t="s">
        <v>436</v>
      </c>
      <c r="C483" s="8" t="s">
        <v>436</v>
      </c>
      <c r="D483" t="s">
        <v>1204</v>
      </c>
    </row>
    <row r="484" spans="1:4" x14ac:dyDescent="0.3">
      <c r="A484" s="8" t="s">
        <v>531</v>
      </c>
      <c r="C484" s="8" t="s">
        <v>531</v>
      </c>
      <c r="D484" t="s">
        <v>1205</v>
      </c>
    </row>
    <row r="485" spans="1:4" x14ac:dyDescent="0.3">
      <c r="A485" s="8" t="s">
        <v>457</v>
      </c>
      <c r="C485" s="8" t="s">
        <v>457</v>
      </c>
      <c r="D485" t="s">
        <v>1206</v>
      </c>
    </row>
    <row r="486" spans="1:4" x14ac:dyDescent="0.3">
      <c r="A486" s="8" t="s">
        <v>720</v>
      </c>
      <c r="C486" s="8" t="s">
        <v>720</v>
      </c>
      <c r="D486" t="s">
        <v>1207</v>
      </c>
    </row>
    <row r="487" spans="1:4" x14ac:dyDescent="0.3">
      <c r="A487" s="8" t="s">
        <v>358</v>
      </c>
      <c r="C487" s="8" t="s">
        <v>358</v>
      </c>
      <c r="D487" t="s">
        <v>1208</v>
      </c>
    </row>
    <row r="488" spans="1:4" x14ac:dyDescent="0.3">
      <c r="A488" s="8" t="s">
        <v>378</v>
      </c>
      <c r="C488" s="8" t="s">
        <v>378</v>
      </c>
      <c r="D488" t="s">
        <v>1209</v>
      </c>
    </row>
    <row r="489" spans="1:4" x14ac:dyDescent="0.3">
      <c r="A489" s="8" t="s">
        <v>273</v>
      </c>
      <c r="C489" s="8" t="s">
        <v>273</v>
      </c>
      <c r="D489" t="s">
        <v>1210</v>
      </c>
    </row>
    <row r="490" spans="1:4" x14ac:dyDescent="0.3">
      <c r="A490" s="8" t="s">
        <v>653</v>
      </c>
      <c r="C490" s="8" t="s">
        <v>653</v>
      </c>
      <c r="D490" t="s">
        <v>1211</v>
      </c>
    </row>
    <row r="491" spans="1:4" x14ac:dyDescent="0.3">
      <c r="A491" s="8" t="s">
        <v>473</v>
      </c>
      <c r="C491" s="8" t="s">
        <v>473</v>
      </c>
      <c r="D491" t="s">
        <v>1212</v>
      </c>
    </row>
    <row r="492" spans="1:4" x14ac:dyDescent="0.3">
      <c r="A492" s="8" t="s">
        <v>208</v>
      </c>
      <c r="C492" s="8" t="s">
        <v>208</v>
      </c>
      <c r="D492" t="s">
        <v>1213</v>
      </c>
    </row>
    <row r="493" spans="1:4" x14ac:dyDescent="0.3">
      <c r="A493" s="8" t="s">
        <v>451</v>
      </c>
      <c r="C493" s="8" t="s">
        <v>451</v>
      </c>
      <c r="D493" t="s">
        <v>1214</v>
      </c>
    </row>
    <row r="494" spans="1:4" x14ac:dyDescent="0.3">
      <c r="A494" s="8" t="s">
        <v>365</v>
      </c>
      <c r="C494" s="8" t="s">
        <v>365</v>
      </c>
      <c r="D494" t="s">
        <v>1215</v>
      </c>
    </row>
    <row r="495" spans="1:4" x14ac:dyDescent="0.3">
      <c r="A495" s="8" t="s">
        <v>131</v>
      </c>
      <c r="C495" s="8" t="s">
        <v>131</v>
      </c>
      <c r="D495" t="s">
        <v>1216</v>
      </c>
    </row>
    <row r="496" spans="1:4" x14ac:dyDescent="0.3">
      <c r="A496" s="8" t="s">
        <v>43</v>
      </c>
      <c r="C496" s="8" t="s">
        <v>43</v>
      </c>
      <c r="D496" t="s">
        <v>1217</v>
      </c>
    </row>
    <row r="497" spans="1:4" x14ac:dyDescent="0.3">
      <c r="A497" s="8" t="s">
        <v>336</v>
      </c>
      <c r="C497" s="8" t="s">
        <v>336</v>
      </c>
      <c r="D497" t="s">
        <v>1218</v>
      </c>
    </row>
    <row r="498" spans="1:4" x14ac:dyDescent="0.3">
      <c r="A498" s="8" t="s">
        <v>152</v>
      </c>
      <c r="C498" s="8" t="s">
        <v>152</v>
      </c>
      <c r="D498" t="s">
        <v>1219</v>
      </c>
    </row>
    <row r="499" spans="1:4" x14ac:dyDescent="0.3">
      <c r="A499" s="8" t="s">
        <v>683</v>
      </c>
      <c r="C499" s="8" t="s">
        <v>683</v>
      </c>
      <c r="D499" t="s">
        <v>1220</v>
      </c>
    </row>
    <row r="500" spans="1:4" x14ac:dyDescent="0.3">
      <c r="A500" s="8" t="s">
        <v>210</v>
      </c>
      <c r="C500" s="8" t="s">
        <v>210</v>
      </c>
      <c r="D500" t="s">
        <v>1221</v>
      </c>
    </row>
    <row r="501" spans="1:4" x14ac:dyDescent="0.3">
      <c r="A501" s="8" t="s">
        <v>637</v>
      </c>
      <c r="C501" s="8" t="s">
        <v>637</v>
      </c>
      <c r="D501" t="s">
        <v>1222</v>
      </c>
    </row>
    <row r="502" spans="1:4" x14ac:dyDescent="0.3">
      <c r="A502" s="8" t="s">
        <v>534</v>
      </c>
      <c r="C502" s="8" t="s">
        <v>534</v>
      </c>
      <c r="D502" t="s">
        <v>1223</v>
      </c>
    </row>
    <row r="503" spans="1:4" x14ac:dyDescent="0.3">
      <c r="A503" s="8" t="s">
        <v>76</v>
      </c>
      <c r="C503" s="8" t="s">
        <v>76</v>
      </c>
      <c r="D503" t="s">
        <v>1224</v>
      </c>
    </row>
    <row r="504" spans="1:4" x14ac:dyDescent="0.3">
      <c r="A504" s="8" t="s">
        <v>419</v>
      </c>
      <c r="C504" s="8" t="s">
        <v>419</v>
      </c>
      <c r="D504" t="s">
        <v>1225</v>
      </c>
    </row>
    <row r="505" spans="1:4" x14ac:dyDescent="0.3">
      <c r="A505" s="8" t="s">
        <v>628</v>
      </c>
      <c r="C505" s="8" t="s">
        <v>628</v>
      </c>
      <c r="D505" t="s">
        <v>1226</v>
      </c>
    </row>
    <row r="506" spans="1:4" x14ac:dyDescent="0.3">
      <c r="A506" s="8" t="s">
        <v>641</v>
      </c>
      <c r="C506" s="8" t="s">
        <v>641</v>
      </c>
      <c r="D506" t="s">
        <v>1227</v>
      </c>
    </row>
    <row r="507" spans="1:4" x14ac:dyDescent="0.3">
      <c r="A507" s="8" t="s">
        <v>377</v>
      </c>
      <c r="C507" s="8" t="s">
        <v>377</v>
      </c>
      <c r="D507" t="s">
        <v>1228</v>
      </c>
    </row>
    <row r="508" spans="1:4" x14ac:dyDescent="0.3">
      <c r="A508" s="8" t="s">
        <v>399</v>
      </c>
      <c r="C508" s="8" t="s">
        <v>399</v>
      </c>
      <c r="D508" t="s">
        <v>1229</v>
      </c>
    </row>
    <row r="509" spans="1:4" x14ac:dyDescent="0.3">
      <c r="A509" s="8" t="s">
        <v>146</v>
      </c>
      <c r="C509" s="8" t="s">
        <v>146</v>
      </c>
      <c r="D509" t="s">
        <v>1230</v>
      </c>
    </row>
    <row r="510" spans="1:4" x14ac:dyDescent="0.3">
      <c r="A510" s="8" t="s">
        <v>353</v>
      </c>
      <c r="C510" s="8" t="s">
        <v>353</v>
      </c>
      <c r="D510" t="s">
        <v>1231</v>
      </c>
    </row>
    <row r="511" spans="1:4" x14ac:dyDescent="0.3">
      <c r="A511" s="8" t="s">
        <v>630</v>
      </c>
      <c r="C511" s="8" t="s">
        <v>630</v>
      </c>
      <c r="D511" t="s">
        <v>1232</v>
      </c>
    </row>
    <row r="512" spans="1:4" x14ac:dyDescent="0.3">
      <c r="A512" s="8" t="s">
        <v>78</v>
      </c>
      <c r="C512" s="8" t="s">
        <v>78</v>
      </c>
      <c r="D512" t="s">
        <v>1233</v>
      </c>
    </row>
    <row r="513" spans="1:4" x14ac:dyDescent="0.3">
      <c r="A513" s="8" t="s">
        <v>389</v>
      </c>
      <c r="C513" s="8" t="s">
        <v>389</v>
      </c>
      <c r="D513" t="s">
        <v>1234</v>
      </c>
    </row>
    <row r="514" spans="1:4" x14ac:dyDescent="0.3">
      <c r="A514" s="8" t="s">
        <v>537</v>
      </c>
      <c r="C514" s="8" t="s">
        <v>537</v>
      </c>
      <c r="D514" t="s">
        <v>1235</v>
      </c>
    </row>
    <row r="515" spans="1:4" x14ac:dyDescent="0.3">
      <c r="A515" s="8" t="s">
        <v>38</v>
      </c>
      <c r="C515" s="8" t="s">
        <v>38</v>
      </c>
      <c r="D515" t="s">
        <v>1236</v>
      </c>
    </row>
    <row r="516" spans="1:4" x14ac:dyDescent="0.3">
      <c r="A516" s="8" t="s">
        <v>309</v>
      </c>
      <c r="C516" s="8" t="s">
        <v>309</v>
      </c>
      <c r="D516" t="s">
        <v>1237</v>
      </c>
    </row>
    <row r="517" spans="1:4" x14ac:dyDescent="0.3">
      <c r="A517" s="8" t="s">
        <v>246</v>
      </c>
      <c r="C517" s="8" t="s">
        <v>246</v>
      </c>
      <c r="D517" t="s">
        <v>1238</v>
      </c>
    </row>
    <row r="518" spans="1:4" x14ac:dyDescent="0.3">
      <c r="A518" s="8" t="s">
        <v>713</v>
      </c>
      <c r="C518" s="8" t="s">
        <v>713</v>
      </c>
      <c r="D518" t="s">
        <v>1239</v>
      </c>
    </row>
    <row r="519" spans="1:4" x14ac:dyDescent="0.3">
      <c r="A519" s="8" t="s">
        <v>318</v>
      </c>
      <c r="C519" s="8" t="s">
        <v>318</v>
      </c>
      <c r="D519" t="s">
        <v>1240</v>
      </c>
    </row>
    <row r="520" spans="1:4" x14ac:dyDescent="0.3">
      <c r="A520" s="8" t="s">
        <v>670</v>
      </c>
      <c r="C520" s="8" t="s">
        <v>670</v>
      </c>
      <c r="D520" t="s">
        <v>1241</v>
      </c>
    </row>
    <row r="521" spans="1:4" x14ac:dyDescent="0.3">
      <c r="A521" s="8" t="s">
        <v>697</v>
      </c>
      <c r="C521" s="8" t="s">
        <v>697</v>
      </c>
      <c r="D521" t="s">
        <v>1242</v>
      </c>
    </row>
    <row r="522" spans="1:4" x14ac:dyDescent="0.3">
      <c r="A522" s="8" t="s">
        <v>303</v>
      </c>
      <c r="C522" s="8" t="s">
        <v>303</v>
      </c>
      <c r="D522" t="s">
        <v>1243</v>
      </c>
    </row>
    <row r="523" spans="1:4" x14ac:dyDescent="0.3">
      <c r="A523" s="8" t="s">
        <v>658</v>
      </c>
      <c r="C523" s="8" t="s">
        <v>658</v>
      </c>
      <c r="D523" t="s">
        <v>1244</v>
      </c>
    </row>
    <row r="524" spans="1:4" x14ac:dyDescent="0.3">
      <c r="A524" s="8" t="s">
        <v>486</v>
      </c>
      <c r="C524" s="8" t="s">
        <v>486</v>
      </c>
      <c r="D524" t="s">
        <v>1245</v>
      </c>
    </row>
    <row r="525" spans="1:4" x14ac:dyDescent="0.3">
      <c r="A525" s="8" t="s">
        <v>593</v>
      </c>
      <c r="C525" s="8" t="s">
        <v>593</v>
      </c>
      <c r="D525" t="s">
        <v>1246</v>
      </c>
    </row>
    <row r="526" spans="1:4" x14ac:dyDescent="0.3">
      <c r="A526" s="8" t="s">
        <v>260</v>
      </c>
      <c r="C526" s="8" t="s">
        <v>260</v>
      </c>
      <c r="D526" t="s">
        <v>1247</v>
      </c>
    </row>
    <row r="527" spans="1:4" x14ac:dyDescent="0.3">
      <c r="A527" s="8" t="s">
        <v>356</v>
      </c>
      <c r="C527" s="8" t="s">
        <v>356</v>
      </c>
      <c r="D527" t="s">
        <v>1248</v>
      </c>
    </row>
    <row r="528" spans="1:4" x14ac:dyDescent="0.3">
      <c r="A528" s="8" t="s">
        <v>243</v>
      </c>
      <c r="C528" s="8" t="s">
        <v>243</v>
      </c>
      <c r="D528" t="s">
        <v>1249</v>
      </c>
    </row>
    <row r="529" spans="1:4" x14ac:dyDescent="0.3">
      <c r="A529" s="8" t="s">
        <v>709</v>
      </c>
      <c r="C529" s="8" t="s">
        <v>709</v>
      </c>
      <c r="D529" t="s">
        <v>1250</v>
      </c>
    </row>
    <row r="530" spans="1:4" x14ac:dyDescent="0.3">
      <c r="A530" s="8" t="s">
        <v>413</v>
      </c>
      <c r="C530" s="8" t="s">
        <v>413</v>
      </c>
      <c r="D530" t="s">
        <v>1251</v>
      </c>
    </row>
    <row r="531" spans="1:4" x14ac:dyDescent="0.3">
      <c r="A531" s="8" t="s">
        <v>337</v>
      </c>
      <c r="C531" s="8" t="s">
        <v>337</v>
      </c>
      <c r="D531" t="s">
        <v>1252</v>
      </c>
    </row>
    <row r="532" spans="1:4" x14ac:dyDescent="0.3">
      <c r="A532" s="8" t="s">
        <v>330</v>
      </c>
      <c r="C532" s="8" t="s">
        <v>330</v>
      </c>
      <c r="D532" t="s">
        <v>1253</v>
      </c>
    </row>
    <row r="533" spans="1:4" x14ac:dyDescent="0.3">
      <c r="A533" s="8" t="s">
        <v>505</v>
      </c>
      <c r="C533" s="8" t="s">
        <v>505</v>
      </c>
      <c r="D533" t="s">
        <v>1254</v>
      </c>
    </row>
    <row r="534" spans="1:4" x14ac:dyDescent="0.3">
      <c r="A534" s="8" t="s">
        <v>550</v>
      </c>
      <c r="C534" s="8" t="s">
        <v>550</v>
      </c>
      <c r="D534" t="s">
        <v>1255</v>
      </c>
    </row>
    <row r="535" spans="1:4" x14ac:dyDescent="0.3">
      <c r="A535" s="8" t="s">
        <v>601</v>
      </c>
      <c r="C535" s="8" t="s">
        <v>601</v>
      </c>
      <c r="D535" t="s">
        <v>1256</v>
      </c>
    </row>
    <row r="536" spans="1:4" x14ac:dyDescent="0.3">
      <c r="A536" s="8" t="s">
        <v>239</v>
      </c>
      <c r="C536" s="8" t="s">
        <v>239</v>
      </c>
      <c r="D536" t="s">
        <v>1257</v>
      </c>
    </row>
    <row r="537" spans="1:4" x14ac:dyDescent="0.3">
      <c r="A537" s="8" t="s">
        <v>516</v>
      </c>
      <c r="C537" s="8" t="s">
        <v>516</v>
      </c>
      <c r="D537" t="s">
        <v>1258</v>
      </c>
    </row>
    <row r="538" spans="1:4" x14ac:dyDescent="0.3">
      <c r="A538" s="8" t="s">
        <v>415</v>
      </c>
      <c r="C538" s="8" t="s">
        <v>415</v>
      </c>
      <c r="D538" t="s">
        <v>1259</v>
      </c>
    </row>
    <row r="539" spans="1:4" x14ac:dyDescent="0.3">
      <c r="A539" s="8" t="s">
        <v>25</v>
      </c>
      <c r="C539" s="8" t="s">
        <v>25</v>
      </c>
      <c r="D539" t="s">
        <v>1260</v>
      </c>
    </row>
    <row r="540" spans="1:4" x14ac:dyDescent="0.3">
      <c r="A540" s="8" t="s">
        <v>137</v>
      </c>
      <c r="C540" s="8" t="s">
        <v>137</v>
      </c>
      <c r="D540" t="s">
        <v>1261</v>
      </c>
    </row>
    <row r="541" spans="1:4" x14ac:dyDescent="0.3">
      <c r="A541" s="8" t="s">
        <v>98</v>
      </c>
      <c r="C541" s="8" t="s">
        <v>98</v>
      </c>
      <c r="D541" t="s">
        <v>1262</v>
      </c>
    </row>
    <row r="542" spans="1:4" x14ac:dyDescent="0.3">
      <c r="A542" s="8" t="s">
        <v>716</v>
      </c>
      <c r="C542" s="8" t="s">
        <v>716</v>
      </c>
      <c r="D542" t="s">
        <v>1263</v>
      </c>
    </row>
    <row r="543" spans="1:4" x14ac:dyDescent="0.3">
      <c r="A543" s="8" t="s">
        <v>173</v>
      </c>
      <c r="C543" s="8" t="s">
        <v>173</v>
      </c>
      <c r="D543" t="s">
        <v>1264</v>
      </c>
    </row>
    <row r="544" spans="1:4" x14ac:dyDescent="0.3">
      <c r="A544" s="8" t="s">
        <v>520</v>
      </c>
      <c r="C544" s="8" t="s">
        <v>520</v>
      </c>
      <c r="D544" t="s">
        <v>1265</v>
      </c>
    </row>
    <row r="545" spans="1:4" x14ac:dyDescent="0.3">
      <c r="A545" s="8" t="s">
        <v>343</v>
      </c>
      <c r="C545" s="8" t="s">
        <v>343</v>
      </c>
      <c r="D545" t="s">
        <v>1266</v>
      </c>
    </row>
    <row r="546" spans="1:4" x14ac:dyDescent="0.3">
      <c r="A546" s="8" t="s">
        <v>331</v>
      </c>
      <c r="C546" s="8" t="s">
        <v>331</v>
      </c>
      <c r="D546" t="s">
        <v>1267</v>
      </c>
    </row>
    <row r="547" spans="1:4" x14ac:dyDescent="0.3">
      <c r="A547" s="8" t="s">
        <v>657</v>
      </c>
      <c r="C547" s="8" t="s">
        <v>657</v>
      </c>
      <c r="D547" t="s">
        <v>1268</v>
      </c>
    </row>
    <row r="548" spans="1:4" x14ac:dyDescent="0.3">
      <c r="A548" s="8" t="s">
        <v>232</v>
      </c>
      <c r="C548" s="8" t="s">
        <v>232</v>
      </c>
      <c r="D548" t="s">
        <v>1269</v>
      </c>
    </row>
    <row r="549" spans="1:4" x14ac:dyDescent="0.3">
      <c r="A549" s="8" t="s">
        <v>700</v>
      </c>
      <c r="C549" s="8" t="s">
        <v>700</v>
      </c>
      <c r="D549" t="s">
        <v>1270</v>
      </c>
    </row>
    <row r="550" spans="1:4" x14ac:dyDescent="0.3">
      <c r="A550" s="8" t="s">
        <v>444</v>
      </c>
      <c r="C550" s="8" t="s">
        <v>444</v>
      </c>
      <c r="D550" t="s">
        <v>1271</v>
      </c>
    </row>
    <row r="551" spans="1:4" x14ac:dyDescent="0.3">
      <c r="A551" s="8" t="s">
        <v>69</v>
      </c>
      <c r="C551" s="8" t="s">
        <v>69</v>
      </c>
      <c r="D551" t="s">
        <v>1272</v>
      </c>
    </row>
    <row r="552" spans="1:4" x14ac:dyDescent="0.3">
      <c r="A552" s="8" t="s">
        <v>597</v>
      </c>
      <c r="C552" s="8" t="s">
        <v>597</v>
      </c>
      <c r="D552" t="s">
        <v>1273</v>
      </c>
    </row>
    <row r="553" spans="1:4" x14ac:dyDescent="0.3">
      <c r="A553" s="8" t="s">
        <v>72</v>
      </c>
      <c r="C553" s="8" t="s">
        <v>72</v>
      </c>
      <c r="D553" t="s">
        <v>1274</v>
      </c>
    </row>
    <row r="554" spans="1:4" x14ac:dyDescent="0.3">
      <c r="A554" s="8" t="s">
        <v>634</v>
      </c>
      <c r="C554" s="8" t="s">
        <v>634</v>
      </c>
      <c r="D554" t="s">
        <v>1275</v>
      </c>
    </row>
    <row r="555" spans="1:4" x14ac:dyDescent="0.3">
      <c r="A555" s="8" t="s">
        <v>467</v>
      </c>
      <c r="C555" s="8" t="s">
        <v>467</v>
      </c>
      <c r="D555" t="s">
        <v>1276</v>
      </c>
    </row>
    <row r="556" spans="1:4" x14ac:dyDescent="0.3">
      <c r="A556" s="8" t="s">
        <v>199</v>
      </c>
      <c r="C556" s="8" t="s">
        <v>199</v>
      </c>
      <c r="D556" t="s">
        <v>1277</v>
      </c>
    </row>
    <row r="557" spans="1:4" x14ac:dyDescent="0.3">
      <c r="A557" s="8" t="s">
        <v>605</v>
      </c>
      <c r="C557" s="8" t="s">
        <v>605</v>
      </c>
      <c r="D557" t="s">
        <v>1278</v>
      </c>
    </row>
    <row r="558" spans="1:4" x14ac:dyDescent="0.3">
      <c r="A558" s="8" t="s">
        <v>75</v>
      </c>
      <c r="C558" s="8" t="s">
        <v>75</v>
      </c>
      <c r="D558" t="s">
        <v>1279</v>
      </c>
    </row>
    <row r="559" spans="1:4" x14ac:dyDescent="0.3">
      <c r="A559" s="8" t="s">
        <v>722</v>
      </c>
      <c r="C559" s="8" t="s">
        <v>722</v>
      </c>
      <c r="D559" t="s">
        <v>1280</v>
      </c>
    </row>
    <row r="560" spans="1:4" x14ac:dyDescent="0.3">
      <c r="A560" s="8" t="s">
        <v>348</v>
      </c>
      <c r="C560" s="8" t="s">
        <v>348</v>
      </c>
      <c r="D560" t="s">
        <v>1281</v>
      </c>
    </row>
    <row r="561" spans="1:4" x14ac:dyDescent="0.3">
      <c r="A561" s="8" t="s">
        <v>180</v>
      </c>
      <c r="C561" s="8" t="s">
        <v>180</v>
      </c>
      <c r="D561" t="s">
        <v>1282</v>
      </c>
    </row>
    <row r="562" spans="1:4" x14ac:dyDescent="0.3">
      <c r="A562" s="8" t="s">
        <v>165</v>
      </c>
      <c r="C562" s="8" t="s">
        <v>165</v>
      </c>
      <c r="D562" t="s">
        <v>1283</v>
      </c>
    </row>
    <row r="563" spans="1:4" x14ac:dyDescent="0.3">
      <c r="A563" s="8" t="s">
        <v>216</v>
      </c>
      <c r="C563" s="8" t="s">
        <v>216</v>
      </c>
      <c r="D563" t="s">
        <v>1284</v>
      </c>
    </row>
    <row r="564" spans="1:4" x14ac:dyDescent="0.3">
      <c r="A564" s="8" t="s">
        <v>214</v>
      </c>
      <c r="C564" s="8" t="s">
        <v>214</v>
      </c>
      <c r="D564" t="s">
        <v>1285</v>
      </c>
    </row>
    <row r="565" spans="1:4" x14ac:dyDescent="0.3">
      <c r="A565" s="8" t="s">
        <v>300</v>
      </c>
      <c r="C565" s="8" t="s">
        <v>300</v>
      </c>
      <c r="D565" t="s">
        <v>1286</v>
      </c>
    </row>
    <row r="566" spans="1:4" x14ac:dyDescent="0.3">
      <c r="A566" s="8" t="s">
        <v>352</v>
      </c>
      <c r="C566" s="8" t="s">
        <v>352</v>
      </c>
      <c r="D566" t="s">
        <v>1287</v>
      </c>
    </row>
    <row r="567" spans="1:4" x14ac:dyDescent="0.3">
      <c r="A567" s="8" t="s">
        <v>33</v>
      </c>
      <c r="C567" s="8" t="s">
        <v>33</v>
      </c>
      <c r="D567" t="s">
        <v>1288</v>
      </c>
    </row>
    <row r="568" spans="1:4" x14ac:dyDescent="0.3">
      <c r="A568" s="8" t="s">
        <v>341</v>
      </c>
      <c r="C568" s="8" t="s">
        <v>341</v>
      </c>
      <c r="D568" t="s">
        <v>1289</v>
      </c>
    </row>
    <row r="569" spans="1:4" x14ac:dyDescent="0.3">
      <c r="A569" s="8" t="s">
        <v>381</v>
      </c>
      <c r="C569" s="8" t="s">
        <v>381</v>
      </c>
      <c r="D569" t="s">
        <v>1290</v>
      </c>
    </row>
    <row r="570" spans="1:4" x14ac:dyDescent="0.3">
      <c r="A570" s="8" t="s">
        <v>254</v>
      </c>
      <c r="C570" s="8" t="s">
        <v>254</v>
      </c>
      <c r="D570" t="s">
        <v>1291</v>
      </c>
    </row>
    <row r="571" spans="1:4" x14ac:dyDescent="0.3">
      <c r="A571" s="8" t="s">
        <v>445</v>
      </c>
      <c r="C571" s="8" t="s">
        <v>445</v>
      </c>
      <c r="D571" t="s">
        <v>1292</v>
      </c>
    </row>
    <row r="572" spans="1:4" x14ac:dyDescent="0.3">
      <c r="A572" s="8" t="s">
        <v>572</v>
      </c>
      <c r="C572" s="8" t="s">
        <v>572</v>
      </c>
      <c r="D572" t="s">
        <v>1293</v>
      </c>
    </row>
    <row r="573" spans="1:4" x14ac:dyDescent="0.3">
      <c r="A573" s="8" t="s">
        <v>608</v>
      </c>
      <c r="C573" s="8" t="s">
        <v>608</v>
      </c>
      <c r="D573" t="s">
        <v>1294</v>
      </c>
    </row>
    <row r="574" spans="1:4" x14ac:dyDescent="0.3">
      <c r="A574" s="8" t="s">
        <v>262</v>
      </c>
      <c r="C574" s="8" t="s">
        <v>262</v>
      </c>
      <c r="D574" t="s">
        <v>1295</v>
      </c>
    </row>
    <row r="575" spans="1:4" x14ac:dyDescent="0.3">
      <c r="A575" s="8" t="s">
        <v>535</v>
      </c>
      <c r="C575" s="8" t="s">
        <v>535</v>
      </c>
      <c r="D575" t="s">
        <v>1296</v>
      </c>
    </row>
    <row r="576" spans="1:4" x14ac:dyDescent="0.3">
      <c r="A576" s="8" t="s">
        <v>155</v>
      </c>
      <c r="C576" s="8" t="s">
        <v>155</v>
      </c>
      <c r="D576" t="s">
        <v>1297</v>
      </c>
    </row>
    <row r="577" spans="1:4" x14ac:dyDescent="0.3">
      <c r="A577" s="8" t="s">
        <v>58</v>
      </c>
      <c r="C577" s="8" t="s">
        <v>58</v>
      </c>
      <c r="D577" t="s">
        <v>1298</v>
      </c>
    </row>
    <row r="578" spans="1:4" x14ac:dyDescent="0.3">
      <c r="A578" s="8" t="s">
        <v>523</v>
      </c>
      <c r="C578" s="8" t="s">
        <v>523</v>
      </c>
      <c r="D578" t="s">
        <v>1299</v>
      </c>
    </row>
    <row r="579" spans="1:4" x14ac:dyDescent="0.3">
      <c r="A579" s="8" t="s">
        <v>284</v>
      </c>
      <c r="C579" s="8" t="s">
        <v>284</v>
      </c>
      <c r="D579" t="s">
        <v>1300</v>
      </c>
    </row>
    <row r="580" spans="1:4" x14ac:dyDescent="0.3">
      <c r="A580" s="8" t="s">
        <v>402</v>
      </c>
      <c r="C580" s="8" t="s">
        <v>402</v>
      </c>
      <c r="D580" t="s">
        <v>1301</v>
      </c>
    </row>
    <row r="581" spans="1:4" x14ac:dyDescent="0.3">
      <c r="A581" s="8" t="s">
        <v>560</v>
      </c>
      <c r="C581" s="8" t="s">
        <v>560</v>
      </c>
      <c r="D581" t="s">
        <v>1302</v>
      </c>
    </row>
    <row r="582" spans="1:4" x14ac:dyDescent="0.3">
      <c r="A582" s="8" t="s">
        <v>422</v>
      </c>
      <c r="C582" s="8" t="s">
        <v>422</v>
      </c>
      <c r="D582" t="s">
        <v>1303</v>
      </c>
    </row>
    <row r="583" spans="1:4" x14ac:dyDescent="0.3">
      <c r="A583" s="8" t="s">
        <v>64</v>
      </c>
      <c r="C583" s="8" t="s">
        <v>64</v>
      </c>
      <c r="D583" t="s">
        <v>1304</v>
      </c>
    </row>
    <row r="584" spans="1:4" x14ac:dyDescent="0.3">
      <c r="A584" s="8" t="s">
        <v>313</v>
      </c>
      <c r="C584" s="8" t="s">
        <v>313</v>
      </c>
      <c r="D584" t="s">
        <v>1305</v>
      </c>
    </row>
    <row r="585" spans="1:4" x14ac:dyDescent="0.3">
      <c r="A585" s="8" t="s">
        <v>329</v>
      </c>
      <c r="C585" s="8" t="s">
        <v>329</v>
      </c>
      <c r="D585" t="s">
        <v>1306</v>
      </c>
    </row>
    <row r="586" spans="1:4" x14ac:dyDescent="0.3">
      <c r="A586" s="8" t="s">
        <v>79</v>
      </c>
      <c r="C586" s="8" t="s">
        <v>79</v>
      </c>
      <c r="D586" t="s">
        <v>1307</v>
      </c>
    </row>
    <row r="587" spans="1:4" x14ac:dyDescent="0.3">
      <c r="A587" s="8" t="s">
        <v>316</v>
      </c>
      <c r="C587" s="8" t="s">
        <v>316</v>
      </c>
      <c r="D587" t="s">
        <v>1308</v>
      </c>
    </row>
    <row r="588" spans="1:4" x14ac:dyDescent="0.3">
      <c r="A588" s="8" t="s">
        <v>459</v>
      </c>
      <c r="C588" s="8" t="s">
        <v>459</v>
      </c>
      <c r="D588" t="s">
        <v>1309</v>
      </c>
    </row>
    <row r="589" spans="1:4" x14ac:dyDescent="0.3">
      <c r="A589" s="8" t="s">
        <v>512</v>
      </c>
      <c r="C589" s="8" t="s">
        <v>512</v>
      </c>
      <c r="D589" t="s">
        <v>1310</v>
      </c>
    </row>
    <row r="590" spans="1:4" x14ac:dyDescent="0.3">
      <c r="A590" s="8" t="s">
        <v>645</v>
      </c>
      <c r="C590" s="8" t="s">
        <v>645</v>
      </c>
      <c r="D590" t="s">
        <v>1311</v>
      </c>
    </row>
    <row r="591" spans="1:4" x14ac:dyDescent="0.3">
      <c r="A591" s="8" t="s">
        <v>287</v>
      </c>
      <c r="C591" s="8" t="s">
        <v>287</v>
      </c>
      <c r="D591" t="s">
        <v>1312</v>
      </c>
    </row>
    <row r="592" spans="1:4" x14ac:dyDescent="0.3">
      <c r="A592" s="8" t="s">
        <v>62</v>
      </c>
      <c r="C592" s="8" t="s">
        <v>62</v>
      </c>
      <c r="D592" t="s">
        <v>1313</v>
      </c>
    </row>
    <row r="593" spans="1:4" x14ac:dyDescent="0.3">
      <c r="A593" s="8" t="s">
        <v>460</v>
      </c>
      <c r="C593" s="8" t="s">
        <v>460</v>
      </c>
      <c r="D593" t="s">
        <v>1314</v>
      </c>
    </row>
    <row r="594" spans="1:4" x14ac:dyDescent="0.3">
      <c r="A594" s="8" t="s">
        <v>449</v>
      </c>
      <c r="C594" s="8" t="s">
        <v>449</v>
      </c>
      <c r="D594" t="s">
        <v>1315</v>
      </c>
    </row>
    <row r="595" spans="1:4" x14ac:dyDescent="0.3">
      <c r="A595" s="8" t="s">
        <v>371</v>
      </c>
      <c r="C595" s="8" t="s">
        <v>371</v>
      </c>
      <c r="D595" t="s">
        <v>1316</v>
      </c>
    </row>
    <row r="596" spans="1:4" x14ac:dyDescent="0.3">
      <c r="A596" s="8" t="s">
        <v>215</v>
      </c>
      <c r="C596" s="8" t="s">
        <v>215</v>
      </c>
      <c r="D596" t="s">
        <v>1317</v>
      </c>
    </row>
    <row r="597" spans="1:4" x14ac:dyDescent="0.3">
      <c r="A597" s="8" t="s">
        <v>376</v>
      </c>
      <c r="C597" s="8" t="s">
        <v>376</v>
      </c>
      <c r="D597" t="s">
        <v>1318</v>
      </c>
    </row>
    <row r="598" spans="1:4" x14ac:dyDescent="0.3">
      <c r="A598" s="8" t="s">
        <v>218</v>
      </c>
      <c r="C598" s="8" t="s">
        <v>218</v>
      </c>
      <c r="D598" t="s">
        <v>1319</v>
      </c>
    </row>
    <row r="599" spans="1:4" x14ac:dyDescent="0.3">
      <c r="A599" s="8" t="s">
        <v>257</v>
      </c>
      <c r="C599" s="8" t="s">
        <v>257</v>
      </c>
      <c r="D599" t="s">
        <v>1320</v>
      </c>
    </row>
    <row r="600" spans="1:4" x14ac:dyDescent="0.3">
      <c r="A600" s="8" t="s">
        <v>625</v>
      </c>
      <c r="C600" s="8" t="s">
        <v>625</v>
      </c>
      <c r="D600" t="s">
        <v>1321</v>
      </c>
    </row>
    <row r="601" spans="1:4" x14ac:dyDescent="0.3">
      <c r="A601" s="8" t="s">
        <v>703</v>
      </c>
      <c r="C601" s="8" t="s">
        <v>703</v>
      </c>
      <c r="D601" t="s">
        <v>1322</v>
      </c>
    </row>
    <row r="602" spans="1:4" x14ac:dyDescent="0.3">
      <c r="A602" s="8" t="s">
        <v>495</v>
      </c>
      <c r="C602" s="8" t="s">
        <v>495</v>
      </c>
      <c r="D602" t="s">
        <v>1323</v>
      </c>
    </row>
    <row r="603" spans="1:4" x14ac:dyDescent="0.3">
      <c r="A603" s="8" t="s">
        <v>406</v>
      </c>
      <c r="C603" s="8" t="s">
        <v>406</v>
      </c>
      <c r="D603" t="s">
        <v>1324</v>
      </c>
    </row>
    <row r="604" spans="1:4" x14ac:dyDescent="0.3">
      <c r="A604" s="8" t="s">
        <v>408</v>
      </c>
      <c r="C604" s="8" t="s">
        <v>408</v>
      </c>
      <c r="D604" t="s">
        <v>1325</v>
      </c>
    </row>
    <row r="605" spans="1:4" x14ac:dyDescent="0.3">
      <c r="A605" s="8" t="s">
        <v>507</v>
      </c>
      <c r="C605" s="8" t="s">
        <v>507</v>
      </c>
      <c r="D605" t="s">
        <v>1326</v>
      </c>
    </row>
    <row r="606" spans="1:4" x14ac:dyDescent="0.3">
      <c r="A606" s="8" t="s">
        <v>291</v>
      </c>
      <c r="C606" s="8" t="s">
        <v>291</v>
      </c>
      <c r="D606" t="s">
        <v>1327</v>
      </c>
    </row>
    <row r="607" spans="1:4" x14ac:dyDescent="0.3">
      <c r="A607" s="8" t="s">
        <v>125</v>
      </c>
      <c r="C607" s="8" t="s">
        <v>125</v>
      </c>
      <c r="D607" t="s">
        <v>1328</v>
      </c>
    </row>
    <row r="608" spans="1:4" x14ac:dyDescent="0.3">
      <c r="A608" s="8" t="s">
        <v>327</v>
      </c>
      <c r="C608" s="8" t="s">
        <v>327</v>
      </c>
      <c r="D608" t="s">
        <v>1329</v>
      </c>
    </row>
    <row r="609" spans="1:4" x14ac:dyDescent="0.3">
      <c r="A609" s="8" t="s">
        <v>417</v>
      </c>
      <c r="C609" s="8" t="s">
        <v>417</v>
      </c>
      <c r="D609" t="s">
        <v>1330</v>
      </c>
    </row>
    <row r="610" spans="1:4" x14ac:dyDescent="0.3">
      <c r="A610" s="8" t="s">
        <v>139</v>
      </c>
      <c r="C610" s="8" t="s">
        <v>139</v>
      </c>
      <c r="D610" t="s">
        <v>1331</v>
      </c>
    </row>
    <row r="611" spans="1:4" x14ac:dyDescent="0.3">
      <c r="A611" s="8" t="s">
        <v>414</v>
      </c>
      <c r="C611" s="8" t="s">
        <v>414</v>
      </c>
      <c r="D611" t="s">
        <v>1332</v>
      </c>
    </row>
    <row r="612" spans="1:4" x14ac:dyDescent="0.3">
      <c r="A612" s="8" t="s">
        <v>252</v>
      </c>
      <c r="C612" s="8" t="s">
        <v>252</v>
      </c>
      <c r="D612" t="s">
        <v>1333</v>
      </c>
    </row>
    <row r="613" spans="1:4" x14ac:dyDescent="0.3">
      <c r="A613" s="8" t="s">
        <v>393</v>
      </c>
      <c r="C613" s="8" t="s">
        <v>393</v>
      </c>
      <c r="D613" t="s">
        <v>1334</v>
      </c>
    </row>
    <row r="614" spans="1:4" x14ac:dyDescent="0.3">
      <c r="A614" s="8" t="s">
        <v>31</v>
      </c>
      <c r="C614" s="8" t="s">
        <v>31</v>
      </c>
      <c r="D614" t="s">
        <v>1335</v>
      </c>
    </row>
    <row r="615" spans="1:4" x14ac:dyDescent="0.3">
      <c r="A615" s="8" t="s">
        <v>582</v>
      </c>
      <c r="C615" s="8" t="s">
        <v>582</v>
      </c>
      <c r="D615" t="s">
        <v>1336</v>
      </c>
    </row>
    <row r="616" spans="1:4" x14ac:dyDescent="0.3">
      <c r="A616" s="8" t="s">
        <v>344</v>
      </c>
      <c r="C616" s="8" t="s">
        <v>344</v>
      </c>
      <c r="D616" t="s">
        <v>1337</v>
      </c>
    </row>
    <row r="617" spans="1:4" x14ac:dyDescent="0.3">
      <c r="A617" s="8" t="s">
        <v>65</v>
      </c>
      <c r="C617" s="8" t="s">
        <v>65</v>
      </c>
      <c r="D617" t="s">
        <v>1338</v>
      </c>
    </row>
    <row r="618" spans="1:4" x14ac:dyDescent="0.3">
      <c r="A618" s="8" t="s">
        <v>508</v>
      </c>
      <c r="C618" s="8" t="s">
        <v>508</v>
      </c>
      <c r="D618" t="s">
        <v>1339</v>
      </c>
    </row>
    <row r="619" spans="1:4" x14ac:dyDescent="0.3">
      <c r="A619" s="8" t="s">
        <v>671</v>
      </c>
      <c r="C619" s="8" t="s">
        <v>671</v>
      </c>
      <c r="D619" t="s">
        <v>1340</v>
      </c>
    </row>
    <row r="620" spans="1:4" x14ac:dyDescent="0.3">
      <c r="A620" s="8" t="s">
        <v>172</v>
      </c>
      <c r="C620" s="8" t="s">
        <v>172</v>
      </c>
      <c r="D620" t="s">
        <v>1341</v>
      </c>
    </row>
    <row r="621" spans="1:4" x14ac:dyDescent="0.3">
      <c r="A621" s="8" t="s">
        <v>308</v>
      </c>
      <c r="C621" s="8" t="s">
        <v>308</v>
      </c>
      <c r="D621" t="s">
        <v>1342</v>
      </c>
    </row>
    <row r="622" spans="1:4" x14ac:dyDescent="0.3">
      <c r="A622" s="8" t="s">
        <v>151</v>
      </c>
      <c r="C622" s="8" t="s">
        <v>151</v>
      </c>
      <c r="D622" t="s">
        <v>1343</v>
      </c>
    </row>
    <row r="623" spans="1:4" x14ac:dyDescent="0.3">
      <c r="A623" s="8" t="s">
        <v>492</v>
      </c>
      <c r="C623" s="8" t="s">
        <v>492</v>
      </c>
      <c r="D623" t="s">
        <v>1344</v>
      </c>
    </row>
    <row r="624" spans="1:4" x14ac:dyDescent="0.3">
      <c r="A624" s="8" t="s">
        <v>364</v>
      </c>
      <c r="C624" s="8" t="s">
        <v>364</v>
      </c>
      <c r="D624" t="s">
        <v>1345</v>
      </c>
    </row>
    <row r="625" spans="1:4" x14ac:dyDescent="0.3">
      <c r="A625" s="8" t="s">
        <v>163</v>
      </c>
      <c r="C625" s="8" t="s">
        <v>163</v>
      </c>
      <c r="D625" t="s">
        <v>1346</v>
      </c>
    </row>
    <row r="626" spans="1:4" x14ac:dyDescent="0.3">
      <c r="A626" s="8" t="s">
        <v>533</v>
      </c>
      <c r="C626" s="8" t="s">
        <v>533</v>
      </c>
      <c r="D626" t="s">
        <v>1347</v>
      </c>
    </row>
    <row r="627" spans="1:4" x14ac:dyDescent="0.3">
      <c r="A627" s="8" t="s">
        <v>666</v>
      </c>
      <c r="C627" s="8" t="s">
        <v>666</v>
      </c>
      <c r="D627" t="s">
        <v>1348</v>
      </c>
    </row>
    <row r="628" spans="1:4" x14ac:dyDescent="0.3">
      <c r="A628" s="8" t="s">
        <v>477</v>
      </c>
      <c r="C628" s="8" t="s">
        <v>477</v>
      </c>
      <c r="D628" t="s">
        <v>1349</v>
      </c>
    </row>
    <row r="629" spans="1:4" x14ac:dyDescent="0.3">
      <c r="A629" s="8" t="s">
        <v>556</v>
      </c>
      <c r="C629" s="8" t="s">
        <v>556</v>
      </c>
      <c r="D629" t="s">
        <v>1350</v>
      </c>
    </row>
    <row r="630" spans="1:4" x14ac:dyDescent="0.3">
      <c r="A630" s="8" t="s">
        <v>221</v>
      </c>
      <c r="C630" s="8" t="s">
        <v>221</v>
      </c>
      <c r="D630" t="s">
        <v>1351</v>
      </c>
    </row>
    <row r="631" spans="1:4" x14ac:dyDescent="0.3">
      <c r="A631" s="8" t="s">
        <v>175</v>
      </c>
      <c r="C631" s="8" t="s">
        <v>175</v>
      </c>
      <c r="D631" t="s">
        <v>1352</v>
      </c>
    </row>
    <row r="632" spans="1:4" x14ac:dyDescent="0.3">
      <c r="A632" s="8" t="s">
        <v>160</v>
      </c>
      <c r="C632" s="8" t="s">
        <v>160</v>
      </c>
      <c r="D632" t="s">
        <v>1353</v>
      </c>
    </row>
    <row r="633" spans="1:4" x14ac:dyDescent="0.3">
      <c r="A633" s="8" t="s">
        <v>274</v>
      </c>
      <c r="C633" s="8" t="s">
        <v>274</v>
      </c>
      <c r="D633" t="s">
        <v>1354</v>
      </c>
    </row>
    <row r="634" spans="1:4" x14ac:dyDescent="0.3">
      <c r="A634" s="8" t="s">
        <v>122</v>
      </c>
      <c r="C634" s="8" t="s">
        <v>122</v>
      </c>
      <c r="D634" t="s">
        <v>1355</v>
      </c>
    </row>
    <row r="635" spans="1:4" x14ac:dyDescent="0.3">
      <c r="A635" s="8" t="s">
        <v>332</v>
      </c>
      <c r="C635" s="8" t="s">
        <v>332</v>
      </c>
      <c r="D635" t="s">
        <v>1356</v>
      </c>
    </row>
    <row r="636" spans="1:4" x14ac:dyDescent="0.3">
      <c r="A636" s="8" t="s">
        <v>148</v>
      </c>
      <c r="C636" s="8" t="s">
        <v>148</v>
      </c>
      <c r="D636" t="s">
        <v>1357</v>
      </c>
    </row>
    <row r="637" spans="1:4" x14ac:dyDescent="0.3">
      <c r="A637" s="8" t="s">
        <v>586</v>
      </c>
      <c r="C637" s="8" t="s">
        <v>586</v>
      </c>
      <c r="D637" t="s">
        <v>1358</v>
      </c>
    </row>
    <row r="638" spans="1:4" x14ac:dyDescent="0.3">
      <c r="A638" s="8" t="s">
        <v>547</v>
      </c>
      <c r="C638" s="8" t="s">
        <v>547</v>
      </c>
      <c r="D638" t="s">
        <v>1359</v>
      </c>
    </row>
    <row r="639" spans="1:4" x14ac:dyDescent="0.3">
      <c r="A639" s="8" t="s">
        <v>672</v>
      </c>
      <c r="C639" s="8" t="s">
        <v>672</v>
      </c>
      <c r="D639" t="s">
        <v>1360</v>
      </c>
    </row>
    <row r="640" spans="1:4" x14ac:dyDescent="0.3">
      <c r="A640" s="8" t="s">
        <v>250</v>
      </c>
      <c r="C640" s="8" t="s">
        <v>250</v>
      </c>
      <c r="D640" t="s">
        <v>1361</v>
      </c>
    </row>
    <row r="641" spans="1:4" x14ac:dyDescent="0.3">
      <c r="A641" s="8" t="s">
        <v>622</v>
      </c>
      <c r="C641" s="8" t="s">
        <v>622</v>
      </c>
      <c r="D641" t="s">
        <v>1362</v>
      </c>
    </row>
    <row r="642" spans="1:4" x14ac:dyDescent="0.3">
      <c r="A642" s="8" t="s">
        <v>256</v>
      </c>
      <c r="C642" s="8" t="s">
        <v>256</v>
      </c>
      <c r="D642" t="s">
        <v>1363</v>
      </c>
    </row>
    <row r="643" spans="1:4" x14ac:dyDescent="0.3">
      <c r="A643" s="8" t="s">
        <v>702</v>
      </c>
      <c r="C643" s="8" t="s">
        <v>702</v>
      </c>
      <c r="D643" t="s">
        <v>1364</v>
      </c>
    </row>
    <row r="644" spans="1:4" x14ac:dyDescent="0.3">
      <c r="A644" s="8" t="s">
        <v>717</v>
      </c>
      <c r="C644" s="8" t="s">
        <v>717</v>
      </c>
      <c r="D644" t="s">
        <v>1365</v>
      </c>
    </row>
    <row r="645" spans="1:4" x14ac:dyDescent="0.3">
      <c r="A645" s="8" t="s">
        <v>699</v>
      </c>
      <c r="C645" s="8" t="s">
        <v>699</v>
      </c>
      <c r="D645" t="s">
        <v>1366</v>
      </c>
    </row>
    <row r="646" spans="1:4" x14ac:dyDescent="0.3">
      <c r="A646" s="8" t="s">
        <v>209</v>
      </c>
      <c r="C646" s="8" t="s">
        <v>209</v>
      </c>
      <c r="D646" t="s">
        <v>1367</v>
      </c>
    </row>
    <row r="647" spans="1:4" x14ac:dyDescent="0.3">
      <c r="A647" s="8" t="s">
        <v>690</v>
      </c>
      <c r="C647" s="8" t="s">
        <v>690</v>
      </c>
      <c r="D647" t="s">
        <v>1368</v>
      </c>
    </row>
    <row r="648" spans="1:4" x14ac:dyDescent="0.3">
      <c r="A648" s="8" t="s">
        <v>643</v>
      </c>
      <c r="C648" s="8" t="s">
        <v>643</v>
      </c>
      <c r="D648" t="s">
        <v>1369</v>
      </c>
    </row>
    <row r="649" spans="1:4" x14ac:dyDescent="0.3">
      <c r="A649" s="8" t="s">
        <v>665</v>
      </c>
      <c r="C649" s="8" t="s">
        <v>665</v>
      </c>
      <c r="D649" t="s">
        <v>1370</v>
      </c>
    </row>
    <row r="650" spans="1:4" x14ac:dyDescent="0.3">
      <c r="A650" s="8" t="s">
        <v>469</v>
      </c>
      <c r="C650" s="8" t="s">
        <v>469</v>
      </c>
      <c r="D650" t="s">
        <v>1371</v>
      </c>
    </row>
    <row r="651" spans="1:4" x14ac:dyDescent="0.3">
      <c r="A651" s="8" t="s">
        <v>394</v>
      </c>
      <c r="C651" s="8" t="s">
        <v>394</v>
      </c>
      <c r="D651" t="s">
        <v>1372</v>
      </c>
    </row>
    <row r="652" spans="1:4" x14ac:dyDescent="0.3">
      <c r="A652" s="8" t="s">
        <v>479</v>
      </c>
      <c r="C652" s="8" t="s">
        <v>479</v>
      </c>
      <c r="D652" t="s">
        <v>1373</v>
      </c>
    </row>
    <row r="653" spans="1:4" x14ac:dyDescent="0.3">
      <c r="A653" s="8" t="s">
        <v>485</v>
      </c>
      <c r="C653" s="8" t="s">
        <v>485</v>
      </c>
      <c r="D653" t="s">
        <v>1374</v>
      </c>
    </row>
    <row r="654" spans="1:4" x14ac:dyDescent="0.3">
      <c r="A654" s="8" t="s">
        <v>559</v>
      </c>
      <c r="C654" s="8" t="s">
        <v>559</v>
      </c>
      <c r="D654" t="s">
        <v>1375</v>
      </c>
    </row>
    <row r="655" spans="1:4" x14ac:dyDescent="0.3">
      <c r="A655" s="8" t="s">
        <v>688</v>
      </c>
      <c r="C655" s="8" t="s">
        <v>688</v>
      </c>
      <c r="D655" t="s">
        <v>1376</v>
      </c>
    </row>
    <row r="656" spans="1:4" x14ac:dyDescent="0.3">
      <c r="A656" s="8" t="s">
        <v>721</v>
      </c>
      <c r="C656" s="8" t="s">
        <v>721</v>
      </c>
      <c r="D656" t="s">
        <v>1377</v>
      </c>
    </row>
    <row r="657" spans="1:4" x14ac:dyDescent="0.3">
      <c r="A657" s="8" t="s">
        <v>144</v>
      </c>
      <c r="C657" s="8" t="s">
        <v>144</v>
      </c>
      <c r="D657" t="s">
        <v>1378</v>
      </c>
    </row>
    <row r="658" spans="1:4" x14ac:dyDescent="0.3">
      <c r="A658" s="8" t="s">
        <v>621</v>
      </c>
      <c r="C658" s="8" t="s">
        <v>621</v>
      </c>
      <c r="D658" t="s">
        <v>1379</v>
      </c>
    </row>
    <row r="659" spans="1:4" x14ac:dyDescent="0.3">
      <c r="A659" s="8" t="s">
        <v>319</v>
      </c>
      <c r="C659" s="8" t="s">
        <v>319</v>
      </c>
      <c r="D659" t="s">
        <v>1380</v>
      </c>
    </row>
    <row r="660" spans="1:4" x14ac:dyDescent="0.3">
      <c r="A660" s="8" t="s">
        <v>491</v>
      </c>
      <c r="C660" s="8" t="s">
        <v>491</v>
      </c>
      <c r="D660" t="s">
        <v>1381</v>
      </c>
    </row>
    <row r="661" spans="1:4" x14ac:dyDescent="0.3">
      <c r="A661" s="8" t="s">
        <v>684</v>
      </c>
      <c r="C661" s="8" t="s">
        <v>684</v>
      </c>
      <c r="D661" t="s">
        <v>1382</v>
      </c>
    </row>
    <row r="662" spans="1:4" x14ac:dyDescent="0.3">
      <c r="A662" s="8" t="s">
        <v>188</v>
      </c>
      <c r="C662" s="8" t="s">
        <v>188</v>
      </c>
      <c r="D662" t="s">
        <v>1383</v>
      </c>
    </row>
    <row r="663" spans="1:4" x14ac:dyDescent="0.3">
      <c r="A663" s="8" t="s">
        <v>290</v>
      </c>
      <c r="C663" s="8" t="s">
        <v>290</v>
      </c>
      <c r="D663" t="s">
        <v>1384</v>
      </c>
    </row>
    <row r="664" spans="1:4" x14ac:dyDescent="0.3">
      <c r="A664" s="8" t="s">
        <v>265</v>
      </c>
      <c r="C664" s="8" t="s">
        <v>265</v>
      </c>
      <c r="D664" t="s">
        <v>1385</v>
      </c>
    </row>
    <row r="665" spans="1:4" x14ac:dyDescent="0.3">
      <c r="A665" s="8" t="s">
        <v>526</v>
      </c>
      <c r="C665" s="8" t="s">
        <v>526</v>
      </c>
      <c r="D665" t="s">
        <v>1386</v>
      </c>
    </row>
    <row r="666" spans="1:4" x14ac:dyDescent="0.3">
      <c r="A666" s="8" t="s">
        <v>496</v>
      </c>
      <c r="C666" s="8" t="s">
        <v>496</v>
      </c>
      <c r="D666" t="s">
        <v>1387</v>
      </c>
    </row>
    <row r="667" spans="1:4" x14ac:dyDescent="0.3">
      <c r="A667" s="8" t="s">
        <v>289</v>
      </c>
      <c r="C667" s="8" t="s">
        <v>289</v>
      </c>
      <c r="D667" t="s">
        <v>1388</v>
      </c>
    </row>
    <row r="668" spans="1:4" x14ac:dyDescent="0.3">
      <c r="A668" s="8" t="s">
        <v>724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209"/>
  <sheetViews>
    <sheetView tabSelected="1" topLeftCell="C1" workbookViewId="0">
      <selection activeCell="G6" sqref="G6"/>
    </sheetView>
  </sheetViews>
  <sheetFormatPr defaultRowHeight="14.4" x14ac:dyDescent="0.3"/>
  <cols>
    <col min="1" max="1" width="19" customWidth="1"/>
    <col min="2" max="3" width="15" customWidth="1"/>
    <col min="4" max="4" width="13" customWidth="1"/>
    <col min="5" max="5" width="17" customWidth="1"/>
    <col min="6" max="6" width="13" customWidth="1"/>
    <col min="7" max="7" width="12" customWidth="1"/>
    <col min="8" max="8" width="25" customWidth="1"/>
    <col min="9" max="9" width="12" customWidth="1"/>
    <col min="10" max="10" width="25" customWidth="1"/>
    <col min="11" max="11" width="13" customWidth="1"/>
    <col min="12" max="13" width="12" customWidth="1"/>
    <col min="14" max="14" width="26.6640625" customWidth="1"/>
    <col min="15" max="15" width="26.77734375" customWidth="1"/>
    <col min="16" max="16" width="25" customWidth="1"/>
    <col min="17" max="17" width="35" customWidth="1"/>
  </cols>
  <sheetData>
    <row r="2" spans="1:17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</row>
    <row r="3" spans="1:17" x14ac:dyDescent="0.3">
      <c r="A3" s="2" t="s">
        <v>1389</v>
      </c>
      <c r="B3" s="3">
        <v>12664</v>
      </c>
      <c r="C3" s="3">
        <v>46197</v>
      </c>
      <c r="D3" s="4" t="s">
        <v>17</v>
      </c>
      <c r="E3" s="4" t="s">
        <v>1135</v>
      </c>
      <c r="F3" s="4" t="s">
        <v>19</v>
      </c>
      <c r="G3" s="4" t="s">
        <v>20</v>
      </c>
      <c r="H3" s="5">
        <v>200000</v>
      </c>
      <c r="I3" s="4" t="s">
        <v>21</v>
      </c>
      <c r="J3" s="5">
        <f>-H3*L3</f>
        <v>-874000</v>
      </c>
      <c r="K3" s="4" t="s">
        <v>22</v>
      </c>
      <c r="L3" s="6">
        <v>4.37</v>
      </c>
      <c r="M3" s="6">
        <v>0.2288</v>
      </c>
      <c r="N3" s="6">
        <v>4.2068000000000003</v>
      </c>
      <c r="O3" s="6">
        <v>1</v>
      </c>
      <c r="P3" s="5">
        <v>-32639.999999999884</v>
      </c>
      <c r="Q3" s="4" t="s">
        <v>1390</v>
      </c>
    </row>
    <row r="4" spans="1:17" x14ac:dyDescent="0.3">
      <c r="A4" s="2" t="s">
        <v>1389</v>
      </c>
      <c r="B4" s="3">
        <v>12667</v>
      </c>
      <c r="C4" s="3">
        <v>46200</v>
      </c>
      <c r="D4" s="4" t="s">
        <v>17</v>
      </c>
      <c r="E4" s="4" t="s">
        <v>1135</v>
      </c>
      <c r="F4" s="4" t="s">
        <v>19</v>
      </c>
      <c r="G4" s="4" t="s">
        <v>20</v>
      </c>
      <c r="H4" s="5">
        <v>200000</v>
      </c>
      <c r="I4" s="4" t="s">
        <v>21</v>
      </c>
      <c r="J4" s="5">
        <f t="shared" ref="J4:J67" si="0">-H4*L4</f>
        <v>-876000</v>
      </c>
      <c r="K4" s="4" t="s">
        <v>22</v>
      </c>
      <c r="L4" s="6">
        <v>4.38</v>
      </c>
      <c r="M4" s="6">
        <v>0.2283</v>
      </c>
      <c r="N4" s="6">
        <v>4.2068000000000003</v>
      </c>
      <c r="O4" s="6">
        <v>1</v>
      </c>
      <c r="P4" s="5">
        <v>-34639.999999999884</v>
      </c>
      <c r="Q4" s="4" t="s">
        <v>1390</v>
      </c>
    </row>
    <row r="5" spans="1:17" x14ac:dyDescent="0.3">
      <c r="A5" s="2" t="s">
        <v>1389</v>
      </c>
      <c r="B5" s="3">
        <v>12668</v>
      </c>
      <c r="C5" s="3">
        <v>46201</v>
      </c>
      <c r="D5" s="4" t="s">
        <v>17</v>
      </c>
      <c r="E5" s="4" t="s">
        <v>1135</v>
      </c>
      <c r="F5" s="4" t="s">
        <v>19</v>
      </c>
      <c r="G5" s="4" t="s">
        <v>20</v>
      </c>
      <c r="H5" s="5">
        <v>200000</v>
      </c>
      <c r="I5" s="4" t="s">
        <v>21</v>
      </c>
      <c r="J5" s="5">
        <f t="shared" si="0"/>
        <v>-877999.99999999988</v>
      </c>
      <c r="K5" s="4" t="s">
        <v>22</v>
      </c>
      <c r="L5" s="6">
        <v>4.3899999999999997</v>
      </c>
      <c r="M5" s="6">
        <v>0.2278</v>
      </c>
      <c r="N5" s="6">
        <v>4.2068000000000003</v>
      </c>
      <c r="O5" s="6">
        <v>1</v>
      </c>
      <c r="P5" s="5">
        <v>-36639.999999999767</v>
      </c>
      <c r="Q5" s="4" t="s">
        <v>1390</v>
      </c>
    </row>
    <row r="6" spans="1:17" x14ac:dyDescent="0.3">
      <c r="A6" s="2" t="s">
        <v>1389</v>
      </c>
      <c r="B6" s="3">
        <v>13347</v>
      </c>
      <c r="C6" s="3">
        <v>46884</v>
      </c>
      <c r="D6" s="4" t="s">
        <v>17</v>
      </c>
      <c r="E6" s="4" t="s">
        <v>835</v>
      </c>
      <c r="F6" s="4" t="s">
        <v>19</v>
      </c>
      <c r="G6" s="4" t="s">
        <v>20</v>
      </c>
      <c r="H6" s="5">
        <v>100000</v>
      </c>
      <c r="I6" s="4" t="s">
        <v>21</v>
      </c>
      <c r="J6" s="5">
        <f t="shared" si="0"/>
        <v>-432500</v>
      </c>
      <c r="K6" s="4" t="s">
        <v>24</v>
      </c>
      <c r="L6" s="6">
        <v>4.3250000000000002</v>
      </c>
      <c r="M6" s="6">
        <v>0.23119999999999999</v>
      </c>
      <c r="N6" s="6">
        <v>4.2156000000000002</v>
      </c>
      <c r="O6" s="6">
        <v>1</v>
      </c>
      <c r="P6" s="5">
        <v>-10940</v>
      </c>
      <c r="Q6" s="4" t="s">
        <v>1390</v>
      </c>
    </row>
    <row r="7" spans="1:17" x14ac:dyDescent="0.3">
      <c r="A7" s="2" t="s">
        <v>1389</v>
      </c>
      <c r="B7" s="3">
        <v>22143</v>
      </c>
      <c r="C7" s="3">
        <v>57951</v>
      </c>
      <c r="D7" s="4" t="s">
        <v>17</v>
      </c>
      <c r="E7" s="4" t="s">
        <v>1260</v>
      </c>
      <c r="F7" s="4" t="s">
        <v>19</v>
      </c>
      <c r="G7" s="4" t="s">
        <v>20</v>
      </c>
      <c r="H7" s="5">
        <v>560000</v>
      </c>
      <c r="I7" s="4" t="s">
        <v>21</v>
      </c>
      <c r="J7" s="5">
        <f t="shared" si="0"/>
        <v>-2428160</v>
      </c>
      <c r="K7" s="4" t="s">
        <v>22</v>
      </c>
      <c r="L7" s="6">
        <v>4.3360000000000003</v>
      </c>
      <c r="M7" s="6">
        <v>0.2306</v>
      </c>
      <c r="N7" s="6">
        <v>4.2068000000000003</v>
      </c>
      <c r="O7" s="6">
        <v>1</v>
      </c>
      <c r="P7" s="5">
        <v>-72352</v>
      </c>
      <c r="Q7" s="4" t="s">
        <v>1390</v>
      </c>
    </row>
    <row r="8" spans="1:17" x14ac:dyDescent="0.3">
      <c r="A8" s="2" t="s">
        <v>1389</v>
      </c>
      <c r="B8" s="3">
        <v>30447</v>
      </c>
      <c r="C8" s="3">
        <v>66274</v>
      </c>
      <c r="D8" s="4" t="s">
        <v>17</v>
      </c>
      <c r="E8" s="4" t="s">
        <v>1122</v>
      </c>
      <c r="F8" s="4" t="s">
        <v>19</v>
      </c>
      <c r="G8" s="4" t="s">
        <v>20</v>
      </c>
      <c r="H8" s="5">
        <v>400000</v>
      </c>
      <c r="I8" s="4" t="s">
        <v>21</v>
      </c>
      <c r="J8" s="5">
        <f t="shared" si="0"/>
        <v>-1743199.9999999998</v>
      </c>
      <c r="K8" s="4" t="s">
        <v>27</v>
      </c>
      <c r="L8" s="6">
        <v>4.3579999999999997</v>
      </c>
      <c r="M8" s="6">
        <v>0.22950000000000001</v>
      </c>
      <c r="N8" s="6">
        <v>4.2072000000000003</v>
      </c>
      <c r="O8" s="6">
        <v>1</v>
      </c>
      <c r="P8" s="5">
        <v>-60319.999999999767</v>
      </c>
      <c r="Q8" s="4" t="s">
        <v>1390</v>
      </c>
    </row>
    <row r="9" spans="1:17" x14ac:dyDescent="0.3">
      <c r="A9" s="2" t="s">
        <v>1389</v>
      </c>
      <c r="B9" s="3">
        <v>44935</v>
      </c>
      <c r="C9" s="3">
        <v>127561</v>
      </c>
      <c r="D9" s="4" t="s">
        <v>17</v>
      </c>
      <c r="E9" s="4" t="s">
        <v>1020</v>
      </c>
      <c r="F9" s="4" t="s">
        <v>19</v>
      </c>
      <c r="G9" s="4" t="s">
        <v>20</v>
      </c>
      <c r="H9" s="5">
        <v>500000</v>
      </c>
      <c r="I9" s="4" t="s">
        <v>21</v>
      </c>
      <c r="J9" s="5">
        <f t="shared" si="0"/>
        <v>-2126000</v>
      </c>
      <c r="K9" s="4" t="s">
        <v>29</v>
      </c>
      <c r="L9" s="6">
        <v>4.2519999999999998</v>
      </c>
      <c r="M9" s="6">
        <v>0.23519999999999999</v>
      </c>
      <c r="N9" s="6">
        <v>4.2104999999999997</v>
      </c>
      <c r="O9" s="6">
        <v>1</v>
      </c>
      <c r="P9" s="5">
        <v>-20750</v>
      </c>
      <c r="Q9" s="4" t="s">
        <v>1390</v>
      </c>
    </row>
    <row r="10" spans="1:17" x14ac:dyDescent="0.3">
      <c r="A10" s="2" t="s">
        <v>1389</v>
      </c>
      <c r="B10" s="3">
        <v>44936</v>
      </c>
      <c r="C10" s="3">
        <v>127562</v>
      </c>
      <c r="D10" s="4" t="s">
        <v>17</v>
      </c>
      <c r="E10" s="4" t="s">
        <v>1020</v>
      </c>
      <c r="F10" s="4" t="s">
        <v>19</v>
      </c>
      <c r="G10" s="4" t="s">
        <v>20</v>
      </c>
      <c r="H10" s="5">
        <v>500000</v>
      </c>
      <c r="I10" s="4" t="s">
        <v>21</v>
      </c>
      <c r="J10" s="5">
        <f t="shared" si="0"/>
        <v>-2126000</v>
      </c>
      <c r="K10" s="4" t="s">
        <v>30</v>
      </c>
      <c r="L10" s="6">
        <v>4.2519999999999998</v>
      </c>
      <c r="M10" s="6">
        <v>0.23519999999999999</v>
      </c>
      <c r="N10" s="6">
        <v>4.2031999999999998</v>
      </c>
      <c r="O10" s="6">
        <v>1</v>
      </c>
      <c r="P10" s="5">
        <v>-24400</v>
      </c>
      <c r="Q10" s="4" t="s">
        <v>1390</v>
      </c>
    </row>
    <row r="11" spans="1:17" x14ac:dyDescent="0.3">
      <c r="A11" s="2" t="s">
        <v>1389</v>
      </c>
      <c r="B11" s="3">
        <v>45838</v>
      </c>
      <c r="C11" s="3">
        <v>128464</v>
      </c>
      <c r="D11" s="4" t="s">
        <v>17</v>
      </c>
      <c r="E11" s="4" t="s">
        <v>1335</v>
      </c>
      <c r="F11" s="4" t="s">
        <v>32</v>
      </c>
      <c r="G11" s="4" t="s">
        <v>20</v>
      </c>
      <c r="H11" s="5">
        <v>-1000000</v>
      </c>
      <c r="I11" s="4" t="s">
        <v>21</v>
      </c>
      <c r="J11" s="5">
        <f t="shared" si="0"/>
        <v>4173700</v>
      </c>
      <c r="K11" s="4" t="s">
        <v>27</v>
      </c>
      <c r="L11" s="6">
        <v>4.1737000000000002</v>
      </c>
      <c r="M11" s="6">
        <v>0.23960000000000001</v>
      </c>
      <c r="N11" s="6">
        <v>4.2072000000000003</v>
      </c>
      <c r="O11" s="6">
        <v>1</v>
      </c>
      <c r="P11" s="5">
        <v>96500</v>
      </c>
      <c r="Q11" s="4" t="s">
        <v>1390</v>
      </c>
    </row>
    <row r="12" spans="1:17" x14ac:dyDescent="0.3">
      <c r="A12" s="2" t="s">
        <v>1389</v>
      </c>
      <c r="B12" s="3">
        <v>45839</v>
      </c>
      <c r="C12" s="3">
        <v>128465</v>
      </c>
      <c r="D12" s="4" t="s">
        <v>17</v>
      </c>
      <c r="E12" s="4" t="s">
        <v>1335</v>
      </c>
      <c r="F12" s="4" t="s">
        <v>32</v>
      </c>
      <c r="G12" s="4" t="s">
        <v>20</v>
      </c>
      <c r="H12" s="5">
        <v>-1000000</v>
      </c>
      <c r="I12" s="4" t="s">
        <v>21</v>
      </c>
      <c r="J12" s="5">
        <f t="shared" si="0"/>
        <v>4173700</v>
      </c>
      <c r="K12" s="4" t="s">
        <v>27</v>
      </c>
      <c r="L12" s="6">
        <v>4.1737000000000002</v>
      </c>
      <c r="M12" s="6">
        <v>0.23960000000000001</v>
      </c>
      <c r="N12" s="6">
        <v>4.2072000000000003</v>
      </c>
      <c r="O12" s="6">
        <v>1</v>
      </c>
      <c r="P12" s="5">
        <v>96500</v>
      </c>
      <c r="Q12" s="4" t="s">
        <v>1390</v>
      </c>
    </row>
    <row r="13" spans="1:17" x14ac:dyDescent="0.3">
      <c r="A13" s="2" t="s">
        <v>1389</v>
      </c>
      <c r="B13" s="3">
        <v>47536</v>
      </c>
      <c r="C13" s="3">
        <v>130162</v>
      </c>
      <c r="D13" s="4" t="s">
        <v>17</v>
      </c>
      <c r="E13" s="4" t="s">
        <v>1288</v>
      </c>
      <c r="F13" s="4" t="s">
        <v>32</v>
      </c>
      <c r="G13" s="4" t="s">
        <v>34</v>
      </c>
      <c r="H13" s="5">
        <v>-2500000</v>
      </c>
      <c r="I13" s="4" t="s">
        <v>21</v>
      </c>
      <c r="J13" s="5">
        <f t="shared" si="0"/>
        <v>9057000</v>
      </c>
      <c r="K13" s="4" t="s">
        <v>35</v>
      </c>
      <c r="L13" s="6">
        <v>3.6227999999999998</v>
      </c>
      <c r="M13" s="6">
        <v>0.27600000000000002</v>
      </c>
      <c r="N13" s="6">
        <v>3.6139999999999999</v>
      </c>
      <c r="O13" s="6">
        <v>1</v>
      </c>
      <c r="P13" s="5">
        <v>45000</v>
      </c>
      <c r="Q13" s="4" t="s">
        <v>1390</v>
      </c>
    </row>
    <row r="14" spans="1:17" x14ac:dyDescent="0.3">
      <c r="A14" s="2" t="s">
        <v>1389</v>
      </c>
      <c r="B14" s="3">
        <v>47537</v>
      </c>
      <c r="C14" s="3">
        <v>130163</v>
      </c>
      <c r="D14" s="4" t="s">
        <v>17</v>
      </c>
      <c r="E14" s="4" t="s">
        <v>1288</v>
      </c>
      <c r="F14" s="4" t="s">
        <v>32</v>
      </c>
      <c r="G14" s="4" t="s">
        <v>34</v>
      </c>
      <c r="H14" s="5">
        <v>-2000000</v>
      </c>
      <c r="I14" s="4" t="s">
        <v>21</v>
      </c>
      <c r="J14" s="5">
        <f t="shared" si="0"/>
        <v>7245600</v>
      </c>
      <c r="K14" s="4" t="s">
        <v>22</v>
      </c>
      <c r="L14" s="6">
        <v>3.6227999999999998</v>
      </c>
      <c r="M14" s="6">
        <v>0.27600000000000002</v>
      </c>
      <c r="N14" s="6">
        <v>3.6153</v>
      </c>
      <c r="O14" s="6">
        <v>1</v>
      </c>
      <c r="P14" s="5">
        <v>33600</v>
      </c>
      <c r="Q14" s="4" t="s">
        <v>1390</v>
      </c>
    </row>
    <row r="15" spans="1:17" x14ac:dyDescent="0.3">
      <c r="A15" s="2" t="s">
        <v>1389</v>
      </c>
      <c r="B15" s="3">
        <v>49832</v>
      </c>
      <c r="C15" s="3">
        <v>132461</v>
      </c>
      <c r="D15" s="4" t="s">
        <v>17</v>
      </c>
      <c r="E15" s="4" t="s">
        <v>1169</v>
      </c>
      <c r="F15" s="4" t="s">
        <v>19</v>
      </c>
      <c r="G15" s="4" t="s">
        <v>20</v>
      </c>
      <c r="H15" s="5">
        <v>500000</v>
      </c>
      <c r="I15" s="4" t="s">
        <v>21</v>
      </c>
      <c r="J15" s="5">
        <f t="shared" si="0"/>
        <v>-2134750</v>
      </c>
      <c r="K15" s="4" t="s">
        <v>37</v>
      </c>
      <c r="L15" s="6">
        <v>4.2694999999999999</v>
      </c>
      <c r="M15" s="6">
        <v>0.23419999999999999</v>
      </c>
      <c r="N15" s="6">
        <v>4.2115999999999998</v>
      </c>
      <c r="O15" s="6">
        <v>1</v>
      </c>
      <c r="P15" s="5">
        <v>-28950</v>
      </c>
      <c r="Q15" s="4" t="s">
        <v>1390</v>
      </c>
    </row>
    <row r="16" spans="1:17" x14ac:dyDescent="0.3">
      <c r="A16" s="2" t="s">
        <v>1389</v>
      </c>
      <c r="B16" s="3">
        <v>49887</v>
      </c>
      <c r="C16" s="3">
        <v>132516</v>
      </c>
      <c r="D16" s="4" t="s">
        <v>17</v>
      </c>
      <c r="E16" s="4" t="s">
        <v>1236</v>
      </c>
      <c r="F16" s="4" t="s">
        <v>19</v>
      </c>
      <c r="G16" s="4" t="s">
        <v>20</v>
      </c>
      <c r="H16" s="5">
        <v>351000</v>
      </c>
      <c r="I16" s="4" t="s">
        <v>21</v>
      </c>
      <c r="J16" s="5">
        <f t="shared" si="0"/>
        <v>-1497190.5</v>
      </c>
      <c r="K16" s="4" t="s">
        <v>39</v>
      </c>
      <c r="L16" s="6">
        <v>4.2655000000000003</v>
      </c>
      <c r="M16" s="6">
        <v>0.2344</v>
      </c>
      <c r="N16" s="6">
        <v>4.2230999999999996</v>
      </c>
      <c r="O16" s="6">
        <v>1</v>
      </c>
      <c r="P16" s="5">
        <v>-14882.40000000014</v>
      </c>
      <c r="Q16" s="4" t="s">
        <v>1390</v>
      </c>
    </row>
    <row r="17" spans="1:17" x14ac:dyDescent="0.3">
      <c r="A17" s="2" t="s">
        <v>1389</v>
      </c>
      <c r="B17" s="3">
        <v>51345</v>
      </c>
      <c r="C17" s="3">
        <v>133992</v>
      </c>
      <c r="D17" s="4" t="s">
        <v>17</v>
      </c>
      <c r="E17" s="4" t="s">
        <v>1013</v>
      </c>
      <c r="F17" s="4" t="s">
        <v>19</v>
      </c>
      <c r="G17" s="4" t="s">
        <v>20</v>
      </c>
      <c r="H17" s="5">
        <v>250000</v>
      </c>
      <c r="I17" s="4" t="s">
        <v>21</v>
      </c>
      <c r="J17" s="5">
        <f t="shared" si="0"/>
        <v>-1064250</v>
      </c>
      <c r="K17" s="4" t="s">
        <v>24</v>
      </c>
      <c r="L17" s="6">
        <v>4.2569999999999997</v>
      </c>
      <c r="M17" s="6">
        <v>0.2349</v>
      </c>
      <c r="N17" s="6">
        <v>4.2156000000000002</v>
      </c>
      <c r="O17" s="6">
        <v>1</v>
      </c>
      <c r="P17" s="5">
        <v>-10350</v>
      </c>
      <c r="Q17" s="4" t="s">
        <v>1390</v>
      </c>
    </row>
    <row r="18" spans="1:17" x14ac:dyDescent="0.3">
      <c r="A18" s="2" t="s">
        <v>1389</v>
      </c>
      <c r="B18" s="3">
        <v>53696</v>
      </c>
      <c r="C18" s="3">
        <v>144438</v>
      </c>
      <c r="D18" s="4" t="s">
        <v>17</v>
      </c>
      <c r="E18" s="4" t="s">
        <v>987</v>
      </c>
      <c r="F18" s="4" t="s">
        <v>19</v>
      </c>
      <c r="G18" s="4" t="s">
        <v>20</v>
      </c>
      <c r="H18" s="5">
        <v>10000</v>
      </c>
      <c r="I18" s="4" t="s">
        <v>21</v>
      </c>
      <c r="J18" s="5">
        <f t="shared" si="0"/>
        <v>-42520</v>
      </c>
      <c r="K18" s="4" t="s">
        <v>29</v>
      </c>
      <c r="L18" s="6">
        <v>4.2519999999999998</v>
      </c>
      <c r="M18" s="6">
        <v>0.23519999999999999</v>
      </c>
      <c r="N18" s="6">
        <v>4.2104999999999997</v>
      </c>
      <c r="O18" s="6">
        <v>1</v>
      </c>
      <c r="P18" s="5">
        <v>-415</v>
      </c>
      <c r="Q18" s="4" t="s">
        <v>1390</v>
      </c>
    </row>
    <row r="19" spans="1:17" x14ac:dyDescent="0.3">
      <c r="A19" s="2" t="s">
        <v>1389</v>
      </c>
      <c r="B19" s="3">
        <v>53737</v>
      </c>
      <c r="C19" s="3">
        <v>144797</v>
      </c>
      <c r="D19" s="4" t="s">
        <v>17</v>
      </c>
      <c r="E19" s="4" t="s">
        <v>987</v>
      </c>
      <c r="F19" s="4" t="s">
        <v>19</v>
      </c>
      <c r="G19" s="4" t="s">
        <v>20</v>
      </c>
      <c r="H19" s="5">
        <v>10000</v>
      </c>
      <c r="I19" s="4" t="s">
        <v>21</v>
      </c>
      <c r="J19" s="5">
        <f t="shared" si="0"/>
        <v>-42890</v>
      </c>
      <c r="K19" s="4" t="s">
        <v>42</v>
      </c>
      <c r="L19" s="6">
        <v>4.2889999999999997</v>
      </c>
      <c r="M19" s="6">
        <v>0.23319999999999999</v>
      </c>
      <c r="N19" s="6">
        <v>4.2119</v>
      </c>
      <c r="O19" s="6">
        <v>1</v>
      </c>
      <c r="P19" s="5">
        <v>-771</v>
      </c>
      <c r="Q19" s="4" t="s">
        <v>1390</v>
      </c>
    </row>
    <row r="20" spans="1:17" x14ac:dyDescent="0.3">
      <c r="A20" s="2" t="s">
        <v>1389</v>
      </c>
      <c r="B20" s="3">
        <v>53807</v>
      </c>
      <c r="C20" s="3">
        <v>145670</v>
      </c>
      <c r="D20" s="4" t="s">
        <v>17</v>
      </c>
      <c r="E20" s="4" t="s">
        <v>1217</v>
      </c>
      <c r="F20" s="4" t="s">
        <v>19</v>
      </c>
      <c r="G20" s="4" t="s">
        <v>20</v>
      </c>
      <c r="H20" s="5">
        <v>100000</v>
      </c>
      <c r="I20" s="4" t="s">
        <v>21</v>
      </c>
      <c r="J20" s="5">
        <f t="shared" si="0"/>
        <v>-429260</v>
      </c>
      <c r="K20" s="4" t="s">
        <v>22</v>
      </c>
      <c r="L20" s="6">
        <v>4.2926000000000002</v>
      </c>
      <c r="M20" s="6">
        <v>0.23300000000000001</v>
      </c>
      <c r="N20" s="6">
        <v>4.2068000000000003</v>
      </c>
      <c r="O20" s="6">
        <v>1</v>
      </c>
      <c r="P20" s="5">
        <v>-8579.9999999999418</v>
      </c>
      <c r="Q20" s="4" t="s">
        <v>1390</v>
      </c>
    </row>
    <row r="21" spans="1:17" x14ac:dyDescent="0.3">
      <c r="A21" s="2" t="s">
        <v>1389</v>
      </c>
      <c r="B21" s="3">
        <v>55724</v>
      </c>
      <c r="C21" s="3">
        <v>170084</v>
      </c>
      <c r="D21" s="4" t="s">
        <v>17</v>
      </c>
      <c r="E21" s="4" t="s">
        <v>987</v>
      </c>
      <c r="F21" s="4" t="s">
        <v>19</v>
      </c>
      <c r="G21" s="4" t="s">
        <v>20</v>
      </c>
      <c r="H21" s="5">
        <v>10000</v>
      </c>
      <c r="I21" s="4" t="s">
        <v>21</v>
      </c>
      <c r="J21" s="5">
        <f t="shared" si="0"/>
        <v>-42474.999999999993</v>
      </c>
      <c r="K21" s="4" t="s">
        <v>29</v>
      </c>
      <c r="L21" s="6">
        <v>4.2474999999999996</v>
      </c>
      <c r="M21" s="6">
        <v>0.2354</v>
      </c>
      <c r="N21" s="6">
        <v>4.2104999999999997</v>
      </c>
      <c r="O21" s="6">
        <v>1</v>
      </c>
      <c r="P21" s="5">
        <v>-369.99999999999272</v>
      </c>
      <c r="Q21" s="4" t="s">
        <v>1390</v>
      </c>
    </row>
    <row r="22" spans="1:17" x14ac:dyDescent="0.3">
      <c r="A22" s="2" t="s">
        <v>1389</v>
      </c>
      <c r="B22" s="3">
        <v>56522</v>
      </c>
      <c r="C22" s="3">
        <v>177510</v>
      </c>
      <c r="D22" s="4" t="s">
        <v>17</v>
      </c>
      <c r="E22" s="4" t="s">
        <v>1236</v>
      </c>
      <c r="F22" s="4" t="s">
        <v>19</v>
      </c>
      <c r="G22" s="4" t="s">
        <v>20</v>
      </c>
      <c r="H22" s="5">
        <v>100000</v>
      </c>
      <c r="I22" s="4" t="s">
        <v>21</v>
      </c>
      <c r="J22" s="5">
        <f t="shared" si="0"/>
        <v>-425540</v>
      </c>
      <c r="K22" s="4" t="s">
        <v>35</v>
      </c>
      <c r="L22" s="6">
        <v>4.2553999999999998</v>
      </c>
      <c r="M22" s="6">
        <v>0.23499999999999999</v>
      </c>
      <c r="N22" s="6">
        <v>4.2110000000000003</v>
      </c>
      <c r="O22" s="6">
        <v>1</v>
      </c>
      <c r="P22" s="5">
        <v>-4439.9999999999418</v>
      </c>
      <c r="Q22" s="4" t="s">
        <v>1390</v>
      </c>
    </row>
    <row r="23" spans="1:17" x14ac:dyDescent="0.3">
      <c r="A23" s="2" t="s">
        <v>1389</v>
      </c>
      <c r="B23" s="3">
        <v>56527</v>
      </c>
      <c r="C23" s="3">
        <v>177515</v>
      </c>
      <c r="D23" s="4" t="s">
        <v>17</v>
      </c>
      <c r="E23" s="4" t="s">
        <v>1236</v>
      </c>
      <c r="F23" s="4" t="s">
        <v>19</v>
      </c>
      <c r="G23" s="4" t="s">
        <v>20</v>
      </c>
      <c r="H23" s="5">
        <v>130000</v>
      </c>
      <c r="I23" s="4" t="s">
        <v>21</v>
      </c>
      <c r="J23" s="5">
        <f t="shared" si="0"/>
        <v>-553683</v>
      </c>
      <c r="K23" s="4" t="s">
        <v>35</v>
      </c>
      <c r="L23" s="6">
        <v>4.2591000000000001</v>
      </c>
      <c r="M23" s="6">
        <v>0.23480000000000001</v>
      </c>
      <c r="N23" s="6">
        <v>4.2110000000000003</v>
      </c>
      <c r="O23" s="6">
        <v>1</v>
      </c>
      <c r="P23" s="5">
        <v>-6253</v>
      </c>
      <c r="Q23" s="4" t="s">
        <v>1390</v>
      </c>
    </row>
    <row r="24" spans="1:17" x14ac:dyDescent="0.3">
      <c r="A24" s="2" t="s">
        <v>1389</v>
      </c>
      <c r="B24" s="3">
        <v>56670</v>
      </c>
      <c r="C24" s="3">
        <v>177658</v>
      </c>
      <c r="D24" s="4" t="s">
        <v>17</v>
      </c>
      <c r="E24" s="4" t="s">
        <v>1135</v>
      </c>
      <c r="F24" s="4" t="s">
        <v>19</v>
      </c>
      <c r="G24" s="4" t="s">
        <v>20</v>
      </c>
      <c r="H24" s="5">
        <v>30000</v>
      </c>
      <c r="I24" s="4" t="s">
        <v>21</v>
      </c>
      <c r="J24" s="5">
        <f t="shared" si="0"/>
        <v>-128250.00000000001</v>
      </c>
      <c r="K24" s="4" t="s">
        <v>27</v>
      </c>
      <c r="L24" s="6">
        <v>4.2750000000000004</v>
      </c>
      <c r="M24" s="6">
        <v>0.2339</v>
      </c>
      <c r="N24" s="6">
        <v>4.2072000000000003</v>
      </c>
      <c r="O24" s="6">
        <v>1</v>
      </c>
      <c r="P24" s="5">
        <v>-2034</v>
      </c>
      <c r="Q24" s="4" t="s">
        <v>1390</v>
      </c>
    </row>
    <row r="25" spans="1:17" x14ac:dyDescent="0.3">
      <c r="A25" s="2" t="s">
        <v>1389</v>
      </c>
      <c r="B25" s="3">
        <v>57457</v>
      </c>
      <c r="C25" s="3">
        <v>178448</v>
      </c>
      <c r="D25" s="4" t="s">
        <v>17</v>
      </c>
      <c r="E25" s="4" t="s">
        <v>1201</v>
      </c>
      <c r="F25" s="4" t="s">
        <v>32</v>
      </c>
      <c r="G25" s="4" t="s">
        <v>34</v>
      </c>
      <c r="H25" s="5">
        <v>-75000</v>
      </c>
      <c r="I25" s="4" t="s">
        <v>21</v>
      </c>
      <c r="J25" s="5">
        <f t="shared" si="0"/>
        <v>270825</v>
      </c>
      <c r="K25" s="4" t="s">
        <v>45</v>
      </c>
      <c r="L25" s="6">
        <v>3.6110000000000002</v>
      </c>
      <c r="M25" s="6">
        <v>0.27689999999999998</v>
      </c>
      <c r="N25" s="6">
        <v>3.6015999999999999</v>
      </c>
      <c r="O25" s="6">
        <v>1</v>
      </c>
      <c r="P25" s="5">
        <v>2287.5</v>
      </c>
      <c r="Q25" s="4" t="s">
        <v>1390</v>
      </c>
    </row>
    <row r="26" spans="1:17" x14ac:dyDescent="0.3">
      <c r="A26" s="2" t="s">
        <v>1389</v>
      </c>
      <c r="B26" s="3">
        <v>57458</v>
      </c>
      <c r="C26" s="3">
        <v>178449</v>
      </c>
      <c r="D26" s="4" t="s">
        <v>17</v>
      </c>
      <c r="E26" s="4" t="s">
        <v>1201</v>
      </c>
      <c r="F26" s="4" t="s">
        <v>32</v>
      </c>
      <c r="G26" s="4" t="s">
        <v>34</v>
      </c>
      <c r="H26" s="5">
        <v>-75000</v>
      </c>
      <c r="I26" s="4" t="s">
        <v>21</v>
      </c>
      <c r="J26" s="5">
        <f t="shared" si="0"/>
        <v>270825</v>
      </c>
      <c r="K26" s="4" t="s">
        <v>24</v>
      </c>
      <c r="L26" s="6">
        <v>3.6110000000000002</v>
      </c>
      <c r="M26" s="6">
        <v>0.27689999999999998</v>
      </c>
      <c r="N26" s="6">
        <v>3.5962999999999998</v>
      </c>
      <c r="O26" s="6">
        <v>1</v>
      </c>
      <c r="P26" s="5">
        <v>2707.5</v>
      </c>
      <c r="Q26" s="4" t="s">
        <v>1390</v>
      </c>
    </row>
    <row r="27" spans="1:17" x14ac:dyDescent="0.3">
      <c r="A27" s="2" t="s">
        <v>1389</v>
      </c>
      <c r="B27" s="3">
        <v>57459</v>
      </c>
      <c r="C27" s="3">
        <v>178450</v>
      </c>
      <c r="D27" s="4" t="s">
        <v>17</v>
      </c>
      <c r="E27" s="4" t="s">
        <v>1201</v>
      </c>
      <c r="F27" s="4" t="s">
        <v>32</v>
      </c>
      <c r="G27" s="4" t="s">
        <v>34</v>
      </c>
      <c r="H27" s="5">
        <v>-75000</v>
      </c>
      <c r="I27" s="4" t="s">
        <v>21</v>
      </c>
      <c r="J27" s="5">
        <f t="shared" si="0"/>
        <v>270825</v>
      </c>
      <c r="K27" s="4" t="s">
        <v>46</v>
      </c>
      <c r="L27" s="6">
        <v>3.6110000000000002</v>
      </c>
      <c r="M27" s="6">
        <v>0.27689999999999998</v>
      </c>
      <c r="N27" s="6">
        <v>3.6044999999999998</v>
      </c>
      <c r="O27" s="6">
        <v>1</v>
      </c>
      <c r="P27" s="5">
        <v>2137.5</v>
      </c>
      <c r="Q27" s="4" t="s">
        <v>1390</v>
      </c>
    </row>
    <row r="28" spans="1:17" x14ac:dyDescent="0.3">
      <c r="A28" s="2" t="s">
        <v>1389</v>
      </c>
      <c r="B28" s="3">
        <v>57460</v>
      </c>
      <c r="C28" s="3">
        <v>178451</v>
      </c>
      <c r="D28" s="4" t="s">
        <v>17</v>
      </c>
      <c r="E28" s="4" t="s">
        <v>1201</v>
      </c>
      <c r="F28" s="4" t="s">
        <v>32</v>
      </c>
      <c r="G28" s="4" t="s">
        <v>34</v>
      </c>
      <c r="H28" s="5">
        <v>-75000</v>
      </c>
      <c r="I28" s="4" t="s">
        <v>21</v>
      </c>
      <c r="J28" s="5">
        <f t="shared" si="0"/>
        <v>270825</v>
      </c>
      <c r="K28" s="4" t="s">
        <v>29</v>
      </c>
      <c r="L28" s="6">
        <v>3.6110000000000002</v>
      </c>
      <c r="M28" s="6">
        <v>0.27689999999999998</v>
      </c>
      <c r="N28" s="6">
        <v>3.6034999999999999</v>
      </c>
      <c r="O28" s="6">
        <v>1</v>
      </c>
      <c r="P28" s="5">
        <v>2220</v>
      </c>
      <c r="Q28" s="4" t="s">
        <v>1390</v>
      </c>
    </row>
    <row r="29" spans="1:17" x14ac:dyDescent="0.3">
      <c r="A29" s="2" t="s">
        <v>1389</v>
      </c>
      <c r="B29" s="3">
        <v>57461</v>
      </c>
      <c r="C29" s="3">
        <v>178452</v>
      </c>
      <c r="D29" s="4" t="s">
        <v>17</v>
      </c>
      <c r="E29" s="4" t="s">
        <v>1201</v>
      </c>
      <c r="F29" s="4" t="s">
        <v>32</v>
      </c>
      <c r="G29" s="4" t="s">
        <v>34</v>
      </c>
      <c r="H29" s="5">
        <v>-75000</v>
      </c>
      <c r="I29" s="4" t="s">
        <v>21</v>
      </c>
      <c r="J29" s="5">
        <f t="shared" si="0"/>
        <v>270825</v>
      </c>
      <c r="K29" s="4" t="s">
        <v>42</v>
      </c>
      <c r="L29" s="6">
        <v>3.6110000000000002</v>
      </c>
      <c r="M29" s="6">
        <v>0.27689999999999998</v>
      </c>
      <c r="N29" s="6">
        <v>3.6070000000000002</v>
      </c>
      <c r="O29" s="6">
        <v>1</v>
      </c>
      <c r="P29" s="5">
        <v>1965</v>
      </c>
      <c r="Q29" s="4" t="s">
        <v>1390</v>
      </c>
    </row>
    <row r="30" spans="1:17" x14ac:dyDescent="0.3">
      <c r="A30" s="2" t="s">
        <v>1389</v>
      </c>
      <c r="B30" s="3">
        <v>57462</v>
      </c>
      <c r="C30" s="3">
        <v>178453</v>
      </c>
      <c r="D30" s="4" t="s">
        <v>17</v>
      </c>
      <c r="E30" s="4" t="s">
        <v>1201</v>
      </c>
      <c r="F30" s="4" t="s">
        <v>32</v>
      </c>
      <c r="G30" s="4" t="s">
        <v>34</v>
      </c>
      <c r="H30" s="5">
        <v>-75000</v>
      </c>
      <c r="I30" s="4" t="s">
        <v>21</v>
      </c>
      <c r="J30" s="5">
        <f t="shared" si="0"/>
        <v>270825</v>
      </c>
      <c r="K30" s="4" t="s">
        <v>47</v>
      </c>
      <c r="L30" s="6">
        <v>3.6110000000000002</v>
      </c>
      <c r="M30" s="6">
        <v>0.27689999999999998</v>
      </c>
      <c r="N30" s="6">
        <v>3.6183999999999998</v>
      </c>
      <c r="O30" s="6">
        <v>1</v>
      </c>
      <c r="P30" s="5">
        <v>1125</v>
      </c>
      <c r="Q30" s="4" t="s">
        <v>1390</v>
      </c>
    </row>
    <row r="31" spans="1:17" x14ac:dyDescent="0.3">
      <c r="A31" s="2" t="s">
        <v>1389</v>
      </c>
      <c r="B31" s="3">
        <v>57463</v>
      </c>
      <c r="C31" s="3">
        <v>178454</v>
      </c>
      <c r="D31" s="4" t="s">
        <v>17</v>
      </c>
      <c r="E31" s="4" t="s">
        <v>1201</v>
      </c>
      <c r="F31" s="4" t="s">
        <v>32</v>
      </c>
      <c r="G31" s="4" t="s">
        <v>34</v>
      </c>
      <c r="H31" s="5">
        <v>-75000</v>
      </c>
      <c r="I31" s="4" t="s">
        <v>21</v>
      </c>
      <c r="J31" s="5">
        <f t="shared" si="0"/>
        <v>270825</v>
      </c>
      <c r="K31" s="4" t="s">
        <v>48</v>
      </c>
      <c r="L31" s="6">
        <v>3.6110000000000002</v>
      </c>
      <c r="M31" s="6">
        <v>0.27689999999999998</v>
      </c>
      <c r="N31" s="6">
        <v>3.6036999999999999</v>
      </c>
      <c r="O31" s="6">
        <v>1</v>
      </c>
      <c r="P31" s="5">
        <v>2235</v>
      </c>
      <c r="Q31" s="4" t="s">
        <v>1390</v>
      </c>
    </row>
    <row r="32" spans="1:17" x14ac:dyDescent="0.3">
      <c r="A32" s="2" t="s">
        <v>1389</v>
      </c>
      <c r="B32" s="3">
        <v>57464</v>
      </c>
      <c r="C32" s="3">
        <v>178455</v>
      </c>
      <c r="D32" s="4" t="s">
        <v>17</v>
      </c>
      <c r="E32" s="4" t="s">
        <v>1201</v>
      </c>
      <c r="F32" s="4" t="s">
        <v>32</v>
      </c>
      <c r="G32" s="4" t="s">
        <v>34</v>
      </c>
      <c r="H32" s="5">
        <v>-75000</v>
      </c>
      <c r="I32" s="4" t="s">
        <v>21</v>
      </c>
      <c r="J32" s="5">
        <f t="shared" si="0"/>
        <v>270825</v>
      </c>
      <c r="K32" s="4" t="s">
        <v>37</v>
      </c>
      <c r="L32" s="6">
        <v>3.6110000000000002</v>
      </c>
      <c r="M32" s="6">
        <v>0.27689999999999998</v>
      </c>
      <c r="N32" s="6">
        <v>3.6082999999999998</v>
      </c>
      <c r="O32" s="6">
        <v>1</v>
      </c>
      <c r="P32" s="5">
        <v>1897.5</v>
      </c>
      <c r="Q32" s="4" t="s">
        <v>1390</v>
      </c>
    </row>
    <row r="33" spans="1:17" x14ac:dyDescent="0.3">
      <c r="A33" s="2" t="s">
        <v>1389</v>
      </c>
      <c r="B33" s="3">
        <v>57465</v>
      </c>
      <c r="C33" s="3">
        <v>178456</v>
      </c>
      <c r="D33" s="4" t="s">
        <v>17</v>
      </c>
      <c r="E33" s="4" t="s">
        <v>1201</v>
      </c>
      <c r="F33" s="4" t="s">
        <v>32</v>
      </c>
      <c r="G33" s="4" t="s">
        <v>34</v>
      </c>
      <c r="H33" s="5">
        <v>-75000</v>
      </c>
      <c r="I33" s="4" t="s">
        <v>21</v>
      </c>
      <c r="J33" s="5">
        <f t="shared" si="0"/>
        <v>270825</v>
      </c>
      <c r="K33" s="4" t="s">
        <v>35</v>
      </c>
      <c r="L33" s="6">
        <v>3.6110000000000002</v>
      </c>
      <c r="M33" s="6">
        <v>0.27689999999999998</v>
      </c>
      <c r="N33" s="6">
        <v>3.6139999999999999</v>
      </c>
      <c r="O33" s="6">
        <v>1</v>
      </c>
      <c r="P33" s="5">
        <v>1477.5</v>
      </c>
      <c r="Q33" s="4" t="s">
        <v>1390</v>
      </c>
    </row>
    <row r="34" spans="1:17" x14ac:dyDescent="0.3">
      <c r="A34" s="2" t="s">
        <v>1389</v>
      </c>
      <c r="B34" s="3">
        <v>57466</v>
      </c>
      <c r="C34" s="3">
        <v>178457</v>
      </c>
      <c r="D34" s="4" t="s">
        <v>17</v>
      </c>
      <c r="E34" s="4" t="s">
        <v>1201</v>
      </c>
      <c r="F34" s="4" t="s">
        <v>32</v>
      </c>
      <c r="G34" s="4" t="s">
        <v>34</v>
      </c>
      <c r="H34" s="5">
        <v>-75000</v>
      </c>
      <c r="I34" s="4" t="s">
        <v>21</v>
      </c>
      <c r="J34" s="5">
        <f t="shared" si="0"/>
        <v>270825</v>
      </c>
      <c r="K34" s="4" t="s">
        <v>22</v>
      </c>
      <c r="L34" s="6">
        <v>3.6110000000000002</v>
      </c>
      <c r="M34" s="6">
        <v>0.27689999999999998</v>
      </c>
      <c r="N34" s="6">
        <v>3.6153</v>
      </c>
      <c r="O34" s="6">
        <v>1</v>
      </c>
      <c r="P34" s="5">
        <v>1387.5</v>
      </c>
      <c r="Q34" s="4" t="s">
        <v>1390</v>
      </c>
    </row>
    <row r="35" spans="1:17" x14ac:dyDescent="0.3">
      <c r="A35" s="2" t="s">
        <v>1389</v>
      </c>
      <c r="B35" s="3">
        <v>57467</v>
      </c>
      <c r="C35" s="3">
        <v>178458</v>
      </c>
      <c r="D35" s="4" t="s">
        <v>17</v>
      </c>
      <c r="E35" s="4" t="s">
        <v>1201</v>
      </c>
      <c r="F35" s="4" t="s">
        <v>32</v>
      </c>
      <c r="G35" s="4" t="s">
        <v>34</v>
      </c>
      <c r="H35" s="5">
        <v>-75000</v>
      </c>
      <c r="I35" s="4" t="s">
        <v>21</v>
      </c>
      <c r="J35" s="5">
        <f t="shared" si="0"/>
        <v>270825</v>
      </c>
      <c r="K35" s="4" t="s">
        <v>49</v>
      </c>
      <c r="L35" s="6">
        <v>3.6110000000000002</v>
      </c>
      <c r="M35" s="6">
        <v>0.27689999999999998</v>
      </c>
      <c r="N35" s="6">
        <v>3.6345999999999998</v>
      </c>
      <c r="O35" s="6">
        <v>1</v>
      </c>
      <c r="P35" s="5">
        <v>-15</v>
      </c>
      <c r="Q35" s="4" t="s">
        <v>1390</v>
      </c>
    </row>
    <row r="36" spans="1:17" x14ac:dyDescent="0.3">
      <c r="A36" s="2" t="s">
        <v>1389</v>
      </c>
      <c r="B36" s="3">
        <v>57468</v>
      </c>
      <c r="C36" s="3">
        <v>178459</v>
      </c>
      <c r="D36" s="4" t="s">
        <v>17</v>
      </c>
      <c r="E36" s="4" t="s">
        <v>1201</v>
      </c>
      <c r="F36" s="4" t="s">
        <v>32</v>
      </c>
      <c r="G36" s="4" t="s">
        <v>34</v>
      </c>
      <c r="H36" s="5">
        <v>-75000</v>
      </c>
      <c r="I36" s="4" t="s">
        <v>21</v>
      </c>
      <c r="J36" s="5">
        <f t="shared" si="0"/>
        <v>270825</v>
      </c>
      <c r="K36" s="4" t="s">
        <v>39</v>
      </c>
      <c r="L36" s="6">
        <v>3.6110000000000002</v>
      </c>
      <c r="M36" s="6">
        <v>0.27689999999999998</v>
      </c>
      <c r="N36" s="6">
        <v>3.6345999999999998</v>
      </c>
      <c r="O36" s="6">
        <v>1</v>
      </c>
      <c r="P36" s="5">
        <v>-7.5</v>
      </c>
      <c r="Q36" s="4" t="s">
        <v>1390</v>
      </c>
    </row>
    <row r="37" spans="1:17" x14ac:dyDescent="0.3">
      <c r="A37" s="2" t="s">
        <v>1389</v>
      </c>
      <c r="B37" s="3">
        <v>57469</v>
      </c>
      <c r="C37" s="3">
        <v>178460</v>
      </c>
      <c r="D37" s="4" t="s">
        <v>17</v>
      </c>
      <c r="E37" s="4" t="s">
        <v>1201</v>
      </c>
      <c r="F37" s="4" t="s">
        <v>32</v>
      </c>
      <c r="G37" s="4" t="s">
        <v>34</v>
      </c>
      <c r="H37" s="5">
        <v>-75000</v>
      </c>
      <c r="I37" s="4" t="s">
        <v>21</v>
      </c>
      <c r="J37" s="5">
        <f t="shared" si="0"/>
        <v>270825</v>
      </c>
      <c r="K37" s="4" t="s">
        <v>50</v>
      </c>
      <c r="L37" s="6">
        <v>3.6110000000000002</v>
      </c>
      <c r="M37" s="6">
        <v>0.27689999999999998</v>
      </c>
      <c r="N37" s="6">
        <v>3.6053999999999999</v>
      </c>
      <c r="O37" s="6">
        <v>1</v>
      </c>
      <c r="P37" s="5">
        <v>2182.5</v>
      </c>
      <c r="Q37" s="4" t="s">
        <v>1390</v>
      </c>
    </row>
    <row r="38" spans="1:17" x14ac:dyDescent="0.3">
      <c r="A38" s="2" t="s">
        <v>1389</v>
      </c>
      <c r="B38" s="3">
        <v>57470</v>
      </c>
      <c r="C38" s="3">
        <v>178461</v>
      </c>
      <c r="D38" s="4" t="s">
        <v>17</v>
      </c>
      <c r="E38" s="4" t="s">
        <v>1201</v>
      </c>
      <c r="F38" s="4" t="s">
        <v>32</v>
      </c>
      <c r="G38" s="4" t="s">
        <v>34</v>
      </c>
      <c r="H38" s="5">
        <v>-75000</v>
      </c>
      <c r="I38" s="4" t="s">
        <v>21</v>
      </c>
      <c r="J38" s="5">
        <f t="shared" si="0"/>
        <v>270825</v>
      </c>
      <c r="K38" s="4" t="s">
        <v>51</v>
      </c>
      <c r="L38" s="6">
        <v>3.6110000000000002</v>
      </c>
      <c r="M38" s="6">
        <v>0.27689999999999998</v>
      </c>
      <c r="N38" s="6">
        <v>3.6118000000000001</v>
      </c>
      <c r="O38" s="6">
        <v>1</v>
      </c>
      <c r="P38" s="5">
        <v>1710</v>
      </c>
      <c r="Q38" s="4" t="s">
        <v>1390</v>
      </c>
    </row>
    <row r="39" spans="1:17" x14ac:dyDescent="0.3">
      <c r="A39" s="2" t="s">
        <v>1389</v>
      </c>
      <c r="B39" s="3">
        <v>57471</v>
      </c>
      <c r="C39" s="3">
        <v>178462</v>
      </c>
      <c r="D39" s="4" t="s">
        <v>17</v>
      </c>
      <c r="E39" s="4" t="s">
        <v>1201</v>
      </c>
      <c r="F39" s="4" t="s">
        <v>32</v>
      </c>
      <c r="G39" s="4" t="s">
        <v>34</v>
      </c>
      <c r="H39" s="5">
        <v>-75000</v>
      </c>
      <c r="I39" s="4" t="s">
        <v>21</v>
      </c>
      <c r="J39" s="5">
        <f t="shared" si="0"/>
        <v>270825</v>
      </c>
      <c r="K39" s="4" t="s">
        <v>52</v>
      </c>
      <c r="L39" s="6">
        <v>3.6110000000000002</v>
      </c>
      <c r="M39" s="6">
        <v>0.27689999999999998</v>
      </c>
      <c r="N39" s="6">
        <v>3.6027999999999998</v>
      </c>
      <c r="O39" s="6">
        <v>1</v>
      </c>
      <c r="P39" s="5">
        <v>2392.5</v>
      </c>
      <c r="Q39" s="4" t="s">
        <v>1390</v>
      </c>
    </row>
    <row r="40" spans="1:17" x14ac:dyDescent="0.3">
      <c r="A40" s="2" t="s">
        <v>1389</v>
      </c>
      <c r="B40" s="3">
        <v>57472</v>
      </c>
      <c r="C40" s="3">
        <v>178463</v>
      </c>
      <c r="D40" s="4" t="s">
        <v>17</v>
      </c>
      <c r="E40" s="4" t="s">
        <v>1201</v>
      </c>
      <c r="F40" s="4" t="s">
        <v>32</v>
      </c>
      <c r="G40" s="4" t="s">
        <v>34</v>
      </c>
      <c r="H40" s="5">
        <v>-75000</v>
      </c>
      <c r="I40" s="4" t="s">
        <v>21</v>
      </c>
      <c r="J40" s="5">
        <f t="shared" si="0"/>
        <v>270825</v>
      </c>
      <c r="K40" s="4" t="s">
        <v>53</v>
      </c>
      <c r="L40" s="6">
        <v>3.6110000000000002</v>
      </c>
      <c r="M40" s="6">
        <v>0.27689999999999998</v>
      </c>
      <c r="N40" s="6">
        <v>3.5831</v>
      </c>
      <c r="O40" s="6">
        <v>1</v>
      </c>
      <c r="P40" s="5">
        <v>3892.5</v>
      </c>
      <c r="Q40" s="4" t="s">
        <v>1390</v>
      </c>
    </row>
    <row r="41" spans="1:17" x14ac:dyDescent="0.3">
      <c r="A41" s="2" t="s">
        <v>1389</v>
      </c>
      <c r="B41" s="3">
        <v>57473</v>
      </c>
      <c r="C41" s="3">
        <v>178464</v>
      </c>
      <c r="D41" s="4" t="s">
        <v>17</v>
      </c>
      <c r="E41" s="4" t="s">
        <v>1201</v>
      </c>
      <c r="F41" s="4" t="s">
        <v>32</v>
      </c>
      <c r="G41" s="4" t="s">
        <v>34</v>
      </c>
      <c r="H41" s="5">
        <v>-75000</v>
      </c>
      <c r="I41" s="4" t="s">
        <v>21</v>
      </c>
      <c r="J41" s="5">
        <f t="shared" si="0"/>
        <v>270825</v>
      </c>
      <c r="K41" s="4" t="s">
        <v>54</v>
      </c>
      <c r="L41" s="6">
        <v>3.6110000000000002</v>
      </c>
      <c r="M41" s="6">
        <v>0.27689999999999998</v>
      </c>
      <c r="N41" s="6">
        <v>3.5499000000000001</v>
      </c>
      <c r="O41" s="6">
        <v>1</v>
      </c>
      <c r="P41" s="5">
        <v>6390</v>
      </c>
      <c r="Q41" s="4" t="s">
        <v>1390</v>
      </c>
    </row>
    <row r="42" spans="1:17" x14ac:dyDescent="0.3">
      <c r="A42" s="2" t="s">
        <v>1389</v>
      </c>
      <c r="B42" s="3">
        <v>57474</v>
      </c>
      <c r="C42" s="3">
        <v>178465</v>
      </c>
      <c r="D42" s="4" t="s">
        <v>17</v>
      </c>
      <c r="E42" s="4" t="s">
        <v>1201</v>
      </c>
      <c r="F42" s="4" t="s">
        <v>32</v>
      </c>
      <c r="G42" s="4" t="s">
        <v>34</v>
      </c>
      <c r="H42" s="5">
        <v>-75000</v>
      </c>
      <c r="I42" s="4" t="s">
        <v>21</v>
      </c>
      <c r="J42" s="5">
        <f t="shared" si="0"/>
        <v>270825</v>
      </c>
      <c r="K42" s="4" t="s">
        <v>30</v>
      </c>
      <c r="L42" s="6">
        <v>3.6110000000000002</v>
      </c>
      <c r="M42" s="6">
        <v>0.27689999999999998</v>
      </c>
      <c r="N42" s="6">
        <v>3.5354000000000001</v>
      </c>
      <c r="O42" s="6">
        <v>1</v>
      </c>
      <c r="P42" s="5">
        <v>7485</v>
      </c>
      <c r="Q42" s="4" t="s">
        <v>1390</v>
      </c>
    </row>
    <row r="43" spans="1:17" x14ac:dyDescent="0.3">
      <c r="A43" s="2" t="s">
        <v>1389</v>
      </c>
      <c r="B43" s="3">
        <v>57475</v>
      </c>
      <c r="C43" s="3">
        <v>178466</v>
      </c>
      <c r="D43" s="4" t="s">
        <v>17</v>
      </c>
      <c r="E43" s="4" t="s">
        <v>1201</v>
      </c>
      <c r="F43" s="4" t="s">
        <v>32</v>
      </c>
      <c r="G43" s="4" t="s">
        <v>34</v>
      </c>
      <c r="H43" s="5">
        <v>-75000</v>
      </c>
      <c r="I43" s="4" t="s">
        <v>21</v>
      </c>
      <c r="J43" s="5">
        <f t="shared" si="0"/>
        <v>270825</v>
      </c>
      <c r="K43" s="4" t="s">
        <v>55</v>
      </c>
      <c r="L43" s="6">
        <v>3.6110000000000002</v>
      </c>
      <c r="M43" s="6">
        <v>0.27689999999999998</v>
      </c>
      <c r="N43" s="6">
        <v>3.5045000000000002</v>
      </c>
      <c r="O43" s="6">
        <v>1</v>
      </c>
      <c r="P43" s="5">
        <v>9802.5</v>
      </c>
      <c r="Q43" s="4" t="s">
        <v>1390</v>
      </c>
    </row>
    <row r="44" spans="1:17" x14ac:dyDescent="0.3">
      <c r="A44" s="2" t="s">
        <v>1389</v>
      </c>
      <c r="B44" s="3">
        <v>57476</v>
      </c>
      <c r="C44" s="3">
        <v>178467</v>
      </c>
      <c r="D44" s="4" t="s">
        <v>17</v>
      </c>
      <c r="E44" s="4" t="s">
        <v>1201</v>
      </c>
      <c r="F44" s="4" t="s">
        <v>32</v>
      </c>
      <c r="G44" s="4" t="s">
        <v>34</v>
      </c>
      <c r="H44" s="5">
        <v>-75000</v>
      </c>
      <c r="I44" s="4" t="s">
        <v>21</v>
      </c>
      <c r="J44" s="5">
        <f t="shared" si="0"/>
        <v>270825</v>
      </c>
      <c r="K44" s="4" t="s">
        <v>27</v>
      </c>
      <c r="L44" s="6">
        <v>3.6110000000000002</v>
      </c>
      <c r="M44" s="6">
        <v>0.27689999999999998</v>
      </c>
      <c r="N44" s="6">
        <v>3.5188999999999999</v>
      </c>
      <c r="O44" s="6">
        <v>1</v>
      </c>
      <c r="P44" s="5">
        <v>8730</v>
      </c>
      <c r="Q44" s="4" t="s">
        <v>1390</v>
      </c>
    </row>
    <row r="45" spans="1:17" x14ac:dyDescent="0.3">
      <c r="A45" s="2" t="s">
        <v>1389</v>
      </c>
      <c r="B45" s="3">
        <v>57528</v>
      </c>
      <c r="C45" s="3">
        <v>178519</v>
      </c>
      <c r="D45" s="4" t="s">
        <v>17</v>
      </c>
      <c r="E45" s="4" t="s">
        <v>1201</v>
      </c>
      <c r="F45" s="4" t="s">
        <v>32</v>
      </c>
      <c r="G45" s="4" t="s">
        <v>34</v>
      </c>
      <c r="H45" s="5">
        <v>-84000</v>
      </c>
      <c r="I45" s="4" t="s">
        <v>21</v>
      </c>
      <c r="J45" s="5">
        <f t="shared" si="0"/>
        <v>304332</v>
      </c>
      <c r="K45" s="4" t="s">
        <v>45</v>
      </c>
      <c r="L45" s="6">
        <v>3.6230000000000002</v>
      </c>
      <c r="M45" s="6">
        <v>0.27600000000000002</v>
      </c>
      <c r="N45" s="6">
        <v>3.6015999999999999</v>
      </c>
      <c r="O45" s="6">
        <v>1</v>
      </c>
      <c r="P45" s="5">
        <v>2494.8000000000002</v>
      </c>
      <c r="Q45" s="4" t="s">
        <v>1390</v>
      </c>
    </row>
    <row r="46" spans="1:17" x14ac:dyDescent="0.3">
      <c r="A46" s="2" t="s">
        <v>1389</v>
      </c>
      <c r="B46" s="3">
        <v>57529</v>
      </c>
      <c r="C46" s="3">
        <v>178520</v>
      </c>
      <c r="D46" s="4" t="s">
        <v>17</v>
      </c>
      <c r="E46" s="4" t="s">
        <v>1201</v>
      </c>
      <c r="F46" s="4" t="s">
        <v>32</v>
      </c>
      <c r="G46" s="4" t="s">
        <v>34</v>
      </c>
      <c r="H46" s="5">
        <v>-84000</v>
      </c>
      <c r="I46" s="4" t="s">
        <v>21</v>
      </c>
      <c r="J46" s="5">
        <f t="shared" si="0"/>
        <v>304332</v>
      </c>
      <c r="K46" s="4" t="s">
        <v>24</v>
      </c>
      <c r="L46" s="6">
        <v>3.6230000000000002</v>
      </c>
      <c r="M46" s="6">
        <v>0.27600000000000002</v>
      </c>
      <c r="N46" s="6">
        <v>3.5962999999999998</v>
      </c>
      <c r="O46" s="6">
        <v>1</v>
      </c>
      <c r="P46" s="5">
        <v>2965.2</v>
      </c>
      <c r="Q46" s="4" t="s">
        <v>1390</v>
      </c>
    </row>
    <row r="47" spans="1:17" x14ac:dyDescent="0.3">
      <c r="A47" s="2" t="s">
        <v>1389</v>
      </c>
      <c r="B47" s="3">
        <v>57530</v>
      </c>
      <c r="C47" s="3">
        <v>178521</v>
      </c>
      <c r="D47" s="4" t="s">
        <v>17</v>
      </c>
      <c r="E47" s="4" t="s">
        <v>1201</v>
      </c>
      <c r="F47" s="4" t="s">
        <v>32</v>
      </c>
      <c r="G47" s="4" t="s">
        <v>34</v>
      </c>
      <c r="H47" s="5">
        <v>-84000</v>
      </c>
      <c r="I47" s="4" t="s">
        <v>21</v>
      </c>
      <c r="J47" s="5">
        <f t="shared" si="0"/>
        <v>304332</v>
      </c>
      <c r="K47" s="4" t="s">
        <v>46</v>
      </c>
      <c r="L47" s="6">
        <v>3.6230000000000002</v>
      </c>
      <c r="M47" s="6">
        <v>0.27600000000000002</v>
      </c>
      <c r="N47" s="6">
        <v>3.6044999999999998</v>
      </c>
      <c r="O47" s="6">
        <v>1</v>
      </c>
      <c r="P47" s="5">
        <v>2301.6</v>
      </c>
      <c r="Q47" s="4" t="s">
        <v>1390</v>
      </c>
    </row>
    <row r="48" spans="1:17" x14ac:dyDescent="0.3">
      <c r="A48" s="2" t="s">
        <v>1389</v>
      </c>
      <c r="B48" s="3">
        <v>57531</v>
      </c>
      <c r="C48" s="3">
        <v>178522</v>
      </c>
      <c r="D48" s="4" t="s">
        <v>17</v>
      </c>
      <c r="E48" s="4" t="s">
        <v>1201</v>
      </c>
      <c r="F48" s="4" t="s">
        <v>32</v>
      </c>
      <c r="G48" s="4" t="s">
        <v>34</v>
      </c>
      <c r="H48" s="5">
        <v>-84000</v>
      </c>
      <c r="I48" s="4" t="s">
        <v>21</v>
      </c>
      <c r="J48" s="5">
        <f t="shared" si="0"/>
        <v>304332</v>
      </c>
      <c r="K48" s="4" t="s">
        <v>29</v>
      </c>
      <c r="L48" s="6">
        <v>3.6230000000000002</v>
      </c>
      <c r="M48" s="6">
        <v>0.27600000000000002</v>
      </c>
      <c r="N48" s="6">
        <v>3.6034999999999999</v>
      </c>
      <c r="O48" s="6">
        <v>1</v>
      </c>
      <c r="P48" s="5">
        <v>2394</v>
      </c>
      <c r="Q48" s="4" t="s">
        <v>1390</v>
      </c>
    </row>
    <row r="49" spans="1:17" x14ac:dyDescent="0.3">
      <c r="A49" s="2" t="s">
        <v>1389</v>
      </c>
      <c r="B49" s="3">
        <v>57532</v>
      </c>
      <c r="C49" s="3">
        <v>178523</v>
      </c>
      <c r="D49" s="4" t="s">
        <v>17</v>
      </c>
      <c r="E49" s="4" t="s">
        <v>1201</v>
      </c>
      <c r="F49" s="4" t="s">
        <v>32</v>
      </c>
      <c r="G49" s="4" t="s">
        <v>34</v>
      </c>
      <c r="H49" s="5">
        <v>-84000</v>
      </c>
      <c r="I49" s="4" t="s">
        <v>21</v>
      </c>
      <c r="J49" s="5">
        <f t="shared" si="0"/>
        <v>304332</v>
      </c>
      <c r="K49" s="4" t="s">
        <v>42</v>
      </c>
      <c r="L49" s="6">
        <v>3.6230000000000002</v>
      </c>
      <c r="M49" s="6">
        <v>0.27600000000000002</v>
      </c>
      <c r="N49" s="6">
        <v>3.6070000000000002</v>
      </c>
      <c r="O49" s="6">
        <v>1</v>
      </c>
      <c r="P49" s="5">
        <v>2116.8000000000002</v>
      </c>
      <c r="Q49" s="4" t="s">
        <v>1390</v>
      </c>
    </row>
    <row r="50" spans="1:17" x14ac:dyDescent="0.3">
      <c r="A50" s="2" t="s">
        <v>1389</v>
      </c>
      <c r="B50" s="3">
        <v>57533</v>
      </c>
      <c r="C50" s="3">
        <v>178524</v>
      </c>
      <c r="D50" s="4" t="s">
        <v>17</v>
      </c>
      <c r="E50" s="4" t="s">
        <v>1201</v>
      </c>
      <c r="F50" s="4" t="s">
        <v>32</v>
      </c>
      <c r="G50" s="4" t="s">
        <v>34</v>
      </c>
      <c r="H50" s="5">
        <v>-84000</v>
      </c>
      <c r="I50" s="4" t="s">
        <v>21</v>
      </c>
      <c r="J50" s="5">
        <f t="shared" si="0"/>
        <v>304332</v>
      </c>
      <c r="K50" s="4" t="s">
        <v>47</v>
      </c>
      <c r="L50" s="6">
        <v>3.6230000000000002</v>
      </c>
      <c r="M50" s="6">
        <v>0.27600000000000002</v>
      </c>
      <c r="N50" s="6">
        <v>3.6183999999999998</v>
      </c>
      <c r="O50" s="6">
        <v>1</v>
      </c>
      <c r="P50" s="5">
        <v>1184.4000000000001</v>
      </c>
      <c r="Q50" s="4" t="s">
        <v>1390</v>
      </c>
    </row>
    <row r="51" spans="1:17" x14ac:dyDescent="0.3">
      <c r="A51" s="2" t="s">
        <v>1389</v>
      </c>
      <c r="B51" s="3">
        <v>57534</v>
      </c>
      <c r="C51" s="3">
        <v>178525</v>
      </c>
      <c r="D51" s="4" t="s">
        <v>17</v>
      </c>
      <c r="E51" s="4" t="s">
        <v>1201</v>
      </c>
      <c r="F51" s="4" t="s">
        <v>32</v>
      </c>
      <c r="G51" s="4" t="s">
        <v>34</v>
      </c>
      <c r="H51" s="5">
        <v>-84000</v>
      </c>
      <c r="I51" s="4" t="s">
        <v>21</v>
      </c>
      <c r="J51" s="5">
        <f t="shared" si="0"/>
        <v>304332</v>
      </c>
      <c r="K51" s="4" t="s">
        <v>48</v>
      </c>
      <c r="L51" s="6">
        <v>3.6230000000000002</v>
      </c>
      <c r="M51" s="6">
        <v>0.27600000000000002</v>
      </c>
      <c r="N51" s="6">
        <v>3.6036999999999999</v>
      </c>
      <c r="O51" s="6">
        <v>1</v>
      </c>
      <c r="P51" s="5">
        <v>2436</v>
      </c>
      <c r="Q51" s="4" t="s">
        <v>1390</v>
      </c>
    </row>
    <row r="52" spans="1:17" x14ac:dyDescent="0.3">
      <c r="A52" s="2" t="s">
        <v>1389</v>
      </c>
      <c r="B52" s="3">
        <v>57535</v>
      </c>
      <c r="C52" s="3">
        <v>178526</v>
      </c>
      <c r="D52" s="4" t="s">
        <v>17</v>
      </c>
      <c r="E52" s="4" t="s">
        <v>1201</v>
      </c>
      <c r="F52" s="4" t="s">
        <v>32</v>
      </c>
      <c r="G52" s="4" t="s">
        <v>34</v>
      </c>
      <c r="H52" s="5">
        <v>-84000</v>
      </c>
      <c r="I52" s="4" t="s">
        <v>21</v>
      </c>
      <c r="J52" s="5">
        <f t="shared" si="0"/>
        <v>304332</v>
      </c>
      <c r="K52" s="4" t="s">
        <v>37</v>
      </c>
      <c r="L52" s="6">
        <v>3.6230000000000002</v>
      </c>
      <c r="M52" s="6">
        <v>0.27600000000000002</v>
      </c>
      <c r="N52" s="6">
        <v>3.6082999999999998</v>
      </c>
      <c r="O52" s="6">
        <v>1</v>
      </c>
      <c r="P52" s="5">
        <v>2058</v>
      </c>
      <c r="Q52" s="4" t="s">
        <v>1390</v>
      </c>
    </row>
    <row r="53" spans="1:17" x14ac:dyDescent="0.3">
      <c r="A53" s="2" t="s">
        <v>1389</v>
      </c>
      <c r="B53" s="3">
        <v>57536</v>
      </c>
      <c r="C53" s="3">
        <v>178527</v>
      </c>
      <c r="D53" s="4" t="s">
        <v>17</v>
      </c>
      <c r="E53" s="4" t="s">
        <v>1201</v>
      </c>
      <c r="F53" s="4" t="s">
        <v>32</v>
      </c>
      <c r="G53" s="4" t="s">
        <v>34</v>
      </c>
      <c r="H53" s="5">
        <v>-84000</v>
      </c>
      <c r="I53" s="4" t="s">
        <v>21</v>
      </c>
      <c r="J53" s="5">
        <f t="shared" si="0"/>
        <v>304332</v>
      </c>
      <c r="K53" s="4" t="s">
        <v>35</v>
      </c>
      <c r="L53" s="6">
        <v>3.6230000000000002</v>
      </c>
      <c r="M53" s="6">
        <v>0.27600000000000002</v>
      </c>
      <c r="N53" s="6">
        <v>3.6139999999999999</v>
      </c>
      <c r="O53" s="6">
        <v>1</v>
      </c>
      <c r="P53" s="5">
        <v>1587.6</v>
      </c>
      <c r="Q53" s="4" t="s">
        <v>1390</v>
      </c>
    </row>
    <row r="54" spans="1:17" x14ac:dyDescent="0.3">
      <c r="A54" s="2" t="s">
        <v>1389</v>
      </c>
      <c r="B54" s="3">
        <v>57537</v>
      </c>
      <c r="C54" s="3">
        <v>178528</v>
      </c>
      <c r="D54" s="4" t="s">
        <v>17</v>
      </c>
      <c r="E54" s="4" t="s">
        <v>1201</v>
      </c>
      <c r="F54" s="4" t="s">
        <v>32</v>
      </c>
      <c r="G54" s="4" t="s">
        <v>34</v>
      </c>
      <c r="H54" s="5">
        <v>-84000</v>
      </c>
      <c r="I54" s="4" t="s">
        <v>21</v>
      </c>
      <c r="J54" s="5">
        <f t="shared" si="0"/>
        <v>304332</v>
      </c>
      <c r="K54" s="4" t="s">
        <v>22</v>
      </c>
      <c r="L54" s="6">
        <v>3.6230000000000002</v>
      </c>
      <c r="M54" s="6">
        <v>0.27600000000000002</v>
      </c>
      <c r="N54" s="6">
        <v>3.6153</v>
      </c>
      <c r="O54" s="6">
        <v>1</v>
      </c>
      <c r="P54" s="5">
        <v>1486.8</v>
      </c>
      <c r="Q54" s="4" t="s">
        <v>1390</v>
      </c>
    </row>
    <row r="55" spans="1:17" x14ac:dyDescent="0.3">
      <c r="A55" s="2" t="s">
        <v>1389</v>
      </c>
      <c r="B55" s="3">
        <v>57538</v>
      </c>
      <c r="C55" s="3">
        <v>178529</v>
      </c>
      <c r="D55" s="4" t="s">
        <v>17</v>
      </c>
      <c r="E55" s="4" t="s">
        <v>1201</v>
      </c>
      <c r="F55" s="4" t="s">
        <v>32</v>
      </c>
      <c r="G55" s="4" t="s">
        <v>34</v>
      </c>
      <c r="H55" s="5">
        <v>-84000</v>
      </c>
      <c r="I55" s="4" t="s">
        <v>21</v>
      </c>
      <c r="J55" s="5">
        <f t="shared" si="0"/>
        <v>304332</v>
      </c>
      <c r="K55" s="4" t="s">
        <v>49</v>
      </c>
      <c r="L55" s="6">
        <v>3.6230000000000002</v>
      </c>
      <c r="M55" s="6">
        <v>0.27600000000000002</v>
      </c>
      <c r="N55" s="6">
        <v>3.6345999999999998</v>
      </c>
      <c r="O55" s="6">
        <v>1</v>
      </c>
      <c r="P55" s="5">
        <v>-109.2</v>
      </c>
      <c r="Q55" s="4" t="s">
        <v>1390</v>
      </c>
    </row>
    <row r="56" spans="1:17" x14ac:dyDescent="0.3">
      <c r="A56" s="2" t="s">
        <v>1389</v>
      </c>
      <c r="B56" s="3">
        <v>57539</v>
      </c>
      <c r="C56" s="3">
        <v>178530</v>
      </c>
      <c r="D56" s="4" t="s">
        <v>17</v>
      </c>
      <c r="E56" s="4" t="s">
        <v>1201</v>
      </c>
      <c r="F56" s="4" t="s">
        <v>32</v>
      </c>
      <c r="G56" s="4" t="s">
        <v>34</v>
      </c>
      <c r="H56" s="5">
        <v>-84000</v>
      </c>
      <c r="I56" s="4" t="s">
        <v>21</v>
      </c>
      <c r="J56" s="5">
        <f t="shared" si="0"/>
        <v>304332</v>
      </c>
      <c r="K56" s="4" t="s">
        <v>39</v>
      </c>
      <c r="L56" s="6">
        <v>3.6230000000000002</v>
      </c>
      <c r="M56" s="6">
        <v>0.27600000000000002</v>
      </c>
      <c r="N56" s="6">
        <v>3.6345999999999998</v>
      </c>
      <c r="O56" s="6">
        <v>1</v>
      </c>
      <c r="P56" s="5">
        <v>-109.2</v>
      </c>
      <c r="Q56" s="4" t="s">
        <v>1390</v>
      </c>
    </row>
    <row r="57" spans="1:17" x14ac:dyDescent="0.3">
      <c r="A57" s="2" t="s">
        <v>1389</v>
      </c>
      <c r="B57" s="3">
        <v>57540</v>
      </c>
      <c r="C57" s="3">
        <v>178531</v>
      </c>
      <c r="D57" s="4" t="s">
        <v>17</v>
      </c>
      <c r="E57" s="4" t="s">
        <v>1201</v>
      </c>
      <c r="F57" s="4" t="s">
        <v>32</v>
      </c>
      <c r="G57" s="4" t="s">
        <v>34</v>
      </c>
      <c r="H57" s="5">
        <v>-84000</v>
      </c>
      <c r="I57" s="4" t="s">
        <v>21</v>
      </c>
      <c r="J57" s="5">
        <f t="shared" si="0"/>
        <v>304332</v>
      </c>
      <c r="K57" s="4" t="s">
        <v>50</v>
      </c>
      <c r="L57" s="6">
        <v>3.6230000000000002</v>
      </c>
      <c r="M57" s="6">
        <v>0.27600000000000002</v>
      </c>
      <c r="N57" s="6">
        <v>3.6053999999999999</v>
      </c>
      <c r="O57" s="6">
        <v>1</v>
      </c>
      <c r="P57" s="5">
        <v>2352</v>
      </c>
      <c r="Q57" s="4" t="s">
        <v>1390</v>
      </c>
    </row>
    <row r="58" spans="1:17" x14ac:dyDescent="0.3">
      <c r="A58" s="2" t="s">
        <v>1389</v>
      </c>
      <c r="B58" s="3">
        <v>57541</v>
      </c>
      <c r="C58" s="3">
        <v>178532</v>
      </c>
      <c r="D58" s="4" t="s">
        <v>17</v>
      </c>
      <c r="E58" s="4" t="s">
        <v>1201</v>
      </c>
      <c r="F58" s="4" t="s">
        <v>32</v>
      </c>
      <c r="G58" s="4" t="s">
        <v>34</v>
      </c>
      <c r="H58" s="5">
        <v>-84000</v>
      </c>
      <c r="I58" s="4" t="s">
        <v>21</v>
      </c>
      <c r="J58" s="5">
        <f t="shared" si="0"/>
        <v>304332</v>
      </c>
      <c r="K58" s="4" t="s">
        <v>51</v>
      </c>
      <c r="L58" s="6">
        <v>3.6230000000000002</v>
      </c>
      <c r="M58" s="6">
        <v>0.27600000000000002</v>
      </c>
      <c r="N58" s="6">
        <v>3.6118000000000001</v>
      </c>
      <c r="O58" s="6">
        <v>1</v>
      </c>
      <c r="P58" s="5">
        <v>1822.8</v>
      </c>
      <c r="Q58" s="4" t="s">
        <v>1390</v>
      </c>
    </row>
    <row r="59" spans="1:17" x14ac:dyDescent="0.3">
      <c r="A59" s="2" t="s">
        <v>1389</v>
      </c>
      <c r="B59" s="3">
        <v>57542</v>
      </c>
      <c r="C59" s="3">
        <v>178533</v>
      </c>
      <c r="D59" s="4" t="s">
        <v>17</v>
      </c>
      <c r="E59" s="4" t="s">
        <v>1201</v>
      </c>
      <c r="F59" s="4" t="s">
        <v>32</v>
      </c>
      <c r="G59" s="4" t="s">
        <v>34</v>
      </c>
      <c r="H59" s="5">
        <v>-84000</v>
      </c>
      <c r="I59" s="4" t="s">
        <v>21</v>
      </c>
      <c r="J59" s="5">
        <f t="shared" si="0"/>
        <v>304332</v>
      </c>
      <c r="K59" s="4" t="s">
        <v>52</v>
      </c>
      <c r="L59" s="6">
        <v>3.6230000000000002</v>
      </c>
      <c r="M59" s="6">
        <v>0.27600000000000002</v>
      </c>
      <c r="N59" s="6">
        <v>3.6027999999999998</v>
      </c>
      <c r="O59" s="6">
        <v>1</v>
      </c>
      <c r="P59" s="5">
        <v>2587.1999999999998</v>
      </c>
      <c r="Q59" s="4" t="s">
        <v>1390</v>
      </c>
    </row>
    <row r="60" spans="1:17" x14ac:dyDescent="0.3">
      <c r="A60" s="2" t="s">
        <v>1389</v>
      </c>
      <c r="B60" s="3">
        <v>57543</v>
      </c>
      <c r="C60" s="3">
        <v>178534</v>
      </c>
      <c r="D60" s="4" t="s">
        <v>17</v>
      </c>
      <c r="E60" s="4" t="s">
        <v>1201</v>
      </c>
      <c r="F60" s="4" t="s">
        <v>32</v>
      </c>
      <c r="G60" s="4" t="s">
        <v>34</v>
      </c>
      <c r="H60" s="5">
        <v>-84000</v>
      </c>
      <c r="I60" s="4" t="s">
        <v>21</v>
      </c>
      <c r="J60" s="5">
        <f t="shared" si="0"/>
        <v>304332</v>
      </c>
      <c r="K60" s="4" t="s">
        <v>53</v>
      </c>
      <c r="L60" s="6">
        <v>3.6230000000000002</v>
      </c>
      <c r="M60" s="6">
        <v>0.27600000000000002</v>
      </c>
      <c r="N60" s="6">
        <v>3.5831</v>
      </c>
      <c r="O60" s="6">
        <v>1</v>
      </c>
      <c r="P60" s="5">
        <v>4258.8</v>
      </c>
      <c r="Q60" s="4" t="s">
        <v>1390</v>
      </c>
    </row>
    <row r="61" spans="1:17" x14ac:dyDescent="0.3">
      <c r="A61" s="2" t="s">
        <v>1389</v>
      </c>
      <c r="B61" s="3">
        <v>57544</v>
      </c>
      <c r="C61" s="3">
        <v>178535</v>
      </c>
      <c r="D61" s="4" t="s">
        <v>17</v>
      </c>
      <c r="E61" s="4" t="s">
        <v>1201</v>
      </c>
      <c r="F61" s="4" t="s">
        <v>32</v>
      </c>
      <c r="G61" s="4" t="s">
        <v>34</v>
      </c>
      <c r="H61" s="5">
        <v>-84000</v>
      </c>
      <c r="I61" s="4" t="s">
        <v>21</v>
      </c>
      <c r="J61" s="5">
        <f t="shared" si="0"/>
        <v>304332</v>
      </c>
      <c r="K61" s="4" t="s">
        <v>54</v>
      </c>
      <c r="L61" s="6">
        <v>3.6230000000000002</v>
      </c>
      <c r="M61" s="6">
        <v>0.27600000000000002</v>
      </c>
      <c r="N61" s="6">
        <v>3.5499000000000001</v>
      </c>
      <c r="O61" s="6">
        <v>1</v>
      </c>
      <c r="P61" s="5">
        <v>7056</v>
      </c>
      <c r="Q61" s="4" t="s">
        <v>1390</v>
      </c>
    </row>
    <row r="62" spans="1:17" x14ac:dyDescent="0.3">
      <c r="A62" s="2" t="s">
        <v>1389</v>
      </c>
      <c r="B62" s="3">
        <v>57545</v>
      </c>
      <c r="C62" s="3">
        <v>178536</v>
      </c>
      <c r="D62" s="4" t="s">
        <v>17</v>
      </c>
      <c r="E62" s="4" t="s">
        <v>1201</v>
      </c>
      <c r="F62" s="4" t="s">
        <v>32</v>
      </c>
      <c r="G62" s="4" t="s">
        <v>34</v>
      </c>
      <c r="H62" s="5">
        <v>-84000</v>
      </c>
      <c r="I62" s="4" t="s">
        <v>21</v>
      </c>
      <c r="J62" s="5">
        <f t="shared" si="0"/>
        <v>304332</v>
      </c>
      <c r="K62" s="4" t="s">
        <v>30</v>
      </c>
      <c r="L62" s="6">
        <v>3.6230000000000002</v>
      </c>
      <c r="M62" s="6">
        <v>0.27600000000000002</v>
      </c>
      <c r="N62" s="6">
        <v>3.5354000000000001</v>
      </c>
      <c r="O62" s="6">
        <v>1</v>
      </c>
      <c r="P62" s="5">
        <v>8282.4</v>
      </c>
      <c r="Q62" s="4" t="s">
        <v>1390</v>
      </c>
    </row>
    <row r="63" spans="1:17" x14ac:dyDescent="0.3">
      <c r="A63" s="2" t="s">
        <v>1389</v>
      </c>
      <c r="B63" s="3">
        <v>57546</v>
      </c>
      <c r="C63" s="3">
        <v>178537</v>
      </c>
      <c r="D63" s="4" t="s">
        <v>17</v>
      </c>
      <c r="E63" s="4" t="s">
        <v>1201</v>
      </c>
      <c r="F63" s="4" t="s">
        <v>32</v>
      </c>
      <c r="G63" s="4" t="s">
        <v>34</v>
      </c>
      <c r="H63" s="5">
        <v>-84000</v>
      </c>
      <c r="I63" s="4" t="s">
        <v>21</v>
      </c>
      <c r="J63" s="5">
        <f t="shared" si="0"/>
        <v>304332</v>
      </c>
      <c r="K63" s="4" t="s">
        <v>55</v>
      </c>
      <c r="L63" s="6">
        <v>3.6230000000000002</v>
      </c>
      <c r="M63" s="6">
        <v>0.27600000000000002</v>
      </c>
      <c r="N63" s="6">
        <v>3.5045000000000002</v>
      </c>
      <c r="O63" s="6">
        <v>1</v>
      </c>
      <c r="P63" s="5">
        <v>10886.4</v>
      </c>
      <c r="Q63" s="4" t="s">
        <v>1390</v>
      </c>
    </row>
    <row r="64" spans="1:17" x14ac:dyDescent="0.3">
      <c r="A64" s="2" t="s">
        <v>1389</v>
      </c>
      <c r="B64" s="3">
        <v>57547</v>
      </c>
      <c r="C64" s="3">
        <v>178538</v>
      </c>
      <c r="D64" s="4" t="s">
        <v>17</v>
      </c>
      <c r="E64" s="4" t="s">
        <v>1201</v>
      </c>
      <c r="F64" s="4" t="s">
        <v>32</v>
      </c>
      <c r="G64" s="4" t="s">
        <v>34</v>
      </c>
      <c r="H64" s="5">
        <v>-84000</v>
      </c>
      <c r="I64" s="4" t="s">
        <v>21</v>
      </c>
      <c r="J64" s="5">
        <f t="shared" si="0"/>
        <v>304332</v>
      </c>
      <c r="K64" s="4" t="s">
        <v>27</v>
      </c>
      <c r="L64" s="6">
        <v>3.6230000000000002</v>
      </c>
      <c r="M64" s="6">
        <v>0.27600000000000002</v>
      </c>
      <c r="N64" s="6">
        <v>3.5188999999999999</v>
      </c>
      <c r="O64" s="6">
        <v>1</v>
      </c>
      <c r="P64" s="5">
        <v>9685.2000000000007</v>
      </c>
      <c r="Q64" s="4" t="s">
        <v>1390</v>
      </c>
    </row>
    <row r="65" spans="1:17" x14ac:dyDescent="0.3">
      <c r="A65" s="2" t="s">
        <v>1389</v>
      </c>
      <c r="B65" s="3">
        <v>136028</v>
      </c>
      <c r="C65" s="3">
        <v>186607</v>
      </c>
      <c r="D65" s="4" t="s">
        <v>17</v>
      </c>
      <c r="E65" s="4" t="s">
        <v>858</v>
      </c>
      <c r="F65" s="4" t="s">
        <v>19</v>
      </c>
      <c r="G65" s="4" t="s">
        <v>20</v>
      </c>
      <c r="H65" s="5">
        <v>500000</v>
      </c>
      <c r="I65" s="4" t="s">
        <v>21</v>
      </c>
      <c r="J65" s="5">
        <f t="shared" si="0"/>
        <v>-2126500</v>
      </c>
      <c r="K65" s="4" t="s">
        <v>27</v>
      </c>
      <c r="L65" s="6">
        <v>4.2530000000000001</v>
      </c>
      <c r="M65" s="6">
        <v>0.2351</v>
      </c>
      <c r="N65" s="6">
        <v>4.2072000000000003</v>
      </c>
      <c r="O65" s="6">
        <v>1</v>
      </c>
      <c r="P65" s="5">
        <v>-22900</v>
      </c>
      <c r="Q65" s="4" t="s">
        <v>1390</v>
      </c>
    </row>
    <row r="66" spans="1:17" x14ac:dyDescent="0.3">
      <c r="A66" s="2" t="s">
        <v>1389</v>
      </c>
      <c r="B66" s="3">
        <v>136782</v>
      </c>
      <c r="C66" s="3">
        <v>189094</v>
      </c>
      <c r="D66" s="4" t="s">
        <v>17</v>
      </c>
      <c r="E66" s="4" t="s">
        <v>815</v>
      </c>
      <c r="F66" s="4" t="s">
        <v>32</v>
      </c>
      <c r="G66" s="4" t="s">
        <v>34</v>
      </c>
      <c r="H66" s="5">
        <v>-90000</v>
      </c>
      <c r="I66" s="4" t="s">
        <v>21</v>
      </c>
      <c r="J66" s="5">
        <f t="shared" si="0"/>
        <v>327465</v>
      </c>
      <c r="K66" s="4" t="s">
        <v>42</v>
      </c>
      <c r="L66" s="6">
        <v>3.6385000000000001</v>
      </c>
      <c r="M66" s="6">
        <v>0.27479999999999999</v>
      </c>
      <c r="N66" s="6">
        <v>3.6070000000000002</v>
      </c>
      <c r="O66" s="6">
        <v>1</v>
      </c>
      <c r="P66" s="5">
        <v>3420</v>
      </c>
      <c r="Q66" s="4" t="s">
        <v>1390</v>
      </c>
    </row>
    <row r="67" spans="1:17" x14ac:dyDescent="0.3">
      <c r="A67" s="2" t="s">
        <v>1389</v>
      </c>
      <c r="B67" s="3">
        <v>136795</v>
      </c>
      <c r="C67" s="3">
        <v>189123</v>
      </c>
      <c r="D67" s="4" t="s">
        <v>17</v>
      </c>
      <c r="E67" s="4" t="s">
        <v>815</v>
      </c>
      <c r="F67" s="4" t="s">
        <v>19</v>
      </c>
      <c r="G67" s="4" t="s">
        <v>20</v>
      </c>
      <c r="H67" s="5">
        <v>191000</v>
      </c>
      <c r="I67" s="4" t="s">
        <v>21</v>
      </c>
      <c r="J67" s="5">
        <f t="shared" si="0"/>
        <v>-811558.99999999988</v>
      </c>
      <c r="K67" s="4" t="s">
        <v>45</v>
      </c>
      <c r="L67" s="6">
        <v>4.2489999999999997</v>
      </c>
      <c r="M67" s="6">
        <v>0.23530000000000001</v>
      </c>
      <c r="N67" s="6">
        <v>4.2267000000000001</v>
      </c>
      <c r="O67" s="6">
        <v>1</v>
      </c>
      <c r="P67" s="5">
        <v>-4259.2999999998137</v>
      </c>
      <c r="Q67" s="4" t="s">
        <v>1390</v>
      </c>
    </row>
    <row r="68" spans="1:17" x14ac:dyDescent="0.3">
      <c r="A68" s="2" t="s">
        <v>1389</v>
      </c>
      <c r="B68" s="3">
        <v>136811</v>
      </c>
      <c r="C68" s="3">
        <v>189203</v>
      </c>
      <c r="D68" s="4" t="s">
        <v>17</v>
      </c>
      <c r="E68" s="4" t="s">
        <v>815</v>
      </c>
      <c r="F68" s="4" t="s">
        <v>19</v>
      </c>
      <c r="G68" s="4" t="s">
        <v>20</v>
      </c>
      <c r="H68" s="5">
        <v>290000</v>
      </c>
      <c r="I68" s="4" t="s">
        <v>21</v>
      </c>
      <c r="J68" s="5">
        <f t="shared" ref="J68:J131" si="1">-H68*L68</f>
        <v>-1233138</v>
      </c>
      <c r="K68" s="4" t="s">
        <v>45</v>
      </c>
      <c r="L68" s="6">
        <v>4.2522000000000002</v>
      </c>
      <c r="M68" s="6">
        <v>0.23519999999999999</v>
      </c>
      <c r="N68" s="6">
        <v>4.2267000000000001</v>
      </c>
      <c r="O68" s="6">
        <v>1</v>
      </c>
      <c r="P68" s="5">
        <v>-7395</v>
      </c>
      <c r="Q68" s="4" t="s">
        <v>1390</v>
      </c>
    </row>
    <row r="69" spans="1:17" x14ac:dyDescent="0.3">
      <c r="A69" s="2" t="s">
        <v>1389</v>
      </c>
      <c r="B69" s="3">
        <v>136943</v>
      </c>
      <c r="C69" s="3">
        <v>189666</v>
      </c>
      <c r="D69" s="4" t="s">
        <v>17</v>
      </c>
      <c r="E69" s="4" t="s">
        <v>815</v>
      </c>
      <c r="F69" s="4" t="s">
        <v>19</v>
      </c>
      <c r="G69" s="4" t="s">
        <v>20</v>
      </c>
      <c r="H69" s="5">
        <v>100000</v>
      </c>
      <c r="I69" s="4" t="s">
        <v>21</v>
      </c>
      <c r="J69" s="5">
        <f t="shared" si="1"/>
        <v>-424850</v>
      </c>
      <c r="K69" s="4" t="s">
        <v>45</v>
      </c>
      <c r="L69" s="6">
        <v>4.2484999999999999</v>
      </c>
      <c r="M69" s="6">
        <v>0.2354</v>
      </c>
      <c r="N69" s="6">
        <v>4.2267000000000001</v>
      </c>
      <c r="O69" s="6">
        <v>1</v>
      </c>
      <c r="P69" s="5">
        <v>-2180</v>
      </c>
      <c r="Q69" s="4" t="s">
        <v>1390</v>
      </c>
    </row>
    <row r="70" spans="1:17" x14ac:dyDescent="0.3">
      <c r="A70" s="2" t="s">
        <v>1389</v>
      </c>
      <c r="B70" s="3">
        <v>137144</v>
      </c>
      <c r="C70" s="3">
        <v>190215</v>
      </c>
      <c r="D70" s="4" t="s">
        <v>17</v>
      </c>
      <c r="E70" s="4" t="s">
        <v>1298</v>
      </c>
      <c r="F70" s="4" t="s">
        <v>32</v>
      </c>
      <c r="G70" s="4" t="s">
        <v>20</v>
      </c>
      <c r="H70" s="5">
        <v>-95000</v>
      </c>
      <c r="I70" s="4" t="s">
        <v>21</v>
      </c>
      <c r="J70" s="5">
        <f t="shared" si="1"/>
        <v>404263</v>
      </c>
      <c r="K70" s="4" t="s">
        <v>39</v>
      </c>
      <c r="L70" s="6">
        <v>4.2553999999999998</v>
      </c>
      <c r="M70" s="6">
        <v>0.23499999999999999</v>
      </c>
      <c r="N70" s="6">
        <v>4.2230999999999996</v>
      </c>
      <c r="O70" s="6">
        <v>1</v>
      </c>
      <c r="P70" s="5">
        <v>6450.5</v>
      </c>
      <c r="Q70" s="4" t="s">
        <v>1390</v>
      </c>
    </row>
    <row r="71" spans="1:17" x14ac:dyDescent="0.3">
      <c r="A71" s="2" t="s">
        <v>1389</v>
      </c>
      <c r="B71" s="3">
        <v>137146</v>
      </c>
      <c r="C71" s="3">
        <v>190219</v>
      </c>
      <c r="D71" s="4" t="s">
        <v>17</v>
      </c>
      <c r="E71" s="4" t="s">
        <v>1298</v>
      </c>
      <c r="F71" s="4" t="s">
        <v>32</v>
      </c>
      <c r="G71" s="4" t="s">
        <v>20</v>
      </c>
      <c r="H71" s="5">
        <v>-60000</v>
      </c>
      <c r="I71" s="4" t="s">
        <v>21</v>
      </c>
      <c r="J71" s="5">
        <f t="shared" si="1"/>
        <v>255312.00000000003</v>
      </c>
      <c r="K71" s="4" t="s">
        <v>39</v>
      </c>
      <c r="L71" s="6">
        <v>4.2552000000000003</v>
      </c>
      <c r="M71" s="6">
        <v>0.23499999999999999</v>
      </c>
      <c r="N71" s="6">
        <v>4.2230999999999996</v>
      </c>
      <c r="O71" s="6">
        <v>1</v>
      </c>
      <c r="P71" s="5">
        <v>4062</v>
      </c>
      <c r="Q71" s="4" t="s">
        <v>1390</v>
      </c>
    </row>
    <row r="72" spans="1:17" x14ac:dyDescent="0.3">
      <c r="A72" s="2" t="s">
        <v>1389</v>
      </c>
      <c r="B72" s="3">
        <v>137155</v>
      </c>
      <c r="C72" s="3">
        <v>190254</v>
      </c>
      <c r="D72" s="4" t="s">
        <v>17</v>
      </c>
      <c r="E72" s="4" t="s">
        <v>815</v>
      </c>
      <c r="F72" s="4" t="s">
        <v>19</v>
      </c>
      <c r="G72" s="4" t="s">
        <v>20</v>
      </c>
      <c r="H72" s="5">
        <v>289000</v>
      </c>
      <c r="I72" s="4" t="s">
        <v>21</v>
      </c>
      <c r="J72" s="5">
        <f t="shared" si="1"/>
        <v>-1227527.5</v>
      </c>
      <c r="K72" s="4" t="s">
        <v>45</v>
      </c>
      <c r="L72" s="6">
        <v>4.2474999999999996</v>
      </c>
      <c r="M72" s="6">
        <v>0.2354</v>
      </c>
      <c r="N72" s="6">
        <v>4.2267000000000001</v>
      </c>
      <c r="O72" s="6">
        <v>1</v>
      </c>
      <c r="P72" s="5">
        <v>-6011.1999999999534</v>
      </c>
      <c r="Q72" s="4" t="s">
        <v>1390</v>
      </c>
    </row>
    <row r="73" spans="1:17" x14ac:dyDescent="0.3">
      <c r="A73" s="2" t="s">
        <v>1389</v>
      </c>
      <c r="B73" s="3">
        <v>137236</v>
      </c>
      <c r="C73" s="3">
        <v>190572</v>
      </c>
      <c r="D73" s="4" t="s">
        <v>17</v>
      </c>
      <c r="E73" s="4" t="s">
        <v>815</v>
      </c>
      <c r="F73" s="4" t="s">
        <v>19</v>
      </c>
      <c r="G73" s="4" t="s">
        <v>20</v>
      </c>
      <c r="H73" s="5">
        <v>243000</v>
      </c>
      <c r="I73" s="4" t="s">
        <v>21</v>
      </c>
      <c r="J73" s="5">
        <f t="shared" si="1"/>
        <v>-1032021</v>
      </c>
      <c r="K73" s="4" t="s">
        <v>42</v>
      </c>
      <c r="L73" s="6">
        <v>4.2469999999999999</v>
      </c>
      <c r="M73" s="6">
        <v>0.23549999999999999</v>
      </c>
      <c r="N73" s="6">
        <v>4.2119</v>
      </c>
      <c r="O73" s="6">
        <v>1</v>
      </c>
      <c r="P73" s="5">
        <v>-8529.3000000000466</v>
      </c>
      <c r="Q73" s="4" t="s">
        <v>1390</v>
      </c>
    </row>
    <row r="74" spans="1:17" x14ac:dyDescent="0.3">
      <c r="A74" s="2" t="s">
        <v>1389</v>
      </c>
      <c r="B74" s="3">
        <v>137547</v>
      </c>
      <c r="C74" s="3">
        <v>191177</v>
      </c>
      <c r="D74" s="4" t="s">
        <v>17</v>
      </c>
      <c r="E74" s="4" t="s">
        <v>815</v>
      </c>
      <c r="F74" s="4" t="s">
        <v>19</v>
      </c>
      <c r="G74" s="4" t="s">
        <v>20</v>
      </c>
      <c r="H74" s="5">
        <v>196000</v>
      </c>
      <c r="I74" s="4" t="s">
        <v>21</v>
      </c>
      <c r="J74" s="5">
        <f t="shared" si="1"/>
        <v>-832803.99999999988</v>
      </c>
      <c r="K74" s="4" t="s">
        <v>42</v>
      </c>
      <c r="L74" s="6">
        <v>4.2489999999999997</v>
      </c>
      <c r="M74" s="6">
        <v>0.23530000000000001</v>
      </c>
      <c r="N74" s="6">
        <v>4.2119</v>
      </c>
      <c r="O74" s="6">
        <v>1</v>
      </c>
      <c r="P74" s="5">
        <v>-7271.5999999998603</v>
      </c>
      <c r="Q74" s="4" t="s">
        <v>1390</v>
      </c>
    </row>
    <row r="75" spans="1:17" x14ac:dyDescent="0.3">
      <c r="A75" s="2" t="s">
        <v>1389</v>
      </c>
      <c r="B75" s="3">
        <v>137553</v>
      </c>
      <c r="C75" s="3">
        <v>191192</v>
      </c>
      <c r="D75" s="4" t="s">
        <v>17</v>
      </c>
      <c r="E75" s="4" t="s">
        <v>815</v>
      </c>
      <c r="F75" s="4" t="s">
        <v>19</v>
      </c>
      <c r="G75" s="4" t="s">
        <v>20</v>
      </c>
      <c r="H75" s="5">
        <v>196000</v>
      </c>
      <c r="I75" s="4" t="s">
        <v>21</v>
      </c>
      <c r="J75" s="5">
        <f t="shared" si="1"/>
        <v>-832314</v>
      </c>
      <c r="K75" s="4" t="s">
        <v>42</v>
      </c>
      <c r="L75" s="6">
        <v>4.2465000000000002</v>
      </c>
      <c r="M75" s="6">
        <v>0.23549999999999999</v>
      </c>
      <c r="N75" s="6">
        <v>4.2119</v>
      </c>
      <c r="O75" s="6">
        <v>1</v>
      </c>
      <c r="P75" s="5">
        <v>-6781.5999999999767</v>
      </c>
      <c r="Q75" s="4" t="s">
        <v>1390</v>
      </c>
    </row>
    <row r="76" spans="1:17" x14ac:dyDescent="0.3">
      <c r="A76" s="2" t="s">
        <v>1389</v>
      </c>
      <c r="B76" s="3">
        <v>137577</v>
      </c>
      <c r="C76" s="3">
        <v>191289</v>
      </c>
      <c r="D76" s="4" t="s">
        <v>17</v>
      </c>
      <c r="E76" s="4" t="s">
        <v>815</v>
      </c>
      <c r="F76" s="4" t="s">
        <v>19</v>
      </c>
      <c r="G76" s="4" t="s">
        <v>20</v>
      </c>
      <c r="H76" s="5">
        <v>353000</v>
      </c>
      <c r="I76" s="4" t="s">
        <v>21</v>
      </c>
      <c r="J76" s="5">
        <f t="shared" si="1"/>
        <v>-1499296.9000000001</v>
      </c>
      <c r="K76" s="4" t="s">
        <v>42</v>
      </c>
      <c r="L76" s="6">
        <v>4.2473000000000001</v>
      </c>
      <c r="M76" s="6">
        <v>0.2354</v>
      </c>
      <c r="N76" s="6">
        <v>4.2119</v>
      </c>
      <c r="O76" s="6">
        <v>1</v>
      </c>
      <c r="P76" s="5">
        <v>-12496.200000000186</v>
      </c>
      <c r="Q76" s="4" t="s">
        <v>1390</v>
      </c>
    </row>
    <row r="77" spans="1:17" x14ac:dyDescent="0.3">
      <c r="A77" s="2" t="s">
        <v>1389</v>
      </c>
      <c r="B77" s="3">
        <v>137599</v>
      </c>
      <c r="C77" s="3">
        <v>191358</v>
      </c>
      <c r="D77" s="4" t="s">
        <v>17</v>
      </c>
      <c r="E77" s="4" t="s">
        <v>815</v>
      </c>
      <c r="F77" s="4" t="s">
        <v>19</v>
      </c>
      <c r="G77" s="4" t="s">
        <v>20</v>
      </c>
      <c r="H77" s="5">
        <v>493000</v>
      </c>
      <c r="I77" s="4" t="s">
        <v>21</v>
      </c>
      <c r="J77" s="5">
        <f t="shared" si="1"/>
        <v>-2092785</v>
      </c>
      <c r="K77" s="4" t="s">
        <v>42</v>
      </c>
      <c r="L77" s="6">
        <v>4.2450000000000001</v>
      </c>
      <c r="M77" s="6">
        <v>0.2356</v>
      </c>
      <c r="N77" s="6">
        <v>4.2119</v>
      </c>
      <c r="O77" s="6">
        <v>1</v>
      </c>
      <c r="P77" s="5">
        <v>-16318.300000000047</v>
      </c>
      <c r="Q77" s="4" t="s">
        <v>1390</v>
      </c>
    </row>
    <row r="78" spans="1:17" x14ac:dyDescent="0.3">
      <c r="A78" s="2" t="s">
        <v>1389</v>
      </c>
      <c r="B78" s="3">
        <v>137602</v>
      </c>
      <c r="C78" s="3">
        <v>191370</v>
      </c>
      <c r="D78" s="4" t="s">
        <v>17</v>
      </c>
      <c r="E78" s="4" t="s">
        <v>815</v>
      </c>
      <c r="F78" s="4" t="s">
        <v>19</v>
      </c>
      <c r="G78" s="4" t="s">
        <v>20</v>
      </c>
      <c r="H78" s="5">
        <v>114000</v>
      </c>
      <c r="I78" s="4" t="s">
        <v>21</v>
      </c>
      <c r="J78" s="5">
        <f t="shared" si="1"/>
        <v>-484214.99999999994</v>
      </c>
      <c r="K78" s="4" t="s">
        <v>42</v>
      </c>
      <c r="L78" s="6">
        <v>4.2474999999999996</v>
      </c>
      <c r="M78" s="6">
        <v>0.2354</v>
      </c>
      <c r="N78" s="6">
        <v>4.2119</v>
      </c>
      <c r="O78" s="6">
        <v>1</v>
      </c>
      <c r="P78" s="5">
        <v>-4058.3999999999651</v>
      </c>
      <c r="Q78" s="4" t="s">
        <v>1390</v>
      </c>
    </row>
    <row r="79" spans="1:17" x14ac:dyDescent="0.3">
      <c r="A79" s="2" t="s">
        <v>1389</v>
      </c>
      <c r="B79" s="3">
        <v>137629</v>
      </c>
      <c r="C79" s="3">
        <v>191451</v>
      </c>
      <c r="D79" s="4" t="s">
        <v>17</v>
      </c>
      <c r="E79" s="4" t="s">
        <v>815</v>
      </c>
      <c r="F79" s="4" t="s">
        <v>19</v>
      </c>
      <c r="G79" s="4" t="s">
        <v>20</v>
      </c>
      <c r="H79" s="5">
        <v>197000</v>
      </c>
      <c r="I79" s="4" t="s">
        <v>21</v>
      </c>
      <c r="J79" s="5">
        <f t="shared" si="1"/>
        <v>-836856</v>
      </c>
      <c r="K79" s="4" t="s">
        <v>42</v>
      </c>
      <c r="L79" s="6">
        <v>4.2480000000000002</v>
      </c>
      <c r="M79" s="6">
        <v>0.2354</v>
      </c>
      <c r="N79" s="6">
        <v>4.2119</v>
      </c>
      <c r="O79" s="6">
        <v>1</v>
      </c>
      <c r="P79" s="5">
        <v>-7111.6999999999534</v>
      </c>
      <c r="Q79" s="4" t="s">
        <v>1390</v>
      </c>
    </row>
    <row r="80" spans="1:17" x14ac:dyDescent="0.3">
      <c r="A80" s="2" t="s">
        <v>1389</v>
      </c>
      <c r="B80" s="3">
        <v>137642</v>
      </c>
      <c r="C80" s="3">
        <v>191514</v>
      </c>
      <c r="D80" s="4" t="s">
        <v>17</v>
      </c>
      <c r="E80" s="4" t="s">
        <v>815</v>
      </c>
      <c r="F80" s="4" t="s">
        <v>19</v>
      </c>
      <c r="G80" s="4" t="s">
        <v>20</v>
      </c>
      <c r="H80" s="5">
        <v>312000</v>
      </c>
      <c r="I80" s="4" t="s">
        <v>21</v>
      </c>
      <c r="J80" s="5">
        <f t="shared" si="1"/>
        <v>-1325282.3999999999</v>
      </c>
      <c r="K80" s="4" t="s">
        <v>22</v>
      </c>
      <c r="L80" s="6">
        <v>4.2477</v>
      </c>
      <c r="M80" s="6">
        <v>0.2354</v>
      </c>
      <c r="N80" s="6">
        <v>4.2068000000000003</v>
      </c>
      <c r="O80" s="6">
        <v>1</v>
      </c>
      <c r="P80" s="5">
        <v>-12760.799999999814</v>
      </c>
      <c r="Q80" s="4" t="s">
        <v>1390</v>
      </c>
    </row>
    <row r="81" spans="1:17" x14ac:dyDescent="0.3">
      <c r="A81" s="2" t="s">
        <v>1389</v>
      </c>
      <c r="B81" s="3">
        <v>137704</v>
      </c>
      <c r="C81" s="3">
        <v>191795</v>
      </c>
      <c r="D81" s="4" t="s">
        <v>17</v>
      </c>
      <c r="E81" s="4" t="s">
        <v>815</v>
      </c>
      <c r="F81" s="4" t="s">
        <v>19</v>
      </c>
      <c r="G81" s="4" t="s">
        <v>20</v>
      </c>
      <c r="H81" s="5">
        <v>127000</v>
      </c>
      <c r="I81" s="4" t="s">
        <v>21</v>
      </c>
      <c r="J81" s="5">
        <f t="shared" si="1"/>
        <v>-540258</v>
      </c>
      <c r="K81" s="4" t="s">
        <v>22</v>
      </c>
      <c r="L81" s="6">
        <v>4.2539999999999996</v>
      </c>
      <c r="M81" s="6">
        <v>0.2351</v>
      </c>
      <c r="N81" s="6">
        <v>4.2068000000000003</v>
      </c>
      <c r="O81" s="6">
        <v>1</v>
      </c>
      <c r="P81" s="5">
        <v>-5994.3999999999069</v>
      </c>
      <c r="Q81" s="4" t="s">
        <v>1390</v>
      </c>
    </row>
    <row r="82" spans="1:17" x14ac:dyDescent="0.3">
      <c r="A82" s="2" t="s">
        <v>1389</v>
      </c>
      <c r="B82" s="3">
        <v>139895</v>
      </c>
      <c r="C82" s="3">
        <v>192504</v>
      </c>
      <c r="D82" s="4" t="s">
        <v>17</v>
      </c>
      <c r="E82" s="4" t="s">
        <v>1071</v>
      </c>
      <c r="F82" s="4" t="s">
        <v>19</v>
      </c>
      <c r="G82" s="4" t="s">
        <v>20</v>
      </c>
      <c r="H82" s="5">
        <v>73482.92</v>
      </c>
      <c r="I82" s="4" t="s">
        <v>21</v>
      </c>
      <c r="J82" s="5">
        <f t="shared" si="1"/>
        <v>-312971.10457199998</v>
      </c>
      <c r="K82" s="4" t="s">
        <v>42</v>
      </c>
      <c r="L82" s="6">
        <v>4.2591000000000001</v>
      </c>
      <c r="M82" s="6">
        <v>0.23480000000000001</v>
      </c>
      <c r="N82" s="6">
        <v>4.2119</v>
      </c>
      <c r="O82" s="6">
        <v>1</v>
      </c>
      <c r="P82" s="5">
        <v>-3468.3938239999698</v>
      </c>
      <c r="Q82" s="4" t="s">
        <v>1390</v>
      </c>
    </row>
    <row r="83" spans="1:17" x14ac:dyDescent="0.3">
      <c r="A83" s="2" t="s">
        <v>1389</v>
      </c>
      <c r="B83" s="3">
        <v>140034</v>
      </c>
      <c r="C83" s="3">
        <v>192742</v>
      </c>
      <c r="D83" s="4" t="s">
        <v>17</v>
      </c>
      <c r="E83" s="4" t="s">
        <v>815</v>
      </c>
      <c r="F83" s="4" t="s">
        <v>19</v>
      </c>
      <c r="G83" s="4" t="s">
        <v>20</v>
      </c>
      <c r="H83" s="5">
        <v>200000</v>
      </c>
      <c r="I83" s="4" t="s">
        <v>21</v>
      </c>
      <c r="J83" s="5">
        <f t="shared" si="1"/>
        <v>-851000</v>
      </c>
      <c r="K83" s="4" t="s">
        <v>22</v>
      </c>
      <c r="L83" s="6">
        <v>4.2549999999999999</v>
      </c>
      <c r="M83" s="6">
        <v>0.23499999999999999</v>
      </c>
      <c r="N83" s="6">
        <v>4.2068000000000003</v>
      </c>
      <c r="O83" s="6">
        <v>1</v>
      </c>
      <c r="P83" s="5">
        <v>-9639.9999999998836</v>
      </c>
      <c r="Q83" s="4" t="s">
        <v>1390</v>
      </c>
    </row>
    <row r="84" spans="1:17" x14ac:dyDescent="0.3">
      <c r="A84" s="2" t="s">
        <v>1389</v>
      </c>
      <c r="B84" s="3">
        <v>140553</v>
      </c>
      <c r="C84" s="3">
        <v>193505</v>
      </c>
      <c r="D84" s="4" t="s">
        <v>17</v>
      </c>
      <c r="E84" s="4" t="s">
        <v>768</v>
      </c>
      <c r="F84" s="4" t="s">
        <v>32</v>
      </c>
      <c r="G84" s="4" t="s">
        <v>20</v>
      </c>
      <c r="H84" s="5">
        <v>-18923.36</v>
      </c>
      <c r="I84" s="4" t="s">
        <v>21</v>
      </c>
      <c r="J84" s="5">
        <f t="shared" si="1"/>
        <v>80566.205200000011</v>
      </c>
      <c r="K84" s="4" t="s">
        <v>30</v>
      </c>
      <c r="L84" s="6">
        <v>4.2575000000000003</v>
      </c>
      <c r="M84" s="6">
        <v>0.2349</v>
      </c>
      <c r="N84" s="6">
        <v>4.2031999999999998</v>
      </c>
      <c r="O84" s="6">
        <v>1</v>
      </c>
      <c r="P84" s="5">
        <v>1589.5632479999999</v>
      </c>
      <c r="Q84" s="4" t="s">
        <v>1390</v>
      </c>
    </row>
    <row r="85" spans="1:17" x14ac:dyDescent="0.3">
      <c r="A85" s="2" t="s">
        <v>1389</v>
      </c>
      <c r="B85" s="3">
        <v>140571</v>
      </c>
      <c r="C85" s="3">
        <v>193519</v>
      </c>
      <c r="D85" s="4" t="s">
        <v>17</v>
      </c>
      <c r="E85" s="4" t="s">
        <v>1045</v>
      </c>
      <c r="F85" s="4" t="s">
        <v>32</v>
      </c>
      <c r="G85" s="4" t="s">
        <v>34</v>
      </c>
      <c r="H85" s="5">
        <v>-50000</v>
      </c>
      <c r="I85" s="4" t="s">
        <v>21</v>
      </c>
      <c r="J85" s="5">
        <f t="shared" si="1"/>
        <v>182700</v>
      </c>
      <c r="K85" s="4" t="s">
        <v>51</v>
      </c>
      <c r="L85" s="6">
        <v>3.6539999999999999</v>
      </c>
      <c r="M85" s="6">
        <v>0.2737</v>
      </c>
      <c r="N85" s="6">
        <v>3.6118000000000001</v>
      </c>
      <c r="O85" s="6">
        <v>1</v>
      </c>
      <c r="P85" s="5">
        <v>2460</v>
      </c>
      <c r="Q85" s="4" t="s">
        <v>1390</v>
      </c>
    </row>
    <row r="86" spans="1:17" x14ac:dyDescent="0.3">
      <c r="A86" s="2" t="s">
        <v>1389</v>
      </c>
      <c r="B86" s="3">
        <v>141007</v>
      </c>
      <c r="C86" s="3">
        <v>194230</v>
      </c>
      <c r="D86" s="4" t="s">
        <v>17</v>
      </c>
      <c r="E86" s="4" t="s">
        <v>768</v>
      </c>
      <c r="F86" s="4" t="s">
        <v>32</v>
      </c>
      <c r="G86" s="4" t="s">
        <v>20</v>
      </c>
      <c r="H86" s="5">
        <v>-21408.959999999999</v>
      </c>
      <c r="I86" s="4" t="s">
        <v>21</v>
      </c>
      <c r="J86" s="5">
        <f t="shared" si="1"/>
        <v>91009.488960000002</v>
      </c>
      <c r="K86" s="4" t="s">
        <v>30</v>
      </c>
      <c r="L86" s="6">
        <v>4.2510000000000003</v>
      </c>
      <c r="M86" s="6">
        <v>0.23519999999999999</v>
      </c>
      <c r="N86" s="6">
        <v>4.2031999999999998</v>
      </c>
      <c r="O86" s="6">
        <v>1</v>
      </c>
      <c r="P86" s="5">
        <v>1740.5493280000001</v>
      </c>
      <c r="Q86" s="4" t="s">
        <v>1390</v>
      </c>
    </row>
    <row r="87" spans="1:17" x14ac:dyDescent="0.3">
      <c r="A87" s="2" t="s">
        <v>1389</v>
      </c>
      <c r="B87" s="3">
        <v>141351</v>
      </c>
      <c r="C87" s="3">
        <v>194759</v>
      </c>
      <c r="D87" s="4" t="s">
        <v>17</v>
      </c>
      <c r="E87" s="4" t="s">
        <v>815</v>
      </c>
      <c r="F87" s="4" t="s">
        <v>19</v>
      </c>
      <c r="G87" s="4" t="s">
        <v>20</v>
      </c>
      <c r="H87" s="5">
        <v>213000</v>
      </c>
      <c r="I87" s="4" t="s">
        <v>21</v>
      </c>
      <c r="J87" s="5">
        <f t="shared" si="1"/>
        <v>-901309.49999999988</v>
      </c>
      <c r="K87" s="4" t="s">
        <v>27</v>
      </c>
      <c r="L87" s="6">
        <v>4.2314999999999996</v>
      </c>
      <c r="M87" s="6">
        <v>0.23630000000000001</v>
      </c>
      <c r="N87" s="6">
        <v>4.2072000000000003</v>
      </c>
      <c r="O87" s="6">
        <v>1</v>
      </c>
      <c r="P87" s="5">
        <v>-5175.8999999997905</v>
      </c>
      <c r="Q87" s="4" t="s">
        <v>1390</v>
      </c>
    </row>
    <row r="88" spans="1:17" x14ac:dyDescent="0.3">
      <c r="A88" s="2" t="s">
        <v>1389</v>
      </c>
      <c r="B88" s="3">
        <v>141547</v>
      </c>
      <c r="C88" s="3">
        <v>195065</v>
      </c>
      <c r="D88" s="4" t="s">
        <v>17</v>
      </c>
      <c r="E88" s="4" t="s">
        <v>768</v>
      </c>
      <c r="F88" s="4" t="s">
        <v>32</v>
      </c>
      <c r="G88" s="4" t="s">
        <v>20</v>
      </c>
      <c r="H88" s="5">
        <v>-60702.8</v>
      </c>
      <c r="I88" s="4" t="s">
        <v>21</v>
      </c>
      <c r="J88" s="5">
        <f t="shared" si="1"/>
        <v>257319.1692</v>
      </c>
      <c r="K88" s="4" t="s">
        <v>30</v>
      </c>
      <c r="L88" s="6">
        <v>4.2389999999999999</v>
      </c>
      <c r="M88" s="6">
        <v>0.2359</v>
      </c>
      <c r="N88" s="6">
        <v>4.2031999999999998</v>
      </c>
      <c r="O88" s="6">
        <v>1</v>
      </c>
      <c r="P88" s="5">
        <v>4054.9510399999999</v>
      </c>
      <c r="Q88" s="4" t="s">
        <v>1390</v>
      </c>
    </row>
    <row r="89" spans="1:17" x14ac:dyDescent="0.3">
      <c r="A89" s="2" t="s">
        <v>1389</v>
      </c>
      <c r="B89" s="3">
        <v>141580</v>
      </c>
      <c r="C89" s="3">
        <v>195103</v>
      </c>
      <c r="D89" s="4" t="s">
        <v>17</v>
      </c>
      <c r="E89" s="4" t="s">
        <v>1313</v>
      </c>
      <c r="F89" s="4" t="s">
        <v>32</v>
      </c>
      <c r="G89" s="4" t="s">
        <v>20</v>
      </c>
      <c r="H89" s="5">
        <v>-500000</v>
      </c>
      <c r="I89" s="4" t="s">
        <v>21</v>
      </c>
      <c r="J89" s="5">
        <f t="shared" si="1"/>
        <v>2116500</v>
      </c>
      <c r="K89" s="4" t="s">
        <v>55</v>
      </c>
      <c r="L89" s="6">
        <v>4.2329999999999997</v>
      </c>
      <c r="M89" s="6">
        <v>0.23619999999999999</v>
      </c>
      <c r="N89" s="6">
        <v>4.2008999999999999</v>
      </c>
      <c r="O89" s="6">
        <v>1</v>
      </c>
      <c r="P89" s="5">
        <v>31050</v>
      </c>
      <c r="Q89" s="4" t="s">
        <v>1390</v>
      </c>
    </row>
    <row r="90" spans="1:17" x14ac:dyDescent="0.3">
      <c r="A90" s="2" t="s">
        <v>1389</v>
      </c>
      <c r="B90" s="3">
        <v>141691</v>
      </c>
      <c r="C90" s="3">
        <v>195203</v>
      </c>
      <c r="D90" s="4" t="s">
        <v>17</v>
      </c>
      <c r="E90" s="4" t="s">
        <v>1201</v>
      </c>
      <c r="F90" s="4" t="s">
        <v>32</v>
      </c>
      <c r="G90" s="4" t="s">
        <v>20</v>
      </c>
      <c r="H90" s="5">
        <v>-231000</v>
      </c>
      <c r="I90" s="4" t="s">
        <v>21</v>
      </c>
      <c r="J90" s="5">
        <f t="shared" si="1"/>
        <v>978978.00000000012</v>
      </c>
      <c r="K90" s="4" t="s">
        <v>45</v>
      </c>
      <c r="L90" s="6">
        <v>4.2380000000000004</v>
      </c>
      <c r="M90" s="6">
        <v>0.23599999999999999</v>
      </c>
      <c r="N90" s="6">
        <v>4.2267000000000001</v>
      </c>
      <c r="O90" s="6">
        <v>1</v>
      </c>
      <c r="P90" s="5">
        <v>7738.5</v>
      </c>
      <c r="Q90" s="4" t="s">
        <v>1390</v>
      </c>
    </row>
    <row r="91" spans="1:17" x14ac:dyDescent="0.3">
      <c r="A91" s="2" t="s">
        <v>1389</v>
      </c>
      <c r="B91" s="3">
        <v>141692</v>
      </c>
      <c r="C91" s="3">
        <v>195204</v>
      </c>
      <c r="D91" s="4" t="s">
        <v>17</v>
      </c>
      <c r="E91" s="4" t="s">
        <v>1201</v>
      </c>
      <c r="F91" s="4" t="s">
        <v>32</v>
      </c>
      <c r="G91" s="4" t="s">
        <v>20</v>
      </c>
      <c r="H91" s="5">
        <v>-231000</v>
      </c>
      <c r="I91" s="4" t="s">
        <v>21</v>
      </c>
      <c r="J91" s="5">
        <f t="shared" si="1"/>
        <v>978978.00000000012</v>
      </c>
      <c r="K91" s="4" t="s">
        <v>24</v>
      </c>
      <c r="L91" s="6">
        <v>4.2380000000000004</v>
      </c>
      <c r="M91" s="6">
        <v>0.23599999999999999</v>
      </c>
      <c r="N91" s="6">
        <v>4.2156000000000002</v>
      </c>
      <c r="O91" s="6">
        <v>1</v>
      </c>
      <c r="P91" s="5">
        <v>10510.5</v>
      </c>
      <c r="Q91" s="4" t="s">
        <v>1390</v>
      </c>
    </row>
    <row r="92" spans="1:17" x14ac:dyDescent="0.3">
      <c r="A92" s="2" t="s">
        <v>1389</v>
      </c>
      <c r="B92" s="3">
        <v>141693</v>
      </c>
      <c r="C92" s="3">
        <v>195205</v>
      </c>
      <c r="D92" s="4" t="s">
        <v>17</v>
      </c>
      <c r="E92" s="4" t="s">
        <v>1201</v>
      </c>
      <c r="F92" s="4" t="s">
        <v>32</v>
      </c>
      <c r="G92" s="4" t="s">
        <v>20</v>
      </c>
      <c r="H92" s="5">
        <v>-231000</v>
      </c>
      <c r="I92" s="4" t="s">
        <v>21</v>
      </c>
      <c r="J92" s="5">
        <f t="shared" si="1"/>
        <v>978978.00000000012</v>
      </c>
      <c r="K92" s="4" t="s">
        <v>46</v>
      </c>
      <c r="L92" s="6">
        <v>4.2380000000000004</v>
      </c>
      <c r="M92" s="6">
        <v>0.23599999999999999</v>
      </c>
      <c r="N92" s="6">
        <v>4.2110000000000003</v>
      </c>
      <c r="O92" s="6">
        <v>1</v>
      </c>
      <c r="P92" s="5">
        <v>11711.7</v>
      </c>
      <c r="Q92" s="4" t="s">
        <v>1390</v>
      </c>
    </row>
    <row r="93" spans="1:17" x14ac:dyDescent="0.3">
      <c r="A93" s="2" t="s">
        <v>1389</v>
      </c>
      <c r="B93" s="3">
        <v>141694</v>
      </c>
      <c r="C93" s="3">
        <v>195206</v>
      </c>
      <c r="D93" s="4" t="s">
        <v>17</v>
      </c>
      <c r="E93" s="4" t="s">
        <v>1201</v>
      </c>
      <c r="F93" s="4" t="s">
        <v>32</v>
      </c>
      <c r="G93" s="4" t="s">
        <v>20</v>
      </c>
      <c r="H93" s="5">
        <v>-231000</v>
      </c>
      <c r="I93" s="4" t="s">
        <v>21</v>
      </c>
      <c r="J93" s="5">
        <f t="shared" si="1"/>
        <v>978978.00000000012</v>
      </c>
      <c r="K93" s="4" t="s">
        <v>29</v>
      </c>
      <c r="L93" s="6">
        <v>4.2380000000000004</v>
      </c>
      <c r="M93" s="6">
        <v>0.23599999999999999</v>
      </c>
      <c r="N93" s="6">
        <v>4.2104999999999997</v>
      </c>
      <c r="O93" s="6">
        <v>1</v>
      </c>
      <c r="P93" s="5">
        <v>11896.5</v>
      </c>
      <c r="Q93" s="4" t="s">
        <v>1390</v>
      </c>
    </row>
    <row r="94" spans="1:17" x14ac:dyDescent="0.3">
      <c r="A94" s="2" t="s">
        <v>1389</v>
      </c>
      <c r="B94" s="3">
        <v>141695</v>
      </c>
      <c r="C94" s="3">
        <v>195207</v>
      </c>
      <c r="D94" s="4" t="s">
        <v>17</v>
      </c>
      <c r="E94" s="4" t="s">
        <v>1201</v>
      </c>
      <c r="F94" s="4" t="s">
        <v>32</v>
      </c>
      <c r="G94" s="4" t="s">
        <v>20</v>
      </c>
      <c r="H94" s="5">
        <v>-176000</v>
      </c>
      <c r="I94" s="4" t="s">
        <v>21</v>
      </c>
      <c r="J94" s="5">
        <f t="shared" si="1"/>
        <v>745888.00000000012</v>
      </c>
      <c r="K94" s="4" t="s">
        <v>42</v>
      </c>
      <c r="L94" s="6">
        <v>4.2380000000000004</v>
      </c>
      <c r="M94" s="6">
        <v>0.23599999999999999</v>
      </c>
      <c r="N94" s="6">
        <v>4.2119</v>
      </c>
      <c r="O94" s="6">
        <v>1</v>
      </c>
      <c r="P94" s="5">
        <v>8870.4</v>
      </c>
      <c r="Q94" s="4" t="s">
        <v>1390</v>
      </c>
    </row>
    <row r="95" spans="1:17" x14ac:dyDescent="0.3">
      <c r="A95" s="2" t="s">
        <v>1389</v>
      </c>
      <c r="B95" s="3">
        <v>141696</v>
      </c>
      <c r="C95" s="3">
        <v>195208</v>
      </c>
      <c r="D95" s="4" t="s">
        <v>17</v>
      </c>
      <c r="E95" s="4" t="s">
        <v>1201</v>
      </c>
      <c r="F95" s="4" t="s">
        <v>32</v>
      </c>
      <c r="G95" s="4" t="s">
        <v>20</v>
      </c>
      <c r="H95" s="5">
        <v>-55000</v>
      </c>
      <c r="I95" s="4" t="s">
        <v>21</v>
      </c>
      <c r="J95" s="5">
        <f t="shared" si="1"/>
        <v>232980</v>
      </c>
      <c r="K95" s="4" t="s">
        <v>47</v>
      </c>
      <c r="L95" s="6">
        <v>4.2359999999999998</v>
      </c>
      <c r="M95" s="6">
        <v>0.2361</v>
      </c>
      <c r="N95" s="6">
        <v>4.2126999999999999</v>
      </c>
      <c r="O95" s="6">
        <v>1</v>
      </c>
      <c r="P95" s="5">
        <v>2673</v>
      </c>
      <c r="Q95" s="4" t="s">
        <v>1390</v>
      </c>
    </row>
    <row r="96" spans="1:17" x14ac:dyDescent="0.3">
      <c r="A96" s="2" t="s">
        <v>1389</v>
      </c>
      <c r="B96" s="3">
        <v>141697</v>
      </c>
      <c r="C96" s="3">
        <v>195209</v>
      </c>
      <c r="D96" s="4" t="s">
        <v>17</v>
      </c>
      <c r="E96" s="4" t="s">
        <v>1201</v>
      </c>
      <c r="F96" s="4" t="s">
        <v>32</v>
      </c>
      <c r="G96" s="4" t="s">
        <v>20</v>
      </c>
      <c r="H96" s="5">
        <v>-231000</v>
      </c>
      <c r="I96" s="4" t="s">
        <v>21</v>
      </c>
      <c r="J96" s="5">
        <f t="shared" si="1"/>
        <v>978516</v>
      </c>
      <c r="K96" s="4" t="s">
        <v>47</v>
      </c>
      <c r="L96" s="6">
        <v>4.2359999999999998</v>
      </c>
      <c r="M96" s="6">
        <v>0.2361</v>
      </c>
      <c r="N96" s="6">
        <v>4.2126999999999999</v>
      </c>
      <c r="O96" s="6">
        <v>1</v>
      </c>
      <c r="P96" s="5">
        <v>11226.6</v>
      </c>
      <c r="Q96" s="4" t="s">
        <v>1390</v>
      </c>
    </row>
    <row r="97" spans="1:17" x14ac:dyDescent="0.3">
      <c r="A97" s="2" t="s">
        <v>1389</v>
      </c>
      <c r="B97" s="3">
        <v>141698</v>
      </c>
      <c r="C97" s="3">
        <v>195210</v>
      </c>
      <c r="D97" s="4" t="s">
        <v>17</v>
      </c>
      <c r="E97" s="4" t="s">
        <v>1201</v>
      </c>
      <c r="F97" s="4" t="s">
        <v>32</v>
      </c>
      <c r="G97" s="4" t="s">
        <v>20</v>
      </c>
      <c r="H97" s="5">
        <v>-231000</v>
      </c>
      <c r="I97" s="4" t="s">
        <v>21</v>
      </c>
      <c r="J97" s="5">
        <f t="shared" si="1"/>
        <v>978516</v>
      </c>
      <c r="K97" s="4" t="s">
        <v>48</v>
      </c>
      <c r="L97" s="6">
        <v>4.2359999999999998</v>
      </c>
      <c r="M97" s="6">
        <v>0.2361</v>
      </c>
      <c r="N97" s="6">
        <v>4.2096999999999998</v>
      </c>
      <c r="O97" s="6">
        <v>1</v>
      </c>
      <c r="P97" s="5">
        <v>11988.9</v>
      </c>
      <c r="Q97" s="4" t="s">
        <v>1390</v>
      </c>
    </row>
    <row r="98" spans="1:17" x14ac:dyDescent="0.3">
      <c r="A98" s="2" t="s">
        <v>1389</v>
      </c>
      <c r="B98" s="3">
        <v>141699</v>
      </c>
      <c r="C98" s="3">
        <v>195211</v>
      </c>
      <c r="D98" s="4" t="s">
        <v>17</v>
      </c>
      <c r="E98" s="4" t="s">
        <v>1201</v>
      </c>
      <c r="F98" s="4" t="s">
        <v>32</v>
      </c>
      <c r="G98" s="4" t="s">
        <v>20</v>
      </c>
      <c r="H98" s="5">
        <v>-231000</v>
      </c>
      <c r="I98" s="4" t="s">
        <v>21</v>
      </c>
      <c r="J98" s="5">
        <f t="shared" si="1"/>
        <v>978516</v>
      </c>
      <c r="K98" s="4" t="s">
        <v>37</v>
      </c>
      <c r="L98" s="6">
        <v>4.2359999999999998</v>
      </c>
      <c r="M98" s="6">
        <v>0.2361</v>
      </c>
      <c r="N98" s="6">
        <v>4.2115999999999998</v>
      </c>
      <c r="O98" s="6">
        <v>1</v>
      </c>
      <c r="P98" s="5">
        <v>11619.3</v>
      </c>
      <c r="Q98" s="4" t="s">
        <v>1390</v>
      </c>
    </row>
    <row r="99" spans="1:17" x14ac:dyDescent="0.3">
      <c r="A99" s="2" t="s">
        <v>1389</v>
      </c>
      <c r="B99" s="3">
        <v>141700</v>
      </c>
      <c r="C99" s="3">
        <v>195212</v>
      </c>
      <c r="D99" s="4" t="s">
        <v>17</v>
      </c>
      <c r="E99" s="4" t="s">
        <v>1201</v>
      </c>
      <c r="F99" s="4" t="s">
        <v>32</v>
      </c>
      <c r="G99" s="4" t="s">
        <v>20</v>
      </c>
      <c r="H99" s="5">
        <v>-231000</v>
      </c>
      <c r="I99" s="4" t="s">
        <v>21</v>
      </c>
      <c r="J99" s="5">
        <f t="shared" si="1"/>
        <v>978516</v>
      </c>
      <c r="K99" s="4" t="s">
        <v>35</v>
      </c>
      <c r="L99" s="6">
        <v>4.2359999999999998</v>
      </c>
      <c r="M99" s="6">
        <v>0.2361</v>
      </c>
      <c r="N99" s="6">
        <v>4.2110000000000003</v>
      </c>
      <c r="O99" s="6">
        <v>1</v>
      </c>
      <c r="P99" s="5">
        <v>11827.2</v>
      </c>
      <c r="Q99" s="4" t="s">
        <v>1390</v>
      </c>
    </row>
    <row r="100" spans="1:17" x14ac:dyDescent="0.3">
      <c r="A100" s="2" t="s">
        <v>1389</v>
      </c>
      <c r="B100" s="3">
        <v>141701</v>
      </c>
      <c r="C100" s="3">
        <v>195213</v>
      </c>
      <c r="D100" s="4" t="s">
        <v>17</v>
      </c>
      <c r="E100" s="4" t="s">
        <v>1201</v>
      </c>
      <c r="F100" s="4" t="s">
        <v>32</v>
      </c>
      <c r="G100" s="4" t="s">
        <v>20</v>
      </c>
      <c r="H100" s="5">
        <v>-231000</v>
      </c>
      <c r="I100" s="4" t="s">
        <v>21</v>
      </c>
      <c r="J100" s="5">
        <f t="shared" si="1"/>
        <v>978516</v>
      </c>
      <c r="K100" s="4" t="s">
        <v>22</v>
      </c>
      <c r="L100" s="6">
        <v>4.2359999999999998</v>
      </c>
      <c r="M100" s="6">
        <v>0.2361</v>
      </c>
      <c r="N100" s="6">
        <v>4.2068000000000003</v>
      </c>
      <c r="O100" s="6">
        <v>1</v>
      </c>
      <c r="P100" s="5">
        <v>12866.7</v>
      </c>
      <c r="Q100" s="4" t="s">
        <v>1390</v>
      </c>
    </row>
    <row r="101" spans="1:17" x14ac:dyDescent="0.3">
      <c r="A101" s="2" t="s">
        <v>1389</v>
      </c>
      <c r="B101" s="3">
        <v>141702</v>
      </c>
      <c r="C101" s="3">
        <v>195214</v>
      </c>
      <c r="D101" s="4" t="s">
        <v>17</v>
      </c>
      <c r="E101" s="4" t="s">
        <v>1201</v>
      </c>
      <c r="F101" s="4" t="s">
        <v>32</v>
      </c>
      <c r="G101" s="4" t="s">
        <v>20</v>
      </c>
      <c r="H101" s="5">
        <v>-231000</v>
      </c>
      <c r="I101" s="4" t="s">
        <v>21</v>
      </c>
      <c r="J101" s="5">
        <f t="shared" si="1"/>
        <v>978516</v>
      </c>
      <c r="K101" s="4" t="s">
        <v>49</v>
      </c>
      <c r="L101" s="6">
        <v>4.2359999999999998</v>
      </c>
      <c r="M101" s="6">
        <v>0.2361</v>
      </c>
      <c r="N101" s="6">
        <v>4.2191999999999998</v>
      </c>
      <c r="O101" s="6">
        <v>1</v>
      </c>
      <c r="P101" s="5">
        <v>10233.299999999999</v>
      </c>
      <c r="Q101" s="4" t="s">
        <v>1390</v>
      </c>
    </row>
    <row r="102" spans="1:17" x14ac:dyDescent="0.3">
      <c r="A102" s="2" t="s">
        <v>1389</v>
      </c>
      <c r="B102" s="3">
        <v>141703</v>
      </c>
      <c r="C102" s="3">
        <v>195215</v>
      </c>
      <c r="D102" s="4" t="s">
        <v>17</v>
      </c>
      <c r="E102" s="4" t="s">
        <v>1201</v>
      </c>
      <c r="F102" s="4" t="s">
        <v>32</v>
      </c>
      <c r="G102" s="4" t="s">
        <v>20</v>
      </c>
      <c r="H102" s="5">
        <v>-231000</v>
      </c>
      <c r="I102" s="4" t="s">
        <v>21</v>
      </c>
      <c r="J102" s="5">
        <f t="shared" si="1"/>
        <v>978516</v>
      </c>
      <c r="K102" s="4" t="s">
        <v>39</v>
      </c>
      <c r="L102" s="6">
        <v>4.2359999999999998</v>
      </c>
      <c r="M102" s="6">
        <v>0.2361</v>
      </c>
      <c r="N102" s="6">
        <v>4.2230999999999996</v>
      </c>
      <c r="O102" s="6">
        <v>1</v>
      </c>
      <c r="P102" s="5">
        <v>9401.7000000000007</v>
      </c>
      <c r="Q102" s="4" t="s">
        <v>1390</v>
      </c>
    </row>
    <row r="103" spans="1:17" x14ac:dyDescent="0.3">
      <c r="A103" s="2" t="s">
        <v>1389</v>
      </c>
      <c r="B103" s="3">
        <v>141704</v>
      </c>
      <c r="C103" s="3">
        <v>195216</v>
      </c>
      <c r="D103" s="4" t="s">
        <v>17</v>
      </c>
      <c r="E103" s="4" t="s">
        <v>1201</v>
      </c>
      <c r="F103" s="4" t="s">
        <v>32</v>
      </c>
      <c r="G103" s="4" t="s">
        <v>20</v>
      </c>
      <c r="H103" s="5">
        <v>-231000</v>
      </c>
      <c r="I103" s="4" t="s">
        <v>21</v>
      </c>
      <c r="J103" s="5">
        <f t="shared" si="1"/>
        <v>978516</v>
      </c>
      <c r="K103" s="4" t="s">
        <v>50</v>
      </c>
      <c r="L103" s="6">
        <v>4.2359999999999998</v>
      </c>
      <c r="M103" s="6">
        <v>0.2361</v>
      </c>
      <c r="N103" s="6">
        <v>4.2279</v>
      </c>
      <c r="O103" s="6">
        <v>1</v>
      </c>
      <c r="P103" s="5">
        <v>8362.2000000000007</v>
      </c>
      <c r="Q103" s="4" t="s">
        <v>1390</v>
      </c>
    </row>
    <row r="104" spans="1:17" x14ac:dyDescent="0.3">
      <c r="A104" s="2" t="s">
        <v>1389</v>
      </c>
      <c r="B104" s="3">
        <v>141705</v>
      </c>
      <c r="C104" s="3">
        <v>195217</v>
      </c>
      <c r="D104" s="4" t="s">
        <v>17</v>
      </c>
      <c r="E104" s="4" t="s">
        <v>1201</v>
      </c>
      <c r="F104" s="4" t="s">
        <v>32</v>
      </c>
      <c r="G104" s="4" t="s">
        <v>20</v>
      </c>
      <c r="H104" s="5">
        <v>-231000</v>
      </c>
      <c r="I104" s="4" t="s">
        <v>21</v>
      </c>
      <c r="J104" s="5">
        <f t="shared" si="1"/>
        <v>978516</v>
      </c>
      <c r="K104" s="4" t="s">
        <v>51</v>
      </c>
      <c r="L104" s="6">
        <v>4.2359999999999998</v>
      </c>
      <c r="M104" s="6">
        <v>0.2361</v>
      </c>
      <c r="N104" s="6">
        <v>4.2271000000000001</v>
      </c>
      <c r="O104" s="6">
        <v>1</v>
      </c>
      <c r="P104" s="5">
        <v>8616.2999999999993</v>
      </c>
      <c r="Q104" s="4" t="s">
        <v>1390</v>
      </c>
    </row>
    <row r="105" spans="1:17" x14ac:dyDescent="0.3">
      <c r="A105" s="2" t="s">
        <v>1389</v>
      </c>
      <c r="B105" s="3">
        <v>141706</v>
      </c>
      <c r="C105" s="3">
        <v>195218</v>
      </c>
      <c r="D105" s="4" t="s">
        <v>17</v>
      </c>
      <c r="E105" s="4" t="s">
        <v>1201</v>
      </c>
      <c r="F105" s="4" t="s">
        <v>32</v>
      </c>
      <c r="G105" s="4" t="s">
        <v>20</v>
      </c>
      <c r="H105" s="5">
        <v>-231000</v>
      </c>
      <c r="I105" s="4" t="s">
        <v>21</v>
      </c>
      <c r="J105" s="5">
        <f t="shared" si="1"/>
        <v>978516</v>
      </c>
      <c r="K105" s="4" t="s">
        <v>52</v>
      </c>
      <c r="L105" s="6">
        <v>4.2359999999999998</v>
      </c>
      <c r="M105" s="6">
        <v>0.2361</v>
      </c>
      <c r="N105" s="6">
        <v>4.2127999999999997</v>
      </c>
      <c r="O105" s="6">
        <v>1</v>
      </c>
      <c r="P105" s="5">
        <v>11988.9</v>
      </c>
      <c r="Q105" s="4" t="s">
        <v>1390</v>
      </c>
    </row>
    <row r="106" spans="1:17" x14ac:dyDescent="0.3">
      <c r="A106" s="2" t="s">
        <v>1389</v>
      </c>
      <c r="B106" s="3">
        <v>141707</v>
      </c>
      <c r="C106" s="3">
        <v>195219</v>
      </c>
      <c r="D106" s="4" t="s">
        <v>17</v>
      </c>
      <c r="E106" s="4" t="s">
        <v>1201</v>
      </c>
      <c r="F106" s="4" t="s">
        <v>32</v>
      </c>
      <c r="G106" s="4" t="s">
        <v>20</v>
      </c>
      <c r="H106" s="5">
        <v>-231000</v>
      </c>
      <c r="I106" s="4" t="s">
        <v>21</v>
      </c>
      <c r="J106" s="5">
        <f t="shared" si="1"/>
        <v>978516</v>
      </c>
      <c r="K106" s="4" t="s">
        <v>53</v>
      </c>
      <c r="L106" s="6">
        <v>4.2359999999999998</v>
      </c>
      <c r="M106" s="6">
        <v>0.2361</v>
      </c>
      <c r="N106" s="6">
        <v>4.2050000000000001</v>
      </c>
      <c r="O106" s="6">
        <v>1</v>
      </c>
      <c r="P106" s="5">
        <v>14021.7</v>
      </c>
      <c r="Q106" s="4" t="s">
        <v>1390</v>
      </c>
    </row>
    <row r="107" spans="1:17" x14ac:dyDescent="0.3">
      <c r="A107" s="2" t="s">
        <v>1389</v>
      </c>
      <c r="B107" s="3">
        <v>141708</v>
      </c>
      <c r="C107" s="3">
        <v>195220</v>
      </c>
      <c r="D107" s="4" t="s">
        <v>17</v>
      </c>
      <c r="E107" s="4" t="s">
        <v>1201</v>
      </c>
      <c r="F107" s="4" t="s">
        <v>32</v>
      </c>
      <c r="G107" s="4" t="s">
        <v>20</v>
      </c>
      <c r="H107" s="5">
        <v>-173000</v>
      </c>
      <c r="I107" s="4" t="s">
        <v>21</v>
      </c>
      <c r="J107" s="5">
        <f t="shared" si="1"/>
        <v>732828</v>
      </c>
      <c r="K107" s="4" t="s">
        <v>54</v>
      </c>
      <c r="L107" s="6">
        <v>4.2359999999999998</v>
      </c>
      <c r="M107" s="6">
        <v>0.2361</v>
      </c>
      <c r="N107" s="6">
        <v>4.2118000000000002</v>
      </c>
      <c r="O107" s="6">
        <v>1</v>
      </c>
      <c r="P107" s="5">
        <v>9359.2999999999993</v>
      </c>
      <c r="Q107" s="4" t="s">
        <v>1390</v>
      </c>
    </row>
    <row r="108" spans="1:17" x14ac:dyDescent="0.3">
      <c r="A108" s="2" t="s">
        <v>1389</v>
      </c>
      <c r="B108" s="3">
        <v>141709</v>
      </c>
      <c r="C108" s="3">
        <v>195221</v>
      </c>
      <c r="D108" s="4" t="s">
        <v>17</v>
      </c>
      <c r="E108" s="4" t="s">
        <v>1201</v>
      </c>
      <c r="F108" s="4" t="s">
        <v>32</v>
      </c>
      <c r="G108" s="4" t="s">
        <v>20</v>
      </c>
      <c r="H108" s="5">
        <v>-58000</v>
      </c>
      <c r="I108" s="4" t="s">
        <v>21</v>
      </c>
      <c r="J108" s="5">
        <f t="shared" si="1"/>
        <v>245572</v>
      </c>
      <c r="K108" s="4" t="s">
        <v>30</v>
      </c>
      <c r="L108" s="6">
        <v>4.234</v>
      </c>
      <c r="M108" s="6">
        <v>0.23619999999999999</v>
      </c>
      <c r="N108" s="6">
        <v>4.2031999999999998</v>
      </c>
      <c r="O108" s="6">
        <v>1</v>
      </c>
      <c r="P108" s="5">
        <v>3538</v>
      </c>
      <c r="Q108" s="4" t="s">
        <v>1390</v>
      </c>
    </row>
    <row r="109" spans="1:17" x14ac:dyDescent="0.3">
      <c r="A109" s="2" t="s">
        <v>1389</v>
      </c>
      <c r="B109" s="3">
        <v>141710</v>
      </c>
      <c r="C109" s="3">
        <v>195222</v>
      </c>
      <c r="D109" s="4" t="s">
        <v>17</v>
      </c>
      <c r="E109" s="4" t="s">
        <v>1201</v>
      </c>
      <c r="F109" s="4" t="s">
        <v>32</v>
      </c>
      <c r="G109" s="4" t="s">
        <v>20</v>
      </c>
      <c r="H109" s="5">
        <v>-192000</v>
      </c>
      <c r="I109" s="4" t="s">
        <v>21</v>
      </c>
      <c r="J109" s="5">
        <f t="shared" si="1"/>
        <v>812928</v>
      </c>
      <c r="K109" s="4" t="s">
        <v>30</v>
      </c>
      <c r="L109" s="6">
        <v>4.234</v>
      </c>
      <c r="M109" s="6">
        <v>0.23619999999999999</v>
      </c>
      <c r="N109" s="6">
        <v>4.2031999999999998</v>
      </c>
      <c r="O109" s="6">
        <v>1</v>
      </c>
      <c r="P109" s="5">
        <v>11712</v>
      </c>
      <c r="Q109" s="4" t="s">
        <v>1390</v>
      </c>
    </row>
    <row r="110" spans="1:17" x14ac:dyDescent="0.3">
      <c r="A110" s="2" t="s">
        <v>1389</v>
      </c>
      <c r="B110" s="3">
        <v>141711</v>
      </c>
      <c r="C110" s="3">
        <v>195223</v>
      </c>
      <c r="D110" s="4" t="s">
        <v>17</v>
      </c>
      <c r="E110" s="4" t="s">
        <v>1201</v>
      </c>
      <c r="F110" s="4" t="s">
        <v>32</v>
      </c>
      <c r="G110" s="4" t="s">
        <v>20</v>
      </c>
      <c r="H110" s="5">
        <v>-250000</v>
      </c>
      <c r="I110" s="4" t="s">
        <v>21</v>
      </c>
      <c r="J110" s="5">
        <f t="shared" si="1"/>
        <v>1058500</v>
      </c>
      <c r="K110" s="4" t="s">
        <v>30</v>
      </c>
      <c r="L110" s="6">
        <v>4.234</v>
      </c>
      <c r="M110" s="6">
        <v>0.23619999999999999</v>
      </c>
      <c r="N110" s="6">
        <v>4.2031999999999998</v>
      </c>
      <c r="O110" s="6">
        <v>1</v>
      </c>
      <c r="P110" s="5">
        <v>15250</v>
      </c>
      <c r="Q110" s="4" t="s">
        <v>1390</v>
      </c>
    </row>
    <row r="111" spans="1:17" x14ac:dyDescent="0.3">
      <c r="A111" s="2" t="s">
        <v>1389</v>
      </c>
      <c r="B111" s="3">
        <v>141712</v>
      </c>
      <c r="C111" s="3">
        <v>195224</v>
      </c>
      <c r="D111" s="4" t="s">
        <v>17</v>
      </c>
      <c r="E111" s="4" t="s">
        <v>1201</v>
      </c>
      <c r="F111" s="4" t="s">
        <v>32</v>
      </c>
      <c r="G111" s="4" t="s">
        <v>20</v>
      </c>
      <c r="H111" s="5">
        <v>-250000</v>
      </c>
      <c r="I111" s="4" t="s">
        <v>21</v>
      </c>
      <c r="J111" s="5">
        <f t="shared" si="1"/>
        <v>1058500</v>
      </c>
      <c r="K111" s="4" t="s">
        <v>55</v>
      </c>
      <c r="L111" s="6">
        <v>4.234</v>
      </c>
      <c r="M111" s="6">
        <v>0.23619999999999999</v>
      </c>
      <c r="N111" s="6">
        <v>4.2008999999999999</v>
      </c>
      <c r="O111" s="6">
        <v>1</v>
      </c>
      <c r="P111" s="5">
        <v>15900</v>
      </c>
      <c r="Q111" s="4" t="s">
        <v>1390</v>
      </c>
    </row>
    <row r="112" spans="1:17" x14ac:dyDescent="0.3">
      <c r="A112" s="2" t="s">
        <v>1389</v>
      </c>
      <c r="B112" s="3">
        <v>141713</v>
      </c>
      <c r="C112" s="3">
        <v>195225</v>
      </c>
      <c r="D112" s="4" t="s">
        <v>17</v>
      </c>
      <c r="E112" s="4" t="s">
        <v>1201</v>
      </c>
      <c r="F112" s="4" t="s">
        <v>32</v>
      </c>
      <c r="G112" s="4" t="s">
        <v>20</v>
      </c>
      <c r="H112" s="5">
        <v>-250000</v>
      </c>
      <c r="I112" s="4" t="s">
        <v>21</v>
      </c>
      <c r="J112" s="5">
        <f t="shared" si="1"/>
        <v>1058500</v>
      </c>
      <c r="K112" s="4" t="s">
        <v>27</v>
      </c>
      <c r="L112" s="6">
        <v>4.234</v>
      </c>
      <c r="M112" s="6">
        <v>0.23619999999999999</v>
      </c>
      <c r="N112" s="6">
        <v>4.2072000000000003</v>
      </c>
      <c r="O112" s="6">
        <v>1</v>
      </c>
      <c r="P112" s="5">
        <v>14375</v>
      </c>
      <c r="Q112" s="4" t="s">
        <v>1390</v>
      </c>
    </row>
    <row r="113" spans="1:17" x14ac:dyDescent="0.3">
      <c r="A113" s="2" t="s">
        <v>1389</v>
      </c>
      <c r="B113" s="3">
        <v>141800</v>
      </c>
      <c r="C113" s="3">
        <v>195328</v>
      </c>
      <c r="D113" s="4" t="s">
        <v>17</v>
      </c>
      <c r="E113" s="4" t="s">
        <v>815</v>
      </c>
      <c r="F113" s="4" t="s">
        <v>19</v>
      </c>
      <c r="G113" s="4" t="s">
        <v>20</v>
      </c>
      <c r="H113" s="5">
        <v>232000</v>
      </c>
      <c r="I113" s="4" t="s">
        <v>21</v>
      </c>
      <c r="J113" s="5">
        <f t="shared" si="1"/>
        <v>-980316.00000000012</v>
      </c>
      <c r="K113" s="4" t="s">
        <v>27</v>
      </c>
      <c r="L113" s="6">
        <v>4.2255000000000003</v>
      </c>
      <c r="M113" s="6">
        <v>0.23669999999999999</v>
      </c>
      <c r="N113" s="6">
        <v>4.2072000000000003</v>
      </c>
      <c r="O113" s="6">
        <v>1</v>
      </c>
      <c r="P113" s="5">
        <v>-4245.6000000000931</v>
      </c>
      <c r="Q113" s="4" t="s">
        <v>1390</v>
      </c>
    </row>
    <row r="114" spans="1:17" x14ac:dyDescent="0.3">
      <c r="A114" s="2" t="s">
        <v>1389</v>
      </c>
      <c r="B114" s="3">
        <v>141813</v>
      </c>
      <c r="C114" s="3">
        <v>195353</v>
      </c>
      <c r="D114" s="4" t="s">
        <v>17</v>
      </c>
      <c r="E114" s="4" t="s">
        <v>1201</v>
      </c>
      <c r="F114" s="4" t="s">
        <v>32</v>
      </c>
      <c r="G114" s="4" t="s">
        <v>20</v>
      </c>
      <c r="H114" s="5">
        <v>-231000</v>
      </c>
      <c r="I114" s="4" t="s">
        <v>21</v>
      </c>
      <c r="J114" s="5">
        <f t="shared" si="1"/>
        <v>978516</v>
      </c>
      <c r="K114" s="4" t="s">
        <v>53</v>
      </c>
      <c r="L114" s="6">
        <v>4.2359999999999998</v>
      </c>
      <c r="M114" s="6">
        <v>0.2361</v>
      </c>
      <c r="N114" s="6">
        <v>4.2050000000000001</v>
      </c>
      <c r="O114" s="6">
        <v>1</v>
      </c>
      <c r="P114" s="5">
        <v>14021.7</v>
      </c>
      <c r="Q114" s="4" t="s">
        <v>1390</v>
      </c>
    </row>
    <row r="115" spans="1:17" x14ac:dyDescent="0.3">
      <c r="A115" s="2" t="s">
        <v>1389</v>
      </c>
      <c r="B115" s="3">
        <v>144090</v>
      </c>
      <c r="C115" s="3">
        <v>198729</v>
      </c>
      <c r="D115" s="4" t="s">
        <v>17</v>
      </c>
      <c r="E115" s="4" t="s">
        <v>813</v>
      </c>
      <c r="F115" s="4" t="s">
        <v>19</v>
      </c>
      <c r="G115" s="4" t="s">
        <v>34</v>
      </c>
      <c r="H115" s="5">
        <v>92700</v>
      </c>
      <c r="I115" s="4" t="s">
        <v>21</v>
      </c>
      <c r="J115" s="5">
        <f t="shared" si="1"/>
        <v>-343045.62</v>
      </c>
      <c r="K115" s="4" t="s">
        <v>46</v>
      </c>
      <c r="L115" s="6">
        <v>3.7006000000000001</v>
      </c>
      <c r="M115" s="6">
        <v>0.2702</v>
      </c>
      <c r="N115" s="6">
        <v>3.6044999999999998</v>
      </c>
      <c r="O115" s="6">
        <v>1</v>
      </c>
      <c r="P115" s="5">
        <v>-8908.4700000000303</v>
      </c>
      <c r="Q115" s="4" t="s">
        <v>1390</v>
      </c>
    </row>
    <row r="116" spans="1:17" x14ac:dyDescent="0.3">
      <c r="A116" s="2" t="s">
        <v>1389</v>
      </c>
      <c r="B116" s="3">
        <v>144236</v>
      </c>
      <c r="C116" s="3">
        <v>198852</v>
      </c>
      <c r="D116" s="4" t="s">
        <v>17</v>
      </c>
      <c r="E116" s="4" t="s">
        <v>1304</v>
      </c>
      <c r="F116" s="4" t="s">
        <v>32</v>
      </c>
      <c r="G116" s="4" t="s">
        <v>34</v>
      </c>
      <c r="H116" s="5">
        <v>-250000</v>
      </c>
      <c r="I116" s="4" t="s">
        <v>21</v>
      </c>
      <c r="J116" s="5">
        <f t="shared" si="1"/>
        <v>927000</v>
      </c>
      <c r="K116" s="4" t="s">
        <v>27</v>
      </c>
      <c r="L116" s="6">
        <v>3.7080000000000002</v>
      </c>
      <c r="M116" s="6">
        <v>0.2697</v>
      </c>
      <c r="N116" s="6">
        <v>3.5188999999999999</v>
      </c>
      <c r="O116" s="6">
        <v>1</v>
      </c>
      <c r="P116" s="5">
        <v>48275</v>
      </c>
      <c r="Q116" s="4" t="s">
        <v>1390</v>
      </c>
    </row>
    <row r="117" spans="1:17" x14ac:dyDescent="0.3">
      <c r="A117" s="2" t="s">
        <v>1389</v>
      </c>
      <c r="B117" s="3">
        <v>144379</v>
      </c>
      <c r="C117" s="3">
        <v>199100</v>
      </c>
      <c r="D117" s="4" t="s">
        <v>17</v>
      </c>
      <c r="E117" s="4" t="s">
        <v>1201</v>
      </c>
      <c r="F117" s="4" t="s">
        <v>32</v>
      </c>
      <c r="G117" s="4" t="s">
        <v>34</v>
      </c>
      <c r="H117" s="5">
        <v>-71500</v>
      </c>
      <c r="I117" s="4" t="s">
        <v>21</v>
      </c>
      <c r="J117" s="5">
        <f t="shared" si="1"/>
        <v>264943.25</v>
      </c>
      <c r="K117" s="4" t="s">
        <v>45</v>
      </c>
      <c r="L117" s="6">
        <v>3.7054999999999998</v>
      </c>
      <c r="M117" s="6">
        <v>0.26989999999999997</v>
      </c>
      <c r="N117" s="6">
        <v>3.6015999999999999</v>
      </c>
      <c r="O117" s="6">
        <v>1</v>
      </c>
      <c r="P117" s="5">
        <v>7629.05</v>
      </c>
      <c r="Q117" s="4" t="s">
        <v>1390</v>
      </c>
    </row>
    <row r="118" spans="1:17" x14ac:dyDescent="0.3">
      <c r="A118" s="2" t="s">
        <v>1389</v>
      </c>
      <c r="B118" s="3">
        <v>144381</v>
      </c>
      <c r="C118" s="3">
        <v>199102</v>
      </c>
      <c r="D118" s="4" t="s">
        <v>17</v>
      </c>
      <c r="E118" s="4" t="s">
        <v>1201</v>
      </c>
      <c r="F118" s="4" t="s">
        <v>32</v>
      </c>
      <c r="G118" s="4" t="s">
        <v>34</v>
      </c>
      <c r="H118" s="5">
        <v>-71500</v>
      </c>
      <c r="I118" s="4" t="s">
        <v>21</v>
      </c>
      <c r="J118" s="5">
        <f t="shared" si="1"/>
        <v>264943.25</v>
      </c>
      <c r="K118" s="4" t="s">
        <v>24</v>
      </c>
      <c r="L118" s="6">
        <v>3.7054999999999998</v>
      </c>
      <c r="M118" s="6">
        <v>0.26989999999999997</v>
      </c>
      <c r="N118" s="6">
        <v>3.5962999999999998</v>
      </c>
      <c r="O118" s="6">
        <v>1</v>
      </c>
      <c r="P118" s="5">
        <v>8029.45</v>
      </c>
      <c r="Q118" s="4" t="s">
        <v>1390</v>
      </c>
    </row>
    <row r="119" spans="1:17" x14ac:dyDescent="0.3">
      <c r="A119" s="2" t="s">
        <v>1389</v>
      </c>
      <c r="B119" s="3">
        <v>144382</v>
      </c>
      <c r="C119" s="3">
        <v>199103</v>
      </c>
      <c r="D119" s="4" t="s">
        <v>17</v>
      </c>
      <c r="E119" s="4" t="s">
        <v>1201</v>
      </c>
      <c r="F119" s="4" t="s">
        <v>32</v>
      </c>
      <c r="G119" s="4" t="s">
        <v>34</v>
      </c>
      <c r="H119" s="5">
        <v>-71500</v>
      </c>
      <c r="I119" s="4" t="s">
        <v>21</v>
      </c>
      <c r="J119" s="5">
        <f t="shared" si="1"/>
        <v>264943.25</v>
      </c>
      <c r="K119" s="4" t="s">
        <v>46</v>
      </c>
      <c r="L119" s="6">
        <v>3.7054999999999998</v>
      </c>
      <c r="M119" s="6">
        <v>0.26989999999999997</v>
      </c>
      <c r="N119" s="6">
        <v>3.6044999999999998</v>
      </c>
      <c r="O119" s="6">
        <v>1</v>
      </c>
      <c r="P119" s="5">
        <v>7450.3</v>
      </c>
      <c r="Q119" s="4" t="s">
        <v>1390</v>
      </c>
    </row>
    <row r="120" spans="1:17" x14ac:dyDescent="0.3">
      <c r="A120" s="2" t="s">
        <v>1389</v>
      </c>
      <c r="B120" s="3">
        <v>144383</v>
      </c>
      <c r="C120" s="3">
        <v>199105</v>
      </c>
      <c r="D120" s="4" t="s">
        <v>17</v>
      </c>
      <c r="E120" s="4" t="s">
        <v>1201</v>
      </c>
      <c r="F120" s="4" t="s">
        <v>32</v>
      </c>
      <c r="G120" s="4" t="s">
        <v>34</v>
      </c>
      <c r="H120" s="5">
        <v>-71500</v>
      </c>
      <c r="I120" s="4" t="s">
        <v>21</v>
      </c>
      <c r="J120" s="5">
        <f t="shared" si="1"/>
        <v>264943.25</v>
      </c>
      <c r="K120" s="4" t="s">
        <v>29</v>
      </c>
      <c r="L120" s="6">
        <v>3.7054999999999998</v>
      </c>
      <c r="M120" s="6">
        <v>0.26989999999999997</v>
      </c>
      <c r="N120" s="6">
        <v>3.6034999999999999</v>
      </c>
      <c r="O120" s="6">
        <v>1</v>
      </c>
      <c r="P120" s="5">
        <v>7521.8</v>
      </c>
      <c r="Q120" s="4" t="s">
        <v>1390</v>
      </c>
    </row>
    <row r="121" spans="1:17" x14ac:dyDescent="0.3">
      <c r="A121" s="2" t="s">
        <v>1389</v>
      </c>
      <c r="B121" s="3">
        <v>144384</v>
      </c>
      <c r="C121" s="3">
        <v>199106</v>
      </c>
      <c r="D121" s="4" t="s">
        <v>17</v>
      </c>
      <c r="E121" s="4" t="s">
        <v>1201</v>
      </c>
      <c r="F121" s="4" t="s">
        <v>32</v>
      </c>
      <c r="G121" s="4" t="s">
        <v>34</v>
      </c>
      <c r="H121" s="5">
        <v>-71500</v>
      </c>
      <c r="I121" s="4" t="s">
        <v>21</v>
      </c>
      <c r="J121" s="5">
        <f t="shared" si="1"/>
        <v>264943.25</v>
      </c>
      <c r="K121" s="4" t="s">
        <v>42</v>
      </c>
      <c r="L121" s="6">
        <v>3.7054999999999998</v>
      </c>
      <c r="M121" s="6">
        <v>0.26989999999999997</v>
      </c>
      <c r="N121" s="6">
        <v>3.6070000000000002</v>
      </c>
      <c r="O121" s="6">
        <v>1</v>
      </c>
      <c r="P121" s="5">
        <v>7278.7</v>
      </c>
      <c r="Q121" s="4" t="s">
        <v>1390</v>
      </c>
    </row>
    <row r="122" spans="1:17" x14ac:dyDescent="0.3">
      <c r="A122" s="2" t="s">
        <v>1389</v>
      </c>
      <c r="B122" s="3">
        <v>144385</v>
      </c>
      <c r="C122" s="3">
        <v>199107</v>
      </c>
      <c r="D122" s="4" t="s">
        <v>17</v>
      </c>
      <c r="E122" s="4" t="s">
        <v>1201</v>
      </c>
      <c r="F122" s="4" t="s">
        <v>32</v>
      </c>
      <c r="G122" s="4" t="s">
        <v>34</v>
      </c>
      <c r="H122" s="5">
        <v>-71500</v>
      </c>
      <c r="I122" s="4" t="s">
        <v>21</v>
      </c>
      <c r="J122" s="5">
        <f t="shared" si="1"/>
        <v>264943.25</v>
      </c>
      <c r="K122" s="4" t="s">
        <v>47</v>
      </c>
      <c r="L122" s="6">
        <v>3.7054999999999998</v>
      </c>
      <c r="M122" s="6">
        <v>0.26989999999999997</v>
      </c>
      <c r="N122" s="6">
        <v>3.6183999999999998</v>
      </c>
      <c r="O122" s="6">
        <v>1</v>
      </c>
      <c r="P122" s="5">
        <v>6470.75</v>
      </c>
      <c r="Q122" s="4" t="s">
        <v>1390</v>
      </c>
    </row>
    <row r="123" spans="1:17" x14ac:dyDescent="0.3">
      <c r="A123" s="2" t="s">
        <v>1389</v>
      </c>
      <c r="B123" s="3">
        <v>144387</v>
      </c>
      <c r="C123" s="3">
        <v>199113</v>
      </c>
      <c r="D123" s="4" t="s">
        <v>17</v>
      </c>
      <c r="E123" s="4" t="s">
        <v>1201</v>
      </c>
      <c r="F123" s="4" t="s">
        <v>32</v>
      </c>
      <c r="G123" s="4" t="s">
        <v>34</v>
      </c>
      <c r="H123" s="5">
        <v>-71500</v>
      </c>
      <c r="I123" s="4" t="s">
        <v>21</v>
      </c>
      <c r="J123" s="5">
        <f t="shared" si="1"/>
        <v>264943.25</v>
      </c>
      <c r="K123" s="4" t="s">
        <v>48</v>
      </c>
      <c r="L123" s="6">
        <v>3.7054999999999998</v>
      </c>
      <c r="M123" s="6">
        <v>0.26989999999999997</v>
      </c>
      <c r="N123" s="6">
        <v>3.6036999999999999</v>
      </c>
      <c r="O123" s="6">
        <v>1</v>
      </c>
      <c r="P123" s="5">
        <v>7521.8</v>
      </c>
      <c r="Q123" s="4" t="s">
        <v>1390</v>
      </c>
    </row>
    <row r="124" spans="1:17" x14ac:dyDescent="0.3">
      <c r="A124" s="2" t="s">
        <v>1389</v>
      </c>
      <c r="B124" s="3">
        <v>144388</v>
      </c>
      <c r="C124" s="3">
        <v>199114</v>
      </c>
      <c r="D124" s="4" t="s">
        <v>17</v>
      </c>
      <c r="E124" s="4" t="s">
        <v>1201</v>
      </c>
      <c r="F124" s="4" t="s">
        <v>32</v>
      </c>
      <c r="G124" s="4" t="s">
        <v>34</v>
      </c>
      <c r="H124" s="5">
        <v>-71500</v>
      </c>
      <c r="I124" s="4" t="s">
        <v>21</v>
      </c>
      <c r="J124" s="5">
        <f t="shared" si="1"/>
        <v>264943.25</v>
      </c>
      <c r="K124" s="4" t="s">
        <v>37</v>
      </c>
      <c r="L124" s="6">
        <v>3.7054999999999998</v>
      </c>
      <c r="M124" s="6">
        <v>0.26989999999999997</v>
      </c>
      <c r="N124" s="6">
        <v>3.6082999999999998</v>
      </c>
      <c r="O124" s="6">
        <v>1</v>
      </c>
      <c r="P124" s="5">
        <v>7192.9</v>
      </c>
      <c r="Q124" s="4" t="s">
        <v>1390</v>
      </c>
    </row>
    <row r="125" spans="1:17" x14ac:dyDescent="0.3">
      <c r="A125" s="2" t="s">
        <v>1389</v>
      </c>
      <c r="B125" s="3">
        <v>144389</v>
      </c>
      <c r="C125" s="3">
        <v>199116</v>
      </c>
      <c r="D125" s="4" t="s">
        <v>17</v>
      </c>
      <c r="E125" s="4" t="s">
        <v>1201</v>
      </c>
      <c r="F125" s="4" t="s">
        <v>32</v>
      </c>
      <c r="G125" s="4" t="s">
        <v>34</v>
      </c>
      <c r="H125" s="5">
        <v>-71500</v>
      </c>
      <c r="I125" s="4" t="s">
        <v>21</v>
      </c>
      <c r="J125" s="5">
        <f t="shared" si="1"/>
        <v>264943.25</v>
      </c>
      <c r="K125" s="4" t="s">
        <v>35</v>
      </c>
      <c r="L125" s="6">
        <v>3.7054999999999998</v>
      </c>
      <c r="M125" s="6">
        <v>0.26989999999999997</v>
      </c>
      <c r="N125" s="6">
        <v>3.6139999999999999</v>
      </c>
      <c r="O125" s="6">
        <v>1</v>
      </c>
      <c r="P125" s="5">
        <v>6792.5</v>
      </c>
      <c r="Q125" s="4" t="s">
        <v>1390</v>
      </c>
    </row>
    <row r="126" spans="1:17" x14ac:dyDescent="0.3">
      <c r="A126" s="2" t="s">
        <v>1389</v>
      </c>
      <c r="B126" s="3">
        <v>144390</v>
      </c>
      <c r="C126" s="3">
        <v>199118</v>
      </c>
      <c r="D126" s="4" t="s">
        <v>17</v>
      </c>
      <c r="E126" s="4" t="s">
        <v>1201</v>
      </c>
      <c r="F126" s="4" t="s">
        <v>32</v>
      </c>
      <c r="G126" s="4" t="s">
        <v>34</v>
      </c>
      <c r="H126" s="5">
        <v>-71500</v>
      </c>
      <c r="I126" s="4" t="s">
        <v>21</v>
      </c>
      <c r="J126" s="5">
        <f t="shared" si="1"/>
        <v>264943.25</v>
      </c>
      <c r="K126" s="4" t="s">
        <v>22</v>
      </c>
      <c r="L126" s="6">
        <v>3.7054999999999998</v>
      </c>
      <c r="M126" s="6">
        <v>0.26989999999999997</v>
      </c>
      <c r="N126" s="6">
        <v>3.6153</v>
      </c>
      <c r="O126" s="6">
        <v>1</v>
      </c>
      <c r="P126" s="5">
        <v>6706.7</v>
      </c>
      <c r="Q126" s="4" t="s">
        <v>1390</v>
      </c>
    </row>
    <row r="127" spans="1:17" x14ac:dyDescent="0.3">
      <c r="A127" s="2" t="s">
        <v>1389</v>
      </c>
      <c r="B127" s="3">
        <v>144391</v>
      </c>
      <c r="C127" s="3">
        <v>199119</v>
      </c>
      <c r="D127" s="4" t="s">
        <v>17</v>
      </c>
      <c r="E127" s="4" t="s">
        <v>1201</v>
      </c>
      <c r="F127" s="4" t="s">
        <v>32</v>
      </c>
      <c r="G127" s="4" t="s">
        <v>34</v>
      </c>
      <c r="H127" s="5">
        <v>-71500</v>
      </c>
      <c r="I127" s="4" t="s">
        <v>21</v>
      </c>
      <c r="J127" s="5">
        <f t="shared" si="1"/>
        <v>264943.25</v>
      </c>
      <c r="K127" s="4" t="s">
        <v>49</v>
      </c>
      <c r="L127" s="6">
        <v>3.7054999999999998</v>
      </c>
      <c r="M127" s="6">
        <v>0.26989999999999997</v>
      </c>
      <c r="N127" s="6">
        <v>3.6345999999999998</v>
      </c>
      <c r="O127" s="6">
        <v>1</v>
      </c>
      <c r="P127" s="5">
        <v>5333.9</v>
      </c>
      <c r="Q127" s="4" t="s">
        <v>1390</v>
      </c>
    </row>
    <row r="128" spans="1:17" x14ac:dyDescent="0.3">
      <c r="A128" s="2" t="s">
        <v>1389</v>
      </c>
      <c r="B128" s="3">
        <v>144392</v>
      </c>
      <c r="C128" s="3">
        <v>199120</v>
      </c>
      <c r="D128" s="4" t="s">
        <v>17</v>
      </c>
      <c r="E128" s="4" t="s">
        <v>1201</v>
      </c>
      <c r="F128" s="4" t="s">
        <v>32</v>
      </c>
      <c r="G128" s="4" t="s">
        <v>34</v>
      </c>
      <c r="H128" s="5">
        <v>-71500</v>
      </c>
      <c r="I128" s="4" t="s">
        <v>21</v>
      </c>
      <c r="J128" s="5">
        <f t="shared" si="1"/>
        <v>264943.25</v>
      </c>
      <c r="K128" s="4" t="s">
        <v>39</v>
      </c>
      <c r="L128" s="6">
        <v>3.7054999999999998</v>
      </c>
      <c r="M128" s="6">
        <v>0.26989999999999997</v>
      </c>
      <c r="N128" s="6">
        <v>3.6345999999999998</v>
      </c>
      <c r="O128" s="6">
        <v>1</v>
      </c>
      <c r="P128" s="5">
        <v>5333.9</v>
      </c>
      <c r="Q128" s="4" t="s">
        <v>1390</v>
      </c>
    </row>
    <row r="129" spans="1:17" x14ac:dyDescent="0.3">
      <c r="A129" s="2" t="s">
        <v>1389</v>
      </c>
      <c r="B129" s="3">
        <v>144395</v>
      </c>
      <c r="C129" s="3">
        <v>199122</v>
      </c>
      <c r="D129" s="4" t="s">
        <v>17</v>
      </c>
      <c r="E129" s="4" t="s">
        <v>1201</v>
      </c>
      <c r="F129" s="4" t="s">
        <v>32</v>
      </c>
      <c r="G129" s="4" t="s">
        <v>34</v>
      </c>
      <c r="H129" s="5">
        <v>-71500</v>
      </c>
      <c r="I129" s="4" t="s">
        <v>21</v>
      </c>
      <c r="J129" s="5">
        <f t="shared" si="1"/>
        <v>264943.25</v>
      </c>
      <c r="K129" s="4" t="s">
        <v>50</v>
      </c>
      <c r="L129" s="6">
        <v>3.7054999999999998</v>
      </c>
      <c r="M129" s="6">
        <v>0.26989999999999997</v>
      </c>
      <c r="N129" s="6">
        <v>3.6053999999999999</v>
      </c>
      <c r="O129" s="6">
        <v>1</v>
      </c>
      <c r="P129" s="5">
        <v>7428.85</v>
      </c>
      <c r="Q129" s="4" t="s">
        <v>1390</v>
      </c>
    </row>
    <row r="130" spans="1:17" x14ac:dyDescent="0.3">
      <c r="A130" s="2" t="s">
        <v>1389</v>
      </c>
      <c r="B130" s="3">
        <v>144396</v>
      </c>
      <c r="C130" s="3">
        <v>199125</v>
      </c>
      <c r="D130" s="4" t="s">
        <v>17</v>
      </c>
      <c r="E130" s="4" t="s">
        <v>1201</v>
      </c>
      <c r="F130" s="4" t="s">
        <v>32</v>
      </c>
      <c r="G130" s="4" t="s">
        <v>34</v>
      </c>
      <c r="H130" s="5">
        <v>-71500</v>
      </c>
      <c r="I130" s="4" t="s">
        <v>21</v>
      </c>
      <c r="J130" s="5">
        <f t="shared" si="1"/>
        <v>264943.25</v>
      </c>
      <c r="K130" s="4" t="s">
        <v>51</v>
      </c>
      <c r="L130" s="6">
        <v>3.7054999999999998</v>
      </c>
      <c r="M130" s="6">
        <v>0.26989999999999997</v>
      </c>
      <c r="N130" s="6">
        <v>3.6118000000000001</v>
      </c>
      <c r="O130" s="6">
        <v>1</v>
      </c>
      <c r="P130" s="5">
        <v>6971.25</v>
      </c>
      <c r="Q130" s="4" t="s">
        <v>1390</v>
      </c>
    </row>
    <row r="131" spans="1:17" x14ac:dyDescent="0.3">
      <c r="A131" s="2" t="s">
        <v>1389</v>
      </c>
      <c r="B131" s="3">
        <v>144397</v>
      </c>
      <c r="C131" s="3">
        <v>199127</v>
      </c>
      <c r="D131" s="4" t="s">
        <v>17</v>
      </c>
      <c r="E131" s="4" t="s">
        <v>1201</v>
      </c>
      <c r="F131" s="4" t="s">
        <v>32</v>
      </c>
      <c r="G131" s="4" t="s">
        <v>34</v>
      </c>
      <c r="H131" s="5">
        <v>-71500</v>
      </c>
      <c r="I131" s="4" t="s">
        <v>21</v>
      </c>
      <c r="J131" s="5">
        <f t="shared" si="1"/>
        <v>264943.25</v>
      </c>
      <c r="K131" s="4" t="s">
        <v>52</v>
      </c>
      <c r="L131" s="6">
        <v>3.7054999999999998</v>
      </c>
      <c r="M131" s="6">
        <v>0.26989999999999997</v>
      </c>
      <c r="N131" s="6">
        <v>3.6027999999999998</v>
      </c>
      <c r="O131" s="6">
        <v>1</v>
      </c>
      <c r="P131" s="5">
        <v>7621.9</v>
      </c>
      <c r="Q131" s="4" t="s">
        <v>1390</v>
      </c>
    </row>
    <row r="132" spans="1:17" x14ac:dyDescent="0.3">
      <c r="A132" s="2" t="s">
        <v>1389</v>
      </c>
      <c r="B132" s="3">
        <v>144398</v>
      </c>
      <c r="C132" s="3">
        <v>199128</v>
      </c>
      <c r="D132" s="4" t="s">
        <v>17</v>
      </c>
      <c r="E132" s="4" t="s">
        <v>1201</v>
      </c>
      <c r="F132" s="4" t="s">
        <v>32</v>
      </c>
      <c r="G132" s="4" t="s">
        <v>34</v>
      </c>
      <c r="H132" s="5">
        <v>-71500</v>
      </c>
      <c r="I132" s="4" t="s">
        <v>21</v>
      </c>
      <c r="J132" s="5">
        <f t="shared" ref="J132:J195" si="2">-H132*L132</f>
        <v>264943.25</v>
      </c>
      <c r="K132" s="4" t="s">
        <v>53</v>
      </c>
      <c r="L132" s="6">
        <v>3.7054999999999998</v>
      </c>
      <c r="M132" s="6">
        <v>0.26989999999999997</v>
      </c>
      <c r="N132" s="6">
        <v>3.5831</v>
      </c>
      <c r="O132" s="6">
        <v>1</v>
      </c>
      <c r="P132" s="5">
        <v>9037.6</v>
      </c>
      <c r="Q132" s="4" t="s">
        <v>1390</v>
      </c>
    </row>
    <row r="133" spans="1:17" x14ac:dyDescent="0.3">
      <c r="A133" s="2" t="s">
        <v>1389</v>
      </c>
      <c r="B133" s="3">
        <v>144399</v>
      </c>
      <c r="C133" s="3">
        <v>199130</v>
      </c>
      <c r="D133" s="4" t="s">
        <v>17</v>
      </c>
      <c r="E133" s="4" t="s">
        <v>1201</v>
      </c>
      <c r="F133" s="4" t="s">
        <v>32</v>
      </c>
      <c r="G133" s="4" t="s">
        <v>34</v>
      </c>
      <c r="H133" s="5">
        <v>-71500</v>
      </c>
      <c r="I133" s="4" t="s">
        <v>21</v>
      </c>
      <c r="J133" s="5">
        <f t="shared" si="2"/>
        <v>264943.25</v>
      </c>
      <c r="K133" s="4" t="s">
        <v>54</v>
      </c>
      <c r="L133" s="6">
        <v>3.7054999999999998</v>
      </c>
      <c r="M133" s="6">
        <v>0.26989999999999997</v>
      </c>
      <c r="N133" s="6">
        <v>3.5499000000000001</v>
      </c>
      <c r="O133" s="6">
        <v>1</v>
      </c>
      <c r="P133" s="5">
        <v>11411.4</v>
      </c>
      <c r="Q133" s="4" t="s">
        <v>1390</v>
      </c>
    </row>
    <row r="134" spans="1:17" x14ac:dyDescent="0.3">
      <c r="A134" s="2" t="s">
        <v>1389</v>
      </c>
      <c r="B134" s="3">
        <v>144400</v>
      </c>
      <c r="C134" s="3">
        <v>199131</v>
      </c>
      <c r="D134" s="4" t="s">
        <v>17</v>
      </c>
      <c r="E134" s="4" t="s">
        <v>1201</v>
      </c>
      <c r="F134" s="4" t="s">
        <v>32</v>
      </c>
      <c r="G134" s="4" t="s">
        <v>34</v>
      </c>
      <c r="H134" s="5">
        <v>-71500</v>
      </c>
      <c r="I134" s="4" t="s">
        <v>21</v>
      </c>
      <c r="J134" s="5">
        <f t="shared" si="2"/>
        <v>264943.25</v>
      </c>
      <c r="K134" s="4" t="s">
        <v>30</v>
      </c>
      <c r="L134" s="6">
        <v>3.7054999999999998</v>
      </c>
      <c r="M134" s="6">
        <v>0.26989999999999997</v>
      </c>
      <c r="N134" s="6">
        <v>3.5354000000000001</v>
      </c>
      <c r="O134" s="6">
        <v>1</v>
      </c>
      <c r="P134" s="5">
        <v>12455.3</v>
      </c>
      <c r="Q134" s="4" t="s">
        <v>1390</v>
      </c>
    </row>
    <row r="135" spans="1:17" x14ac:dyDescent="0.3">
      <c r="A135" s="2" t="s">
        <v>1389</v>
      </c>
      <c r="B135" s="3">
        <v>144401</v>
      </c>
      <c r="C135" s="3">
        <v>199132</v>
      </c>
      <c r="D135" s="4" t="s">
        <v>17</v>
      </c>
      <c r="E135" s="4" t="s">
        <v>1201</v>
      </c>
      <c r="F135" s="4" t="s">
        <v>32</v>
      </c>
      <c r="G135" s="4" t="s">
        <v>34</v>
      </c>
      <c r="H135" s="5">
        <v>-71500</v>
      </c>
      <c r="I135" s="4" t="s">
        <v>21</v>
      </c>
      <c r="J135" s="5">
        <f t="shared" si="2"/>
        <v>264943.25</v>
      </c>
      <c r="K135" s="4" t="s">
        <v>55</v>
      </c>
      <c r="L135" s="6">
        <v>3.7054999999999998</v>
      </c>
      <c r="M135" s="6">
        <v>0.26989999999999997</v>
      </c>
      <c r="N135" s="6">
        <v>3.5045000000000002</v>
      </c>
      <c r="O135" s="6">
        <v>1</v>
      </c>
      <c r="P135" s="5">
        <v>14671.8</v>
      </c>
      <c r="Q135" s="4" t="s">
        <v>1390</v>
      </c>
    </row>
    <row r="136" spans="1:17" x14ac:dyDescent="0.3">
      <c r="A136" s="2" t="s">
        <v>1389</v>
      </c>
      <c r="B136" s="3">
        <v>144403</v>
      </c>
      <c r="C136" s="3">
        <v>199135</v>
      </c>
      <c r="D136" s="4" t="s">
        <v>17</v>
      </c>
      <c r="E136" s="4" t="s">
        <v>1201</v>
      </c>
      <c r="F136" s="4" t="s">
        <v>32</v>
      </c>
      <c r="G136" s="4" t="s">
        <v>34</v>
      </c>
      <c r="H136" s="5">
        <v>-71500</v>
      </c>
      <c r="I136" s="4" t="s">
        <v>21</v>
      </c>
      <c r="J136" s="5">
        <f t="shared" si="2"/>
        <v>264943.25</v>
      </c>
      <c r="K136" s="4" t="s">
        <v>27</v>
      </c>
      <c r="L136" s="6">
        <v>3.7054999999999998</v>
      </c>
      <c r="M136" s="6">
        <v>0.26989999999999997</v>
      </c>
      <c r="N136" s="6">
        <v>3.5188999999999999</v>
      </c>
      <c r="O136" s="6">
        <v>1</v>
      </c>
      <c r="P136" s="5">
        <v>13642.2</v>
      </c>
      <c r="Q136" s="4" t="s">
        <v>1390</v>
      </c>
    </row>
    <row r="137" spans="1:17" x14ac:dyDescent="0.3">
      <c r="A137" s="2" t="s">
        <v>1389</v>
      </c>
      <c r="B137" s="3">
        <v>146594</v>
      </c>
      <c r="C137" s="3">
        <v>202027</v>
      </c>
      <c r="D137" s="4" t="s">
        <v>17</v>
      </c>
      <c r="E137" s="4" t="s">
        <v>1338</v>
      </c>
      <c r="F137" s="4" t="s">
        <v>19</v>
      </c>
      <c r="G137" s="4" t="s">
        <v>20</v>
      </c>
      <c r="H137" s="5">
        <v>600000</v>
      </c>
      <c r="I137" s="4" t="s">
        <v>21</v>
      </c>
      <c r="J137" s="5">
        <f t="shared" si="2"/>
        <v>-2529600</v>
      </c>
      <c r="K137" s="4" t="s">
        <v>35</v>
      </c>
      <c r="L137" s="6">
        <v>4.2160000000000002</v>
      </c>
      <c r="M137" s="6">
        <v>0.23719999999999999</v>
      </c>
      <c r="N137" s="6">
        <v>4.2110000000000003</v>
      </c>
      <c r="O137" s="6">
        <v>1</v>
      </c>
      <c r="P137" s="5">
        <v>-3000</v>
      </c>
      <c r="Q137" s="4" t="s">
        <v>1390</v>
      </c>
    </row>
    <row r="138" spans="1:17" x14ac:dyDescent="0.3">
      <c r="A138" s="2" t="s">
        <v>1389</v>
      </c>
      <c r="B138" s="3">
        <v>147126</v>
      </c>
      <c r="C138" s="3">
        <v>202846</v>
      </c>
      <c r="D138" s="4" t="s">
        <v>17</v>
      </c>
      <c r="E138" s="4" t="s">
        <v>1338</v>
      </c>
      <c r="F138" s="4" t="s">
        <v>19</v>
      </c>
      <c r="G138" s="4" t="s">
        <v>20</v>
      </c>
      <c r="H138" s="5">
        <v>30000</v>
      </c>
      <c r="I138" s="4" t="s">
        <v>21</v>
      </c>
      <c r="J138" s="5">
        <f t="shared" si="2"/>
        <v>-126870</v>
      </c>
      <c r="K138" s="4" t="s">
        <v>35</v>
      </c>
      <c r="L138" s="6">
        <v>4.2290000000000001</v>
      </c>
      <c r="M138" s="6">
        <v>0.23649999999999999</v>
      </c>
      <c r="N138" s="6">
        <v>4.2110000000000003</v>
      </c>
      <c r="O138" s="6">
        <v>1</v>
      </c>
      <c r="P138" s="5">
        <v>-539.99999999998545</v>
      </c>
      <c r="Q138" s="4" t="s">
        <v>1390</v>
      </c>
    </row>
    <row r="139" spans="1:17" x14ac:dyDescent="0.3">
      <c r="A139" s="2" t="s">
        <v>1389</v>
      </c>
      <c r="B139" s="3">
        <v>147365</v>
      </c>
      <c r="C139" s="3">
        <v>203223</v>
      </c>
      <c r="D139" s="4" t="s">
        <v>17</v>
      </c>
      <c r="E139" s="4" t="s">
        <v>1338</v>
      </c>
      <c r="F139" s="4" t="s">
        <v>19</v>
      </c>
      <c r="G139" s="4" t="s">
        <v>20</v>
      </c>
      <c r="H139" s="5">
        <v>300000</v>
      </c>
      <c r="I139" s="4" t="s">
        <v>21</v>
      </c>
      <c r="J139" s="5">
        <f t="shared" si="2"/>
        <v>-1263300</v>
      </c>
      <c r="K139" s="4" t="s">
        <v>35</v>
      </c>
      <c r="L139" s="6">
        <v>4.2110000000000003</v>
      </c>
      <c r="M139" s="6">
        <v>0.23749999999999999</v>
      </c>
      <c r="N139" s="6">
        <v>4.2110000000000003</v>
      </c>
      <c r="O139" s="6">
        <v>1</v>
      </c>
      <c r="P139" s="5">
        <v>0</v>
      </c>
      <c r="Q139" s="4" t="s">
        <v>1390</v>
      </c>
    </row>
    <row r="140" spans="1:17" x14ac:dyDescent="0.3">
      <c r="A140" s="2" t="s">
        <v>1389</v>
      </c>
      <c r="B140" s="3">
        <v>147630</v>
      </c>
      <c r="C140" s="3">
        <v>203565</v>
      </c>
      <c r="D140" s="4" t="s">
        <v>17</v>
      </c>
      <c r="E140" s="4" t="s">
        <v>1338</v>
      </c>
      <c r="F140" s="4" t="s">
        <v>19</v>
      </c>
      <c r="G140" s="4" t="s">
        <v>20</v>
      </c>
      <c r="H140" s="5">
        <v>3500000</v>
      </c>
      <c r="I140" s="4" t="s">
        <v>21</v>
      </c>
      <c r="J140" s="5">
        <f t="shared" si="2"/>
        <v>-14759499.999999998</v>
      </c>
      <c r="K140" s="4" t="s">
        <v>35</v>
      </c>
      <c r="L140" s="6">
        <v>4.2169999999999996</v>
      </c>
      <c r="M140" s="6">
        <v>0.23710000000000001</v>
      </c>
      <c r="N140" s="6">
        <v>4.2110000000000003</v>
      </c>
      <c r="O140" s="6">
        <v>1</v>
      </c>
      <c r="P140" s="5">
        <v>-20999.999999996275</v>
      </c>
      <c r="Q140" s="4" t="s">
        <v>1390</v>
      </c>
    </row>
    <row r="141" spans="1:17" x14ac:dyDescent="0.3">
      <c r="A141" s="2" t="s">
        <v>1389</v>
      </c>
      <c r="B141" s="3">
        <v>147952</v>
      </c>
      <c r="C141" s="3">
        <v>204027</v>
      </c>
      <c r="D141" s="4" t="s">
        <v>17</v>
      </c>
      <c r="E141" s="4" t="s">
        <v>1338</v>
      </c>
      <c r="F141" s="4" t="s">
        <v>19</v>
      </c>
      <c r="G141" s="4" t="s">
        <v>20</v>
      </c>
      <c r="H141" s="5">
        <v>410000</v>
      </c>
      <c r="I141" s="4" t="s">
        <v>21</v>
      </c>
      <c r="J141" s="5">
        <f t="shared" si="2"/>
        <v>-1734710</v>
      </c>
      <c r="K141" s="4" t="s">
        <v>35</v>
      </c>
      <c r="L141" s="6">
        <v>4.2309999999999999</v>
      </c>
      <c r="M141" s="6">
        <v>0.2364</v>
      </c>
      <c r="N141" s="6">
        <v>4.2110000000000003</v>
      </c>
      <c r="O141" s="6">
        <v>1</v>
      </c>
      <c r="P141" s="5">
        <v>-8199.9999999997672</v>
      </c>
      <c r="Q141" s="4" t="s">
        <v>1390</v>
      </c>
    </row>
    <row r="142" spans="1:17" x14ac:dyDescent="0.3">
      <c r="A142" s="2" t="s">
        <v>1389</v>
      </c>
      <c r="B142" s="3">
        <v>148091</v>
      </c>
      <c r="C142" s="3">
        <v>204239</v>
      </c>
      <c r="D142" s="4" t="s">
        <v>17</v>
      </c>
      <c r="E142" s="4" t="s">
        <v>1072</v>
      </c>
      <c r="F142" s="4" t="s">
        <v>19</v>
      </c>
      <c r="G142" s="4" t="s">
        <v>20</v>
      </c>
      <c r="H142" s="5">
        <v>95000</v>
      </c>
      <c r="I142" s="4" t="s">
        <v>21</v>
      </c>
      <c r="J142" s="5">
        <f t="shared" si="2"/>
        <v>-401612.5</v>
      </c>
      <c r="K142" s="4" t="s">
        <v>29</v>
      </c>
      <c r="L142" s="6">
        <v>4.2275</v>
      </c>
      <c r="M142" s="6">
        <v>0.23649999999999999</v>
      </c>
      <c r="N142" s="6">
        <v>4.2104999999999997</v>
      </c>
      <c r="O142" s="6">
        <v>1</v>
      </c>
      <c r="P142" s="5">
        <v>-1615.0000000000582</v>
      </c>
      <c r="Q142" s="4" t="s">
        <v>1390</v>
      </c>
    </row>
    <row r="143" spans="1:17" x14ac:dyDescent="0.3">
      <c r="A143" s="2" t="s">
        <v>1389</v>
      </c>
      <c r="B143" s="3">
        <v>148114</v>
      </c>
      <c r="C143" s="3">
        <v>204282</v>
      </c>
      <c r="D143" s="4" t="s">
        <v>17</v>
      </c>
      <c r="E143" s="4" t="s">
        <v>1338</v>
      </c>
      <c r="F143" s="4" t="s">
        <v>19</v>
      </c>
      <c r="G143" s="4" t="s">
        <v>20</v>
      </c>
      <c r="H143" s="5">
        <v>1530000</v>
      </c>
      <c r="I143" s="4" t="s">
        <v>21</v>
      </c>
      <c r="J143" s="5">
        <f t="shared" si="2"/>
        <v>-6450480</v>
      </c>
      <c r="K143" s="4" t="s">
        <v>35</v>
      </c>
      <c r="L143" s="6">
        <v>4.2160000000000002</v>
      </c>
      <c r="M143" s="6">
        <v>0.23719999999999999</v>
      </c>
      <c r="N143" s="6">
        <v>4.2110000000000003</v>
      </c>
      <c r="O143" s="6">
        <v>1</v>
      </c>
      <c r="P143" s="5">
        <v>-7650</v>
      </c>
      <c r="Q143" s="4" t="s">
        <v>1390</v>
      </c>
    </row>
    <row r="144" spans="1:17" x14ac:dyDescent="0.3">
      <c r="A144" s="2" t="s">
        <v>1389</v>
      </c>
      <c r="B144" s="3">
        <v>148395</v>
      </c>
      <c r="C144" s="3">
        <v>204680</v>
      </c>
      <c r="D144" s="4" t="s">
        <v>17</v>
      </c>
      <c r="E144" s="4" t="s">
        <v>768</v>
      </c>
      <c r="F144" s="4" t="s">
        <v>32</v>
      </c>
      <c r="G144" s="4" t="s">
        <v>20</v>
      </c>
      <c r="H144" s="5">
        <v>-152064</v>
      </c>
      <c r="I144" s="4" t="s">
        <v>21</v>
      </c>
      <c r="J144" s="5">
        <f t="shared" si="2"/>
        <v>643306.75199999998</v>
      </c>
      <c r="K144" s="4" t="s">
        <v>35</v>
      </c>
      <c r="L144" s="6">
        <v>4.2305000000000001</v>
      </c>
      <c r="M144" s="6">
        <v>0.2364</v>
      </c>
      <c r="N144" s="6">
        <v>4.2110000000000003</v>
      </c>
      <c r="O144" s="6">
        <v>1</v>
      </c>
      <c r="P144" s="5">
        <v>5398.2759999999998</v>
      </c>
      <c r="Q144" s="4" t="s">
        <v>1390</v>
      </c>
    </row>
    <row r="145" spans="1:17" x14ac:dyDescent="0.3">
      <c r="A145" s="2" t="s">
        <v>1389</v>
      </c>
      <c r="B145" s="3">
        <v>148630</v>
      </c>
      <c r="C145" s="3">
        <v>205052</v>
      </c>
      <c r="D145" s="4" t="s">
        <v>17</v>
      </c>
      <c r="E145" s="4" t="s">
        <v>826</v>
      </c>
      <c r="F145" s="4" t="s">
        <v>19</v>
      </c>
      <c r="G145" s="4" t="s">
        <v>20</v>
      </c>
      <c r="H145" s="5">
        <v>31400</v>
      </c>
      <c r="I145" s="4" t="s">
        <v>21</v>
      </c>
      <c r="J145" s="5">
        <f t="shared" si="2"/>
        <v>-132759.19999999998</v>
      </c>
      <c r="K145" s="4" t="s">
        <v>42</v>
      </c>
      <c r="L145" s="6">
        <v>4.2279999999999998</v>
      </c>
      <c r="M145" s="6">
        <v>0.23649999999999999</v>
      </c>
      <c r="N145" s="6">
        <v>4.2119</v>
      </c>
      <c r="O145" s="6">
        <v>1</v>
      </c>
      <c r="P145" s="5">
        <v>-505.53999999997905</v>
      </c>
      <c r="Q145" s="4" t="s">
        <v>1390</v>
      </c>
    </row>
    <row r="146" spans="1:17" x14ac:dyDescent="0.3">
      <c r="A146" s="2" t="s">
        <v>1389</v>
      </c>
      <c r="B146" s="3">
        <v>149132</v>
      </c>
      <c r="C146" s="3">
        <v>205846</v>
      </c>
      <c r="D146" s="4" t="s">
        <v>17</v>
      </c>
      <c r="E146" s="4" t="s">
        <v>1338</v>
      </c>
      <c r="F146" s="4" t="s">
        <v>19</v>
      </c>
      <c r="G146" s="4" t="s">
        <v>20</v>
      </c>
      <c r="H146" s="5">
        <v>890000</v>
      </c>
      <c r="I146" s="4" t="s">
        <v>21</v>
      </c>
      <c r="J146" s="5">
        <f t="shared" si="2"/>
        <v>-3758470</v>
      </c>
      <c r="K146" s="4" t="s">
        <v>35</v>
      </c>
      <c r="L146" s="6">
        <v>4.2229999999999999</v>
      </c>
      <c r="M146" s="6">
        <v>0.23680000000000001</v>
      </c>
      <c r="N146" s="6">
        <v>4.2110000000000003</v>
      </c>
      <c r="O146" s="6">
        <v>1</v>
      </c>
      <c r="P146" s="5">
        <v>-10679.999999999534</v>
      </c>
      <c r="Q146" s="4" t="s">
        <v>1390</v>
      </c>
    </row>
    <row r="147" spans="1:17" x14ac:dyDescent="0.3">
      <c r="A147" s="2" t="s">
        <v>1389</v>
      </c>
      <c r="B147" s="3">
        <v>149206</v>
      </c>
      <c r="C147" s="3">
        <v>205942</v>
      </c>
      <c r="D147" s="4" t="s">
        <v>17</v>
      </c>
      <c r="E147" s="4" t="s">
        <v>768</v>
      </c>
      <c r="F147" s="4" t="s">
        <v>32</v>
      </c>
      <c r="G147" s="4" t="s">
        <v>20</v>
      </c>
      <c r="H147" s="5">
        <v>-19886.400000000001</v>
      </c>
      <c r="I147" s="4" t="s">
        <v>21</v>
      </c>
      <c r="J147" s="5">
        <f t="shared" si="2"/>
        <v>84358.108800000002</v>
      </c>
      <c r="K147" s="4" t="s">
        <v>51</v>
      </c>
      <c r="L147" s="6">
        <v>4.242</v>
      </c>
      <c r="M147" s="6">
        <v>0.23569999999999999</v>
      </c>
      <c r="N147" s="6">
        <v>4.2271000000000001</v>
      </c>
      <c r="O147" s="6">
        <v>1</v>
      </c>
      <c r="P147" s="5">
        <v>654.25855999999999</v>
      </c>
      <c r="Q147" s="4" t="s">
        <v>1390</v>
      </c>
    </row>
    <row r="148" spans="1:17" x14ac:dyDescent="0.3">
      <c r="A148" s="2" t="s">
        <v>1389</v>
      </c>
      <c r="B148" s="3">
        <v>149364</v>
      </c>
      <c r="C148" s="3">
        <v>206117</v>
      </c>
      <c r="D148" s="4" t="s">
        <v>17</v>
      </c>
      <c r="E148" s="4" t="s">
        <v>874</v>
      </c>
      <c r="F148" s="4" t="s">
        <v>32</v>
      </c>
      <c r="G148" s="4" t="s">
        <v>34</v>
      </c>
      <c r="H148" s="5">
        <v>-120000</v>
      </c>
      <c r="I148" s="4" t="s">
        <v>21</v>
      </c>
      <c r="J148" s="5">
        <f t="shared" si="2"/>
        <v>436728</v>
      </c>
      <c r="K148" s="4" t="s">
        <v>22</v>
      </c>
      <c r="L148" s="6">
        <v>3.6394000000000002</v>
      </c>
      <c r="M148" s="6">
        <v>0.27479999999999999</v>
      </c>
      <c r="N148" s="6">
        <v>3.6153</v>
      </c>
      <c r="O148" s="6">
        <v>1</v>
      </c>
      <c r="P148" s="5">
        <v>3264</v>
      </c>
      <c r="Q148" s="4" t="s">
        <v>1390</v>
      </c>
    </row>
    <row r="149" spans="1:17" x14ac:dyDescent="0.3">
      <c r="A149" s="2" t="s">
        <v>1389</v>
      </c>
      <c r="B149" s="3">
        <v>149365</v>
      </c>
      <c r="C149" s="3">
        <v>206120</v>
      </c>
      <c r="D149" s="4" t="s">
        <v>17</v>
      </c>
      <c r="E149" s="4" t="s">
        <v>874</v>
      </c>
      <c r="F149" s="4" t="s">
        <v>32</v>
      </c>
      <c r="G149" s="4" t="s">
        <v>34</v>
      </c>
      <c r="H149" s="5">
        <v>-50000</v>
      </c>
      <c r="I149" s="4" t="s">
        <v>21</v>
      </c>
      <c r="J149" s="5">
        <f t="shared" si="2"/>
        <v>181935</v>
      </c>
      <c r="K149" s="4" t="s">
        <v>22</v>
      </c>
      <c r="L149" s="6">
        <v>3.6387</v>
      </c>
      <c r="M149" s="6">
        <v>0.27479999999999999</v>
      </c>
      <c r="N149" s="6">
        <v>3.6153</v>
      </c>
      <c r="O149" s="6">
        <v>1</v>
      </c>
      <c r="P149" s="5">
        <v>1325</v>
      </c>
      <c r="Q149" s="4" t="s">
        <v>1390</v>
      </c>
    </row>
    <row r="150" spans="1:17" x14ac:dyDescent="0.3">
      <c r="A150" s="2" t="s">
        <v>1389</v>
      </c>
      <c r="B150" s="3">
        <v>149439</v>
      </c>
      <c r="C150" s="3">
        <v>206242</v>
      </c>
      <c r="D150" s="4" t="s">
        <v>17</v>
      </c>
      <c r="E150" s="4" t="s">
        <v>874</v>
      </c>
      <c r="F150" s="4" t="s">
        <v>32</v>
      </c>
      <c r="G150" s="4" t="s">
        <v>34</v>
      </c>
      <c r="H150" s="5">
        <v>-100000</v>
      </c>
      <c r="I150" s="4" t="s">
        <v>21</v>
      </c>
      <c r="J150" s="5">
        <f t="shared" si="2"/>
        <v>363560</v>
      </c>
      <c r="K150" s="4" t="s">
        <v>54</v>
      </c>
      <c r="L150" s="6">
        <v>3.6356000000000002</v>
      </c>
      <c r="M150" s="6">
        <v>0.27510000000000001</v>
      </c>
      <c r="N150" s="6">
        <v>3.5499000000000001</v>
      </c>
      <c r="O150" s="6">
        <v>1</v>
      </c>
      <c r="P150" s="5">
        <v>8930</v>
      </c>
      <c r="Q150" s="4" t="s">
        <v>1390</v>
      </c>
    </row>
    <row r="151" spans="1:17" x14ac:dyDescent="0.3">
      <c r="A151" s="2" t="s">
        <v>1389</v>
      </c>
      <c r="B151" s="3">
        <v>149968</v>
      </c>
      <c r="C151" s="3">
        <v>206953</v>
      </c>
      <c r="D151" s="4" t="s">
        <v>17</v>
      </c>
      <c r="E151" s="4" t="s">
        <v>874</v>
      </c>
      <c r="F151" s="4" t="s">
        <v>32</v>
      </c>
      <c r="G151" s="4" t="s">
        <v>34</v>
      </c>
      <c r="H151" s="5">
        <v>-200000</v>
      </c>
      <c r="I151" s="4" t="s">
        <v>21</v>
      </c>
      <c r="J151" s="5">
        <f t="shared" si="2"/>
        <v>725900</v>
      </c>
      <c r="K151" s="4" t="s">
        <v>30</v>
      </c>
      <c r="L151" s="6">
        <v>3.6295000000000002</v>
      </c>
      <c r="M151" s="6">
        <v>0.27550000000000002</v>
      </c>
      <c r="N151" s="6">
        <v>3.5354000000000001</v>
      </c>
      <c r="O151" s="6">
        <v>1</v>
      </c>
      <c r="P151" s="5">
        <v>19500</v>
      </c>
      <c r="Q151" s="4" t="s">
        <v>1390</v>
      </c>
    </row>
    <row r="152" spans="1:17" x14ac:dyDescent="0.3">
      <c r="A152" s="2" t="s">
        <v>1389</v>
      </c>
      <c r="B152" s="3">
        <v>150016</v>
      </c>
      <c r="C152" s="3">
        <v>207025</v>
      </c>
      <c r="D152" s="4" t="s">
        <v>17</v>
      </c>
      <c r="E152" s="4" t="s">
        <v>874</v>
      </c>
      <c r="F152" s="4" t="s">
        <v>32</v>
      </c>
      <c r="G152" s="4" t="s">
        <v>34</v>
      </c>
      <c r="H152" s="5">
        <v>-100000</v>
      </c>
      <c r="I152" s="4" t="s">
        <v>21</v>
      </c>
      <c r="J152" s="5">
        <f t="shared" si="2"/>
        <v>362510</v>
      </c>
      <c r="K152" s="4" t="s">
        <v>46</v>
      </c>
      <c r="L152" s="6">
        <v>3.6251000000000002</v>
      </c>
      <c r="M152" s="6">
        <v>0.27589999999999998</v>
      </c>
      <c r="N152" s="6">
        <v>3.6044999999999998</v>
      </c>
      <c r="O152" s="6">
        <v>1</v>
      </c>
      <c r="P152" s="5">
        <v>2300</v>
      </c>
      <c r="Q152" s="4" t="s">
        <v>1390</v>
      </c>
    </row>
    <row r="153" spans="1:17" x14ac:dyDescent="0.3">
      <c r="A153" s="2" t="s">
        <v>1389</v>
      </c>
      <c r="B153" s="3">
        <v>150111</v>
      </c>
      <c r="C153" s="3">
        <v>207133</v>
      </c>
      <c r="D153" s="4" t="s">
        <v>17</v>
      </c>
      <c r="E153" s="4" t="s">
        <v>1338</v>
      </c>
      <c r="F153" s="4" t="s">
        <v>19</v>
      </c>
      <c r="G153" s="4" t="s">
        <v>20</v>
      </c>
      <c r="H153" s="5">
        <v>1560000</v>
      </c>
      <c r="I153" s="4" t="s">
        <v>21</v>
      </c>
      <c r="J153" s="5">
        <f t="shared" si="2"/>
        <v>-6572280</v>
      </c>
      <c r="K153" s="4" t="s">
        <v>35</v>
      </c>
      <c r="L153" s="6">
        <v>4.2130000000000001</v>
      </c>
      <c r="M153" s="6">
        <v>0.2374</v>
      </c>
      <c r="N153" s="6">
        <v>4.2110000000000003</v>
      </c>
      <c r="O153" s="6">
        <v>1</v>
      </c>
      <c r="P153" s="5">
        <v>-3120</v>
      </c>
      <c r="Q153" s="4" t="s">
        <v>1390</v>
      </c>
    </row>
    <row r="154" spans="1:17" x14ac:dyDescent="0.3">
      <c r="A154" s="2" t="s">
        <v>1389</v>
      </c>
      <c r="B154" s="3">
        <v>150179</v>
      </c>
      <c r="C154" s="3">
        <v>207188</v>
      </c>
      <c r="D154" s="4" t="s">
        <v>17</v>
      </c>
      <c r="E154" s="4" t="s">
        <v>874</v>
      </c>
      <c r="F154" s="4" t="s">
        <v>32</v>
      </c>
      <c r="G154" s="4" t="s">
        <v>34</v>
      </c>
      <c r="H154" s="5">
        <v>-100000</v>
      </c>
      <c r="I154" s="4" t="s">
        <v>21</v>
      </c>
      <c r="J154" s="5">
        <f t="shared" si="2"/>
        <v>362500</v>
      </c>
      <c r="K154" s="4" t="s">
        <v>48</v>
      </c>
      <c r="L154" s="6">
        <v>3.625</v>
      </c>
      <c r="M154" s="6">
        <v>0.27589999999999998</v>
      </c>
      <c r="N154" s="6">
        <v>3.6036999999999999</v>
      </c>
      <c r="O154" s="6">
        <v>1</v>
      </c>
      <c r="P154" s="5">
        <v>2380</v>
      </c>
      <c r="Q154" s="4" t="s">
        <v>1390</v>
      </c>
    </row>
    <row r="155" spans="1:17" x14ac:dyDescent="0.3">
      <c r="A155" s="2" t="s">
        <v>1389</v>
      </c>
      <c r="B155" s="3">
        <v>150357</v>
      </c>
      <c r="C155" s="3">
        <v>207455</v>
      </c>
      <c r="D155" s="4" t="s">
        <v>17</v>
      </c>
      <c r="E155" s="4" t="s">
        <v>1338</v>
      </c>
      <c r="F155" s="4" t="s">
        <v>19</v>
      </c>
      <c r="G155" s="4" t="s">
        <v>20</v>
      </c>
      <c r="H155" s="5">
        <v>350000</v>
      </c>
      <c r="I155" s="4" t="s">
        <v>21</v>
      </c>
      <c r="J155" s="5">
        <f t="shared" si="2"/>
        <v>-1474900.0000000002</v>
      </c>
      <c r="K155" s="4" t="s">
        <v>35</v>
      </c>
      <c r="L155" s="6">
        <v>4.2140000000000004</v>
      </c>
      <c r="M155" s="6">
        <v>0.23730000000000001</v>
      </c>
      <c r="N155" s="6">
        <v>4.2110000000000003</v>
      </c>
      <c r="O155" s="6">
        <v>1</v>
      </c>
      <c r="P155" s="5">
        <v>-1050.0000000002328</v>
      </c>
      <c r="Q155" s="4" t="s">
        <v>1390</v>
      </c>
    </row>
    <row r="156" spans="1:17" x14ac:dyDescent="0.3">
      <c r="A156" s="2" t="s">
        <v>1389</v>
      </c>
      <c r="B156" s="3">
        <v>150689</v>
      </c>
      <c r="C156" s="3">
        <v>207862</v>
      </c>
      <c r="D156" s="4" t="s">
        <v>17</v>
      </c>
      <c r="E156" s="4" t="s">
        <v>1272</v>
      </c>
      <c r="F156" s="4" t="s">
        <v>32</v>
      </c>
      <c r="G156" s="4" t="s">
        <v>34</v>
      </c>
      <c r="H156" s="5">
        <v>-100000</v>
      </c>
      <c r="I156" s="4" t="s">
        <v>21</v>
      </c>
      <c r="J156" s="5">
        <f t="shared" si="2"/>
        <v>363350</v>
      </c>
      <c r="K156" s="4" t="s">
        <v>47</v>
      </c>
      <c r="L156" s="6">
        <v>3.6335000000000002</v>
      </c>
      <c r="M156" s="6">
        <v>0.2752</v>
      </c>
      <c r="N156" s="6">
        <v>3.6183999999999998</v>
      </c>
      <c r="O156" s="6">
        <v>1</v>
      </c>
      <c r="P156" s="5">
        <v>1860</v>
      </c>
      <c r="Q156" s="4" t="s">
        <v>1390</v>
      </c>
    </row>
    <row r="157" spans="1:17" x14ac:dyDescent="0.3">
      <c r="A157" s="2" t="s">
        <v>1389</v>
      </c>
      <c r="B157" s="3">
        <v>150875</v>
      </c>
      <c r="C157" s="3">
        <v>208225</v>
      </c>
      <c r="D157" s="4" t="s">
        <v>17</v>
      </c>
      <c r="E157" s="4" t="s">
        <v>1005</v>
      </c>
      <c r="F157" s="4" t="s">
        <v>32</v>
      </c>
      <c r="G157" s="4" t="s">
        <v>34</v>
      </c>
      <c r="H157" s="5">
        <v>-50000</v>
      </c>
      <c r="I157" s="4" t="s">
        <v>21</v>
      </c>
      <c r="J157" s="5">
        <f t="shared" si="2"/>
        <v>182260</v>
      </c>
      <c r="K157" s="4" t="s">
        <v>47</v>
      </c>
      <c r="L157" s="6">
        <v>3.6452</v>
      </c>
      <c r="M157" s="6">
        <v>0.27429999999999999</v>
      </c>
      <c r="N157" s="6">
        <v>3.6183999999999998</v>
      </c>
      <c r="O157" s="6">
        <v>1</v>
      </c>
      <c r="P157" s="5">
        <v>1490</v>
      </c>
      <c r="Q157" s="4" t="s">
        <v>1390</v>
      </c>
    </row>
    <row r="158" spans="1:17" x14ac:dyDescent="0.3">
      <c r="A158" s="2" t="s">
        <v>1389</v>
      </c>
      <c r="B158" s="3">
        <v>150967</v>
      </c>
      <c r="C158" s="3">
        <v>208299</v>
      </c>
      <c r="D158" s="4" t="s">
        <v>17</v>
      </c>
      <c r="E158" s="4" t="s">
        <v>1061</v>
      </c>
      <c r="F158" s="4" t="s">
        <v>19</v>
      </c>
      <c r="G158" s="4" t="s">
        <v>34</v>
      </c>
      <c r="H158" s="5">
        <v>266151</v>
      </c>
      <c r="I158" s="4" t="s">
        <v>21</v>
      </c>
      <c r="J158" s="5">
        <f t="shared" si="2"/>
        <v>-967192.73399999994</v>
      </c>
      <c r="K158" s="4" t="s">
        <v>27</v>
      </c>
      <c r="L158" s="6">
        <v>3.6339999999999999</v>
      </c>
      <c r="M158" s="6">
        <v>0.2752</v>
      </c>
      <c r="N158" s="6">
        <v>3.5188999999999999</v>
      </c>
      <c r="O158" s="6">
        <v>1</v>
      </c>
      <c r="P158" s="5">
        <v>-30633.980099999928</v>
      </c>
      <c r="Q158" s="4" t="s">
        <v>1390</v>
      </c>
    </row>
    <row r="159" spans="1:17" x14ac:dyDescent="0.3">
      <c r="A159" s="2" t="s">
        <v>1389</v>
      </c>
      <c r="B159" s="3">
        <v>151047</v>
      </c>
      <c r="C159" s="3">
        <v>208491</v>
      </c>
      <c r="D159" s="4" t="s">
        <v>17</v>
      </c>
      <c r="E159" s="4" t="s">
        <v>1274</v>
      </c>
      <c r="F159" s="4" t="s">
        <v>32</v>
      </c>
      <c r="G159" s="4" t="s">
        <v>20</v>
      </c>
      <c r="H159" s="5">
        <v>-163230.24</v>
      </c>
      <c r="I159" s="4" t="s">
        <v>34</v>
      </c>
      <c r="J159" s="5">
        <f t="shared" si="2"/>
        <v>190130.583552</v>
      </c>
      <c r="K159" s="4" t="s">
        <v>52</v>
      </c>
      <c r="L159" s="6">
        <v>1.1648000000000001</v>
      </c>
      <c r="M159" s="6">
        <v>0.85850000000000004</v>
      </c>
      <c r="N159" s="6">
        <v>4.2127999999999997</v>
      </c>
      <c r="O159" s="6">
        <v>3.6027999999999998</v>
      </c>
      <c r="P159" s="5">
        <v>-3124.3550719999998</v>
      </c>
      <c r="Q159" s="4" t="s">
        <v>1390</v>
      </c>
    </row>
    <row r="160" spans="1:17" x14ac:dyDescent="0.3">
      <c r="A160" s="2" t="s">
        <v>1389</v>
      </c>
      <c r="B160" s="3">
        <v>151547</v>
      </c>
      <c r="C160" s="3">
        <v>209313</v>
      </c>
      <c r="D160" s="4" t="s">
        <v>17</v>
      </c>
      <c r="E160" s="4" t="s">
        <v>874</v>
      </c>
      <c r="F160" s="4" t="s">
        <v>32</v>
      </c>
      <c r="G160" s="4" t="s">
        <v>34</v>
      </c>
      <c r="H160" s="5">
        <v>-200000</v>
      </c>
      <c r="I160" s="4" t="s">
        <v>21</v>
      </c>
      <c r="J160" s="5">
        <f t="shared" si="2"/>
        <v>723020</v>
      </c>
      <c r="K160" s="4" t="s">
        <v>29</v>
      </c>
      <c r="L160" s="6">
        <v>3.6151</v>
      </c>
      <c r="M160" s="6">
        <v>0.27660000000000001</v>
      </c>
      <c r="N160" s="6">
        <v>3.6034999999999999</v>
      </c>
      <c r="O160" s="6">
        <v>1</v>
      </c>
      <c r="P160" s="5">
        <v>2720</v>
      </c>
      <c r="Q160" s="4" t="s">
        <v>1390</v>
      </c>
    </row>
    <row r="161" spans="1:17" x14ac:dyDescent="0.3">
      <c r="A161" s="2" t="s">
        <v>1389</v>
      </c>
      <c r="B161" s="3">
        <v>151549</v>
      </c>
      <c r="C161" s="3">
        <v>209314</v>
      </c>
      <c r="D161" s="4" t="s">
        <v>17</v>
      </c>
      <c r="E161" s="4" t="s">
        <v>874</v>
      </c>
      <c r="F161" s="4" t="s">
        <v>32</v>
      </c>
      <c r="G161" s="4" t="s">
        <v>34</v>
      </c>
      <c r="H161" s="5">
        <v>-100000</v>
      </c>
      <c r="I161" s="4" t="s">
        <v>21</v>
      </c>
      <c r="J161" s="5">
        <f t="shared" si="2"/>
        <v>361540</v>
      </c>
      <c r="K161" s="4" t="s">
        <v>47</v>
      </c>
      <c r="L161" s="6">
        <v>3.6154000000000002</v>
      </c>
      <c r="M161" s="6">
        <v>0.27660000000000001</v>
      </c>
      <c r="N161" s="6">
        <v>3.6183999999999998</v>
      </c>
      <c r="O161" s="6">
        <v>1</v>
      </c>
      <c r="P161" s="5">
        <v>-80</v>
      </c>
      <c r="Q161" s="4" t="s">
        <v>1390</v>
      </c>
    </row>
    <row r="162" spans="1:17" x14ac:dyDescent="0.3">
      <c r="A162" s="2" t="s">
        <v>1389</v>
      </c>
      <c r="B162" s="3">
        <v>151568</v>
      </c>
      <c r="C162" s="3">
        <v>209371</v>
      </c>
      <c r="D162" s="4" t="s">
        <v>17</v>
      </c>
      <c r="E162" s="4" t="s">
        <v>874</v>
      </c>
      <c r="F162" s="4" t="s">
        <v>32</v>
      </c>
      <c r="G162" s="4" t="s">
        <v>34</v>
      </c>
      <c r="H162" s="5">
        <v>-140000</v>
      </c>
      <c r="I162" s="4" t="s">
        <v>21</v>
      </c>
      <c r="J162" s="5">
        <f t="shared" si="2"/>
        <v>505582</v>
      </c>
      <c r="K162" s="4" t="s">
        <v>35</v>
      </c>
      <c r="L162" s="6">
        <v>3.6113</v>
      </c>
      <c r="M162" s="6">
        <v>0.27689999999999998</v>
      </c>
      <c r="N162" s="6">
        <v>3.6139999999999999</v>
      </c>
      <c r="O162" s="6">
        <v>1</v>
      </c>
      <c r="P162" s="5">
        <v>-56</v>
      </c>
      <c r="Q162" s="4" t="s">
        <v>1390</v>
      </c>
    </row>
    <row r="163" spans="1:17" x14ac:dyDescent="0.3">
      <c r="A163" s="2" t="s">
        <v>1389</v>
      </c>
      <c r="B163" s="3">
        <v>151579</v>
      </c>
      <c r="C163" s="3">
        <v>209398</v>
      </c>
      <c r="D163" s="4" t="s">
        <v>17</v>
      </c>
      <c r="E163" s="4" t="s">
        <v>874</v>
      </c>
      <c r="F163" s="4" t="s">
        <v>32</v>
      </c>
      <c r="G163" s="4" t="s">
        <v>34</v>
      </c>
      <c r="H163" s="5">
        <v>-100000</v>
      </c>
      <c r="I163" s="4" t="s">
        <v>21</v>
      </c>
      <c r="J163" s="5">
        <f t="shared" si="2"/>
        <v>361120</v>
      </c>
      <c r="K163" s="4" t="s">
        <v>52</v>
      </c>
      <c r="L163" s="6">
        <v>3.6112000000000002</v>
      </c>
      <c r="M163" s="6">
        <v>0.27689999999999998</v>
      </c>
      <c r="N163" s="6">
        <v>3.6027999999999998</v>
      </c>
      <c r="O163" s="6">
        <v>1</v>
      </c>
      <c r="P163" s="5">
        <v>1110</v>
      </c>
      <c r="Q163" s="4" t="s">
        <v>1390</v>
      </c>
    </row>
    <row r="164" spans="1:17" x14ac:dyDescent="0.3">
      <c r="A164" s="2" t="s">
        <v>1389</v>
      </c>
      <c r="B164" s="3">
        <v>151659</v>
      </c>
      <c r="C164" s="3">
        <v>209525</v>
      </c>
      <c r="D164" s="4" t="s">
        <v>17</v>
      </c>
      <c r="E164" s="4" t="s">
        <v>1155</v>
      </c>
      <c r="F164" s="4" t="s">
        <v>32</v>
      </c>
      <c r="G164" s="4" t="s">
        <v>74</v>
      </c>
      <c r="H164" s="5">
        <v>-2000000</v>
      </c>
      <c r="I164" s="4" t="s">
        <v>21</v>
      </c>
      <c r="J164" s="5">
        <f t="shared" si="2"/>
        <v>714200</v>
      </c>
      <c r="K164" s="4" t="s">
        <v>22</v>
      </c>
      <c r="L164" s="6">
        <v>0.35709999999999997</v>
      </c>
      <c r="M164" s="6">
        <v>2.8003</v>
      </c>
      <c r="N164" s="6">
        <v>0.35880000000000001</v>
      </c>
      <c r="O164" s="6">
        <v>1</v>
      </c>
      <c r="P164" s="5">
        <v>-3000</v>
      </c>
      <c r="Q164" s="4" t="s">
        <v>1390</v>
      </c>
    </row>
    <row r="165" spans="1:17" x14ac:dyDescent="0.3">
      <c r="A165" s="2" t="s">
        <v>1389</v>
      </c>
      <c r="B165" s="3">
        <v>151885</v>
      </c>
      <c r="C165" s="3">
        <v>209846</v>
      </c>
      <c r="D165" s="4" t="s">
        <v>17</v>
      </c>
      <c r="E165" s="4" t="s">
        <v>874</v>
      </c>
      <c r="F165" s="4" t="s">
        <v>32</v>
      </c>
      <c r="G165" s="4" t="s">
        <v>34</v>
      </c>
      <c r="H165" s="5">
        <v>-100000</v>
      </c>
      <c r="I165" s="4" t="s">
        <v>21</v>
      </c>
      <c r="J165" s="5">
        <f t="shared" si="2"/>
        <v>360280</v>
      </c>
      <c r="K165" s="4" t="s">
        <v>22</v>
      </c>
      <c r="L165" s="6">
        <v>3.6027999999999998</v>
      </c>
      <c r="M165" s="6">
        <v>0.27760000000000001</v>
      </c>
      <c r="N165" s="6">
        <v>3.6153</v>
      </c>
      <c r="O165" s="6">
        <v>1</v>
      </c>
      <c r="P165" s="5">
        <v>-1030</v>
      </c>
      <c r="Q165" s="4" t="s">
        <v>1390</v>
      </c>
    </row>
    <row r="166" spans="1:17" x14ac:dyDescent="0.3">
      <c r="A166" s="2" t="s">
        <v>1389</v>
      </c>
      <c r="B166" s="3">
        <v>151922</v>
      </c>
      <c r="C166" s="3">
        <v>209905</v>
      </c>
      <c r="D166" s="4" t="s">
        <v>17</v>
      </c>
      <c r="E166" s="4" t="s">
        <v>1279</v>
      </c>
      <c r="F166" s="4" t="s">
        <v>32</v>
      </c>
      <c r="G166" s="4" t="s">
        <v>20</v>
      </c>
      <c r="H166" s="5">
        <v>-200000</v>
      </c>
      <c r="I166" s="4" t="s">
        <v>21</v>
      </c>
      <c r="J166" s="5">
        <f t="shared" si="2"/>
        <v>844999.99999999988</v>
      </c>
      <c r="K166" s="4" t="s">
        <v>45</v>
      </c>
      <c r="L166" s="6">
        <v>4.2249999999999996</v>
      </c>
      <c r="M166" s="6">
        <v>0.23669999999999999</v>
      </c>
      <c r="N166" s="6">
        <v>4.2267000000000001</v>
      </c>
      <c r="O166" s="6">
        <v>1</v>
      </c>
      <c r="P166" s="5">
        <v>760</v>
      </c>
      <c r="Q166" s="4" t="s">
        <v>1390</v>
      </c>
    </row>
    <row r="167" spans="1:17" x14ac:dyDescent="0.3">
      <c r="A167" s="2" t="s">
        <v>1389</v>
      </c>
      <c r="B167" s="3">
        <v>151954</v>
      </c>
      <c r="C167" s="3">
        <v>209969</v>
      </c>
      <c r="D167" s="4" t="s">
        <v>17</v>
      </c>
      <c r="E167" s="4" t="s">
        <v>1338</v>
      </c>
      <c r="F167" s="4" t="s">
        <v>19</v>
      </c>
      <c r="G167" s="4" t="s">
        <v>20</v>
      </c>
      <c r="H167" s="5">
        <v>350000</v>
      </c>
      <c r="I167" s="4" t="s">
        <v>21</v>
      </c>
      <c r="J167" s="5">
        <f t="shared" si="2"/>
        <v>-1472450</v>
      </c>
      <c r="K167" s="4" t="s">
        <v>35</v>
      </c>
      <c r="L167" s="6">
        <v>4.2069999999999999</v>
      </c>
      <c r="M167" s="6">
        <v>0.23769999999999999</v>
      </c>
      <c r="N167" s="6">
        <v>4.2110000000000003</v>
      </c>
      <c r="O167" s="6">
        <v>1</v>
      </c>
      <c r="P167" s="5">
        <v>1400</v>
      </c>
      <c r="Q167" s="4" t="s">
        <v>1390</v>
      </c>
    </row>
    <row r="168" spans="1:17" x14ac:dyDescent="0.3">
      <c r="A168" s="2" t="s">
        <v>1389</v>
      </c>
      <c r="B168" s="3">
        <v>151992</v>
      </c>
      <c r="C168" s="3">
        <v>210011</v>
      </c>
      <c r="D168" s="4" t="s">
        <v>17</v>
      </c>
      <c r="E168" s="4" t="s">
        <v>1155</v>
      </c>
      <c r="F168" s="4" t="s">
        <v>32</v>
      </c>
      <c r="G168" s="4" t="s">
        <v>74</v>
      </c>
      <c r="H168" s="5">
        <v>-2000000</v>
      </c>
      <c r="I168" s="4" t="s">
        <v>21</v>
      </c>
      <c r="J168" s="5">
        <f t="shared" si="2"/>
        <v>710800</v>
      </c>
      <c r="K168" s="4" t="s">
        <v>27</v>
      </c>
      <c r="L168" s="6">
        <v>0.35539999999999999</v>
      </c>
      <c r="M168" s="6">
        <v>2.8136999999999999</v>
      </c>
      <c r="N168" s="6">
        <v>0.3674</v>
      </c>
      <c r="O168" s="6">
        <v>1</v>
      </c>
      <c r="P168" s="5">
        <v>-23600</v>
      </c>
      <c r="Q168" s="4" t="s">
        <v>1390</v>
      </c>
    </row>
    <row r="169" spans="1:17" x14ac:dyDescent="0.3">
      <c r="A169" s="2" t="s">
        <v>1389</v>
      </c>
      <c r="B169" s="3">
        <v>151994</v>
      </c>
      <c r="C169" s="3">
        <v>210012</v>
      </c>
      <c r="D169" s="4" t="s">
        <v>17</v>
      </c>
      <c r="E169" s="4" t="s">
        <v>1155</v>
      </c>
      <c r="F169" s="4" t="s">
        <v>19</v>
      </c>
      <c r="G169" s="4" t="s">
        <v>20</v>
      </c>
      <c r="H169" s="5">
        <v>250000</v>
      </c>
      <c r="I169" s="4" t="s">
        <v>74</v>
      </c>
      <c r="J169" s="5">
        <f t="shared" si="2"/>
        <v>-2971150</v>
      </c>
      <c r="K169" s="4" t="s">
        <v>27</v>
      </c>
      <c r="L169" s="6">
        <v>11.884600000000001</v>
      </c>
      <c r="M169" s="6">
        <v>8.4099999999999994E-2</v>
      </c>
      <c r="N169" s="6">
        <v>4.2072000000000003</v>
      </c>
      <c r="O169" s="6">
        <v>0.3674</v>
      </c>
      <c r="P169" s="5">
        <v>-39800.510000000009</v>
      </c>
      <c r="Q169" s="4" t="s">
        <v>1390</v>
      </c>
    </row>
    <row r="170" spans="1:17" x14ac:dyDescent="0.3">
      <c r="A170" s="2" t="s">
        <v>1389</v>
      </c>
      <c r="B170" s="3">
        <v>152107</v>
      </c>
      <c r="C170" s="3">
        <v>210183</v>
      </c>
      <c r="D170" s="4" t="s">
        <v>17</v>
      </c>
      <c r="E170" s="4" t="s">
        <v>874</v>
      </c>
      <c r="F170" s="4" t="s">
        <v>32</v>
      </c>
      <c r="G170" s="4" t="s">
        <v>34</v>
      </c>
      <c r="H170" s="5">
        <v>-100000</v>
      </c>
      <c r="I170" s="4" t="s">
        <v>21</v>
      </c>
      <c r="J170" s="5">
        <f t="shared" si="2"/>
        <v>359540</v>
      </c>
      <c r="K170" s="4" t="s">
        <v>49</v>
      </c>
      <c r="L170" s="6">
        <v>3.5954000000000002</v>
      </c>
      <c r="M170" s="6">
        <v>0.27810000000000001</v>
      </c>
      <c r="N170" s="6">
        <v>3.6345999999999998</v>
      </c>
      <c r="O170" s="6">
        <v>1</v>
      </c>
      <c r="P170" s="5">
        <v>-3690</v>
      </c>
      <c r="Q170" s="4" t="s">
        <v>1390</v>
      </c>
    </row>
    <row r="171" spans="1:17" x14ac:dyDescent="0.3">
      <c r="A171" s="2" t="s">
        <v>1389</v>
      </c>
      <c r="B171" s="3">
        <v>152110</v>
      </c>
      <c r="C171" s="3">
        <v>210188</v>
      </c>
      <c r="D171" s="4" t="s">
        <v>17</v>
      </c>
      <c r="E171" s="4" t="s">
        <v>874</v>
      </c>
      <c r="F171" s="4" t="s">
        <v>32</v>
      </c>
      <c r="G171" s="4" t="s">
        <v>34</v>
      </c>
      <c r="H171" s="5">
        <v>-150000</v>
      </c>
      <c r="I171" s="4" t="s">
        <v>21</v>
      </c>
      <c r="J171" s="5">
        <f t="shared" si="2"/>
        <v>539250</v>
      </c>
      <c r="K171" s="4" t="s">
        <v>50</v>
      </c>
      <c r="L171" s="6">
        <v>3.5950000000000002</v>
      </c>
      <c r="M171" s="6">
        <v>0.2782</v>
      </c>
      <c r="N171" s="6">
        <v>3.6053999999999999</v>
      </c>
      <c r="O171" s="6">
        <v>1</v>
      </c>
      <c r="P171" s="5">
        <v>-1200</v>
      </c>
      <c r="Q171" s="4" t="s">
        <v>1390</v>
      </c>
    </row>
    <row r="172" spans="1:17" x14ac:dyDescent="0.3">
      <c r="A172" s="2" t="s">
        <v>1389</v>
      </c>
      <c r="B172" s="3">
        <v>152120</v>
      </c>
      <c r="C172" s="3">
        <v>210209</v>
      </c>
      <c r="D172" s="4" t="s">
        <v>17</v>
      </c>
      <c r="E172" s="4" t="s">
        <v>1224</v>
      </c>
      <c r="F172" s="4" t="s">
        <v>32</v>
      </c>
      <c r="G172" s="4" t="s">
        <v>20</v>
      </c>
      <c r="H172" s="5">
        <v>-30000</v>
      </c>
      <c r="I172" s="4" t="s">
        <v>21</v>
      </c>
      <c r="J172" s="5">
        <f t="shared" si="2"/>
        <v>126666</v>
      </c>
      <c r="K172" s="4" t="s">
        <v>46</v>
      </c>
      <c r="L172" s="6">
        <v>4.2222</v>
      </c>
      <c r="M172" s="6">
        <v>0.23680000000000001</v>
      </c>
      <c r="N172" s="6">
        <v>4.2110000000000003</v>
      </c>
      <c r="O172" s="6">
        <v>1</v>
      </c>
      <c r="P172" s="5">
        <v>558</v>
      </c>
      <c r="Q172" s="4" t="s">
        <v>1390</v>
      </c>
    </row>
    <row r="173" spans="1:17" x14ac:dyDescent="0.3">
      <c r="A173" s="2" t="s">
        <v>1389</v>
      </c>
      <c r="B173" s="3">
        <v>152121</v>
      </c>
      <c r="C173" s="3">
        <v>210210</v>
      </c>
      <c r="D173" s="4" t="s">
        <v>17</v>
      </c>
      <c r="E173" s="4" t="s">
        <v>1224</v>
      </c>
      <c r="F173" s="4" t="s">
        <v>32</v>
      </c>
      <c r="G173" s="4" t="s">
        <v>20</v>
      </c>
      <c r="H173" s="5">
        <v>-30000</v>
      </c>
      <c r="I173" s="4" t="s">
        <v>21</v>
      </c>
      <c r="J173" s="5">
        <f t="shared" si="2"/>
        <v>126668.99999999999</v>
      </c>
      <c r="K173" s="4" t="s">
        <v>46</v>
      </c>
      <c r="L173" s="6">
        <v>4.2222999999999997</v>
      </c>
      <c r="M173" s="6">
        <v>0.23680000000000001</v>
      </c>
      <c r="N173" s="6">
        <v>4.2110000000000003</v>
      </c>
      <c r="O173" s="6">
        <v>1</v>
      </c>
      <c r="P173" s="5">
        <v>561</v>
      </c>
      <c r="Q173" s="4" t="s">
        <v>1390</v>
      </c>
    </row>
    <row r="174" spans="1:17" x14ac:dyDescent="0.3">
      <c r="A174" s="2" t="s">
        <v>1389</v>
      </c>
      <c r="B174" s="3">
        <v>152127</v>
      </c>
      <c r="C174" s="3">
        <v>210216</v>
      </c>
      <c r="D174" s="4" t="s">
        <v>17</v>
      </c>
      <c r="E174" s="4" t="s">
        <v>1155</v>
      </c>
      <c r="F174" s="4" t="s">
        <v>32</v>
      </c>
      <c r="G174" s="4" t="s">
        <v>74</v>
      </c>
      <c r="H174" s="5">
        <v>-4250000</v>
      </c>
      <c r="I174" s="4" t="s">
        <v>21</v>
      </c>
      <c r="J174" s="5">
        <f t="shared" si="2"/>
        <v>1508750</v>
      </c>
      <c r="K174" s="4" t="s">
        <v>27</v>
      </c>
      <c r="L174" s="6">
        <v>0.35499999999999998</v>
      </c>
      <c r="M174" s="6">
        <v>2.8169</v>
      </c>
      <c r="N174" s="6">
        <v>0.3674</v>
      </c>
      <c r="O174" s="6">
        <v>1</v>
      </c>
      <c r="P174" s="5">
        <v>-51850</v>
      </c>
      <c r="Q174" s="4" t="s">
        <v>1390</v>
      </c>
    </row>
    <row r="175" spans="1:17" x14ac:dyDescent="0.3">
      <c r="A175" s="2" t="s">
        <v>1389</v>
      </c>
      <c r="B175" s="3">
        <v>152129</v>
      </c>
      <c r="C175" s="3">
        <v>210218</v>
      </c>
      <c r="D175" s="4" t="s">
        <v>17</v>
      </c>
      <c r="E175" s="4" t="s">
        <v>1224</v>
      </c>
      <c r="F175" s="4" t="s">
        <v>32</v>
      </c>
      <c r="G175" s="4" t="s">
        <v>20</v>
      </c>
      <c r="H175" s="5">
        <v>-30000</v>
      </c>
      <c r="I175" s="4" t="s">
        <v>21</v>
      </c>
      <c r="J175" s="5">
        <f t="shared" si="2"/>
        <v>126668.99999999999</v>
      </c>
      <c r="K175" s="4" t="s">
        <v>46</v>
      </c>
      <c r="L175" s="6">
        <v>4.2222999999999997</v>
      </c>
      <c r="M175" s="6">
        <v>0.23680000000000001</v>
      </c>
      <c r="N175" s="6">
        <v>4.2110000000000003</v>
      </c>
      <c r="O175" s="6">
        <v>1</v>
      </c>
      <c r="P175" s="5">
        <v>561</v>
      </c>
      <c r="Q175" s="4" t="s">
        <v>1390</v>
      </c>
    </row>
    <row r="176" spans="1:17" x14ac:dyDescent="0.3">
      <c r="A176" s="2" t="s">
        <v>1389</v>
      </c>
      <c r="B176" s="3">
        <v>152133</v>
      </c>
      <c r="C176" s="3">
        <v>210222</v>
      </c>
      <c r="D176" s="4" t="s">
        <v>17</v>
      </c>
      <c r="E176" s="4" t="s">
        <v>1224</v>
      </c>
      <c r="F176" s="4" t="s">
        <v>32</v>
      </c>
      <c r="G176" s="4" t="s">
        <v>20</v>
      </c>
      <c r="H176" s="5">
        <v>-30000</v>
      </c>
      <c r="I176" s="4" t="s">
        <v>21</v>
      </c>
      <c r="J176" s="5">
        <f t="shared" si="2"/>
        <v>126663</v>
      </c>
      <c r="K176" s="4" t="s">
        <v>46</v>
      </c>
      <c r="L176" s="6">
        <v>4.2221000000000002</v>
      </c>
      <c r="M176" s="6">
        <v>0.23680000000000001</v>
      </c>
      <c r="N176" s="6">
        <v>4.2110000000000003</v>
      </c>
      <c r="O176" s="6">
        <v>1</v>
      </c>
      <c r="P176" s="5">
        <v>555</v>
      </c>
      <c r="Q176" s="4" t="s">
        <v>1390</v>
      </c>
    </row>
    <row r="177" spans="1:17" x14ac:dyDescent="0.3">
      <c r="A177" s="2" t="s">
        <v>1389</v>
      </c>
      <c r="B177" s="3">
        <v>152185</v>
      </c>
      <c r="C177" s="3">
        <v>210331</v>
      </c>
      <c r="D177" s="4" t="s">
        <v>17</v>
      </c>
      <c r="E177" s="4" t="s">
        <v>1224</v>
      </c>
      <c r="F177" s="4" t="s">
        <v>32</v>
      </c>
      <c r="G177" s="4" t="s">
        <v>20</v>
      </c>
      <c r="H177" s="5">
        <v>-30000</v>
      </c>
      <c r="I177" s="4" t="s">
        <v>21</v>
      </c>
      <c r="J177" s="5">
        <f t="shared" si="2"/>
        <v>126647.99999999999</v>
      </c>
      <c r="K177" s="4" t="s">
        <v>29</v>
      </c>
      <c r="L177" s="6">
        <v>4.2215999999999996</v>
      </c>
      <c r="M177" s="6">
        <v>0.2369</v>
      </c>
      <c r="N177" s="6">
        <v>4.2104999999999997</v>
      </c>
      <c r="O177" s="6">
        <v>1</v>
      </c>
      <c r="P177" s="5">
        <v>561</v>
      </c>
      <c r="Q177" s="4" t="s">
        <v>1390</v>
      </c>
    </row>
    <row r="178" spans="1:17" x14ac:dyDescent="0.3">
      <c r="A178" s="2" t="s">
        <v>1389</v>
      </c>
      <c r="B178" s="3">
        <v>152399</v>
      </c>
      <c r="C178" s="3">
        <v>210617</v>
      </c>
      <c r="D178" s="4" t="s">
        <v>17</v>
      </c>
      <c r="E178" s="4" t="s">
        <v>1155</v>
      </c>
      <c r="F178" s="4" t="s">
        <v>19</v>
      </c>
      <c r="G178" s="4" t="s">
        <v>20</v>
      </c>
      <c r="H178" s="5">
        <v>200000</v>
      </c>
      <c r="I178" s="4" t="s">
        <v>74</v>
      </c>
      <c r="J178" s="5">
        <f t="shared" si="2"/>
        <v>-2389200</v>
      </c>
      <c r="K178" s="4" t="s">
        <v>52</v>
      </c>
      <c r="L178" s="6">
        <v>11.946</v>
      </c>
      <c r="M178" s="6">
        <v>8.3699999999999997E-2</v>
      </c>
      <c r="N178" s="6">
        <v>4.2127999999999997</v>
      </c>
      <c r="O178" s="6">
        <v>0.36380000000000001</v>
      </c>
      <c r="P178" s="5">
        <v>-26630.960000000196</v>
      </c>
      <c r="Q178" s="4" t="s">
        <v>1390</v>
      </c>
    </row>
    <row r="179" spans="1:17" x14ac:dyDescent="0.3">
      <c r="A179" s="2" t="s">
        <v>1389</v>
      </c>
      <c r="B179" s="3">
        <v>152456</v>
      </c>
      <c r="C179" s="3">
        <v>210737</v>
      </c>
      <c r="D179" s="4" t="s">
        <v>17</v>
      </c>
      <c r="E179" s="4" t="s">
        <v>1155</v>
      </c>
      <c r="F179" s="4" t="s">
        <v>19</v>
      </c>
      <c r="G179" s="4" t="s">
        <v>20</v>
      </c>
      <c r="H179" s="5">
        <v>200000</v>
      </c>
      <c r="I179" s="4" t="s">
        <v>74</v>
      </c>
      <c r="J179" s="5">
        <f t="shared" si="2"/>
        <v>-2393200</v>
      </c>
      <c r="K179" s="4" t="s">
        <v>22</v>
      </c>
      <c r="L179" s="6">
        <v>11.965999999999999</v>
      </c>
      <c r="M179" s="6">
        <v>8.3599999999999994E-2</v>
      </c>
      <c r="N179" s="6">
        <v>4.2068000000000003</v>
      </c>
      <c r="O179" s="6">
        <v>0.35880000000000001</v>
      </c>
      <c r="P179" s="5">
        <v>-17320.159999999916</v>
      </c>
      <c r="Q179" s="4" t="s">
        <v>1390</v>
      </c>
    </row>
    <row r="180" spans="1:17" x14ac:dyDescent="0.3">
      <c r="A180" s="2" t="s">
        <v>1389</v>
      </c>
      <c r="B180" s="3">
        <v>152458</v>
      </c>
      <c r="C180" s="3">
        <v>210739</v>
      </c>
      <c r="D180" s="4" t="s">
        <v>17</v>
      </c>
      <c r="E180" s="4" t="s">
        <v>1224</v>
      </c>
      <c r="F180" s="4" t="s">
        <v>32</v>
      </c>
      <c r="G180" s="4" t="s">
        <v>20</v>
      </c>
      <c r="H180" s="5">
        <v>-30000</v>
      </c>
      <c r="I180" s="4" t="s">
        <v>21</v>
      </c>
      <c r="J180" s="5">
        <f t="shared" si="2"/>
        <v>126615.00000000001</v>
      </c>
      <c r="K180" s="4" t="s">
        <v>46</v>
      </c>
      <c r="L180" s="6">
        <v>4.2205000000000004</v>
      </c>
      <c r="M180" s="6">
        <v>0.2369</v>
      </c>
      <c r="N180" s="6">
        <v>4.2110000000000003</v>
      </c>
      <c r="O180" s="6">
        <v>1</v>
      </c>
      <c r="P180" s="5">
        <v>498</v>
      </c>
      <c r="Q180" s="4" t="s">
        <v>1390</v>
      </c>
    </row>
    <row r="181" spans="1:17" x14ac:dyDescent="0.3">
      <c r="A181" s="2" t="s">
        <v>1389</v>
      </c>
      <c r="B181" s="3">
        <v>152510</v>
      </c>
      <c r="C181" s="3">
        <v>210822</v>
      </c>
      <c r="D181" s="4" t="s">
        <v>17</v>
      </c>
      <c r="E181" s="4" t="s">
        <v>1155</v>
      </c>
      <c r="F181" s="4" t="s">
        <v>19</v>
      </c>
      <c r="G181" s="4" t="s">
        <v>20</v>
      </c>
      <c r="H181" s="5">
        <v>200000</v>
      </c>
      <c r="I181" s="4" t="s">
        <v>74</v>
      </c>
      <c r="J181" s="5">
        <f t="shared" si="2"/>
        <v>-2397620</v>
      </c>
      <c r="K181" s="4" t="s">
        <v>22</v>
      </c>
      <c r="L181" s="6">
        <v>11.988099999999999</v>
      </c>
      <c r="M181" s="6">
        <v>8.3400000000000002E-2</v>
      </c>
      <c r="N181" s="6">
        <v>4.2068000000000003</v>
      </c>
      <c r="O181" s="6">
        <v>0.35880000000000001</v>
      </c>
      <c r="P181" s="5">
        <v>-18906.055999999866</v>
      </c>
      <c r="Q181" s="4" t="s">
        <v>1390</v>
      </c>
    </row>
    <row r="182" spans="1:17" x14ac:dyDescent="0.3">
      <c r="A182" s="2" t="s">
        <v>1389</v>
      </c>
      <c r="B182" s="3">
        <v>152677</v>
      </c>
      <c r="C182" s="3">
        <v>211054</v>
      </c>
      <c r="D182" s="4" t="s">
        <v>17</v>
      </c>
      <c r="E182" s="4" t="s">
        <v>1224</v>
      </c>
      <c r="F182" s="4" t="s">
        <v>32</v>
      </c>
      <c r="G182" s="4" t="s">
        <v>20</v>
      </c>
      <c r="H182" s="5">
        <v>-30000</v>
      </c>
      <c r="I182" s="4" t="s">
        <v>21</v>
      </c>
      <c r="J182" s="5">
        <f t="shared" si="2"/>
        <v>126440.99999999999</v>
      </c>
      <c r="K182" s="4" t="s">
        <v>47</v>
      </c>
      <c r="L182" s="6">
        <v>4.2146999999999997</v>
      </c>
      <c r="M182" s="6">
        <v>0.23730000000000001</v>
      </c>
      <c r="N182" s="6">
        <v>4.2126999999999999</v>
      </c>
      <c r="O182" s="6">
        <v>1</v>
      </c>
      <c r="P182" s="5">
        <v>300</v>
      </c>
      <c r="Q182" s="4" t="s">
        <v>1390</v>
      </c>
    </row>
    <row r="183" spans="1:17" x14ac:dyDescent="0.3">
      <c r="A183" s="2" t="s">
        <v>1389</v>
      </c>
      <c r="B183" s="3">
        <v>152679</v>
      </c>
      <c r="C183" s="3">
        <v>211056</v>
      </c>
      <c r="D183" s="4" t="s">
        <v>17</v>
      </c>
      <c r="E183" s="4" t="s">
        <v>1224</v>
      </c>
      <c r="F183" s="4" t="s">
        <v>32</v>
      </c>
      <c r="G183" s="4" t="s">
        <v>20</v>
      </c>
      <c r="H183" s="5">
        <v>-30000</v>
      </c>
      <c r="I183" s="4" t="s">
        <v>21</v>
      </c>
      <c r="J183" s="5">
        <f t="shared" si="2"/>
        <v>126440.99999999999</v>
      </c>
      <c r="K183" s="4" t="s">
        <v>50</v>
      </c>
      <c r="L183" s="6">
        <v>4.2146999999999997</v>
      </c>
      <c r="M183" s="6">
        <v>0.23730000000000001</v>
      </c>
      <c r="N183" s="6">
        <v>4.2279</v>
      </c>
      <c r="O183" s="6">
        <v>1</v>
      </c>
      <c r="P183" s="5">
        <v>-81</v>
      </c>
      <c r="Q183" s="4" t="s">
        <v>1390</v>
      </c>
    </row>
    <row r="184" spans="1:17" x14ac:dyDescent="0.3">
      <c r="A184" s="2" t="s">
        <v>1389</v>
      </c>
      <c r="B184" s="3">
        <v>152680</v>
      </c>
      <c r="C184" s="3">
        <v>211057</v>
      </c>
      <c r="D184" s="4" t="s">
        <v>17</v>
      </c>
      <c r="E184" s="4" t="s">
        <v>1224</v>
      </c>
      <c r="F184" s="4" t="s">
        <v>32</v>
      </c>
      <c r="G184" s="4" t="s">
        <v>20</v>
      </c>
      <c r="H184" s="5">
        <v>-30000</v>
      </c>
      <c r="I184" s="4" t="s">
        <v>21</v>
      </c>
      <c r="J184" s="5">
        <f t="shared" si="2"/>
        <v>126444.00000000001</v>
      </c>
      <c r="K184" s="4" t="s">
        <v>50</v>
      </c>
      <c r="L184" s="6">
        <v>4.2148000000000003</v>
      </c>
      <c r="M184" s="6">
        <v>0.23730000000000001</v>
      </c>
      <c r="N184" s="6">
        <v>4.2279</v>
      </c>
      <c r="O184" s="6">
        <v>1</v>
      </c>
      <c r="P184" s="5">
        <v>-78</v>
      </c>
      <c r="Q184" s="4" t="s">
        <v>1390</v>
      </c>
    </row>
    <row r="185" spans="1:17" x14ac:dyDescent="0.3">
      <c r="A185" s="2" t="s">
        <v>1389</v>
      </c>
      <c r="B185" s="3">
        <v>152681</v>
      </c>
      <c r="C185" s="3">
        <v>211058</v>
      </c>
      <c r="D185" s="4" t="s">
        <v>17</v>
      </c>
      <c r="E185" s="4" t="s">
        <v>1224</v>
      </c>
      <c r="F185" s="4" t="s">
        <v>32</v>
      </c>
      <c r="G185" s="4" t="s">
        <v>20</v>
      </c>
      <c r="H185" s="5">
        <v>-30000</v>
      </c>
      <c r="I185" s="4" t="s">
        <v>21</v>
      </c>
      <c r="J185" s="5">
        <f t="shared" si="2"/>
        <v>126447</v>
      </c>
      <c r="K185" s="4" t="s">
        <v>50</v>
      </c>
      <c r="L185" s="6">
        <v>4.2149000000000001</v>
      </c>
      <c r="M185" s="6">
        <v>0.23730000000000001</v>
      </c>
      <c r="N185" s="6">
        <v>4.2279</v>
      </c>
      <c r="O185" s="6">
        <v>1</v>
      </c>
      <c r="P185" s="5">
        <v>-75</v>
      </c>
      <c r="Q185" s="4" t="s">
        <v>1390</v>
      </c>
    </row>
    <row r="186" spans="1:17" x14ac:dyDescent="0.3">
      <c r="A186" s="2" t="s">
        <v>1389</v>
      </c>
      <c r="B186" s="3">
        <v>152684</v>
      </c>
      <c r="C186" s="3">
        <v>211064</v>
      </c>
      <c r="D186" s="4" t="s">
        <v>17</v>
      </c>
      <c r="E186" s="4" t="s">
        <v>1224</v>
      </c>
      <c r="F186" s="4" t="s">
        <v>32</v>
      </c>
      <c r="G186" s="4" t="s">
        <v>20</v>
      </c>
      <c r="H186" s="5">
        <v>-30000</v>
      </c>
      <c r="I186" s="4" t="s">
        <v>21</v>
      </c>
      <c r="J186" s="5">
        <f t="shared" si="2"/>
        <v>126459</v>
      </c>
      <c r="K186" s="4" t="s">
        <v>50</v>
      </c>
      <c r="L186" s="6">
        <v>4.2153</v>
      </c>
      <c r="M186" s="6">
        <v>0.23719999999999999</v>
      </c>
      <c r="N186" s="6">
        <v>4.2279</v>
      </c>
      <c r="O186" s="6">
        <v>1</v>
      </c>
      <c r="P186" s="5">
        <v>-63</v>
      </c>
      <c r="Q186" s="4" t="s">
        <v>1390</v>
      </c>
    </row>
    <row r="187" spans="1:17" x14ac:dyDescent="0.3">
      <c r="A187" s="2" t="s">
        <v>1389</v>
      </c>
      <c r="B187" s="3">
        <v>152685</v>
      </c>
      <c r="C187" s="3">
        <v>211067</v>
      </c>
      <c r="D187" s="4" t="s">
        <v>17</v>
      </c>
      <c r="E187" s="4" t="s">
        <v>1224</v>
      </c>
      <c r="F187" s="4" t="s">
        <v>32</v>
      </c>
      <c r="G187" s="4" t="s">
        <v>20</v>
      </c>
      <c r="H187" s="5">
        <v>-30000</v>
      </c>
      <c r="I187" s="4" t="s">
        <v>21</v>
      </c>
      <c r="J187" s="5">
        <f t="shared" si="2"/>
        <v>126464.99999999999</v>
      </c>
      <c r="K187" s="4" t="s">
        <v>50</v>
      </c>
      <c r="L187" s="6">
        <v>4.2154999999999996</v>
      </c>
      <c r="M187" s="6">
        <v>0.23719999999999999</v>
      </c>
      <c r="N187" s="6">
        <v>4.2279</v>
      </c>
      <c r="O187" s="6">
        <v>1</v>
      </c>
      <c r="P187" s="5">
        <v>-57</v>
      </c>
      <c r="Q187" s="4" t="s">
        <v>1390</v>
      </c>
    </row>
    <row r="188" spans="1:17" x14ac:dyDescent="0.3">
      <c r="A188" s="2" t="s">
        <v>1389</v>
      </c>
      <c r="B188" s="3">
        <v>152687</v>
      </c>
      <c r="C188" s="3">
        <v>211070</v>
      </c>
      <c r="D188" s="4" t="s">
        <v>17</v>
      </c>
      <c r="E188" s="4" t="s">
        <v>1224</v>
      </c>
      <c r="F188" s="4" t="s">
        <v>32</v>
      </c>
      <c r="G188" s="4" t="s">
        <v>20</v>
      </c>
      <c r="H188" s="5">
        <v>-30000</v>
      </c>
      <c r="I188" s="4" t="s">
        <v>21</v>
      </c>
      <c r="J188" s="5">
        <f t="shared" si="2"/>
        <v>126492</v>
      </c>
      <c r="K188" s="4" t="s">
        <v>50</v>
      </c>
      <c r="L188" s="6">
        <v>4.2164000000000001</v>
      </c>
      <c r="M188" s="6">
        <v>0.23719999999999999</v>
      </c>
      <c r="N188" s="6">
        <v>4.2279</v>
      </c>
      <c r="O188" s="6">
        <v>1</v>
      </c>
      <c r="P188" s="5">
        <v>-30</v>
      </c>
      <c r="Q188" s="4" t="s">
        <v>1390</v>
      </c>
    </row>
    <row r="189" spans="1:17" x14ac:dyDescent="0.3">
      <c r="A189" s="2" t="s">
        <v>1389</v>
      </c>
      <c r="B189" s="3">
        <v>152696</v>
      </c>
      <c r="C189" s="3">
        <v>211080</v>
      </c>
      <c r="D189" s="4" t="s">
        <v>17</v>
      </c>
      <c r="E189" s="4" t="s">
        <v>1224</v>
      </c>
      <c r="F189" s="4" t="s">
        <v>32</v>
      </c>
      <c r="G189" s="4" t="s">
        <v>20</v>
      </c>
      <c r="H189" s="5">
        <v>-10000</v>
      </c>
      <c r="I189" s="4" t="s">
        <v>21</v>
      </c>
      <c r="J189" s="5">
        <f t="shared" si="2"/>
        <v>42191</v>
      </c>
      <c r="K189" s="4" t="s">
        <v>47</v>
      </c>
      <c r="L189" s="6">
        <v>4.2191000000000001</v>
      </c>
      <c r="M189" s="6">
        <v>0.23699999999999999</v>
      </c>
      <c r="N189" s="6">
        <v>4.2126999999999999</v>
      </c>
      <c r="O189" s="6">
        <v>1</v>
      </c>
      <c r="P189" s="5">
        <v>144</v>
      </c>
      <c r="Q189" s="4" t="s">
        <v>1390</v>
      </c>
    </row>
    <row r="190" spans="1:17" x14ac:dyDescent="0.3">
      <c r="A190" s="2" t="s">
        <v>1389</v>
      </c>
      <c r="B190" s="3">
        <v>152833</v>
      </c>
      <c r="C190" s="3">
        <v>211330</v>
      </c>
      <c r="D190" s="4" t="s">
        <v>17</v>
      </c>
      <c r="E190" s="4" t="s">
        <v>858</v>
      </c>
      <c r="F190" s="4" t="s">
        <v>19</v>
      </c>
      <c r="G190" s="4" t="s">
        <v>20</v>
      </c>
      <c r="H190" s="5">
        <v>500000</v>
      </c>
      <c r="I190" s="4" t="s">
        <v>21</v>
      </c>
      <c r="J190" s="5">
        <f t="shared" si="2"/>
        <v>-2102000</v>
      </c>
      <c r="K190" s="4" t="s">
        <v>27</v>
      </c>
      <c r="L190" s="6">
        <v>4.2039999999999997</v>
      </c>
      <c r="M190" s="6">
        <v>0.2379</v>
      </c>
      <c r="N190" s="6">
        <v>4.2072000000000003</v>
      </c>
      <c r="O190" s="6">
        <v>1</v>
      </c>
      <c r="P190" s="5">
        <v>1600</v>
      </c>
      <c r="Q190" s="4" t="s">
        <v>1390</v>
      </c>
    </row>
    <row r="191" spans="1:17" x14ac:dyDescent="0.3">
      <c r="A191" s="2" t="s">
        <v>1389</v>
      </c>
      <c r="B191" s="3">
        <v>152845</v>
      </c>
      <c r="C191" s="3">
        <v>211346</v>
      </c>
      <c r="D191" s="4" t="s">
        <v>17</v>
      </c>
      <c r="E191" s="4" t="s">
        <v>1338</v>
      </c>
      <c r="F191" s="4" t="s">
        <v>19</v>
      </c>
      <c r="G191" s="4" t="s">
        <v>20</v>
      </c>
      <c r="H191" s="5">
        <v>80000</v>
      </c>
      <c r="I191" s="4" t="s">
        <v>21</v>
      </c>
      <c r="J191" s="5">
        <f t="shared" si="2"/>
        <v>-335520</v>
      </c>
      <c r="K191" s="4" t="s">
        <v>35</v>
      </c>
      <c r="L191" s="6">
        <v>4.194</v>
      </c>
      <c r="M191" s="6">
        <v>0.2384</v>
      </c>
      <c r="N191" s="6">
        <v>4.2110000000000003</v>
      </c>
      <c r="O191" s="6">
        <v>1</v>
      </c>
      <c r="P191" s="5">
        <v>1360</v>
      </c>
      <c r="Q191" s="4" t="s">
        <v>1390</v>
      </c>
    </row>
    <row r="192" spans="1:17" x14ac:dyDescent="0.3">
      <c r="A192" s="2" t="s">
        <v>1389</v>
      </c>
      <c r="B192" s="3">
        <v>153011</v>
      </c>
      <c r="C192" s="3">
        <v>211595</v>
      </c>
      <c r="D192" s="4" t="s">
        <v>17</v>
      </c>
      <c r="E192" s="4" t="s">
        <v>1162</v>
      </c>
      <c r="F192" s="4" t="s">
        <v>19</v>
      </c>
      <c r="G192" s="4" t="s">
        <v>20</v>
      </c>
      <c r="H192" s="5">
        <v>50000</v>
      </c>
      <c r="I192" s="4" t="s">
        <v>21</v>
      </c>
      <c r="J192" s="5">
        <f t="shared" si="2"/>
        <v>-209760</v>
      </c>
      <c r="K192" s="4" t="s">
        <v>42</v>
      </c>
      <c r="L192" s="6">
        <v>4.1951999999999998</v>
      </c>
      <c r="M192" s="6">
        <v>0.2384</v>
      </c>
      <c r="N192" s="6">
        <v>4.2119</v>
      </c>
      <c r="O192" s="6">
        <v>1</v>
      </c>
      <c r="P192" s="5">
        <v>835</v>
      </c>
      <c r="Q192" s="4" t="s">
        <v>1390</v>
      </c>
    </row>
    <row r="193" spans="1:17" x14ac:dyDescent="0.3">
      <c r="A193" s="2" t="s">
        <v>1389</v>
      </c>
      <c r="B193" s="3">
        <v>153071</v>
      </c>
      <c r="C193" s="3">
        <v>211698</v>
      </c>
      <c r="D193" s="4" t="s">
        <v>17</v>
      </c>
      <c r="E193" s="4" t="s">
        <v>1233</v>
      </c>
      <c r="F193" s="4" t="s">
        <v>32</v>
      </c>
      <c r="G193" s="4" t="s">
        <v>34</v>
      </c>
      <c r="H193" s="5">
        <v>-150000</v>
      </c>
      <c r="I193" s="4" t="s">
        <v>21</v>
      </c>
      <c r="J193" s="5">
        <f t="shared" si="2"/>
        <v>538860</v>
      </c>
      <c r="K193" s="4" t="s">
        <v>27</v>
      </c>
      <c r="L193" s="6">
        <v>3.5924</v>
      </c>
      <c r="M193" s="6">
        <v>0.27839999999999998</v>
      </c>
      <c r="N193" s="6">
        <v>3.5188999999999999</v>
      </c>
      <c r="O193" s="6">
        <v>1</v>
      </c>
      <c r="P193" s="5">
        <v>11430</v>
      </c>
      <c r="Q193" s="4" t="s">
        <v>1390</v>
      </c>
    </row>
    <row r="194" spans="1:17" x14ac:dyDescent="0.3">
      <c r="A194" s="2" t="s">
        <v>1389</v>
      </c>
      <c r="B194" s="3">
        <v>153100</v>
      </c>
      <c r="C194" s="3">
        <v>211739</v>
      </c>
      <c r="D194" s="4" t="s">
        <v>17</v>
      </c>
      <c r="E194" s="4" t="s">
        <v>1307</v>
      </c>
      <c r="F194" s="4" t="s">
        <v>32</v>
      </c>
      <c r="G194" s="4" t="s">
        <v>80</v>
      </c>
      <c r="H194" s="5">
        <v>-2000000</v>
      </c>
      <c r="I194" s="4" t="s">
        <v>21</v>
      </c>
      <c r="J194" s="5">
        <f t="shared" si="2"/>
        <v>1019200.0000000001</v>
      </c>
      <c r="K194" s="4" t="s">
        <v>47</v>
      </c>
      <c r="L194" s="6">
        <v>0.50960000000000005</v>
      </c>
      <c r="M194" s="6">
        <v>1.9622999999999999</v>
      </c>
      <c r="N194" s="6">
        <v>0.51819999999999999</v>
      </c>
      <c r="O194" s="6">
        <v>1</v>
      </c>
      <c r="P194" s="5">
        <v>-12600</v>
      </c>
      <c r="Q194" s="4" t="s">
        <v>1390</v>
      </c>
    </row>
    <row r="195" spans="1:17" x14ac:dyDescent="0.3">
      <c r="A195" s="2" t="s">
        <v>1389</v>
      </c>
      <c r="B195" s="3">
        <v>153240</v>
      </c>
      <c r="C195" s="3">
        <v>211899</v>
      </c>
      <c r="D195" s="4" t="s">
        <v>17</v>
      </c>
      <c r="E195" s="4" t="s">
        <v>1224</v>
      </c>
      <c r="F195" s="4" t="s">
        <v>32</v>
      </c>
      <c r="G195" s="4" t="s">
        <v>20</v>
      </c>
      <c r="H195" s="5">
        <v>-10000</v>
      </c>
      <c r="I195" s="4" t="s">
        <v>21</v>
      </c>
      <c r="J195" s="5">
        <f t="shared" si="2"/>
        <v>42101</v>
      </c>
      <c r="K195" s="4" t="s">
        <v>50</v>
      </c>
      <c r="L195" s="6">
        <v>4.2100999999999997</v>
      </c>
      <c r="M195" s="6">
        <v>0.23749999999999999</v>
      </c>
      <c r="N195" s="6">
        <v>4.2279</v>
      </c>
      <c r="O195" s="6">
        <v>1</v>
      </c>
      <c r="P195" s="5">
        <v>-91</v>
      </c>
      <c r="Q195" s="4" t="s">
        <v>1390</v>
      </c>
    </row>
    <row r="196" spans="1:17" x14ac:dyDescent="0.3">
      <c r="A196" s="2" t="s">
        <v>1389</v>
      </c>
      <c r="B196" s="3">
        <v>153874</v>
      </c>
      <c r="C196" s="3">
        <v>212936</v>
      </c>
      <c r="D196" s="4" t="s">
        <v>17</v>
      </c>
      <c r="E196" s="4" t="s">
        <v>826</v>
      </c>
      <c r="F196" s="4" t="s">
        <v>19</v>
      </c>
      <c r="G196" s="4" t="s">
        <v>20</v>
      </c>
      <c r="H196" s="5">
        <v>210000</v>
      </c>
      <c r="I196" s="4" t="s">
        <v>21</v>
      </c>
      <c r="J196" s="5">
        <f t="shared" ref="J196:J259" si="3">-H196*L196</f>
        <v>-887292</v>
      </c>
      <c r="K196" s="4" t="s">
        <v>42</v>
      </c>
      <c r="L196" s="6">
        <v>4.2252000000000001</v>
      </c>
      <c r="M196" s="6">
        <v>0.23669999999999999</v>
      </c>
      <c r="N196" s="6">
        <v>4.2119</v>
      </c>
      <c r="O196" s="6">
        <v>1</v>
      </c>
      <c r="P196" s="5">
        <v>-2793</v>
      </c>
      <c r="Q196" s="4" t="s">
        <v>1390</v>
      </c>
    </row>
    <row r="197" spans="1:17" x14ac:dyDescent="0.3">
      <c r="A197" s="2" t="s">
        <v>1389</v>
      </c>
      <c r="B197" s="3">
        <v>153952</v>
      </c>
      <c r="C197" s="3">
        <v>213058</v>
      </c>
      <c r="D197" s="4" t="s">
        <v>17</v>
      </c>
      <c r="E197" s="4" t="s">
        <v>1155</v>
      </c>
      <c r="F197" s="4" t="s">
        <v>32</v>
      </c>
      <c r="G197" s="4" t="s">
        <v>34</v>
      </c>
      <c r="H197" s="5">
        <v>-200000</v>
      </c>
      <c r="I197" s="4" t="s">
        <v>74</v>
      </c>
      <c r="J197" s="5">
        <f t="shared" si="3"/>
        <v>2013280</v>
      </c>
      <c r="K197" s="4" t="s">
        <v>52</v>
      </c>
      <c r="L197" s="6">
        <v>10.0664</v>
      </c>
      <c r="M197" s="6">
        <v>9.9299999999999999E-2</v>
      </c>
      <c r="N197" s="6">
        <v>3.6027999999999998</v>
      </c>
      <c r="O197" s="6">
        <v>0.36380000000000001</v>
      </c>
      <c r="P197" s="5">
        <v>12009.508</v>
      </c>
      <c r="Q197" s="4" t="s">
        <v>1390</v>
      </c>
    </row>
    <row r="198" spans="1:17" x14ac:dyDescent="0.3">
      <c r="A198" s="2" t="s">
        <v>1389</v>
      </c>
      <c r="B198" s="3">
        <v>154257</v>
      </c>
      <c r="C198" s="3">
        <v>883629</v>
      </c>
      <c r="D198" s="4" t="s">
        <v>81</v>
      </c>
      <c r="E198" s="4" t="s">
        <v>739</v>
      </c>
      <c r="F198" s="4" t="s">
        <v>83</v>
      </c>
      <c r="G198" s="4" t="s">
        <v>20</v>
      </c>
      <c r="H198" s="5">
        <v>-150000</v>
      </c>
      <c r="I198" s="4" t="s">
        <v>84</v>
      </c>
      <c r="J198" s="5">
        <f t="shared" si="3"/>
        <v>1619895</v>
      </c>
      <c r="K198" s="4" t="s">
        <v>45</v>
      </c>
      <c r="L198" s="6">
        <v>10.799300000000001</v>
      </c>
      <c r="M198" s="6">
        <v>9.2600000000000002E-2</v>
      </c>
      <c r="N198" s="6">
        <v>4.2267000000000001</v>
      </c>
      <c r="O198" s="6">
        <v>0.39140000000000003</v>
      </c>
      <c r="P198" s="5">
        <v>24.2514</v>
      </c>
      <c r="Q198" s="4" t="s">
        <v>1391</v>
      </c>
    </row>
    <row r="199" spans="1:17" x14ac:dyDescent="0.3">
      <c r="A199" s="2" t="s">
        <v>1389</v>
      </c>
      <c r="B199" s="3">
        <v>154323</v>
      </c>
      <c r="C199" s="3">
        <v>213638</v>
      </c>
      <c r="D199" s="4" t="s">
        <v>17</v>
      </c>
      <c r="E199" s="4" t="s">
        <v>1126</v>
      </c>
      <c r="F199" s="4" t="s">
        <v>19</v>
      </c>
      <c r="G199" s="4" t="s">
        <v>20</v>
      </c>
      <c r="H199" s="5">
        <v>1080000</v>
      </c>
      <c r="I199" s="4" t="s">
        <v>21</v>
      </c>
      <c r="J199" s="5">
        <f t="shared" si="3"/>
        <v>-4568400</v>
      </c>
      <c r="K199" s="4" t="s">
        <v>55</v>
      </c>
      <c r="L199" s="6">
        <v>4.2300000000000004</v>
      </c>
      <c r="M199" s="6">
        <v>0.2364</v>
      </c>
      <c r="N199" s="6">
        <v>4.2008999999999999</v>
      </c>
      <c r="O199" s="6">
        <v>1</v>
      </c>
      <c r="P199" s="5">
        <v>-31428</v>
      </c>
      <c r="Q199" s="4" t="s">
        <v>1390</v>
      </c>
    </row>
    <row r="200" spans="1:17" x14ac:dyDescent="0.3">
      <c r="A200" s="2" t="s">
        <v>1389</v>
      </c>
      <c r="B200" s="3">
        <v>154373</v>
      </c>
      <c r="C200" s="3">
        <v>884330</v>
      </c>
      <c r="D200" s="4" t="s">
        <v>81</v>
      </c>
      <c r="E200" s="4" t="s">
        <v>725</v>
      </c>
      <c r="F200" s="4" t="s">
        <v>87</v>
      </c>
      <c r="G200" s="4" t="s">
        <v>20</v>
      </c>
      <c r="H200" s="5">
        <v>100000</v>
      </c>
      <c r="I200" s="4" t="s">
        <v>84</v>
      </c>
      <c r="J200" s="5">
        <f t="shared" si="3"/>
        <v>-1082390</v>
      </c>
      <c r="K200" s="4" t="s">
        <v>45</v>
      </c>
      <c r="L200" s="6">
        <v>10.8239</v>
      </c>
      <c r="M200" s="6">
        <v>9.2399999999999996E-2</v>
      </c>
      <c r="N200" s="6">
        <v>4.2267000000000001</v>
      </c>
      <c r="O200" s="6">
        <v>0.39140000000000003</v>
      </c>
      <c r="P200" s="5">
        <v>-977.44600000000003</v>
      </c>
      <c r="Q200" s="4" t="s">
        <v>1392</v>
      </c>
    </row>
    <row r="201" spans="1:17" x14ac:dyDescent="0.3">
      <c r="A201" s="2" t="s">
        <v>1389</v>
      </c>
      <c r="B201" s="3">
        <v>154406</v>
      </c>
      <c r="C201" s="3">
        <v>884470</v>
      </c>
      <c r="D201" s="4" t="s">
        <v>81</v>
      </c>
      <c r="E201" s="4" t="s">
        <v>733</v>
      </c>
      <c r="F201" s="4" t="s">
        <v>87</v>
      </c>
      <c r="G201" s="4" t="s">
        <v>20</v>
      </c>
      <c r="H201" s="5">
        <v>100000</v>
      </c>
      <c r="I201" s="4" t="s">
        <v>89</v>
      </c>
      <c r="J201" s="5">
        <f t="shared" si="3"/>
        <v>-746890</v>
      </c>
      <c r="K201" s="4" t="s">
        <v>45</v>
      </c>
      <c r="L201" s="6">
        <v>7.4688999999999997</v>
      </c>
      <c r="M201" s="6">
        <v>0.13389999999999999</v>
      </c>
      <c r="N201" s="6">
        <v>4.2267000000000001</v>
      </c>
      <c r="O201" s="6">
        <v>0.56620000000000004</v>
      </c>
      <c r="P201" s="5">
        <v>-221.3828</v>
      </c>
      <c r="Q201" s="4" t="s">
        <v>1391</v>
      </c>
    </row>
    <row r="202" spans="1:17" x14ac:dyDescent="0.3">
      <c r="A202" s="2" t="s">
        <v>1389</v>
      </c>
      <c r="B202" s="3">
        <v>154443</v>
      </c>
      <c r="C202" s="3">
        <v>884621</v>
      </c>
      <c r="D202" s="4" t="s">
        <v>81</v>
      </c>
      <c r="E202" s="4" t="s">
        <v>734</v>
      </c>
      <c r="F202" s="4" t="s">
        <v>83</v>
      </c>
      <c r="G202" s="4" t="s">
        <v>91</v>
      </c>
      <c r="H202" s="5">
        <v>-34821.14</v>
      </c>
      <c r="I202" s="4" t="s">
        <v>21</v>
      </c>
      <c r="J202" s="5">
        <f t="shared" si="3"/>
        <v>168753.69078200002</v>
      </c>
      <c r="K202" s="4" t="s">
        <v>45</v>
      </c>
      <c r="L202" s="6">
        <v>4.8463000000000003</v>
      </c>
      <c r="M202" s="6">
        <v>0.20630000000000001</v>
      </c>
      <c r="N202" s="6">
        <v>4.8399000000000001</v>
      </c>
      <c r="O202" s="6">
        <v>1</v>
      </c>
      <c r="P202" s="5">
        <v>222.85451399999999</v>
      </c>
      <c r="Q202" s="4" t="s">
        <v>1393</v>
      </c>
    </row>
    <row r="203" spans="1:17" x14ac:dyDescent="0.3">
      <c r="A203" s="2" t="s">
        <v>1389</v>
      </c>
      <c r="B203" s="3">
        <v>154444</v>
      </c>
      <c r="C203" s="3">
        <v>884622</v>
      </c>
      <c r="D203" s="4" t="s">
        <v>81</v>
      </c>
      <c r="E203" s="4" t="s">
        <v>735</v>
      </c>
      <c r="F203" s="4" t="s">
        <v>83</v>
      </c>
      <c r="G203" s="4" t="s">
        <v>34</v>
      </c>
      <c r="H203" s="5">
        <v>-43957.06</v>
      </c>
      <c r="I203" s="4" t="s">
        <v>21</v>
      </c>
      <c r="J203" s="5">
        <f t="shared" si="3"/>
        <v>157770.679752</v>
      </c>
      <c r="K203" s="4" t="s">
        <v>45</v>
      </c>
      <c r="L203" s="6">
        <v>3.5891999999999999</v>
      </c>
      <c r="M203" s="6">
        <v>0.27860000000000001</v>
      </c>
      <c r="N203" s="6">
        <v>3.6015999999999999</v>
      </c>
      <c r="O203" s="6">
        <v>1</v>
      </c>
      <c r="P203" s="5">
        <v>-545.06729600000006</v>
      </c>
      <c r="Q203" s="4" t="s">
        <v>1394</v>
      </c>
    </row>
    <row r="204" spans="1:17" x14ac:dyDescent="0.3">
      <c r="A204" s="2" t="s">
        <v>1389</v>
      </c>
      <c r="B204" s="3">
        <v>154445</v>
      </c>
      <c r="C204" s="3">
        <v>884623</v>
      </c>
      <c r="D204" s="4" t="s">
        <v>81</v>
      </c>
      <c r="E204" s="4" t="s">
        <v>734</v>
      </c>
      <c r="F204" s="4" t="s">
        <v>87</v>
      </c>
      <c r="G204" s="4" t="s">
        <v>93</v>
      </c>
      <c r="H204" s="5">
        <v>18732.64</v>
      </c>
      <c r="I204" s="4" t="s">
        <v>21</v>
      </c>
      <c r="J204" s="5">
        <f t="shared" si="3"/>
        <v>-85370.260271999985</v>
      </c>
      <c r="K204" s="4" t="s">
        <v>24</v>
      </c>
      <c r="L204" s="6">
        <v>4.5572999999999997</v>
      </c>
      <c r="M204" s="6">
        <v>0.21940000000000001</v>
      </c>
      <c r="N204" s="6">
        <v>4.5313999999999997</v>
      </c>
      <c r="O204" s="6">
        <v>1</v>
      </c>
      <c r="P204" s="5">
        <v>-485.36510399999997</v>
      </c>
      <c r="Q204" s="4" t="s">
        <v>1393</v>
      </c>
    </row>
    <row r="205" spans="1:17" x14ac:dyDescent="0.3">
      <c r="A205" s="2" t="s">
        <v>1389</v>
      </c>
      <c r="B205" s="3">
        <v>154446</v>
      </c>
      <c r="C205" s="3">
        <v>884624</v>
      </c>
      <c r="D205" s="4" t="s">
        <v>81</v>
      </c>
      <c r="E205" s="4" t="s">
        <v>735</v>
      </c>
      <c r="F205" s="4" t="s">
        <v>83</v>
      </c>
      <c r="G205" s="4" t="s">
        <v>20</v>
      </c>
      <c r="H205" s="5">
        <v>-53270.47</v>
      </c>
      <c r="I205" s="4" t="s">
        <v>21</v>
      </c>
      <c r="J205" s="5">
        <f t="shared" si="3"/>
        <v>225105.02507899998</v>
      </c>
      <c r="K205" s="4" t="s">
        <v>45</v>
      </c>
      <c r="L205" s="6">
        <v>4.2256999999999998</v>
      </c>
      <c r="M205" s="6">
        <v>0.2366</v>
      </c>
      <c r="N205" s="6">
        <v>4.2267000000000001</v>
      </c>
      <c r="O205" s="6">
        <v>1</v>
      </c>
      <c r="P205" s="5">
        <v>-53.265549</v>
      </c>
      <c r="Q205" s="4" t="s">
        <v>1394</v>
      </c>
    </row>
    <row r="206" spans="1:17" x14ac:dyDescent="0.3">
      <c r="A206" s="2" t="s">
        <v>1389</v>
      </c>
      <c r="B206" s="3">
        <v>154447</v>
      </c>
      <c r="C206" s="3">
        <v>884630</v>
      </c>
      <c r="D206" s="4" t="s">
        <v>81</v>
      </c>
      <c r="E206" s="4" t="s">
        <v>743</v>
      </c>
      <c r="F206" s="4" t="s">
        <v>87</v>
      </c>
      <c r="G206" s="4" t="s">
        <v>20</v>
      </c>
      <c r="H206" s="5">
        <v>114264.82</v>
      </c>
      <c r="I206" s="4" t="s">
        <v>21</v>
      </c>
      <c r="J206" s="5">
        <f t="shared" si="3"/>
        <v>-483123.08544200007</v>
      </c>
      <c r="K206" s="4" t="s">
        <v>45</v>
      </c>
      <c r="L206" s="6">
        <v>4.2281000000000004</v>
      </c>
      <c r="M206" s="6">
        <v>0.23649999999999999</v>
      </c>
      <c r="N206" s="6">
        <v>4.2267000000000001</v>
      </c>
      <c r="O206" s="6">
        <v>1</v>
      </c>
      <c r="P206" s="5">
        <v>-163.39530600000001</v>
      </c>
      <c r="Q206" s="4" t="s">
        <v>1395</v>
      </c>
    </row>
    <row r="207" spans="1:17" x14ac:dyDescent="0.3">
      <c r="A207" s="2" t="s">
        <v>1389</v>
      </c>
      <c r="B207" s="3">
        <v>154448</v>
      </c>
      <c r="C207" s="3">
        <v>884666</v>
      </c>
      <c r="D207" s="4" t="s">
        <v>81</v>
      </c>
      <c r="E207" s="4" t="s">
        <v>735</v>
      </c>
      <c r="F207" s="4" t="s">
        <v>83</v>
      </c>
      <c r="G207" s="4" t="s">
        <v>91</v>
      </c>
      <c r="H207" s="5">
        <v>-2117.52</v>
      </c>
      <c r="I207" s="4" t="s">
        <v>21</v>
      </c>
      <c r="J207" s="5">
        <f t="shared" si="3"/>
        <v>10267.85448</v>
      </c>
      <c r="K207" s="4" t="s">
        <v>45</v>
      </c>
      <c r="L207" s="6">
        <v>4.8490000000000002</v>
      </c>
      <c r="M207" s="6">
        <v>0.20619999999999999</v>
      </c>
      <c r="N207" s="6">
        <v>4.8399000000000001</v>
      </c>
      <c r="O207" s="6">
        <v>1</v>
      </c>
      <c r="P207" s="5">
        <v>19.264952000000001</v>
      </c>
      <c r="Q207" s="4" t="s">
        <v>1394</v>
      </c>
    </row>
    <row r="208" spans="1:17" x14ac:dyDescent="0.3">
      <c r="A208" s="2" t="s">
        <v>1389</v>
      </c>
      <c r="B208" s="3">
        <v>154449</v>
      </c>
      <c r="C208" s="3">
        <v>884667</v>
      </c>
      <c r="D208" s="4" t="s">
        <v>81</v>
      </c>
      <c r="E208" s="4" t="s">
        <v>734</v>
      </c>
      <c r="F208" s="4" t="s">
        <v>83</v>
      </c>
      <c r="G208" s="4" t="s">
        <v>34</v>
      </c>
      <c r="H208" s="5">
        <v>-13553.2</v>
      </c>
      <c r="I208" s="4" t="s">
        <v>21</v>
      </c>
      <c r="J208" s="5">
        <f t="shared" si="3"/>
        <v>48639.724160000005</v>
      </c>
      <c r="K208" s="4" t="s">
        <v>45</v>
      </c>
      <c r="L208" s="6">
        <v>3.5888</v>
      </c>
      <c r="M208" s="6">
        <v>0.27860000000000001</v>
      </c>
      <c r="N208" s="6">
        <v>3.6015999999999999</v>
      </c>
      <c r="O208" s="6">
        <v>1</v>
      </c>
      <c r="P208" s="5">
        <v>-173.34512000000001</v>
      </c>
      <c r="Q208" s="4" t="s">
        <v>1393</v>
      </c>
    </row>
    <row r="209" spans="1:17" x14ac:dyDescent="0.3">
      <c r="A209" s="2" t="s">
        <v>1389</v>
      </c>
      <c r="B209" s="3">
        <v>154450</v>
      </c>
      <c r="C209" s="3">
        <v>884668</v>
      </c>
      <c r="D209" s="4" t="s">
        <v>81</v>
      </c>
      <c r="E209" s="4" t="s">
        <v>734</v>
      </c>
      <c r="F209" s="4" t="s">
        <v>83</v>
      </c>
      <c r="G209" s="4" t="s">
        <v>93</v>
      </c>
      <c r="H209" s="5">
        <v>-1593.97</v>
      </c>
      <c r="I209" s="4" t="s">
        <v>21</v>
      </c>
      <c r="J209" s="5">
        <f t="shared" si="3"/>
        <v>7256.5484250000009</v>
      </c>
      <c r="K209" s="4" t="s">
        <v>24</v>
      </c>
      <c r="L209" s="6">
        <v>4.5525000000000002</v>
      </c>
      <c r="M209" s="6">
        <v>0.21970000000000001</v>
      </c>
      <c r="N209" s="6">
        <v>4.5313999999999997</v>
      </c>
      <c r="O209" s="6">
        <v>1</v>
      </c>
      <c r="P209" s="5">
        <v>33.684342000000001</v>
      </c>
      <c r="Q209" s="4" t="s">
        <v>1393</v>
      </c>
    </row>
    <row r="210" spans="1:17" x14ac:dyDescent="0.3">
      <c r="A210" s="2" t="s">
        <v>1389</v>
      </c>
      <c r="B210" s="3">
        <v>154451</v>
      </c>
      <c r="C210" s="3">
        <v>884669</v>
      </c>
      <c r="D210" s="4" t="s">
        <v>81</v>
      </c>
      <c r="E210" s="4" t="s">
        <v>730</v>
      </c>
      <c r="F210" s="4" t="s">
        <v>83</v>
      </c>
      <c r="G210" s="4" t="s">
        <v>20</v>
      </c>
      <c r="H210" s="5">
        <v>-28860.49</v>
      </c>
      <c r="I210" s="4" t="s">
        <v>21</v>
      </c>
      <c r="J210" s="5">
        <f t="shared" si="3"/>
        <v>121990.40518099999</v>
      </c>
      <c r="K210" s="4" t="s">
        <v>45</v>
      </c>
      <c r="L210" s="6">
        <v>4.2268999999999997</v>
      </c>
      <c r="M210" s="6">
        <v>0.2366</v>
      </c>
      <c r="N210" s="6">
        <v>4.2267000000000001</v>
      </c>
      <c r="O210" s="6">
        <v>1</v>
      </c>
      <c r="P210" s="5">
        <v>5.7769170000000001</v>
      </c>
      <c r="Q210" s="4" t="s">
        <v>1396</v>
      </c>
    </row>
    <row r="211" spans="1:17" x14ac:dyDescent="0.3">
      <c r="A211" s="2" t="s">
        <v>1389</v>
      </c>
      <c r="B211" s="3">
        <v>154458</v>
      </c>
      <c r="C211" s="3">
        <v>884698</v>
      </c>
      <c r="D211" s="4" t="s">
        <v>81</v>
      </c>
      <c r="E211" s="4" t="s">
        <v>734</v>
      </c>
      <c r="F211" s="4" t="s">
        <v>83</v>
      </c>
      <c r="G211" s="4" t="s">
        <v>20</v>
      </c>
      <c r="H211" s="5">
        <v>-100220.95</v>
      </c>
      <c r="I211" s="4" t="s">
        <v>21</v>
      </c>
      <c r="J211" s="5">
        <f t="shared" si="3"/>
        <v>423694.08821999998</v>
      </c>
      <c r="K211" s="4" t="s">
        <v>45</v>
      </c>
      <c r="L211" s="6">
        <v>4.2275999999999998</v>
      </c>
      <c r="M211" s="6">
        <v>0.23649999999999999</v>
      </c>
      <c r="N211" s="6">
        <v>4.2267000000000001</v>
      </c>
      <c r="O211" s="6">
        <v>1</v>
      </c>
      <c r="P211" s="5">
        <v>87.190635</v>
      </c>
      <c r="Q211" s="4" t="s">
        <v>1393</v>
      </c>
    </row>
    <row r="212" spans="1:17" x14ac:dyDescent="0.3">
      <c r="A212" s="2" t="s">
        <v>1389</v>
      </c>
      <c r="B212" s="3">
        <v>154460</v>
      </c>
      <c r="C212" s="3">
        <v>884704</v>
      </c>
      <c r="D212" s="4" t="s">
        <v>81</v>
      </c>
      <c r="E212" s="4" t="s">
        <v>743</v>
      </c>
      <c r="F212" s="4" t="s">
        <v>83</v>
      </c>
      <c r="G212" s="4" t="s">
        <v>34</v>
      </c>
      <c r="H212" s="5">
        <v>-12267.84</v>
      </c>
      <c r="I212" s="4" t="s">
        <v>21</v>
      </c>
      <c r="J212" s="5">
        <f t="shared" si="3"/>
        <v>44046.452735999999</v>
      </c>
      <c r="K212" s="4" t="s">
        <v>45</v>
      </c>
      <c r="L212" s="6">
        <v>3.5903999999999998</v>
      </c>
      <c r="M212" s="6">
        <v>0.27850000000000003</v>
      </c>
      <c r="N212" s="6">
        <v>3.6015999999999999</v>
      </c>
      <c r="O212" s="6">
        <v>1</v>
      </c>
      <c r="P212" s="5">
        <v>-137.64254399999999</v>
      </c>
      <c r="Q212" s="4" t="s">
        <v>1395</v>
      </c>
    </row>
    <row r="213" spans="1:17" x14ac:dyDescent="0.3">
      <c r="A213" s="2" t="s">
        <v>1389</v>
      </c>
      <c r="B213" s="3">
        <v>154461</v>
      </c>
      <c r="C213" s="3">
        <v>884705</v>
      </c>
      <c r="D213" s="4" t="s">
        <v>81</v>
      </c>
      <c r="E213" s="4" t="s">
        <v>734</v>
      </c>
      <c r="F213" s="4" t="s">
        <v>83</v>
      </c>
      <c r="G213" s="4" t="s">
        <v>93</v>
      </c>
      <c r="H213" s="5">
        <v>-4543.1000000000004</v>
      </c>
      <c r="I213" s="4" t="s">
        <v>21</v>
      </c>
      <c r="J213" s="5">
        <f t="shared" si="3"/>
        <v>20686.55154</v>
      </c>
      <c r="K213" s="4" t="s">
        <v>24</v>
      </c>
      <c r="L213" s="6">
        <v>4.5533999999999999</v>
      </c>
      <c r="M213" s="6">
        <v>0.21959999999999999</v>
      </c>
      <c r="N213" s="6">
        <v>4.5313999999999997</v>
      </c>
      <c r="O213" s="6">
        <v>1</v>
      </c>
      <c r="P213" s="5">
        <v>100.03666</v>
      </c>
      <c r="Q213" s="4" t="s">
        <v>1393</v>
      </c>
    </row>
    <row r="214" spans="1:17" x14ac:dyDescent="0.3">
      <c r="A214" s="2" t="s">
        <v>1389</v>
      </c>
      <c r="B214" s="3">
        <v>154462</v>
      </c>
      <c r="C214" s="3">
        <v>884706</v>
      </c>
      <c r="D214" s="4" t="s">
        <v>81</v>
      </c>
      <c r="E214" s="4" t="s">
        <v>743</v>
      </c>
      <c r="F214" s="4" t="s">
        <v>83</v>
      </c>
      <c r="G214" s="4" t="s">
        <v>91</v>
      </c>
      <c r="H214" s="5">
        <v>-785.05</v>
      </c>
      <c r="I214" s="4" t="s">
        <v>21</v>
      </c>
      <c r="J214" s="5">
        <f t="shared" si="3"/>
        <v>3807.885025</v>
      </c>
      <c r="K214" s="4" t="s">
        <v>45</v>
      </c>
      <c r="L214" s="6">
        <v>4.8505000000000003</v>
      </c>
      <c r="M214" s="6">
        <v>0.20619999999999999</v>
      </c>
      <c r="N214" s="6">
        <v>4.8399000000000001</v>
      </c>
      <c r="O214" s="6">
        <v>1</v>
      </c>
      <c r="P214" s="5">
        <v>8.3365050000000007</v>
      </c>
      <c r="Q214" s="4" t="s">
        <v>1395</v>
      </c>
    </row>
    <row r="215" spans="1:17" x14ac:dyDescent="0.3">
      <c r="A215" s="2" t="s">
        <v>1389</v>
      </c>
      <c r="B215" s="3">
        <v>154463</v>
      </c>
      <c r="C215" s="3">
        <v>884707</v>
      </c>
      <c r="D215" s="4" t="s">
        <v>81</v>
      </c>
      <c r="E215" s="4" t="s">
        <v>743</v>
      </c>
      <c r="F215" s="4" t="s">
        <v>83</v>
      </c>
      <c r="G215" s="4" t="s">
        <v>20</v>
      </c>
      <c r="H215" s="5">
        <v>-24106.93</v>
      </c>
      <c r="I215" s="4" t="s">
        <v>21</v>
      </c>
      <c r="J215" s="5">
        <f t="shared" si="3"/>
        <v>101912.046575</v>
      </c>
      <c r="K215" s="4" t="s">
        <v>45</v>
      </c>
      <c r="L215" s="6">
        <v>4.2275</v>
      </c>
      <c r="M215" s="6">
        <v>0.23649999999999999</v>
      </c>
      <c r="N215" s="6">
        <v>4.2267000000000001</v>
      </c>
      <c r="O215" s="6">
        <v>1</v>
      </c>
      <c r="P215" s="5">
        <v>20.488969000000001</v>
      </c>
      <c r="Q215" s="4" t="s">
        <v>1395</v>
      </c>
    </row>
    <row r="216" spans="1:17" x14ac:dyDescent="0.3">
      <c r="A216" s="2" t="s">
        <v>1389</v>
      </c>
      <c r="B216" s="3">
        <v>154473</v>
      </c>
      <c r="C216" s="3">
        <v>884785</v>
      </c>
      <c r="D216" s="4" t="s">
        <v>81</v>
      </c>
      <c r="E216" s="4" t="s">
        <v>725</v>
      </c>
      <c r="F216" s="4" t="s">
        <v>87</v>
      </c>
      <c r="G216" s="4" t="s">
        <v>20</v>
      </c>
      <c r="H216" s="5">
        <v>100000</v>
      </c>
      <c r="I216" s="4" t="s">
        <v>91</v>
      </c>
      <c r="J216" s="5">
        <f t="shared" si="3"/>
        <v>-87150</v>
      </c>
      <c r="K216" s="4" t="s">
        <v>45</v>
      </c>
      <c r="L216" s="6">
        <v>0.87150000000000005</v>
      </c>
      <c r="M216" s="6">
        <v>1.1474</v>
      </c>
      <c r="N216" s="6">
        <v>4.2267000000000001</v>
      </c>
      <c r="O216" s="6">
        <v>4.8399000000000001</v>
      </c>
      <c r="P216" s="5">
        <v>863.03520000000003</v>
      </c>
      <c r="Q216" s="4" t="s">
        <v>1392</v>
      </c>
    </row>
    <row r="217" spans="1:17" x14ac:dyDescent="0.3">
      <c r="A217" s="2" t="s">
        <v>1389</v>
      </c>
      <c r="B217" s="3">
        <v>154474</v>
      </c>
      <c r="C217" s="3">
        <v>884786</v>
      </c>
      <c r="D217" s="4" t="s">
        <v>81</v>
      </c>
      <c r="E217" s="4" t="s">
        <v>725</v>
      </c>
      <c r="F217" s="4" t="s">
        <v>87</v>
      </c>
      <c r="G217" s="4" t="s">
        <v>20</v>
      </c>
      <c r="H217" s="5">
        <v>100000</v>
      </c>
      <c r="I217" s="4" t="s">
        <v>91</v>
      </c>
      <c r="J217" s="5">
        <f t="shared" si="3"/>
        <v>-87150</v>
      </c>
      <c r="K217" s="4" t="s">
        <v>45</v>
      </c>
      <c r="L217" s="6">
        <v>0.87150000000000005</v>
      </c>
      <c r="M217" s="6">
        <v>1.1474</v>
      </c>
      <c r="N217" s="6">
        <v>4.2267000000000001</v>
      </c>
      <c r="O217" s="6">
        <v>4.8399000000000001</v>
      </c>
      <c r="P217" s="5">
        <v>872.71500000000003</v>
      </c>
      <c r="Q217" s="4" t="s">
        <v>1392</v>
      </c>
    </row>
    <row r="218" spans="1:17" x14ac:dyDescent="0.3">
      <c r="A218" s="2" t="s">
        <v>1389</v>
      </c>
      <c r="B218" s="3">
        <v>154476</v>
      </c>
      <c r="C218" s="3">
        <v>884805</v>
      </c>
      <c r="D218" s="4" t="s">
        <v>81</v>
      </c>
      <c r="E218" s="4" t="s">
        <v>725</v>
      </c>
      <c r="F218" s="4" t="s">
        <v>87</v>
      </c>
      <c r="G218" s="4" t="s">
        <v>20</v>
      </c>
      <c r="H218" s="5">
        <v>500000</v>
      </c>
      <c r="I218" s="4" t="s">
        <v>21</v>
      </c>
      <c r="J218" s="5">
        <f t="shared" si="3"/>
        <v>-2113350</v>
      </c>
      <c r="K218" s="4" t="s">
        <v>45</v>
      </c>
      <c r="L218" s="6">
        <v>4.2267000000000001</v>
      </c>
      <c r="M218" s="6">
        <v>0.2366</v>
      </c>
      <c r="N218" s="6">
        <v>4.2267000000000001</v>
      </c>
      <c r="O218" s="6">
        <v>1</v>
      </c>
      <c r="P218" s="5">
        <v>10</v>
      </c>
      <c r="Q218" s="4" t="s">
        <v>1392</v>
      </c>
    </row>
    <row r="219" spans="1:17" x14ac:dyDescent="0.3">
      <c r="A219" s="2" t="s">
        <v>1389</v>
      </c>
      <c r="B219" s="3">
        <v>154478</v>
      </c>
      <c r="C219" s="3">
        <v>884813</v>
      </c>
      <c r="D219" s="4" t="s">
        <v>81</v>
      </c>
      <c r="E219" s="4" t="s">
        <v>732</v>
      </c>
      <c r="F219" s="4" t="s">
        <v>87</v>
      </c>
      <c r="G219" s="4" t="s">
        <v>20</v>
      </c>
      <c r="H219" s="5">
        <v>500000</v>
      </c>
      <c r="I219" s="4" t="s">
        <v>21</v>
      </c>
      <c r="J219" s="5">
        <f t="shared" si="3"/>
        <v>-2113000</v>
      </c>
      <c r="K219" s="4" t="s">
        <v>45</v>
      </c>
      <c r="L219" s="6">
        <v>4.226</v>
      </c>
      <c r="M219" s="6">
        <v>0.2366</v>
      </c>
      <c r="N219" s="6">
        <v>4.2267000000000001</v>
      </c>
      <c r="O219" s="6">
        <v>1</v>
      </c>
      <c r="P219" s="5">
        <v>325</v>
      </c>
      <c r="Q219" s="4" t="s">
        <v>1394</v>
      </c>
    </row>
    <row r="220" spans="1:17" x14ac:dyDescent="0.3">
      <c r="A220" s="2" t="s">
        <v>1389</v>
      </c>
      <c r="B220" s="3">
        <v>154480</v>
      </c>
      <c r="C220" s="3">
        <v>884823</v>
      </c>
      <c r="D220" s="4" t="s">
        <v>81</v>
      </c>
      <c r="E220" s="4" t="s">
        <v>732</v>
      </c>
      <c r="F220" s="4" t="s">
        <v>87</v>
      </c>
      <c r="G220" s="4" t="s">
        <v>20</v>
      </c>
      <c r="H220" s="5">
        <v>500000</v>
      </c>
      <c r="I220" s="4" t="s">
        <v>21</v>
      </c>
      <c r="J220" s="5">
        <f t="shared" si="3"/>
        <v>-2113050</v>
      </c>
      <c r="K220" s="4" t="s">
        <v>45</v>
      </c>
      <c r="L220" s="6">
        <v>4.2260999999999997</v>
      </c>
      <c r="M220" s="6">
        <v>0.2366</v>
      </c>
      <c r="N220" s="6">
        <v>4.2267000000000001</v>
      </c>
      <c r="O220" s="6">
        <v>1</v>
      </c>
      <c r="P220" s="5">
        <v>300</v>
      </c>
      <c r="Q220" s="4" t="s">
        <v>1394</v>
      </c>
    </row>
    <row r="221" spans="1:17" x14ac:dyDescent="0.3">
      <c r="A221" s="2" t="s">
        <v>1389</v>
      </c>
      <c r="B221" s="3">
        <v>154494</v>
      </c>
      <c r="C221" s="3">
        <v>884971</v>
      </c>
      <c r="D221" s="4" t="s">
        <v>81</v>
      </c>
      <c r="E221" s="4" t="s">
        <v>732</v>
      </c>
      <c r="F221" s="4" t="s">
        <v>87</v>
      </c>
      <c r="G221" s="4" t="s">
        <v>34</v>
      </c>
      <c r="H221" s="5">
        <v>500000</v>
      </c>
      <c r="I221" s="4" t="s">
        <v>21</v>
      </c>
      <c r="J221" s="5">
        <f t="shared" si="3"/>
        <v>-1795700</v>
      </c>
      <c r="K221" s="4" t="s">
        <v>45</v>
      </c>
      <c r="L221" s="6">
        <v>3.5914000000000001</v>
      </c>
      <c r="M221" s="6">
        <v>0.27839999999999998</v>
      </c>
      <c r="N221" s="6">
        <v>3.6015999999999999</v>
      </c>
      <c r="O221" s="6">
        <v>1</v>
      </c>
      <c r="P221" s="5">
        <v>5110</v>
      </c>
      <c r="Q221" s="4" t="s">
        <v>1394</v>
      </c>
    </row>
    <row r="222" spans="1:17" x14ac:dyDescent="0.3">
      <c r="A222" s="2" t="s">
        <v>1389</v>
      </c>
      <c r="B222" s="3">
        <v>154505</v>
      </c>
      <c r="C222" s="3">
        <v>885029</v>
      </c>
      <c r="D222" s="4" t="s">
        <v>81</v>
      </c>
      <c r="E222" s="4" t="s">
        <v>744</v>
      </c>
      <c r="F222" s="4" t="s">
        <v>87</v>
      </c>
      <c r="G222" s="4" t="s">
        <v>20</v>
      </c>
      <c r="H222" s="5">
        <v>50000</v>
      </c>
      <c r="I222" s="4" t="s">
        <v>74</v>
      </c>
      <c r="J222" s="5">
        <f t="shared" si="3"/>
        <v>-589725</v>
      </c>
      <c r="K222" s="4" t="s">
        <v>45</v>
      </c>
      <c r="L222" s="6">
        <v>11.794499999999999</v>
      </c>
      <c r="M222" s="6">
        <v>8.48E-2</v>
      </c>
      <c r="N222" s="6">
        <v>4.2267000000000001</v>
      </c>
      <c r="O222" s="6">
        <v>0.35770000000000002</v>
      </c>
      <c r="P222" s="5">
        <v>389.83094999999997</v>
      </c>
      <c r="Q222" s="4" t="s">
        <v>1395</v>
      </c>
    </row>
    <row r="223" spans="1:17" x14ac:dyDescent="0.3">
      <c r="A223" s="2" t="s">
        <v>1389</v>
      </c>
      <c r="B223" s="3">
        <v>154508</v>
      </c>
      <c r="C223" s="3">
        <v>885071</v>
      </c>
      <c r="D223" s="4" t="s">
        <v>81</v>
      </c>
      <c r="E223" s="4" t="s">
        <v>732</v>
      </c>
      <c r="F223" s="4" t="s">
        <v>83</v>
      </c>
      <c r="G223" s="4" t="s">
        <v>20</v>
      </c>
      <c r="H223" s="5">
        <v>-500000</v>
      </c>
      <c r="I223" s="4" t="s">
        <v>21</v>
      </c>
      <c r="J223" s="5">
        <f t="shared" si="3"/>
        <v>2114750</v>
      </c>
      <c r="K223" s="4" t="s">
        <v>45</v>
      </c>
      <c r="L223" s="6">
        <v>4.2294999999999998</v>
      </c>
      <c r="M223" s="6">
        <v>0.2364</v>
      </c>
      <c r="N223" s="6">
        <v>4.2267000000000001</v>
      </c>
      <c r="O223" s="6">
        <v>1</v>
      </c>
      <c r="P223" s="5">
        <v>1400</v>
      </c>
      <c r="Q223" s="4" t="s">
        <v>1394</v>
      </c>
    </row>
    <row r="224" spans="1:17" x14ac:dyDescent="0.3">
      <c r="A224" s="2" t="s">
        <v>1389</v>
      </c>
      <c r="B224" s="3">
        <v>154511</v>
      </c>
      <c r="C224" s="3">
        <v>885084</v>
      </c>
      <c r="D224" s="4" t="s">
        <v>81</v>
      </c>
      <c r="E224" s="4" t="s">
        <v>732</v>
      </c>
      <c r="F224" s="4" t="s">
        <v>83</v>
      </c>
      <c r="G224" s="4" t="s">
        <v>20</v>
      </c>
      <c r="H224" s="5">
        <v>-500000</v>
      </c>
      <c r="I224" s="4" t="s">
        <v>21</v>
      </c>
      <c r="J224" s="5">
        <f t="shared" si="3"/>
        <v>2115100</v>
      </c>
      <c r="K224" s="4" t="s">
        <v>45</v>
      </c>
      <c r="L224" s="6">
        <v>4.2302</v>
      </c>
      <c r="M224" s="6">
        <v>0.2364</v>
      </c>
      <c r="N224" s="6">
        <v>4.2267000000000001</v>
      </c>
      <c r="O224" s="6">
        <v>1</v>
      </c>
      <c r="P224" s="5">
        <v>1755</v>
      </c>
      <c r="Q224" s="4" t="s">
        <v>1394</v>
      </c>
    </row>
    <row r="225" spans="1:17" x14ac:dyDescent="0.3">
      <c r="A225" s="2" t="s">
        <v>1389</v>
      </c>
      <c r="B225" s="3">
        <v>154513</v>
      </c>
      <c r="C225" s="3">
        <v>885091</v>
      </c>
      <c r="D225" s="4" t="s">
        <v>81</v>
      </c>
      <c r="E225" s="4" t="s">
        <v>725</v>
      </c>
      <c r="F225" s="4" t="s">
        <v>83</v>
      </c>
      <c r="G225" s="4" t="s">
        <v>20</v>
      </c>
      <c r="H225" s="5">
        <v>-500000</v>
      </c>
      <c r="I225" s="4" t="s">
        <v>21</v>
      </c>
      <c r="J225" s="5">
        <f t="shared" si="3"/>
        <v>2115000</v>
      </c>
      <c r="K225" s="4" t="s">
        <v>45</v>
      </c>
      <c r="L225" s="6">
        <v>4.2300000000000004</v>
      </c>
      <c r="M225" s="6">
        <v>0.2364</v>
      </c>
      <c r="N225" s="6">
        <v>4.2267000000000001</v>
      </c>
      <c r="O225" s="6">
        <v>1</v>
      </c>
      <c r="P225" s="5">
        <v>1660</v>
      </c>
      <c r="Q225" s="4" t="s">
        <v>1392</v>
      </c>
    </row>
    <row r="226" spans="1:17" x14ac:dyDescent="0.3">
      <c r="A226" s="2" t="s">
        <v>1389</v>
      </c>
      <c r="B226" s="3">
        <v>154514</v>
      </c>
      <c r="C226" s="3">
        <v>885098</v>
      </c>
      <c r="D226" s="4" t="s">
        <v>81</v>
      </c>
      <c r="E226" s="4" t="s">
        <v>1262</v>
      </c>
      <c r="F226" s="4" t="s">
        <v>87</v>
      </c>
      <c r="G226" s="4" t="s">
        <v>20</v>
      </c>
      <c r="H226" s="5">
        <v>13200</v>
      </c>
      <c r="I226" s="4" t="s">
        <v>21</v>
      </c>
      <c r="J226" s="5">
        <f t="shared" si="3"/>
        <v>-55762.080000000002</v>
      </c>
      <c r="K226" s="4" t="s">
        <v>45</v>
      </c>
      <c r="L226" s="6">
        <v>4.2244000000000002</v>
      </c>
      <c r="M226" s="6">
        <v>0.23669999999999999</v>
      </c>
      <c r="N226" s="6">
        <v>4.2267000000000001</v>
      </c>
      <c r="O226" s="6">
        <v>1</v>
      </c>
      <c r="P226" s="5">
        <v>30.36</v>
      </c>
      <c r="Q226" s="4" t="s">
        <v>1390</v>
      </c>
    </row>
    <row r="227" spans="1:17" x14ac:dyDescent="0.3">
      <c r="A227" s="2" t="s">
        <v>1389</v>
      </c>
      <c r="B227" s="3">
        <v>154516</v>
      </c>
      <c r="C227" s="3">
        <v>885105</v>
      </c>
      <c r="D227" s="4" t="s">
        <v>81</v>
      </c>
      <c r="E227" s="4" t="s">
        <v>732</v>
      </c>
      <c r="F227" s="4" t="s">
        <v>83</v>
      </c>
      <c r="G227" s="4" t="s">
        <v>20</v>
      </c>
      <c r="H227" s="5">
        <v>-500000</v>
      </c>
      <c r="I227" s="4" t="s">
        <v>21</v>
      </c>
      <c r="J227" s="5">
        <f t="shared" si="3"/>
        <v>2114950</v>
      </c>
      <c r="K227" s="4" t="s">
        <v>45</v>
      </c>
      <c r="L227" s="6">
        <v>4.2298999999999998</v>
      </c>
      <c r="M227" s="6">
        <v>0.2364</v>
      </c>
      <c r="N227" s="6">
        <v>4.2267000000000001</v>
      </c>
      <c r="O227" s="6">
        <v>1</v>
      </c>
      <c r="P227" s="5">
        <v>1625</v>
      </c>
      <c r="Q227" s="4" t="s">
        <v>1394</v>
      </c>
    </row>
    <row r="228" spans="1:17" x14ac:dyDescent="0.3">
      <c r="A228" s="2" t="s">
        <v>1389</v>
      </c>
      <c r="B228" s="3">
        <v>154517</v>
      </c>
      <c r="C228" s="3">
        <v>885106</v>
      </c>
      <c r="D228" s="4" t="s">
        <v>81</v>
      </c>
      <c r="E228" s="4" t="s">
        <v>742</v>
      </c>
      <c r="F228" s="4" t="s">
        <v>83</v>
      </c>
      <c r="G228" s="4" t="s">
        <v>20</v>
      </c>
      <c r="H228" s="5">
        <v>-500000</v>
      </c>
      <c r="I228" s="4" t="s">
        <v>21</v>
      </c>
      <c r="J228" s="5">
        <f t="shared" si="3"/>
        <v>2114950</v>
      </c>
      <c r="K228" s="4" t="s">
        <v>45</v>
      </c>
      <c r="L228" s="6">
        <v>4.2298999999999998</v>
      </c>
      <c r="M228" s="6">
        <v>0.2364</v>
      </c>
      <c r="N228" s="6">
        <v>4.2267000000000001</v>
      </c>
      <c r="O228" s="6">
        <v>1</v>
      </c>
      <c r="P228" s="5">
        <v>1610</v>
      </c>
      <c r="Q228" s="4" t="s">
        <v>1396</v>
      </c>
    </row>
    <row r="229" spans="1:17" x14ac:dyDescent="0.3">
      <c r="A229" s="2" t="s">
        <v>1389</v>
      </c>
      <c r="B229" s="3">
        <v>154526</v>
      </c>
      <c r="C229" s="3">
        <v>885128</v>
      </c>
      <c r="D229" s="4" t="s">
        <v>81</v>
      </c>
      <c r="E229" s="4" t="s">
        <v>725</v>
      </c>
      <c r="F229" s="4" t="s">
        <v>83</v>
      </c>
      <c r="G229" s="4" t="s">
        <v>20</v>
      </c>
      <c r="H229" s="5">
        <v>-500000</v>
      </c>
      <c r="I229" s="4" t="s">
        <v>21</v>
      </c>
      <c r="J229" s="5">
        <f t="shared" si="3"/>
        <v>2114950</v>
      </c>
      <c r="K229" s="4" t="s">
        <v>45</v>
      </c>
      <c r="L229" s="6">
        <v>4.2298999999999998</v>
      </c>
      <c r="M229" s="6">
        <v>0.2364</v>
      </c>
      <c r="N229" s="6">
        <v>4.2267000000000001</v>
      </c>
      <c r="O229" s="6">
        <v>1</v>
      </c>
      <c r="P229" s="5">
        <v>1625</v>
      </c>
      <c r="Q229" s="4" t="s">
        <v>1392</v>
      </c>
    </row>
    <row r="230" spans="1:17" x14ac:dyDescent="0.3">
      <c r="A230" s="2" t="s">
        <v>1389</v>
      </c>
      <c r="B230" s="3">
        <v>154528</v>
      </c>
      <c r="C230" s="3">
        <v>885136</v>
      </c>
      <c r="D230" s="4" t="s">
        <v>81</v>
      </c>
      <c r="E230" s="4" t="s">
        <v>1107</v>
      </c>
      <c r="F230" s="4" t="s">
        <v>87</v>
      </c>
      <c r="G230" s="4" t="s">
        <v>20</v>
      </c>
      <c r="H230" s="5">
        <v>400000</v>
      </c>
      <c r="I230" s="4" t="s">
        <v>21</v>
      </c>
      <c r="J230" s="5">
        <f t="shared" si="3"/>
        <v>-1690960</v>
      </c>
      <c r="K230" s="4" t="s">
        <v>45</v>
      </c>
      <c r="L230" s="6">
        <v>4.2274000000000003</v>
      </c>
      <c r="M230" s="6">
        <v>0.2366</v>
      </c>
      <c r="N230" s="6">
        <v>4.2267000000000001</v>
      </c>
      <c r="O230" s="6">
        <v>1</v>
      </c>
      <c r="P230" s="5">
        <v>-280</v>
      </c>
      <c r="Q230" s="4" t="s">
        <v>1390</v>
      </c>
    </row>
    <row r="231" spans="1:17" x14ac:dyDescent="0.3">
      <c r="A231" s="2" t="s">
        <v>1389</v>
      </c>
      <c r="B231" s="3">
        <v>154531</v>
      </c>
      <c r="C231" s="3">
        <v>885161</v>
      </c>
      <c r="D231" s="4" t="s">
        <v>81</v>
      </c>
      <c r="E231" s="4" t="s">
        <v>734</v>
      </c>
      <c r="F231" s="4" t="s">
        <v>87</v>
      </c>
      <c r="G231" s="4" t="s">
        <v>20</v>
      </c>
      <c r="H231" s="5">
        <v>500000</v>
      </c>
      <c r="I231" s="4" t="s">
        <v>21</v>
      </c>
      <c r="J231" s="5">
        <f t="shared" si="3"/>
        <v>-2114400</v>
      </c>
      <c r="K231" s="4" t="s">
        <v>45</v>
      </c>
      <c r="L231" s="6">
        <v>4.2287999999999997</v>
      </c>
      <c r="M231" s="6">
        <v>0.23649999999999999</v>
      </c>
      <c r="N231" s="6">
        <v>4.2267000000000001</v>
      </c>
      <c r="O231" s="6">
        <v>1</v>
      </c>
      <c r="P231" s="5">
        <v>-1050</v>
      </c>
      <c r="Q231" s="4" t="s">
        <v>1393</v>
      </c>
    </row>
    <row r="232" spans="1:17" x14ac:dyDescent="0.3">
      <c r="A232" s="2" t="s">
        <v>1389</v>
      </c>
      <c r="B232" s="3">
        <v>154540</v>
      </c>
      <c r="C232" s="3">
        <v>885237</v>
      </c>
      <c r="D232" s="4" t="s">
        <v>81</v>
      </c>
      <c r="E232" s="4" t="s">
        <v>725</v>
      </c>
      <c r="F232" s="4" t="s">
        <v>83</v>
      </c>
      <c r="G232" s="4" t="s">
        <v>20</v>
      </c>
      <c r="H232" s="5">
        <v>-500000</v>
      </c>
      <c r="I232" s="4" t="s">
        <v>21</v>
      </c>
      <c r="J232" s="5">
        <f t="shared" si="3"/>
        <v>2115050</v>
      </c>
      <c r="K232" s="4" t="s">
        <v>45</v>
      </c>
      <c r="L232" s="6">
        <v>4.2301000000000002</v>
      </c>
      <c r="M232" s="6">
        <v>0.2364</v>
      </c>
      <c r="N232" s="6">
        <v>4.2267000000000001</v>
      </c>
      <c r="O232" s="6">
        <v>1</v>
      </c>
      <c r="P232" s="5">
        <v>1690</v>
      </c>
      <c r="Q232" s="4" t="s">
        <v>1392</v>
      </c>
    </row>
    <row r="233" spans="1:17" x14ac:dyDescent="0.3">
      <c r="A233" s="2" t="s">
        <v>1389</v>
      </c>
      <c r="B233" s="3">
        <v>154544</v>
      </c>
      <c r="C233" s="3">
        <v>885272</v>
      </c>
      <c r="D233" s="4" t="s">
        <v>81</v>
      </c>
      <c r="E233" s="4" t="s">
        <v>739</v>
      </c>
      <c r="F233" s="4" t="s">
        <v>87</v>
      </c>
      <c r="G233" s="4" t="s">
        <v>20</v>
      </c>
      <c r="H233" s="5">
        <v>100000</v>
      </c>
      <c r="I233" s="4" t="s">
        <v>91</v>
      </c>
      <c r="J233" s="5">
        <f t="shared" si="3"/>
        <v>-87070</v>
      </c>
      <c r="K233" s="4" t="s">
        <v>45</v>
      </c>
      <c r="L233" s="6">
        <v>0.87070000000000003</v>
      </c>
      <c r="M233" s="6">
        <v>1.1485000000000001</v>
      </c>
      <c r="N233" s="6">
        <v>4.2267000000000001</v>
      </c>
      <c r="O233" s="6">
        <v>4.8399000000000001</v>
      </c>
      <c r="P233" s="5">
        <v>1250.2272</v>
      </c>
      <c r="Q233" s="4" t="s">
        <v>1391</v>
      </c>
    </row>
    <row r="234" spans="1:17" x14ac:dyDescent="0.3">
      <c r="A234" s="2" t="s">
        <v>1389</v>
      </c>
      <c r="B234" s="3">
        <v>154550</v>
      </c>
      <c r="C234" s="3">
        <v>885315</v>
      </c>
      <c r="D234" s="4" t="s">
        <v>81</v>
      </c>
      <c r="E234" s="4" t="s">
        <v>732</v>
      </c>
      <c r="F234" s="4" t="s">
        <v>87</v>
      </c>
      <c r="G234" s="4" t="s">
        <v>34</v>
      </c>
      <c r="H234" s="5">
        <v>500000</v>
      </c>
      <c r="I234" s="4" t="s">
        <v>21</v>
      </c>
      <c r="J234" s="5">
        <f t="shared" si="3"/>
        <v>-1795900</v>
      </c>
      <c r="K234" s="4" t="s">
        <v>45</v>
      </c>
      <c r="L234" s="6">
        <v>3.5918000000000001</v>
      </c>
      <c r="M234" s="6">
        <v>0.27839999999999998</v>
      </c>
      <c r="N234" s="6">
        <v>3.6015999999999999</v>
      </c>
      <c r="O234" s="6">
        <v>1</v>
      </c>
      <c r="P234" s="5">
        <v>4900</v>
      </c>
      <c r="Q234" s="4" t="s">
        <v>1394</v>
      </c>
    </row>
    <row r="235" spans="1:17" x14ac:dyDescent="0.3">
      <c r="A235" s="2" t="s">
        <v>1389</v>
      </c>
      <c r="B235" s="3">
        <v>154551</v>
      </c>
      <c r="C235" s="3">
        <v>885316</v>
      </c>
      <c r="D235" s="4" t="s">
        <v>81</v>
      </c>
      <c r="E235" s="4" t="s">
        <v>732</v>
      </c>
      <c r="F235" s="4" t="s">
        <v>87</v>
      </c>
      <c r="G235" s="4" t="s">
        <v>34</v>
      </c>
      <c r="H235" s="5">
        <v>500000</v>
      </c>
      <c r="I235" s="4" t="s">
        <v>21</v>
      </c>
      <c r="J235" s="5">
        <f t="shared" si="3"/>
        <v>-1795850</v>
      </c>
      <c r="K235" s="4" t="s">
        <v>45</v>
      </c>
      <c r="L235" s="6">
        <v>3.5916999999999999</v>
      </c>
      <c r="M235" s="6">
        <v>0.27839999999999998</v>
      </c>
      <c r="N235" s="6">
        <v>3.6015999999999999</v>
      </c>
      <c r="O235" s="6">
        <v>1</v>
      </c>
      <c r="P235" s="5">
        <v>4950</v>
      </c>
      <c r="Q235" s="4" t="s">
        <v>1394</v>
      </c>
    </row>
    <row r="236" spans="1:17" x14ac:dyDescent="0.3">
      <c r="A236" s="2" t="s">
        <v>1389</v>
      </c>
      <c r="B236" s="3">
        <v>154562</v>
      </c>
      <c r="C236" s="3">
        <v>885428</v>
      </c>
      <c r="D236" s="4" t="s">
        <v>81</v>
      </c>
      <c r="E236" s="4" t="s">
        <v>735</v>
      </c>
      <c r="F236" s="4" t="s">
        <v>83</v>
      </c>
      <c r="G236" s="4" t="s">
        <v>34</v>
      </c>
      <c r="H236" s="5">
        <v>-500000</v>
      </c>
      <c r="I236" s="4" t="s">
        <v>21</v>
      </c>
      <c r="J236" s="5">
        <f t="shared" si="3"/>
        <v>1796050</v>
      </c>
      <c r="K236" s="4" t="s">
        <v>45</v>
      </c>
      <c r="L236" s="6">
        <v>3.5920999999999998</v>
      </c>
      <c r="M236" s="6">
        <v>0.27839999999999998</v>
      </c>
      <c r="N236" s="6">
        <v>3.6015999999999999</v>
      </c>
      <c r="O236" s="6">
        <v>1</v>
      </c>
      <c r="P236" s="5">
        <v>-4750</v>
      </c>
      <c r="Q236" s="4" t="s">
        <v>1394</v>
      </c>
    </row>
    <row r="237" spans="1:17" x14ac:dyDescent="0.3">
      <c r="A237" s="2" t="s">
        <v>1389</v>
      </c>
      <c r="B237" s="3">
        <v>154569</v>
      </c>
      <c r="C237" s="3">
        <v>885470</v>
      </c>
      <c r="D237" s="4" t="s">
        <v>81</v>
      </c>
      <c r="E237" s="4" t="s">
        <v>732</v>
      </c>
      <c r="F237" s="4" t="s">
        <v>87</v>
      </c>
      <c r="G237" s="4" t="s">
        <v>20</v>
      </c>
      <c r="H237" s="5">
        <v>500000</v>
      </c>
      <c r="I237" s="4" t="s">
        <v>21</v>
      </c>
      <c r="J237" s="5">
        <f t="shared" si="3"/>
        <v>-2114450</v>
      </c>
      <c r="K237" s="4" t="s">
        <v>45</v>
      </c>
      <c r="L237" s="6">
        <v>4.2289000000000003</v>
      </c>
      <c r="M237" s="6">
        <v>0.23649999999999999</v>
      </c>
      <c r="N237" s="6">
        <v>4.2267000000000001</v>
      </c>
      <c r="O237" s="6">
        <v>1</v>
      </c>
      <c r="P237" s="5">
        <v>-1100</v>
      </c>
      <c r="Q237" s="4" t="s">
        <v>1394</v>
      </c>
    </row>
    <row r="238" spans="1:17" x14ac:dyDescent="0.3">
      <c r="A238" s="2" t="s">
        <v>1389</v>
      </c>
      <c r="B238" s="3">
        <v>154574</v>
      </c>
      <c r="C238" s="3">
        <v>885522</v>
      </c>
      <c r="D238" s="4" t="s">
        <v>81</v>
      </c>
      <c r="E238" s="4" t="s">
        <v>725</v>
      </c>
      <c r="F238" s="4" t="s">
        <v>87</v>
      </c>
      <c r="G238" s="4" t="s">
        <v>20</v>
      </c>
      <c r="H238" s="5">
        <v>500000</v>
      </c>
      <c r="I238" s="4" t="s">
        <v>21</v>
      </c>
      <c r="J238" s="5">
        <f t="shared" si="3"/>
        <v>-2114100</v>
      </c>
      <c r="K238" s="4" t="s">
        <v>45</v>
      </c>
      <c r="L238" s="6">
        <v>4.2282000000000002</v>
      </c>
      <c r="M238" s="6">
        <v>0.23649999999999999</v>
      </c>
      <c r="N238" s="6">
        <v>4.2267000000000001</v>
      </c>
      <c r="O238" s="6">
        <v>1</v>
      </c>
      <c r="P238" s="5">
        <v>-760</v>
      </c>
      <c r="Q238" s="4" t="s">
        <v>1392</v>
      </c>
    </row>
    <row r="239" spans="1:17" x14ac:dyDescent="0.3">
      <c r="A239" s="2" t="s">
        <v>1389</v>
      </c>
      <c r="B239" s="3">
        <v>154581</v>
      </c>
      <c r="C239" s="3">
        <v>885617</v>
      </c>
      <c r="D239" s="4" t="s">
        <v>81</v>
      </c>
      <c r="E239" s="4" t="s">
        <v>725</v>
      </c>
      <c r="F239" s="4" t="s">
        <v>83</v>
      </c>
      <c r="G239" s="4" t="s">
        <v>20</v>
      </c>
      <c r="H239" s="5">
        <v>-500000</v>
      </c>
      <c r="I239" s="4" t="s">
        <v>21</v>
      </c>
      <c r="J239" s="5">
        <f t="shared" si="3"/>
        <v>2114100</v>
      </c>
      <c r="K239" s="4" t="s">
        <v>45</v>
      </c>
      <c r="L239" s="6">
        <v>4.2282000000000002</v>
      </c>
      <c r="M239" s="6">
        <v>0.23649999999999999</v>
      </c>
      <c r="N239" s="6">
        <v>4.2267000000000001</v>
      </c>
      <c r="O239" s="6">
        <v>1</v>
      </c>
      <c r="P239" s="5">
        <v>745</v>
      </c>
      <c r="Q239" s="4" t="s">
        <v>1392</v>
      </c>
    </row>
    <row r="240" spans="1:17" x14ac:dyDescent="0.3">
      <c r="A240" s="2" t="s">
        <v>1389</v>
      </c>
      <c r="B240" s="3">
        <v>154584</v>
      </c>
      <c r="C240" s="3">
        <v>885636</v>
      </c>
      <c r="D240" s="4" t="s">
        <v>81</v>
      </c>
      <c r="E240" s="4" t="s">
        <v>734</v>
      </c>
      <c r="F240" s="4" t="s">
        <v>87</v>
      </c>
      <c r="G240" s="4" t="s">
        <v>20</v>
      </c>
      <c r="H240" s="5">
        <v>300000</v>
      </c>
      <c r="I240" s="4" t="s">
        <v>101</v>
      </c>
      <c r="J240" s="5">
        <f t="shared" si="3"/>
        <v>-7277220</v>
      </c>
      <c r="K240" s="4" t="s">
        <v>45</v>
      </c>
      <c r="L240" s="6">
        <v>24.257400000000001</v>
      </c>
      <c r="M240" s="6">
        <v>4.1200000000000001E-2</v>
      </c>
      <c r="N240" s="6">
        <v>4.2267000000000001</v>
      </c>
      <c r="O240" s="6">
        <v>0.17460000000000001</v>
      </c>
      <c r="P240" s="5">
        <v>-2592.6120000000001</v>
      </c>
      <c r="Q240" s="4" t="s">
        <v>1393</v>
      </c>
    </row>
    <row r="241" spans="1:17" x14ac:dyDescent="0.3">
      <c r="A241" s="2" t="s">
        <v>1389</v>
      </c>
      <c r="B241" s="3">
        <v>154585</v>
      </c>
      <c r="C241" s="3">
        <v>885637</v>
      </c>
      <c r="D241" s="4" t="s">
        <v>81</v>
      </c>
      <c r="E241" s="4" t="s">
        <v>734</v>
      </c>
      <c r="F241" s="4" t="s">
        <v>83</v>
      </c>
      <c r="G241" s="4" t="s">
        <v>20</v>
      </c>
      <c r="H241" s="5">
        <v>-500000</v>
      </c>
      <c r="I241" s="4" t="s">
        <v>21</v>
      </c>
      <c r="J241" s="5">
        <f t="shared" si="3"/>
        <v>2114350</v>
      </c>
      <c r="K241" s="4" t="s">
        <v>45</v>
      </c>
      <c r="L241" s="6">
        <v>4.2286999999999999</v>
      </c>
      <c r="M241" s="6">
        <v>0.23649999999999999</v>
      </c>
      <c r="N241" s="6">
        <v>4.2267000000000001</v>
      </c>
      <c r="O241" s="6">
        <v>1</v>
      </c>
      <c r="P241" s="5">
        <v>1000</v>
      </c>
      <c r="Q241" s="4" t="s">
        <v>1393</v>
      </c>
    </row>
    <row r="242" spans="1:17" x14ac:dyDescent="0.3">
      <c r="A242" s="2" t="s">
        <v>1389</v>
      </c>
      <c r="B242" s="3">
        <v>154602</v>
      </c>
      <c r="C242" s="3">
        <v>885739</v>
      </c>
      <c r="D242" s="4" t="s">
        <v>81</v>
      </c>
      <c r="E242" s="4" t="s">
        <v>734</v>
      </c>
      <c r="F242" s="4" t="s">
        <v>87</v>
      </c>
      <c r="G242" s="4" t="s">
        <v>34</v>
      </c>
      <c r="H242" s="5">
        <v>500000</v>
      </c>
      <c r="I242" s="4" t="s">
        <v>21</v>
      </c>
      <c r="J242" s="5">
        <f t="shared" si="3"/>
        <v>-1796650</v>
      </c>
      <c r="K242" s="4" t="s">
        <v>45</v>
      </c>
      <c r="L242" s="6">
        <v>3.5933000000000002</v>
      </c>
      <c r="M242" s="6">
        <v>0.27829999999999999</v>
      </c>
      <c r="N242" s="6">
        <v>3.6015999999999999</v>
      </c>
      <c r="O242" s="6">
        <v>1</v>
      </c>
      <c r="P242" s="5">
        <v>4150</v>
      </c>
      <c r="Q242" s="4" t="s">
        <v>1393</v>
      </c>
    </row>
    <row r="243" spans="1:17" x14ac:dyDescent="0.3">
      <c r="A243" s="2" t="s">
        <v>1389</v>
      </c>
      <c r="B243" s="3">
        <v>154603</v>
      </c>
      <c r="C243" s="3">
        <v>885740</v>
      </c>
      <c r="D243" s="4" t="s">
        <v>81</v>
      </c>
      <c r="E243" s="4" t="s">
        <v>734</v>
      </c>
      <c r="F243" s="4" t="s">
        <v>83</v>
      </c>
      <c r="G243" s="4" t="s">
        <v>20</v>
      </c>
      <c r="H243" s="5">
        <v>-500000</v>
      </c>
      <c r="I243" s="4" t="s">
        <v>34</v>
      </c>
      <c r="J243" s="5">
        <f t="shared" si="3"/>
        <v>588300</v>
      </c>
      <c r="K243" s="4" t="s">
        <v>45</v>
      </c>
      <c r="L243" s="6">
        <v>1.1766000000000001</v>
      </c>
      <c r="M243" s="6">
        <v>0.84989999999999999</v>
      </c>
      <c r="N243" s="6">
        <v>4.2267000000000001</v>
      </c>
      <c r="O243" s="6">
        <v>3.6015999999999999</v>
      </c>
      <c r="P243" s="5">
        <v>5525.3040000000001</v>
      </c>
      <c r="Q243" s="4" t="s">
        <v>1393</v>
      </c>
    </row>
    <row r="244" spans="1:17" x14ac:dyDescent="0.3">
      <c r="A244" s="2" t="s">
        <v>1389</v>
      </c>
      <c r="B244" s="3">
        <v>154606</v>
      </c>
      <c r="C244" s="3">
        <v>885753</v>
      </c>
      <c r="D244" s="4" t="s">
        <v>81</v>
      </c>
      <c r="E244" s="4" t="s">
        <v>733</v>
      </c>
      <c r="F244" s="4" t="s">
        <v>87</v>
      </c>
      <c r="G244" s="4" t="s">
        <v>34</v>
      </c>
      <c r="H244" s="5">
        <v>500000</v>
      </c>
      <c r="I244" s="4" t="s">
        <v>21</v>
      </c>
      <c r="J244" s="5">
        <f t="shared" si="3"/>
        <v>-1796200</v>
      </c>
      <c r="K244" s="4" t="s">
        <v>45</v>
      </c>
      <c r="L244" s="6">
        <v>3.5924</v>
      </c>
      <c r="M244" s="6">
        <v>0.27839999999999998</v>
      </c>
      <c r="N244" s="6">
        <v>3.6015999999999999</v>
      </c>
      <c r="O244" s="6">
        <v>1</v>
      </c>
      <c r="P244" s="5">
        <v>4580</v>
      </c>
      <c r="Q244" s="4" t="s">
        <v>1391</v>
      </c>
    </row>
    <row r="245" spans="1:17" x14ac:dyDescent="0.3">
      <c r="A245" s="2" t="s">
        <v>1389</v>
      </c>
      <c r="B245" s="3">
        <v>154611</v>
      </c>
      <c r="C245" s="3">
        <v>885785</v>
      </c>
      <c r="D245" s="4" t="s">
        <v>81</v>
      </c>
      <c r="E245" s="4" t="s">
        <v>821</v>
      </c>
      <c r="F245" s="4" t="s">
        <v>87</v>
      </c>
      <c r="G245" s="4" t="s">
        <v>20</v>
      </c>
      <c r="H245" s="5">
        <v>350000</v>
      </c>
      <c r="I245" s="4" t="s">
        <v>21</v>
      </c>
      <c r="J245" s="5">
        <f t="shared" si="3"/>
        <v>-1478365.0000000002</v>
      </c>
      <c r="K245" s="4" t="s">
        <v>45</v>
      </c>
      <c r="L245" s="6">
        <v>4.2239000000000004</v>
      </c>
      <c r="M245" s="6">
        <v>0.23669999999999999</v>
      </c>
      <c r="N245" s="6">
        <v>4.2267000000000001</v>
      </c>
      <c r="O245" s="6">
        <v>1</v>
      </c>
      <c r="P245" s="5">
        <v>980</v>
      </c>
      <c r="Q245" s="4" t="s">
        <v>1390</v>
      </c>
    </row>
    <row r="246" spans="1:17" x14ac:dyDescent="0.3">
      <c r="A246" s="2" t="s">
        <v>1389</v>
      </c>
      <c r="B246" s="3">
        <v>154612</v>
      </c>
      <c r="C246" s="3">
        <v>885806</v>
      </c>
      <c r="D246" s="4" t="s">
        <v>81</v>
      </c>
      <c r="E246" s="4" t="s">
        <v>732</v>
      </c>
      <c r="F246" s="4" t="s">
        <v>83</v>
      </c>
      <c r="G246" s="4" t="s">
        <v>20</v>
      </c>
      <c r="H246" s="5">
        <v>-500000</v>
      </c>
      <c r="I246" s="4" t="s">
        <v>21</v>
      </c>
      <c r="J246" s="5">
        <f t="shared" si="3"/>
        <v>2114000</v>
      </c>
      <c r="K246" s="4" t="s">
        <v>45</v>
      </c>
      <c r="L246" s="6">
        <v>4.2279999999999998</v>
      </c>
      <c r="M246" s="6">
        <v>0.23649999999999999</v>
      </c>
      <c r="N246" s="6">
        <v>4.2267000000000001</v>
      </c>
      <c r="O246" s="6">
        <v>1</v>
      </c>
      <c r="P246" s="5">
        <v>665</v>
      </c>
      <c r="Q246" s="4" t="s">
        <v>1394</v>
      </c>
    </row>
    <row r="247" spans="1:17" x14ac:dyDescent="0.3">
      <c r="A247" s="2" t="s">
        <v>1389</v>
      </c>
      <c r="B247" s="3">
        <v>154613</v>
      </c>
      <c r="C247" s="3">
        <v>885810</v>
      </c>
      <c r="D247" s="4" t="s">
        <v>81</v>
      </c>
      <c r="E247" s="4" t="s">
        <v>742</v>
      </c>
      <c r="F247" s="4" t="s">
        <v>83</v>
      </c>
      <c r="G247" s="4" t="s">
        <v>20</v>
      </c>
      <c r="H247" s="5">
        <v>-500000</v>
      </c>
      <c r="I247" s="4" t="s">
        <v>21</v>
      </c>
      <c r="J247" s="5">
        <f t="shared" si="3"/>
        <v>2113950</v>
      </c>
      <c r="K247" s="4" t="s">
        <v>45</v>
      </c>
      <c r="L247" s="6">
        <v>4.2279</v>
      </c>
      <c r="M247" s="6">
        <v>0.23649999999999999</v>
      </c>
      <c r="N247" s="6">
        <v>4.2267000000000001</v>
      </c>
      <c r="O247" s="6">
        <v>1</v>
      </c>
      <c r="P247" s="5">
        <v>600</v>
      </c>
      <c r="Q247" s="4" t="s">
        <v>1396</v>
      </c>
    </row>
    <row r="248" spans="1:17" x14ac:dyDescent="0.3">
      <c r="A248" s="2" t="s">
        <v>1389</v>
      </c>
      <c r="B248" s="3">
        <v>154628</v>
      </c>
      <c r="C248" s="3">
        <v>885883</v>
      </c>
      <c r="D248" s="4" t="s">
        <v>81</v>
      </c>
      <c r="E248" s="4" t="s">
        <v>734</v>
      </c>
      <c r="F248" s="4" t="s">
        <v>83</v>
      </c>
      <c r="G248" s="4" t="s">
        <v>20</v>
      </c>
      <c r="H248" s="5">
        <v>-500000</v>
      </c>
      <c r="I248" s="4" t="s">
        <v>34</v>
      </c>
      <c r="J248" s="5">
        <f t="shared" si="3"/>
        <v>588150</v>
      </c>
      <c r="K248" s="4" t="s">
        <v>45</v>
      </c>
      <c r="L248" s="6">
        <v>1.1762999999999999</v>
      </c>
      <c r="M248" s="6">
        <v>0.85009999999999997</v>
      </c>
      <c r="N248" s="6">
        <v>4.2267000000000001</v>
      </c>
      <c r="O248" s="6">
        <v>3.6015999999999999</v>
      </c>
      <c r="P248" s="5">
        <v>4949.0479999999998</v>
      </c>
      <c r="Q248" s="4" t="s">
        <v>1393</v>
      </c>
    </row>
    <row r="249" spans="1:17" x14ac:dyDescent="0.3">
      <c r="A249" s="2" t="s">
        <v>1389</v>
      </c>
      <c r="B249" s="3">
        <v>154629</v>
      </c>
      <c r="C249" s="3">
        <v>885884</v>
      </c>
      <c r="D249" s="4" t="s">
        <v>81</v>
      </c>
      <c r="E249" s="4" t="s">
        <v>734</v>
      </c>
      <c r="F249" s="4" t="s">
        <v>83</v>
      </c>
      <c r="G249" s="4" t="s">
        <v>20</v>
      </c>
      <c r="H249" s="5">
        <v>-500000</v>
      </c>
      <c r="I249" s="4" t="s">
        <v>34</v>
      </c>
      <c r="J249" s="5">
        <f t="shared" si="3"/>
        <v>588150</v>
      </c>
      <c r="K249" s="4" t="s">
        <v>45</v>
      </c>
      <c r="L249" s="6">
        <v>1.1762999999999999</v>
      </c>
      <c r="M249" s="6">
        <v>0.85009999999999997</v>
      </c>
      <c r="N249" s="6">
        <v>4.2267000000000001</v>
      </c>
      <c r="O249" s="6">
        <v>3.6015999999999999</v>
      </c>
      <c r="P249" s="5">
        <v>4949.0479999999998</v>
      </c>
      <c r="Q249" s="4" t="s">
        <v>1393</v>
      </c>
    </row>
    <row r="250" spans="1:17" x14ac:dyDescent="0.3">
      <c r="A250" s="2" t="s">
        <v>1389</v>
      </c>
      <c r="B250" s="3">
        <v>154634</v>
      </c>
      <c r="C250" s="3">
        <v>885943</v>
      </c>
      <c r="D250" s="4" t="s">
        <v>81</v>
      </c>
      <c r="E250" s="4" t="s">
        <v>734</v>
      </c>
      <c r="F250" s="4" t="s">
        <v>83</v>
      </c>
      <c r="G250" s="4" t="s">
        <v>20</v>
      </c>
      <c r="H250" s="5">
        <v>-100000</v>
      </c>
      <c r="I250" s="4" t="s">
        <v>34</v>
      </c>
      <c r="J250" s="5">
        <f t="shared" si="3"/>
        <v>117639.99999999999</v>
      </c>
      <c r="K250" s="4" t="s">
        <v>45</v>
      </c>
      <c r="L250" s="6">
        <v>1.1763999999999999</v>
      </c>
      <c r="M250" s="6">
        <v>0.85</v>
      </c>
      <c r="N250" s="6">
        <v>4.2267000000000001</v>
      </c>
      <c r="O250" s="6">
        <v>3.6015999999999999</v>
      </c>
      <c r="P250" s="5">
        <v>1040.232</v>
      </c>
      <c r="Q250" s="4" t="s">
        <v>1393</v>
      </c>
    </row>
    <row r="251" spans="1:17" x14ac:dyDescent="0.3">
      <c r="A251" s="2" t="s">
        <v>1389</v>
      </c>
      <c r="B251" s="3">
        <v>154643</v>
      </c>
      <c r="C251" s="3">
        <v>886058</v>
      </c>
      <c r="D251" s="4" t="s">
        <v>81</v>
      </c>
      <c r="E251" s="4" t="s">
        <v>734</v>
      </c>
      <c r="F251" s="4" t="s">
        <v>83</v>
      </c>
      <c r="G251" s="4" t="s">
        <v>20</v>
      </c>
      <c r="H251" s="5">
        <v>-100000</v>
      </c>
      <c r="I251" s="4" t="s">
        <v>34</v>
      </c>
      <c r="J251" s="5">
        <f t="shared" si="3"/>
        <v>117619.99999999999</v>
      </c>
      <c r="K251" s="4" t="s">
        <v>45</v>
      </c>
      <c r="L251" s="6">
        <v>1.1761999999999999</v>
      </c>
      <c r="M251" s="6">
        <v>0.85019999999999996</v>
      </c>
      <c r="N251" s="6">
        <v>4.2267000000000001</v>
      </c>
      <c r="O251" s="6">
        <v>3.6015999999999999</v>
      </c>
      <c r="P251" s="5">
        <v>950.19200000000001</v>
      </c>
      <c r="Q251" s="4" t="s">
        <v>1393</v>
      </c>
    </row>
    <row r="252" spans="1:17" x14ac:dyDescent="0.3">
      <c r="A252" s="2" t="s">
        <v>1389</v>
      </c>
      <c r="B252" s="3">
        <v>154644</v>
      </c>
      <c r="C252" s="3">
        <v>886059</v>
      </c>
      <c r="D252" s="4" t="s">
        <v>81</v>
      </c>
      <c r="E252" s="4" t="s">
        <v>734</v>
      </c>
      <c r="F252" s="4" t="s">
        <v>83</v>
      </c>
      <c r="G252" s="4" t="s">
        <v>20</v>
      </c>
      <c r="H252" s="5">
        <v>-100000</v>
      </c>
      <c r="I252" s="4" t="s">
        <v>34</v>
      </c>
      <c r="J252" s="5">
        <f t="shared" si="3"/>
        <v>117619.99999999999</v>
      </c>
      <c r="K252" s="4" t="s">
        <v>45</v>
      </c>
      <c r="L252" s="6">
        <v>1.1761999999999999</v>
      </c>
      <c r="M252" s="6">
        <v>0.85019999999999996</v>
      </c>
      <c r="N252" s="6">
        <v>4.2267000000000001</v>
      </c>
      <c r="O252" s="6">
        <v>3.6015999999999999</v>
      </c>
      <c r="P252" s="5">
        <v>957.39520000000005</v>
      </c>
      <c r="Q252" s="4" t="s">
        <v>1393</v>
      </c>
    </row>
    <row r="253" spans="1:17" x14ac:dyDescent="0.3">
      <c r="A253" s="2" t="s">
        <v>1389</v>
      </c>
      <c r="B253" s="3">
        <v>154647</v>
      </c>
      <c r="C253" s="3">
        <v>886082</v>
      </c>
      <c r="D253" s="4" t="s">
        <v>81</v>
      </c>
      <c r="E253" s="4" t="s">
        <v>725</v>
      </c>
      <c r="F253" s="4" t="s">
        <v>83</v>
      </c>
      <c r="G253" s="4" t="s">
        <v>20</v>
      </c>
      <c r="H253" s="5">
        <v>-5100000</v>
      </c>
      <c r="I253" s="4" t="s">
        <v>93</v>
      </c>
      <c r="J253" s="5">
        <f t="shared" si="3"/>
        <v>4741470</v>
      </c>
      <c r="K253" s="4" t="s">
        <v>24</v>
      </c>
      <c r="L253" s="6">
        <v>0.92969999999999997</v>
      </c>
      <c r="M253" s="6">
        <v>1.0757000000000001</v>
      </c>
      <c r="N253" s="6">
        <v>4.2156000000000002</v>
      </c>
      <c r="O253" s="6">
        <v>4.5313999999999997</v>
      </c>
      <c r="P253" s="5">
        <v>-14987.247600000001</v>
      </c>
      <c r="Q253" s="4" t="s">
        <v>1392</v>
      </c>
    </row>
    <row r="254" spans="1:17" x14ac:dyDescent="0.3">
      <c r="A254" s="2" t="s">
        <v>1389</v>
      </c>
      <c r="B254" s="3">
        <v>154648</v>
      </c>
      <c r="C254" s="3">
        <v>886083</v>
      </c>
      <c r="D254" s="4" t="s">
        <v>81</v>
      </c>
      <c r="E254" s="4" t="s">
        <v>732</v>
      </c>
      <c r="F254" s="4" t="s">
        <v>87</v>
      </c>
      <c r="G254" s="4" t="s">
        <v>20</v>
      </c>
      <c r="H254" s="5">
        <v>500000</v>
      </c>
      <c r="I254" s="4" t="s">
        <v>21</v>
      </c>
      <c r="J254" s="5">
        <f t="shared" si="3"/>
        <v>-2112250</v>
      </c>
      <c r="K254" s="4" t="s">
        <v>45</v>
      </c>
      <c r="L254" s="6">
        <v>4.2244999999999999</v>
      </c>
      <c r="M254" s="6">
        <v>0.23669999999999999</v>
      </c>
      <c r="N254" s="6">
        <v>4.2267000000000001</v>
      </c>
      <c r="O254" s="6">
        <v>1</v>
      </c>
      <c r="P254" s="5">
        <v>1100</v>
      </c>
      <c r="Q254" s="4" t="s">
        <v>1394</v>
      </c>
    </row>
    <row r="255" spans="1:17" x14ac:dyDescent="0.3">
      <c r="A255" s="2" t="s">
        <v>1389</v>
      </c>
      <c r="B255" s="3">
        <v>154649</v>
      </c>
      <c r="C255" s="3">
        <v>886086</v>
      </c>
      <c r="D255" s="4" t="s">
        <v>81</v>
      </c>
      <c r="E255" s="4" t="s">
        <v>736</v>
      </c>
      <c r="F255" s="4" t="s">
        <v>87</v>
      </c>
      <c r="G255" s="4" t="s">
        <v>84</v>
      </c>
      <c r="H255" s="5">
        <v>320000</v>
      </c>
      <c r="I255" s="4" t="s">
        <v>21</v>
      </c>
      <c r="J255" s="5">
        <f t="shared" si="3"/>
        <v>-124896</v>
      </c>
      <c r="K255" s="4" t="s">
        <v>24</v>
      </c>
      <c r="L255" s="6">
        <v>0.39029999999999998</v>
      </c>
      <c r="M255" s="6">
        <v>2.5621</v>
      </c>
      <c r="N255" s="6">
        <v>0.3896</v>
      </c>
      <c r="O255" s="6">
        <v>1</v>
      </c>
      <c r="P255" s="5">
        <v>-224</v>
      </c>
      <c r="Q255" s="4" t="s">
        <v>1390</v>
      </c>
    </row>
    <row r="256" spans="1:17" x14ac:dyDescent="0.3">
      <c r="A256" s="2" t="s">
        <v>1389</v>
      </c>
      <c r="B256" s="3">
        <v>154650</v>
      </c>
      <c r="C256" s="3">
        <v>886087</v>
      </c>
      <c r="D256" s="4" t="s">
        <v>81</v>
      </c>
      <c r="E256" s="4" t="s">
        <v>733</v>
      </c>
      <c r="F256" s="4" t="s">
        <v>87</v>
      </c>
      <c r="G256" s="4" t="s">
        <v>20</v>
      </c>
      <c r="H256" s="5">
        <v>500000</v>
      </c>
      <c r="I256" s="4" t="s">
        <v>21</v>
      </c>
      <c r="J256" s="5">
        <f t="shared" si="3"/>
        <v>-2112200</v>
      </c>
      <c r="K256" s="4" t="s">
        <v>45</v>
      </c>
      <c r="L256" s="6">
        <v>4.2244000000000002</v>
      </c>
      <c r="M256" s="6">
        <v>0.23669999999999999</v>
      </c>
      <c r="N256" s="6">
        <v>4.2267000000000001</v>
      </c>
      <c r="O256" s="6">
        <v>1</v>
      </c>
      <c r="P256" s="5">
        <v>1135</v>
      </c>
      <c r="Q256" s="4" t="s">
        <v>1391</v>
      </c>
    </row>
    <row r="257" spans="1:17" x14ac:dyDescent="0.3">
      <c r="A257" s="2" t="s">
        <v>1389</v>
      </c>
      <c r="B257" s="3">
        <v>154651</v>
      </c>
      <c r="C257" s="3">
        <v>886088</v>
      </c>
      <c r="D257" s="4" t="s">
        <v>81</v>
      </c>
      <c r="E257" s="4" t="s">
        <v>732</v>
      </c>
      <c r="F257" s="4" t="s">
        <v>87</v>
      </c>
      <c r="G257" s="4" t="s">
        <v>34</v>
      </c>
      <c r="H257" s="5">
        <v>100000</v>
      </c>
      <c r="I257" s="4" t="s">
        <v>21</v>
      </c>
      <c r="J257" s="5">
        <f t="shared" si="3"/>
        <v>-359290</v>
      </c>
      <c r="K257" s="4" t="s">
        <v>45</v>
      </c>
      <c r="L257" s="6">
        <v>3.5929000000000002</v>
      </c>
      <c r="M257" s="6">
        <v>0.27829999999999999</v>
      </c>
      <c r="N257" s="6">
        <v>3.6015999999999999</v>
      </c>
      <c r="O257" s="6">
        <v>1</v>
      </c>
      <c r="P257" s="5">
        <v>870</v>
      </c>
      <c r="Q257" s="4" t="s">
        <v>1394</v>
      </c>
    </row>
    <row r="258" spans="1:17" x14ac:dyDescent="0.3">
      <c r="A258" s="2" t="s">
        <v>1389</v>
      </c>
      <c r="B258" s="3">
        <v>154652</v>
      </c>
      <c r="C258" s="3">
        <v>886091</v>
      </c>
      <c r="D258" s="4" t="s">
        <v>81</v>
      </c>
      <c r="E258" s="4" t="s">
        <v>732</v>
      </c>
      <c r="F258" s="4" t="s">
        <v>87</v>
      </c>
      <c r="G258" s="4" t="s">
        <v>20</v>
      </c>
      <c r="H258" s="5">
        <v>500000</v>
      </c>
      <c r="I258" s="4" t="s">
        <v>21</v>
      </c>
      <c r="J258" s="5">
        <f t="shared" si="3"/>
        <v>-2112100</v>
      </c>
      <c r="K258" s="4" t="s">
        <v>45</v>
      </c>
      <c r="L258" s="6">
        <v>4.2241999999999997</v>
      </c>
      <c r="M258" s="6">
        <v>0.23669999999999999</v>
      </c>
      <c r="N258" s="6">
        <v>4.2267000000000001</v>
      </c>
      <c r="O258" s="6">
        <v>1</v>
      </c>
      <c r="P258" s="5">
        <v>1265</v>
      </c>
      <c r="Q258" s="4" t="s">
        <v>1394</v>
      </c>
    </row>
    <row r="259" spans="1:17" x14ac:dyDescent="0.3">
      <c r="A259" s="2" t="s">
        <v>1389</v>
      </c>
      <c r="B259" s="3">
        <v>154653</v>
      </c>
      <c r="C259" s="3">
        <v>886098</v>
      </c>
      <c r="D259" s="4" t="s">
        <v>81</v>
      </c>
      <c r="E259" s="4" t="s">
        <v>736</v>
      </c>
      <c r="F259" s="4" t="s">
        <v>87</v>
      </c>
      <c r="G259" s="4" t="s">
        <v>74</v>
      </c>
      <c r="H259" s="5">
        <v>600000</v>
      </c>
      <c r="I259" s="4" t="s">
        <v>21</v>
      </c>
      <c r="J259" s="5">
        <f t="shared" si="3"/>
        <v>-214259.99999999997</v>
      </c>
      <c r="K259" s="4" t="s">
        <v>45</v>
      </c>
      <c r="L259" s="6">
        <v>0.35709999999999997</v>
      </c>
      <c r="M259" s="6">
        <v>2.8003</v>
      </c>
      <c r="N259" s="6">
        <v>0.35770000000000002</v>
      </c>
      <c r="O259" s="6">
        <v>1</v>
      </c>
      <c r="P259" s="5">
        <v>360</v>
      </c>
      <c r="Q259" s="4" t="s">
        <v>1390</v>
      </c>
    </row>
    <row r="260" spans="1:17" x14ac:dyDescent="0.3">
      <c r="A260" s="2" t="s">
        <v>1389</v>
      </c>
      <c r="B260" s="3">
        <v>154654</v>
      </c>
      <c r="C260" s="3">
        <v>886099</v>
      </c>
      <c r="D260" s="4" t="s">
        <v>81</v>
      </c>
      <c r="E260" s="4" t="s">
        <v>732</v>
      </c>
      <c r="F260" s="4" t="s">
        <v>87</v>
      </c>
      <c r="G260" s="4" t="s">
        <v>20</v>
      </c>
      <c r="H260" s="5">
        <v>500000</v>
      </c>
      <c r="I260" s="4" t="s">
        <v>21</v>
      </c>
      <c r="J260" s="5">
        <f t="shared" ref="J260:J323" si="4">-H260*L260</f>
        <v>-2112050</v>
      </c>
      <c r="K260" s="4" t="s">
        <v>45</v>
      </c>
      <c r="L260" s="6">
        <v>4.2241</v>
      </c>
      <c r="M260" s="6">
        <v>0.23669999999999999</v>
      </c>
      <c r="N260" s="6">
        <v>4.2267000000000001</v>
      </c>
      <c r="O260" s="6">
        <v>1</v>
      </c>
      <c r="P260" s="5">
        <v>1325</v>
      </c>
      <c r="Q260" s="4" t="s">
        <v>1394</v>
      </c>
    </row>
    <row r="261" spans="1:17" x14ac:dyDescent="0.3">
      <c r="A261" s="2" t="s">
        <v>1389</v>
      </c>
      <c r="B261" s="3">
        <v>154655</v>
      </c>
      <c r="C261" s="3">
        <v>886108</v>
      </c>
      <c r="D261" s="4" t="s">
        <v>81</v>
      </c>
      <c r="E261" s="4" t="s">
        <v>739</v>
      </c>
      <c r="F261" s="4" t="s">
        <v>83</v>
      </c>
      <c r="G261" s="4" t="s">
        <v>20</v>
      </c>
      <c r="H261" s="5">
        <v>-100000</v>
      </c>
      <c r="I261" s="4" t="s">
        <v>91</v>
      </c>
      <c r="J261" s="5">
        <f t="shared" si="4"/>
        <v>87200</v>
      </c>
      <c r="K261" s="4" t="s">
        <v>45</v>
      </c>
      <c r="L261" s="6">
        <v>0.872</v>
      </c>
      <c r="M261" s="6">
        <v>1.1467000000000001</v>
      </c>
      <c r="N261" s="6">
        <v>4.2267000000000001</v>
      </c>
      <c r="O261" s="6">
        <v>4.8399000000000001</v>
      </c>
      <c r="P261" s="5">
        <v>-616.20029999999997</v>
      </c>
      <c r="Q261" s="4" t="s">
        <v>1391</v>
      </c>
    </row>
    <row r="262" spans="1:17" x14ac:dyDescent="0.3">
      <c r="A262" s="2" t="s">
        <v>1389</v>
      </c>
      <c r="B262" s="3">
        <v>154656</v>
      </c>
      <c r="C262" s="3">
        <v>886111</v>
      </c>
      <c r="D262" s="4" t="s">
        <v>81</v>
      </c>
      <c r="E262" s="4" t="s">
        <v>736</v>
      </c>
      <c r="F262" s="4" t="s">
        <v>87</v>
      </c>
      <c r="G262" s="4" t="s">
        <v>89</v>
      </c>
      <c r="H262" s="5">
        <v>880000</v>
      </c>
      <c r="I262" s="4" t="s">
        <v>21</v>
      </c>
      <c r="J262" s="5">
        <f t="shared" si="4"/>
        <v>-497640</v>
      </c>
      <c r="K262" s="4" t="s">
        <v>24</v>
      </c>
      <c r="L262" s="6">
        <v>0.5655</v>
      </c>
      <c r="M262" s="6">
        <v>1.7683</v>
      </c>
      <c r="N262" s="6">
        <v>0.56440000000000001</v>
      </c>
      <c r="O262" s="6">
        <v>1</v>
      </c>
      <c r="P262" s="5">
        <v>-968</v>
      </c>
      <c r="Q262" s="4" t="s">
        <v>1390</v>
      </c>
    </row>
    <row r="263" spans="1:17" x14ac:dyDescent="0.3">
      <c r="A263" s="2" t="s">
        <v>1389</v>
      </c>
      <c r="B263" s="3">
        <v>154657</v>
      </c>
      <c r="C263" s="3">
        <v>886123</v>
      </c>
      <c r="D263" s="4" t="s">
        <v>81</v>
      </c>
      <c r="E263" s="4" t="s">
        <v>732</v>
      </c>
      <c r="F263" s="4" t="s">
        <v>87</v>
      </c>
      <c r="G263" s="4" t="s">
        <v>20</v>
      </c>
      <c r="H263" s="5">
        <v>500000</v>
      </c>
      <c r="I263" s="4" t="s">
        <v>21</v>
      </c>
      <c r="J263" s="5">
        <f t="shared" si="4"/>
        <v>-2112200</v>
      </c>
      <c r="K263" s="4" t="s">
        <v>45</v>
      </c>
      <c r="L263" s="6">
        <v>4.2244000000000002</v>
      </c>
      <c r="M263" s="6">
        <v>0.23669999999999999</v>
      </c>
      <c r="N263" s="6">
        <v>4.2267000000000001</v>
      </c>
      <c r="O263" s="6">
        <v>1</v>
      </c>
      <c r="P263" s="5">
        <v>1150</v>
      </c>
      <c r="Q263" s="4" t="s">
        <v>1394</v>
      </c>
    </row>
    <row r="264" spans="1:17" x14ac:dyDescent="0.3">
      <c r="A264" s="2" t="s">
        <v>1389</v>
      </c>
      <c r="B264" s="3">
        <v>154658</v>
      </c>
      <c r="C264" s="3">
        <v>886132</v>
      </c>
      <c r="D264" s="4" t="s">
        <v>81</v>
      </c>
      <c r="E264" s="4" t="s">
        <v>732</v>
      </c>
      <c r="F264" s="4" t="s">
        <v>87</v>
      </c>
      <c r="G264" s="4" t="s">
        <v>20</v>
      </c>
      <c r="H264" s="5">
        <v>500000</v>
      </c>
      <c r="I264" s="4" t="s">
        <v>21</v>
      </c>
      <c r="J264" s="5">
        <f t="shared" si="4"/>
        <v>-2112200</v>
      </c>
      <c r="K264" s="4" t="s">
        <v>45</v>
      </c>
      <c r="L264" s="6">
        <v>4.2244000000000002</v>
      </c>
      <c r="M264" s="6">
        <v>0.23669999999999999</v>
      </c>
      <c r="N264" s="6">
        <v>4.2267000000000001</v>
      </c>
      <c r="O264" s="6">
        <v>1</v>
      </c>
      <c r="P264" s="5">
        <v>1150</v>
      </c>
      <c r="Q264" s="4" t="s">
        <v>1394</v>
      </c>
    </row>
    <row r="265" spans="1:17" x14ac:dyDescent="0.3">
      <c r="A265" s="2" t="s">
        <v>1389</v>
      </c>
      <c r="B265" s="3">
        <v>154661</v>
      </c>
      <c r="C265" s="3">
        <v>886152</v>
      </c>
      <c r="D265" s="4" t="s">
        <v>81</v>
      </c>
      <c r="E265" s="4" t="s">
        <v>735</v>
      </c>
      <c r="F265" s="4" t="s">
        <v>87</v>
      </c>
      <c r="G265" s="4" t="s">
        <v>20</v>
      </c>
      <c r="H265" s="5">
        <v>200000</v>
      </c>
      <c r="I265" s="4" t="s">
        <v>80</v>
      </c>
      <c r="J265" s="5">
        <f t="shared" si="4"/>
        <v>-1643900</v>
      </c>
      <c r="K265" s="4" t="s">
        <v>24</v>
      </c>
      <c r="L265" s="6">
        <v>8.2195</v>
      </c>
      <c r="M265" s="6">
        <v>0.1217</v>
      </c>
      <c r="N265" s="6">
        <v>4.2156000000000002</v>
      </c>
      <c r="O265" s="6">
        <v>0.51529999999999998</v>
      </c>
      <c r="P265" s="5">
        <v>-3986.8229999999999</v>
      </c>
      <c r="Q265" s="4" t="s">
        <v>1394</v>
      </c>
    </row>
    <row r="266" spans="1:17" x14ac:dyDescent="0.3">
      <c r="A266" s="2" t="s">
        <v>1389</v>
      </c>
      <c r="B266" s="3">
        <v>154662</v>
      </c>
      <c r="C266" s="3">
        <v>886156</v>
      </c>
      <c r="D266" s="4" t="s">
        <v>81</v>
      </c>
      <c r="E266" s="4" t="s">
        <v>734</v>
      </c>
      <c r="F266" s="4" t="s">
        <v>83</v>
      </c>
      <c r="G266" s="4" t="s">
        <v>34</v>
      </c>
      <c r="H266" s="5">
        <v>-100000</v>
      </c>
      <c r="I266" s="4" t="s">
        <v>104</v>
      </c>
      <c r="J266" s="5">
        <f t="shared" si="4"/>
        <v>15622500</v>
      </c>
      <c r="K266" s="4" t="s">
        <v>105</v>
      </c>
      <c r="L266" s="6">
        <v>156.22499999999999</v>
      </c>
      <c r="M266" s="6">
        <v>6.4000000000000003E-3</v>
      </c>
      <c r="N266" s="6">
        <v>3.6044999999999998</v>
      </c>
      <c r="O266" s="6">
        <v>2.2969E-2</v>
      </c>
      <c r="P266" s="5">
        <v>-1616.797499999986</v>
      </c>
      <c r="Q266" s="4" t="s">
        <v>1393</v>
      </c>
    </row>
    <row r="267" spans="1:17" x14ac:dyDescent="0.3">
      <c r="A267" s="2" t="s">
        <v>1389</v>
      </c>
      <c r="B267" s="3">
        <v>154664</v>
      </c>
      <c r="C267" s="3">
        <v>886160</v>
      </c>
      <c r="D267" s="4" t="s">
        <v>81</v>
      </c>
      <c r="E267" s="4" t="s">
        <v>732</v>
      </c>
      <c r="F267" s="4" t="s">
        <v>87</v>
      </c>
      <c r="G267" s="4" t="s">
        <v>20</v>
      </c>
      <c r="H267" s="5">
        <v>300000</v>
      </c>
      <c r="I267" s="4" t="s">
        <v>21</v>
      </c>
      <c r="J267" s="5">
        <f t="shared" si="4"/>
        <v>-1267290</v>
      </c>
      <c r="K267" s="4" t="s">
        <v>45</v>
      </c>
      <c r="L267" s="6">
        <v>4.2243000000000004</v>
      </c>
      <c r="M267" s="6">
        <v>0.23669999999999999</v>
      </c>
      <c r="N267" s="6">
        <v>4.2267000000000001</v>
      </c>
      <c r="O267" s="6">
        <v>1</v>
      </c>
      <c r="P267" s="5">
        <v>720</v>
      </c>
      <c r="Q267" s="4" t="s">
        <v>1394</v>
      </c>
    </row>
    <row r="268" spans="1:17" x14ac:dyDescent="0.3">
      <c r="A268" s="2" t="s">
        <v>1389</v>
      </c>
      <c r="B268" s="3">
        <v>154667</v>
      </c>
      <c r="C268" s="3">
        <v>886176</v>
      </c>
      <c r="D268" s="4" t="s">
        <v>81</v>
      </c>
      <c r="E268" s="4" t="s">
        <v>730</v>
      </c>
      <c r="F268" s="4" t="s">
        <v>87</v>
      </c>
      <c r="G268" s="4" t="s">
        <v>20</v>
      </c>
      <c r="H268" s="5">
        <v>100000</v>
      </c>
      <c r="I268" s="4" t="s">
        <v>74</v>
      </c>
      <c r="J268" s="5">
        <f t="shared" si="4"/>
        <v>-1182670</v>
      </c>
      <c r="K268" s="4" t="s">
        <v>45</v>
      </c>
      <c r="L268" s="6">
        <v>11.826700000000001</v>
      </c>
      <c r="M268" s="6">
        <v>8.4599999999999995E-2</v>
      </c>
      <c r="N268" s="6">
        <v>4.2267000000000001</v>
      </c>
      <c r="O268" s="6">
        <v>0.35770000000000002</v>
      </c>
      <c r="P268" s="5">
        <v>-372.13209999999998</v>
      </c>
      <c r="Q268" s="4" t="s">
        <v>1396</v>
      </c>
    </row>
    <row r="269" spans="1:17" x14ac:dyDescent="0.3">
      <c r="A269" s="2" t="s">
        <v>1389</v>
      </c>
      <c r="B269" s="3">
        <v>154668</v>
      </c>
      <c r="C269" s="3">
        <v>886187</v>
      </c>
      <c r="D269" s="4" t="s">
        <v>81</v>
      </c>
      <c r="E269" s="4" t="s">
        <v>733</v>
      </c>
      <c r="F269" s="4" t="s">
        <v>87</v>
      </c>
      <c r="G269" s="4" t="s">
        <v>20</v>
      </c>
      <c r="H269" s="5">
        <v>200000</v>
      </c>
      <c r="I269" s="4" t="s">
        <v>89</v>
      </c>
      <c r="J269" s="5">
        <f t="shared" si="4"/>
        <v>-1493740</v>
      </c>
      <c r="K269" s="4" t="s">
        <v>24</v>
      </c>
      <c r="L269" s="6">
        <v>7.4687000000000001</v>
      </c>
      <c r="M269" s="6">
        <v>0.13389999999999999</v>
      </c>
      <c r="N269" s="6">
        <v>4.2156000000000002</v>
      </c>
      <c r="O269" s="6">
        <v>0.56440000000000001</v>
      </c>
      <c r="P269" s="5">
        <v>49.757599999999996</v>
      </c>
      <c r="Q269" s="4" t="s">
        <v>1391</v>
      </c>
    </row>
    <row r="270" spans="1:17" x14ac:dyDescent="0.3">
      <c r="A270" s="2" t="s">
        <v>1389</v>
      </c>
      <c r="B270" s="3">
        <v>154671</v>
      </c>
      <c r="C270" s="3">
        <v>886224</v>
      </c>
      <c r="D270" s="4" t="s">
        <v>81</v>
      </c>
      <c r="E270" s="4" t="s">
        <v>733</v>
      </c>
      <c r="F270" s="4" t="s">
        <v>83</v>
      </c>
      <c r="G270" s="4" t="s">
        <v>20</v>
      </c>
      <c r="H270" s="5">
        <v>-500000</v>
      </c>
      <c r="I270" s="4" t="s">
        <v>21</v>
      </c>
      <c r="J270" s="5">
        <f t="shared" si="4"/>
        <v>2112450</v>
      </c>
      <c r="K270" s="4" t="s">
        <v>45</v>
      </c>
      <c r="L270" s="6">
        <v>4.2248999999999999</v>
      </c>
      <c r="M270" s="6">
        <v>0.23669999999999999</v>
      </c>
      <c r="N270" s="6">
        <v>4.2267000000000001</v>
      </c>
      <c r="O270" s="6">
        <v>1</v>
      </c>
      <c r="P270" s="5">
        <v>-920</v>
      </c>
      <c r="Q270" s="4" t="s">
        <v>1391</v>
      </c>
    </row>
    <row r="271" spans="1:17" x14ac:dyDescent="0.3">
      <c r="A271" s="2" t="s">
        <v>1389</v>
      </c>
      <c r="B271" s="3">
        <v>154672</v>
      </c>
      <c r="C271" s="3">
        <v>886228</v>
      </c>
      <c r="D271" s="4" t="s">
        <v>81</v>
      </c>
      <c r="E271" s="4" t="s">
        <v>734</v>
      </c>
      <c r="F271" s="4" t="s">
        <v>83</v>
      </c>
      <c r="G271" s="4" t="s">
        <v>20</v>
      </c>
      <c r="H271" s="5">
        <v>-100000</v>
      </c>
      <c r="I271" s="4" t="s">
        <v>34</v>
      </c>
      <c r="J271" s="5">
        <f t="shared" si="4"/>
        <v>117609.99999999999</v>
      </c>
      <c r="K271" s="4" t="s">
        <v>45</v>
      </c>
      <c r="L271" s="6">
        <v>1.1760999999999999</v>
      </c>
      <c r="M271" s="6">
        <v>0.85029999999999994</v>
      </c>
      <c r="N271" s="6">
        <v>4.2267000000000001</v>
      </c>
      <c r="O271" s="6">
        <v>3.6015999999999999</v>
      </c>
      <c r="P271" s="5">
        <v>899.76959999999997</v>
      </c>
      <c r="Q271" s="4" t="s">
        <v>1393</v>
      </c>
    </row>
    <row r="272" spans="1:17" x14ac:dyDescent="0.3">
      <c r="A272" s="2" t="s">
        <v>1389</v>
      </c>
      <c r="B272" s="3">
        <v>154673</v>
      </c>
      <c r="C272" s="3">
        <v>886229</v>
      </c>
      <c r="D272" s="4" t="s">
        <v>81</v>
      </c>
      <c r="E272" s="4" t="s">
        <v>734</v>
      </c>
      <c r="F272" s="4" t="s">
        <v>83</v>
      </c>
      <c r="G272" s="4" t="s">
        <v>20</v>
      </c>
      <c r="H272" s="5">
        <v>-100000</v>
      </c>
      <c r="I272" s="4" t="s">
        <v>34</v>
      </c>
      <c r="J272" s="5">
        <f t="shared" si="4"/>
        <v>117609.99999999999</v>
      </c>
      <c r="K272" s="4" t="s">
        <v>45</v>
      </c>
      <c r="L272" s="6">
        <v>1.1760999999999999</v>
      </c>
      <c r="M272" s="6">
        <v>0.85029999999999994</v>
      </c>
      <c r="N272" s="6">
        <v>4.2267000000000001</v>
      </c>
      <c r="O272" s="6">
        <v>3.6015999999999999</v>
      </c>
      <c r="P272" s="5">
        <v>896.16800000000001</v>
      </c>
      <c r="Q272" s="4" t="s">
        <v>1393</v>
      </c>
    </row>
    <row r="273" spans="1:17" x14ac:dyDescent="0.3">
      <c r="A273" s="2" t="s">
        <v>1389</v>
      </c>
      <c r="B273" s="3">
        <v>154674</v>
      </c>
      <c r="C273" s="3">
        <v>886230</v>
      </c>
      <c r="D273" s="4" t="s">
        <v>81</v>
      </c>
      <c r="E273" s="4" t="s">
        <v>734</v>
      </c>
      <c r="F273" s="4" t="s">
        <v>83</v>
      </c>
      <c r="G273" s="4" t="s">
        <v>20</v>
      </c>
      <c r="H273" s="5">
        <v>-100000</v>
      </c>
      <c r="I273" s="4" t="s">
        <v>34</v>
      </c>
      <c r="J273" s="5">
        <f t="shared" si="4"/>
        <v>117609.99999999999</v>
      </c>
      <c r="K273" s="4" t="s">
        <v>45</v>
      </c>
      <c r="L273" s="6">
        <v>1.1760999999999999</v>
      </c>
      <c r="M273" s="6">
        <v>0.85029999999999994</v>
      </c>
      <c r="N273" s="6">
        <v>4.2267000000000001</v>
      </c>
      <c r="O273" s="6">
        <v>3.6015999999999999</v>
      </c>
      <c r="P273" s="5">
        <v>910.57439999999997</v>
      </c>
      <c r="Q273" s="4" t="s">
        <v>1393</v>
      </c>
    </row>
    <row r="274" spans="1:17" x14ac:dyDescent="0.3">
      <c r="A274" s="2" t="s">
        <v>1389</v>
      </c>
      <c r="B274" s="3">
        <v>154676</v>
      </c>
      <c r="C274" s="3">
        <v>886246</v>
      </c>
      <c r="D274" s="4" t="s">
        <v>81</v>
      </c>
      <c r="E274" s="4" t="s">
        <v>733</v>
      </c>
      <c r="F274" s="4" t="s">
        <v>87</v>
      </c>
      <c r="G274" s="4" t="s">
        <v>20</v>
      </c>
      <c r="H274" s="5">
        <v>500000</v>
      </c>
      <c r="I274" s="4" t="s">
        <v>21</v>
      </c>
      <c r="J274" s="5">
        <f t="shared" si="4"/>
        <v>-2110800</v>
      </c>
      <c r="K274" s="4" t="s">
        <v>45</v>
      </c>
      <c r="L274" s="6">
        <v>4.2215999999999996</v>
      </c>
      <c r="M274" s="6">
        <v>0.2369</v>
      </c>
      <c r="N274" s="6">
        <v>4.2267000000000001</v>
      </c>
      <c r="O274" s="6">
        <v>1</v>
      </c>
      <c r="P274" s="5">
        <v>2535</v>
      </c>
      <c r="Q274" s="4" t="s">
        <v>1391</v>
      </c>
    </row>
    <row r="275" spans="1:17" x14ac:dyDescent="0.3">
      <c r="A275" s="2" t="s">
        <v>1389</v>
      </c>
      <c r="B275" s="3">
        <v>154678</v>
      </c>
      <c r="C275" s="3">
        <v>886251</v>
      </c>
      <c r="D275" s="4" t="s">
        <v>81</v>
      </c>
      <c r="E275" s="4" t="s">
        <v>735</v>
      </c>
      <c r="F275" s="4" t="s">
        <v>87</v>
      </c>
      <c r="G275" s="4" t="s">
        <v>20</v>
      </c>
      <c r="H275" s="5">
        <v>500000</v>
      </c>
      <c r="I275" s="4" t="s">
        <v>21</v>
      </c>
      <c r="J275" s="5">
        <f t="shared" si="4"/>
        <v>-2111100</v>
      </c>
      <c r="K275" s="4" t="s">
        <v>45</v>
      </c>
      <c r="L275" s="6">
        <v>4.2222</v>
      </c>
      <c r="M275" s="6">
        <v>0.23680000000000001</v>
      </c>
      <c r="N275" s="6">
        <v>4.2267000000000001</v>
      </c>
      <c r="O275" s="6">
        <v>1</v>
      </c>
      <c r="P275" s="5">
        <v>2250</v>
      </c>
      <c r="Q275" s="4" t="s">
        <v>1394</v>
      </c>
    </row>
    <row r="276" spans="1:17" x14ac:dyDescent="0.3">
      <c r="A276" s="2" t="s">
        <v>1389</v>
      </c>
      <c r="B276" s="3">
        <v>154679</v>
      </c>
      <c r="C276" s="3">
        <v>886252</v>
      </c>
      <c r="D276" s="4" t="s">
        <v>81</v>
      </c>
      <c r="E276" s="4" t="s">
        <v>732</v>
      </c>
      <c r="F276" s="4" t="s">
        <v>87</v>
      </c>
      <c r="G276" s="4" t="s">
        <v>20</v>
      </c>
      <c r="H276" s="5">
        <v>500000</v>
      </c>
      <c r="I276" s="4" t="s">
        <v>21</v>
      </c>
      <c r="J276" s="5">
        <f t="shared" si="4"/>
        <v>-2111050</v>
      </c>
      <c r="K276" s="4" t="s">
        <v>45</v>
      </c>
      <c r="L276" s="6">
        <v>4.2221000000000002</v>
      </c>
      <c r="M276" s="6">
        <v>0.23680000000000001</v>
      </c>
      <c r="N276" s="6">
        <v>4.2267000000000001</v>
      </c>
      <c r="O276" s="6">
        <v>1</v>
      </c>
      <c r="P276" s="5">
        <v>2300</v>
      </c>
      <c r="Q276" s="4" t="s">
        <v>1394</v>
      </c>
    </row>
    <row r="277" spans="1:17" x14ac:dyDescent="0.3">
      <c r="A277" s="2" t="s">
        <v>1389</v>
      </c>
      <c r="B277" s="3">
        <v>154685</v>
      </c>
      <c r="C277" s="3">
        <v>886301</v>
      </c>
      <c r="D277" s="4" t="s">
        <v>81</v>
      </c>
      <c r="E277" s="4" t="s">
        <v>734</v>
      </c>
      <c r="F277" s="4" t="s">
        <v>87</v>
      </c>
      <c r="G277" s="4" t="s">
        <v>20</v>
      </c>
      <c r="H277" s="5">
        <v>5000000</v>
      </c>
      <c r="I277" s="4" t="s">
        <v>21</v>
      </c>
      <c r="J277" s="5">
        <f t="shared" si="4"/>
        <v>-21104000</v>
      </c>
      <c r="K277" s="4" t="s">
        <v>45</v>
      </c>
      <c r="L277" s="6">
        <v>4.2207999999999997</v>
      </c>
      <c r="M277" s="6">
        <v>0.2369</v>
      </c>
      <c r="N277" s="6">
        <v>4.2267000000000001</v>
      </c>
      <c r="O277" s="6">
        <v>1</v>
      </c>
      <c r="P277" s="5">
        <v>29500</v>
      </c>
      <c r="Q277" s="4" t="s">
        <v>1393</v>
      </c>
    </row>
    <row r="278" spans="1:17" x14ac:dyDescent="0.3">
      <c r="A278" s="2" t="s">
        <v>1389</v>
      </c>
      <c r="B278" s="3">
        <v>154686</v>
      </c>
      <c r="C278" s="3">
        <v>886302</v>
      </c>
      <c r="D278" s="4" t="s">
        <v>81</v>
      </c>
      <c r="E278" s="4" t="s">
        <v>734</v>
      </c>
      <c r="F278" s="4" t="s">
        <v>87</v>
      </c>
      <c r="G278" s="4" t="s">
        <v>20</v>
      </c>
      <c r="H278" s="5">
        <v>400000</v>
      </c>
      <c r="I278" s="4" t="s">
        <v>21</v>
      </c>
      <c r="J278" s="5">
        <f t="shared" si="4"/>
        <v>-1687600.0000000002</v>
      </c>
      <c r="K278" s="4" t="s">
        <v>45</v>
      </c>
      <c r="L278" s="6">
        <v>4.2190000000000003</v>
      </c>
      <c r="M278" s="6">
        <v>0.23699999999999999</v>
      </c>
      <c r="N278" s="6">
        <v>4.2267000000000001</v>
      </c>
      <c r="O278" s="6">
        <v>1</v>
      </c>
      <c r="P278" s="5">
        <v>3080</v>
      </c>
      <c r="Q278" s="4" t="s">
        <v>1393</v>
      </c>
    </row>
    <row r="279" spans="1:17" x14ac:dyDescent="0.3">
      <c r="A279" s="2" t="s">
        <v>1389</v>
      </c>
      <c r="B279" s="3">
        <v>154689</v>
      </c>
      <c r="C279" s="3">
        <v>886319</v>
      </c>
      <c r="D279" s="4" t="s">
        <v>81</v>
      </c>
      <c r="E279" s="4" t="s">
        <v>735</v>
      </c>
      <c r="F279" s="4" t="s">
        <v>83</v>
      </c>
      <c r="G279" s="4" t="s">
        <v>20</v>
      </c>
      <c r="H279" s="5">
        <v>-105328</v>
      </c>
      <c r="I279" s="4" t="s">
        <v>21</v>
      </c>
      <c r="J279" s="5">
        <f t="shared" si="4"/>
        <v>444536.82400000002</v>
      </c>
      <c r="K279" s="4" t="s">
        <v>45</v>
      </c>
      <c r="L279" s="6">
        <v>4.2205000000000004</v>
      </c>
      <c r="M279" s="6">
        <v>0.2369</v>
      </c>
      <c r="N279" s="6">
        <v>4.2267000000000001</v>
      </c>
      <c r="O279" s="6">
        <v>1</v>
      </c>
      <c r="P279" s="5">
        <v>-653.0376</v>
      </c>
      <c r="Q279" s="4" t="s">
        <v>1394</v>
      </c>
    </row>
    <row r="280" spans="1:17" x14ac:dyDescent="0.3">
      <c r="A280" s="2" t="s">
        <v>1389</v>
      </c>
      <c r="B280" s="3">
        <v>154690</v>
      </c>
      <c r="C280" s="3">
        <v>886321</v>
      </c>
      <c r="D280" s="4" t="s">
        <v>81</v>
      </c>
      <c r="E280" s="4" t="s">
        <v>743</v>
      </c>
      <c r="F280" s="4" t="s">
        <v>83</v>
      </c>
      <c r="G280" s="4" t="s">
        <v>20</v>
      </c>
      <c r="H280" s="5">
        <v>-114944.65</v>
      </c>
      <c r="I280" s="4" t="s">
        <v>21</v>
      </c>
      <c r="J280" s="5">
        <f t="shared" si="4"/>
        <v>485215.85104500002</v>
      </c>
      <c r="K280" s="4" t="s">
        <v>45</v>
      </c>
      <c r="L280" s="6">
        <v>4.2213000000000003</v>
      </c>
      <c r="M280" s="6">
        <v>0.2369</v>
      </c>
      <c r="N280" s="6">
        <v>4.2267000000000001</v>
      </c>
      <c r="O280" s="6">
        <v>1</v>
      </c>
      <c r="P280" s="5">
        <v>-623.00215500000002</v>
      </c>
      <c r="Q280" s="4" t="s">
        <v>1395</v>
      </c>
    </row>
    <row r="281" spans="1:17" x14ac:dyDescent="0.3">
      <c r="A281" s="2" t="s">
        <v>1389</v>
      </c>
      <c r="B281" s="3">
        <v>154691</v>
      </c>
      <c r="C281" s="3">
        <v>886322</v>
      </c>
      <c r="D281" s="4" t="s">
        <v>81</v>
      </c>
      <c r="E281" s="4" t="s">
        <v>739</v>
      </c>
      <c r="F281" s="4" t="s">
        <v>87</v>
      </c>
      <c r="G281" s="4" t="s">
        <v>34</v>
      </c>
      <c r="H281" s="5">
        <v>2877.42</v>
      </c>
      <c r="I281" s="4" t="s">
        <v>21</v>
      </c>
      <c r="J281" s="5">
        <f t="shared" si="4"/>
        <v>-10325.333928</v>
      </c>
      <c r="K281" s="4" t="s">
        <v>45</v>
      </c>
      <c r="L281" s="6">
        <v>3.5884</v>
      </c>
      <c r="M281" s="6">
        <v>0.2787</v>
      </c>
      <c r="N281" s="6">
        <v>3.6015999999999999</v>
      </c>
      <c r="O281" s="6">
        <v>1</v>
      </c>
      <c r="P281" s="5">
        <v>37.895871999999997</v>
      </c>
      <c r="Q281" s="4" t="s">
        <v>1391</v>
      </c>
    </row>
    <row r="282" spans="1:17" x14ac:dyDescent="0.3">
      <c r="A282" s="2" t="s">
        <v>1389</v>
      </c>
      <c r="B282" s="3">
        <v>154692</v>
      </c>
      <c r="C282" s="3">
        <v>886323</v>
      </c>
      <c r="D282" s="4" t="s">
        <v>81</v>
      </c>
      <c r="E282" s="4" t="s">
        <v>735</v>
      </c>
      <c r="F282" s="4" t="s">
        <v>83</v>
      </c>
      <c r="G282" s="4" t="s">
        <v>93</v>
      </c>
      <c r="H282" s="5">
        <v>-2960.16</v>
      </c>
      <c r="I282" s="4" t="s">
        <v>21</v>
      </c>
      <c r="J282" s="5">
        <f t="shared" si="4"/>
        <v>13429.949903999999</v>
      </c>
      <c r="K282" s="4" t="s">
        <v>24</v>
      </c>
      <c r="L282" s="6">
        <v>4.5369000000000002</v>
      </c>
      <c r="M282" s="6">
        <v>0.22040000000000001</v>
      </c>
      <c r="N282" s="6">
        <v>4.5313999999999997</v>
      </c>
      <c r="O282" s="6">
        <v>1</v>
      </c>
      <c r="P282" s="5">
        <v>16.280975999999999</v>
      </c>
      <c r="Q282" s="4" t="s">
        <v>1394</v>
      </c>
    </row>
    <row r="283" spans="1:17" x14ac:dyDescent="0.3">
      <c r="A283" s="2" t="s">
        <v>1389</v>
      </c>
      <c r="B283" s="3">
        <v>154693</v>
      </c>
      <c r="C283" s="3">
        <v>886324</v>
      </c>
      <c r="D283" s="4" t="s">
        <v>81</v>
      </c>
      <c r="E283" s="4" t="s">
        <v>743</v>
      </c>
      <c r="F283" s="4" t="s">
        <v>87</v>
      </c>
      <c r="G283" s="4" t="s">
        <v>91</v>
      </c>
      <c r="H283" s="5">
        <v>37584.959999999999</v>
      </c>
      <c r="I283" s="4" t="s">
        <v>21</v>
      </c>
      <c r="J283" s="5">
        <f t="shared" si="4"/>
        <v>-181772.14204799998</v>
      </c>
      <c r="K283" s="4" t="s">
        <v>45</v>
      </c>
      <c r="L283" s="6">
        <v>4.8362999999999996</v>
      </c>
      <c r="M283" s="6">
        <v>0.20680000000000001</v>
      </c>
      <c r="N283" s="6">
        <v>4.8399000000000001</v>
      </c>
      <c r="O283" s="6">
        <v>1</v>
      </c>
      <c r="P283" s="5">
        <v>133.79790399999999</v>
      </c>
      <c r="Q283" s="4" t="s">
        <v>1395</v>
      </c>
    </row>
    <row r="284" spans="1:17" x14ac:dyDescent="0.3">
      <c r="A284" s="2" t="s">
        <v>1389</v>
      </c>
      <c r="B284" s="3">
        <v>154694</v>
      </c>
      <c r="C284" s="3">
        <v>886325</v>
      </c>
      <c r="D284" s="4" t="s">
        <v>81</v>
      </c>
      <c r="E284" s="4" t="s">
        <v>735</v>
      </c>
      <c r="F284" s="4" t="s">
        <v>83</v>
      </c>
      <c r="G284" s="4" t="s">
        <v>20</v>
      </c>
      <c r="H284" s="5">
        <v>-25274.48</v>
      </c>
      <c r="I284" s="4" t="s">
        <v>21</v>
      </c>
      <c r="J284" s="5">
        <f t="shared" si="4"/>
        <v>106688.63497599999</v>
      </c>
      <c r="K284" s="4" t="s">
        <v>45</v>
      </c>
      <c r="L284" s="6">
        <v>4.2211999999999996</v>
      </c>
      <c r="M284" s="6">
        <v>0.2369</v>
      </c>
      <c r="N284" s="6">
        <v>4.2267000000000001</v>
      </c>
      <c r="O284" s="6">
        <v>1</v>
      </c>
      <c r="P284" s="5">
        <v>-139.01461599999999</v>
      </c>
      <c r="Q284" s="4" t="s">
        <v>1394</v>
      </c>
    </row>
    <row r="285" spans="1:17" x14ac:dyDescent="0.3">
      <c r="A285" s="2" t="s">
        <v>1389</v>
      </c>
      <c r="B285" s="3">
        <v>154695</v>
      </c>
      <c r="C285" s="3">
        <v>886331</v>
      </c>
      <c r="D285" s="4" t="s">
        <v>81</v>
      </c>
      <c r="E285" s="4" t="s">
        <v>735</v>
      </c>
      <c r="F285" s="4" t="s">
        <v>83</v>
      </c>
      <c r="G285" s="4" t="s">
        <v>20</v>
      </c>
      <c r="H285" s="5">
        <v>-100051.04</v>
      </c>
      <c r="I285" s="4" t="s">
        <v>21</v>
      </c>
      <c r="J285" s="5">
        <f t="shared" si="4"/>
        <v>422575.572544</v>
      </c>
      <c r="K285" s="4" t="s">
        <v>45</v>
      </c>
      <c r="L285" s="6">
        <v>4.2236000000000002</v>
      </c>
      <c r="M285" s="6">
        <v>0.23680000000000001</v>
      </c>
      <c r="N285" s="6">
        <v>4.2267000000000001</v>
      </c>
      <c r="O285" s="6">
        <v>1</v>
      </c>
      <c r="P285" s="5">
        <v>-310.16076800000002</v>
      </c>
      <c r="Q285" s="4" t="s">
        <v>1394</v>
      </c>
    </row>
    <row r="286" spans="1:17" x14ac:dyDescent="0.3">
      <c r="A286" s="2" t="s">
        <v>1389</v>
      </c>
      <c r="B286" s="3">
        <v>154696</v>
      </c>
      <c r="C286" s="3">
        <v>886333</v>
      </c>
      <c r="D286" s="4" t="s">
        <v>81</v>
      </c>
      <c r="E286" s="4" t="s">
        <v>735</v>
      </c>
      <c r="F286" s="4" t="s">
        <v>83</v>
      </c>
      <c r="G286" s="4" t="s">
        <v>20</v>
      </c>
      <c r="H286" s="5">
        <v>-100722.44</v>
      </c>
      <c r="I286" s="4" t="s">
        <v>21</v>
      </c>
      <c r="J286" s="5">
        <f t="shared" si="4"/>
        <v>425229.99719199998</v>
      </c>
      <c r="K286" s="4" t="s">
        <v>45</v>
      </c>
      <c r="L286" s="6">
        <v>4.2218</v>
      </c>
      <c r="M286" s="6">
        <v>0.2369</v>
      </c>
      <c r="N286" s="6">
        <v>4.2267000000000001</v>
      </c>
      <c r="O286" s="6">
        <v>1</v>
      </c>
      <c r="P286" s="5">
        <v>-493.537148</v>
      </c>
      <c r="Q286" s="4" t="s">
        <v>1394</v>
      </c>
    </row>
    <row r="287" spans="1:17" x14ac:dyDescent="0.3">
      <c r="A287" s="2" t="s">
        <v>1389</v>
      </c>
      <c r="B287" s="3">
        <v>154697</v>
      </c>
      <c r="C287" s="3">
        <v>886335</v>
      </c>
      <c r="D287" s="4" t="s">
        <v>81</v>
      </c>
      <c r="E287" s="4" t="s">
        <v>734</v>
      </c>
      <c r="F287" s="4" t="s">
        <v>83</v>
      </c>
      <c r="G287" s="4" t="s">
        <v>20</v>
      </c>
      <c r="H287" s="5">
        <v>-101957.08</v>
      </c>
      <c r="I287" s="4" t="s">
        <v>21</v>
      </c>
      <c r="J287" s="5">
        <f t="shared" si="4"/>
        <v>430472.98746800004</v>
      </c>
      <c r="K287" s="4" t="s">
        <v>45</v>
      </c>
      <c r="L287" s="6">
        <v>4.2221000000000002</v>
      </c>
      <c r="M287" s="6">
        <v>0.2369</v>
      </c>
      <c r="N287" s="6">
        <v>4.2267000000000001</v>
      </c>
      <c r="O287" s="6">
        <v>1</v>
      </c>
      <c r="P287" s="5">
        <v>-473.08003600000001</v>
      </c>
      <c r="Q287" s="4" t="s">
        <v>1393</v>
      </c>
    </row>
    <row r="288" spans="1:17" x14ac:dyDescent="0.3">
      <c r="A288" s="2" t="s">
        <v>1389</v>
      </c>
      <c r="B288" s="3">
        <v>154698</v>
      </c>
      <c r="C288" s="3">
        <v>886336</v>
      </c>
      <c r="D288" s="4" t="s">
        <v>81</v>
      </c>
      <c r="E288" s="4" t="s">
        <v>735</v>
      </c>
      <c r="F288" s="4" t="s">
        <v>87</v>
      </c>
      <c r="G288" s="4" t="s">
        <v>34</v>
      </c>
      <c r="H288" s="5">
        <v>22584.45</v>
      </c>
      <c r="I288" s="4" t="s">
        <v>21</v>
      </c>
      <c r="J288" s="5">
        <f t="shared" si="4"/>
        <v>-81186.580860000002</v>
      </c>
      <c r="K288" s="4" t="s">
        <v>45</v>
      </c>
      <c r="L288" s="6">
        <v>3.5948000000000002</v>
      </c>
      <c r="M288" s="6">
        <v>0.2782</v>
      </c>
      <c r="N288" s="6">
        <v>3.6015999999999999</v>
      </c>
      <c r="O288" s="6">
        <v>1</v>
      </c>
      <c r="P288" s="5">
        <v>153.57512</v>
      </c>
      <c r="Q288" s="4" t="s">
        <v>1394</v>
      </c>
    </row>
    <row r="289" spans="1:17" x14ac:dyDescent="0.3">
      <c r="A289" s="2" t="s">
        <v>1389</v>
      </c>
      <c r="B289" s="3">
        <v>154699</v>
      </c>
      <c r="C289" s="3">
        <v>886337</v>
      </c>
      <c r="D289" s="4" t="s">
        <v>81</v>
      </c>
      <c r="E289" s="4" t="s">
        <v>734</v>
      </c>
      <c r="F289" s="4" t="s">
        <v>83</v>
      </c>
      <c r="G289" s="4" t="s">
        <v>93</v>
      </c>
      <c r="H289" s="5">
        <v>-350.84</v>
      </c>
      <c r="I289" s="4" t="s">
        <v>21</v>
      </c>
      <c r="J289" s="5">
        <f t="shared" si="4"/>
        <v>1592.5329279999999</v>
      </c>
      <c r="K289" s="4" t="s">
        <v>24</v>
      </c>
      <c r="L289" s="6">
        <v>4.5392000000000001</v>
      </c>
      <c r="M289" s="6">
        <v>0.2203</v>
      </c>
      <c r="N289" s="6">
        <v>4.5313999999999997</v>
      </c>
      <c r="O289" s="6">
        <v>1</v>
      </c>
      <c r="P289" s="5">
        <v>2.723624</v>
      </c>
      <c r="Q289" s="4" t="s">
        <v>1393</v>
      </c>
    </row>
    <row r="290" spans="1:17" x14ac:dyDescent="0.3">
      <c r="A290" s="2" t="s">
        <v>1389</v>
      </c>
      <c r="B290" s="3">
        <v>154700</v>
      </c>
      <c r="C290" s="3">
        <v>886338</v>
      </c>
      <c r="D290" s="4" t="s">
        <v>81</v>
      </c>
      <c r="E290" s="4" t="s">
        <v>739</v>
      </c>
      <c r="F290" s="4" t="s">
        <v>83</v>
      </c>
      <c r="G290" s="4" t="s">
        <v>91</v>
      </c>
      <c r="H290" s="5">
        <v>-13543.91</v>
      </c>
      <c r="I290" s="4" t="s">
        <v>21</v>
      </c>
      <c r="J290" s="5">
        <f t="shared" si="4"/>
        <v>65548.461226999993</v>
      </c>
      <c r="K290" s="4" t="s">
        <v>45</v>
      </c>
      <c r="L290" s="6">
        <v>4.8396999999999997</v>
      </c>
      <c r="M290" s="6">
        <v>0.20660000000000001</v>
      </c>
      <c r="N290" s="6">
        <v>4.8399000000000001</v>
      </c>
      <c r="O290" s="6">
        <v>1</v>
      </c>
      <c r="P290" s="5">
        <v>-2.3000090000000002</v>
      </c>
      <c r="Q290" s="4" t="s">
        <v>1391</v>
      </c>
    </row>
    <row r="291" spans="1:17" x14ac:dyDescent="0.3">
      <c r="A291" s="2" t="s">
        <v>1389</v>
      </c>
      <c r="B291" s="3">
        <v>154701</v>
      </c>
      <c r="C291" s="3">
        <v>886339</v>
      </c>
      <c r="D291" s="4" t="s">
        <v>81</v>
      </c>
      <c r="E291" s="4" t="s">
        <v>743</v>
      </c>
      <c r="F291" s="4" t="s">
        <v>83</v>
      </c>
      <c r="G291" s="4" t="s">
        <v>20</v>
      </c>
      <c r="H291" s="5">
        <v>-8677.5</v>
      </c>
      <c r="I291" s="4" t="s">
        <v>21</v>
      </c>
      <c r="J291" s="5">
        <f t="shared" si="4"/>
        <v>36634.669500000004</v>
      </c>
      <c r="K291" s="4" t="s">
        <v>45</v>
      </c>
      <c r="L291" s="6">
        <v>4.2218</v>
      </c>
      <c r="M291" s="6">
        <v>0.2369</v>
      </c>
      <c r="N291" s="6">
        <v>4.2267000000000001</v>
      </c>
      <c r="O291" s="6">
        <v>1</v>
      </c>
      <c r="P291" s="5">
        <v>-42.779249999999998</v>
      </c>
      <c r="Q291" s="4" t="s">
        <v>1395</v>
      </c>
    </row>
    <row r="292" spans="1:17" x14ac:dyDescent="0.3">
      <c r="A292" s="2" t="s">
        <v>1389</v>
      </c>
      <c r="B292" s="3">
        <v>154702</v>
      </c>
      <c r="C292" s="3">
        <v>886345</v>
      </c>
      <c r="D292" s="4" t="s">
        <v>81</v>
      </c>
      <c r="E292" s="4" t="s">
        <v>735</v>
      </c>
      <c r="F292" s="4" t="s">
        <v>83</v>
      </c>
      <c r="G292" s="4" t="s">
        <v>20</v>
      </c>
      <c r="H292" s="5">
        <v>-100232.78</v>
      </c>
      <c r="I292" s="4" t="s">
        <v>21</v>
      </c>
      <c r="J292" s="5">
        <f t="shared" si="4"/>
        <v>423192.82043800002</v>
      </c>
      <c r="K292" s="4" t="s">
        <v>45</v>
      </c>
      <c r="L292" s="6">
        <v>4.2221000000000002</v>
      </c>
      <c r="M292" s="6">
        <v>0.23680000000000001</v>
      </c>
      <c r="N292" s="6">
        <v>4.2267000000000001</v>
      </c>
      <c r="O292" s="6">
        <v>1</v>
      </c>
      <c r="P292" s="5">
        <v>-461.07122600000002</v>
      </c>
      <c r="Q292" s="4" t="s">
        <v>1394</v>
      </c>
    </row>
    <row r="293" spans="1:17" x14ac:dyDescent="0.3">
      <c r="A293" s="2" t="s">
        <v>1389</v>
      </c>
      <c r="B293" s="3">
        <v>154703</v>
      </c>
      <c r="C293" s="3">
        <v>886347</v>
      </c>
      <c r="D293" s="4" t="s">
        <v>81</v>
      </c>
      <c r="E293" s="4" t="s">
        <v>734</v>
      </c>
      <c r="F293" s="4" t="s">
        <v>83</v>
      </c>
      <c r="G293" s="4" t="s">
        <v>20</v>
      </c>
      <c r="H293" s="5">
        <v>-100816.42</v>
      </c>
      <c r="I293" s="4" t="s">
        <v>21</v>
      </c>
      <c r="J293" s="5">
        <f t="shared" si="4"/>
        <v>425616.680314</v>
      </c>
      <c r="K293" s="4" t="s">
        <v>24</v>
      </c>
      <c r="L293" s="6">
        <v>4.2217000000000002</v>
      </c>
      <c r="M293" s="6">
        <v>0.2369</v>
      </c>
      <c r="N293" s="6">
        <v>4.2156000000000002</v>
      </c>
      <c r="O293" s="6">
        <v>1</v>
      </c>
      <c r="P293" s="5">
        <v>617.99984800000004</v>
      </c>
      <c r="Q293" s="4" t="s">
        <v>1393</v>
      </c>
    </row>
    <row r="294" spans="1:17" x14ac:dyDescent="0.3">
      <c r="A294" s="2" t="s">
        <v>1389</v>
      </c>
      <c r="B294" s="3">
        <v>154704</v>
      </c>
      <c r="C294" s="3">
        <v>886349</v>
      </c>
      <c r="D294" s="4" t="s">
        <v>81</v>
      </c>
      <c r="E294" s="4" t="s">
        <v>734</v>
      </c>
      <c r="F294" s="4" t="s">
        <v>87</v>
      </c>
      <c r="G294" s="4" t="s">
        <v>34</v>
      </c>
      <c r="H294" s="5">
        <v>14172.58</v>
      </c>
      <c r="I294" s="4" t="s">
        <v>21</v>
      </c>
      <c r="J294" s="5">
        <f t="shared" si="4"/>
        <v>-50985.856550000004</v>
      </c>
      <c r="K294" s="4" t="s">
        <v>24</v>
      </c>
      <c r="L294" s="6">
        <v>3.5975000000000001</v>
      </c>
      <c r="M294" s="6">
        <v>0.27800000000000002</v>
      </c>
      <c r="N294" s="6">
        <v>3.5962999999999998</v>
      </c>
      <c r="O294" s="6">
        <v>1</v>
      </c>
      <c r="P294" s="5">
        <v>-17.010546000000001</v>
      </c>
      <c r="Q294" s="4" t="s">
        <v>1393</v>
      </c>
    </row>
    <row r="295" spans="1:17" x14ac:dyDescent="0.3">
      <c r="A295" s="2" t="s">
        <v>1389</v>
      </c>
      <c r="B295" s="3">
        <v>154705</v>
      </c>
      <c r="C295" s="3">
        <v>886350</v>
      </c>
      <c r="D295" s="4" t="s">
        <v>81</v>
      </c>
      <c r="E295" s="4" t="s">
        <v>734</v>
      </c>
      <c r="F295" s="4" t="s">
        <v>87</v>
      </c>
      <c r="G295" s="4" t="s">
        <v>91</v>
      </c>
      <c r="H295" s="5">
        <v>854.51</v>
      </c>
      <c r="I295" s="4" t="s">
        <v>21</v>
      </c>
      <c r="J295" s="5">
        <f t="shared" si="4"/>
        <v>-4140.10095</v>
      </c>
      <c r="K295" s="4" t="s">
        <v>24</v>
      </c>
      <c r="L295" s="6">
        <v>4.8449999999999998</v>
      </c>
      <c r="M295" s="6">
        <v>0.2064</v>
      </c>
      <c r="N295" s="6">
        <v>4.8391000000000002</v>
      </c>
      <c r="O295" s="6">
        <v>1</v>
      </c>
      <c r="P295" s="5">
        <v>-5.0406589999999998</v>
      </c>
      <c r="Q295" s="4" t="s">
        <v>1393</v>
      </c>
    </row>
    <row r="296" spans="1:17" x14ac:dyDescent="0.3">
      <c r="A296" s="2" t="s">
        <v>1389</v>
      </c>
      <c r="B296" s="3">
        <v>154706</v>
      </c>
      <c r="C296" s="3">
        <v>886351</v>
      </c>
      <c r="D296" s="4" t="s">
        <v>81</v>
      </c>
      <c r="E296" s="4" t="s">
        <v>730</v>
      </c>
      <c r="F296" s="4" t="s">
        <v>83</v>
      </c>
      <c r="G296" s="4" t="s">
        <v>20</v>
      </c>
      <c r="H296" s="5">
        <v>-7011.97</v>
      </c>
      <c r="I296" s="4" t="s">
        <v>21</v>
      </c>
      <c r="J296" s="5">
        <f t="shared" si="4"/>
        <v>29605.238537000001</v>
      </c>
      <c r="K296" s="4" t="s">
        <v>24</v>
      </c>
      <c r="L296" s="6">
        <v>4.2221000000000002</v>
      </c>
      <c r="M296" s="6">
        <v>0.2369</v>
      </c>
      <c r="N296" s="6">
        <v>4.2156000000000002</v>
      </c>
      <c r="O296" s="6">
        <v>1</v>
      </c>
      <c r="P296" s="5">
        <v>45.229267999999998</v>
      </c>
      <c r="Q296" s="4" t="s">
        <v>1396</v>
      </c>
    </row>
    <row r="297" spans="1:17" x14ac:dyDescent="0.3">
      <c r="A297" s="2" t="s">
        <v>1389</v>
      </c>
      <c r="B297" s="3">
        <v>154707</v>
      </c>
      <c r="C297" s="3">
        <v>886352</v>
      </c>
      <c r="D297" s="4" t="s">
        <v>81</v>
      </c>
      <c r="E297" s="4" t="s">
        <v>730</v>
      </c>
      <c r="F297" s="4" t="s">
        <v>83</v>
      </c>
      <c r="G297" s="4" t="s">
        <v>93</v>
      </c>
      <c r="H297" s="5">
        <v>-167.06</v>
      </c>
      <c r="I297" s="4" t="s">
        <v>21</v>
      </c>
      <c r="J297" s="5">
        <f t="shared" si="4"/>
        <v>758.13498600000003</v>
      </c>
      <c r="K297" s="4" t="s">
        <v>46</v>
      </c>
      <c r="L297" s="6">
        <v>4.5381</v>
      </c>
      <c r="M297" s="6">
        <v>0.22040000000000001</v>
      </c>
      <c r="N297" s="6">
        <v>4.5263</v>
      </c>
      <c r="O297" s="6">
        <v>1</v>
      </c>
      <c r="P297" s="5">
        <v>1.9763219999999999</v>
      </c>
      <c r="Q297" s="4" t="s">
        <v>1396</v>
      </c>
    </row>
    <row r="298" spans="1:17" x14ac:dyDescent="0.3">
      <c r="A298" s="2" t="s">
        <v>1389</v>
      </c>
      <c r="B298" s="3">
        <v>154708</v>
      </c>
      <c r="C298" s="3">
        <v>886390</v>
      </c>
      <c r="D298" s="4" t="s">
        <v>81</v>
      </c>
      <c r="E298" s="4" t="s">
        <v>730</v>
      </c>
      <c r="F298" s="4" t="s">
        <v>87</v>
      </c>
      <c r="G298" s="4" t="s">
        <v>20</v>
      </c>
      <c r="H298" s="5">
        <v>580.16999999999996</v>
      </c>
      <c r="I298" s="4" t="s">
        <v>21</v>
      </c>
      <c r="J298" s="5">
        <f t="shared" si="4"/>
        <v>-2452.146522</v>
      </c>
      <c r="K298" s="4" t="s">
        <v>24</v>
      </c>
      <c r="L298" s="6">
        <v>4.2266000000000004</v>
      </c>
      <c r="M298" s="6">
        <v>0.2366</v>
      </c>
      <c r="N298" s="6">
        <v>4.2156000000000002</v>
      </c>
      <c r="O298" s="6">
        <v>1</v>
      </c>
      <c r="P298" s="5">
        <v>-6.3853479999999996</v>
      </c>
      <c r="Q298" s="4" t="s">
        <v>1396</v>
      </c>
    </row>
    <row r="299" spans="1:17" x14ac:dyDescent="0.3">
      <c r="A299" s="2" t="s">
        <v>1389</v>
      </c>
      <c r="B299" s="3">
        <v>154709</v>
      </c>
      <c r="C299" s="3">
        <v>886391</v>
      </c>
      <c r="D299" s="4" t="s">
        <v>81</v>
      </c>
      <c r="E299" s="4" t="s">
        <v>735</v>
      </c>
      <c r="F299" s="4" t="s">
        <v>83</v>
      </c>
      <c r="G299" s="4" t="s">
        <v>91</v>
      </c>
      <c r="H299" s="5">
        <v>-2173.5</v>
      </c>
      <c r="I299" s="4" t="s">
        <v>21</v>
      </c>
      <c r="J299" s="5">
        <f t="shared" si="4"/>
        <v>10532.781000000001</v>
      </c>
      <c r="K299" s="4" t="s">
        <v>24</v>
      </c>
      <c r="L299" s="6">
        <v>4.8460000000000001</v>
      </c>
      <c r="M299" s="6">
        <v>0.2064</v>
      </c>
      <c r="N299" s="6">
        <v>4.8391000000000002</v>
      </c>
      <c r="O299" s="6">
        <v>1</v>
      </c>
      <c r="P299" s="5">
        <v>14.99615</v>
      </c>
      <c r="Q299" s="4" t="s">
        <v>1394</v>
      </c>
    </row>
    <row r="300" spans="1:17" x14ac:dyDescent="0.3">
      <c r="A300" s="2" t="s">
        <v>1389</v>
      </c>
      <c r="B300" s="3">
        <v>154710</v>
      </c>
      <c r="C300" s="3">
        <v>886392</v>
      </c>
      <c r="D300" s="4" t="s">
        <v>81</v>
      </c>
      <c r="E300" s="4" t="s">
        <v>743</v>
      </c>
      <c r="F300" s="4" t="s">
        <v>83</v>
      </c>
      <c r="G300" s="4" t="s">
        <v>34</v>
      </c>
      <c r="H300" s="5">
        <v>-14014.5</v>
      </c>
      <c r="I300" s="4" t="s">
        <v>21</v>
      </c>
      <c r="J300" s="5">
        <f t="shared" si="4"/>
        <v>50460.608699999997</v>
      </c>
      <c r="K300" s="4" t="s">
        <v>24</v>
      </c>
      <c r="L300" s="6">
        <v>3.6006</v>
      </c>
      <c r="M300" s="6">
        <v>0.2777</v>
      </c>
      <c r="N300" s="6">
        <v>3.5962999999999998</v>
      </c>
      <c r="O300" s="6">
        <v>1</v>
      </c>
      <c r="P300" s="5">
        <v>59.983649999999997</v>
      </c>
      <c r="Q300" s="4" t="s">
        <v>1395</v>
      </c>
    </row>
    <row r="301" spans="1:17" x14ac:dyDescent="0.3">
      <c r="A301" s="2" t="s">
        <v>1389</v>
      </c>
      <c r="B301" s="3">
        <v>154711</v>
      </c>
      <c r="C301" s="3">
        <v>886393</v>
      </c>
      <c r="D301" s="4" t="s">
        <v>81</v>
      </c>
      <c r="E301" s="4" t="s">
        <v>734</v>
      </c>
      <c r="F301" s="4" t="s">
        <v>83</v>
      </c>
      <c r="G301" s="4" t="s">
        <v>93</v>
      </c>
      <c r="H301" s="5">
        <v>-350</v>
      </c>
      <c r="I301" s="4" t="s">
        <v>21</v>
      </c>
      <c r="J301" s="5">
        <f t="shared" si="4"/>
        <v>1590.085</v>
      </c>
      <c r="K301" s="4" t="s">
        <v>46</v>
      </c>
      <c r="L301" s="6">
        <v>4.5430999999999999</v>
      </c>
      <c r="M301" s="6">
        <v>0.22009999999999999</v>
      </c>
      <c r="N301" s="6">
        <v>4.5263</v>
      </c>
      <c r="O301" s="6">
        <v>1</v>
      </c>
      <c r="P301" s="5">
        <v>5.8949999999999996</v>
      </c>
      <c r="Q301" s="4" t="s">
        <v>1393</v>
      </c>
    </row>
    <row r="302" spans="1:17" x14ac:dyDescent="0.3">
      <c r="A302" s="2" t="s">
        <v>1389</v>
      </c>
      <c r="B302" s="3">
        <v>154716</v>
      </c>
      <c r="C302" s="3">
        <v>886414</v>
      </c>
      <c r="D302" s="4" t="s">
        <v>81</v>
      </c>
      <c r="E302" s="4" t="s">
        <v>734</v>
      </c>
      <c r="F302" s="4" t="s">
        <v>83</v>
      </c>
      <c r="G302" s="4" t="s">
        <v>93</v>
      </c>
      <c r="H302" s="5">
        <v>-5461.13</v>
      </c>
      <c r="I302" s="4" t="s">
        <v>21</v>
      </c>
      <c r="J302" s="5">
        <f t="shared" si="4"/>
        <v>24790.253521999999</v>
      </c>
      <c r="K302" s="4" t="s">
        <v>46</v>
      </c>
      <c r="L302" s="6">
        <v>4.5393999999999997</v>
      </c>
      <c r="M302" s="6">
        <v>0.2203</v>
      </c>
      <c r="N302" s="6">
        <v>4.5263</v>
      </c>
      <c r="O302" s="6">
        <v>1</v>
      </c>
      <c r="P302" s="5">
        <v>71.597280999999995</v>
      </c>
      <c r="Q302" s="4" t="s">
        <v>1393</v>
      </c>
    </row>
    <row r="303" spans="1:17" x14ac:dyDescent="0.3">
      <c r="A303" s="2" t="s">
        <v>1389</v>
      </c>
      <c r="B303" s="3">
        <v>154717</v>
      </c>
      <c r="C303" s="3">
        <v>886415</v>
      </c>
      <c r="D303" s="4" t="s">
        <v>81</v>
      </c>
      <c r="E303" s="4" t="s">
        <v>743</v>
      </c>
      <c r="F303" s="4" t="s">
        <v>83</v>
      </c>
      <c r="G303" s="4" t="s">
        <v>20</v>
      </c>
      <c r="H303" s="5">
        <v>-49039.18</v>
      </c>
      <c r="I303" s="4" t="s">
        <v>21</v>
      </c>
      <c r="J303" s="5">
        <f t="shared" si="4"/>
        <v>207200.34333599999</v>
      </c>
      <c r="K303" s="4" t="s">
        <v>24</v>
      </c>
      <c r="L303" s="6">
        <v>4.2252000000000001</v>
      </c>
      <c r="M303" s="6">
        <v>0.23669999999999999</v>
      </c>
      <c r="N303" s="6">
        <v>4.2156000000000002</v>
      </c>
      <c r="O303" s="6">
        <v>1</v>
      </c>
      <c r="P303" s="5">
        <v>472.73279200000002</v>
      </c>
      <c r="Q303" s="4" t="s">
        <v>1395</v>
      </c>
    </row>
    <row r="304" spans="1:17" x14ac:dyDescent="0.3">
      <c r="A304" s="2" t="s">
        <v>1389</v>
      </c>
      <c r="B304" s="3">
        <v>154718</v>
      </c>
      <c r="C304" s="3">
        <v>886416</v>
      </c>
      <c r="D304" s="4" t="s">
        <v>81</v>
      </c>
      <c r="E304" s="4" t="s">
        <v>743</v>
      </c>
      <c r="F304" s="4" t="s">
        <v>83</v>
      </c>
      <c r="G304" s="4" t="s">
        <v>91</v>
      </c>
      <c r="H304" s="5">
        <v>-18076.63</v>
      </c>
      <c r="I304" s="4" t="s">
        <v>21</v>
      </c>
      <c r="J304" s="5">
        <f t="shared" si="4"/>
        <v>87557.772731000005</v>
      </c>
      <c r="K304" s="4" t="s">
        <v>24</v>
      </c>
      <c r="L304" s="6">
        <v>4.8437000000000001</v>
      </c>
      <c r="M304" s="6">
        <v>0.20649999999999999</v>
      </c>
      <c r="N304" s="6">
        <v>4.8391000000000002</v>
      </c>
      <c r="O304" s="6">
        <v>1</v>
      </c>
      <c r="P304" s="5">
        <v>82.789766999999998</v>
      </c>
      <c r="Q304" s="4" t="s">
        <v>1395</v>
      </c>
    </row>
    <row r="305" spans="1:17" x14ac:dyDescent="0.3">
      <c r="A305" s="2" t="s">
        <v>1389</v>
      </c>
      <c r="B305" s="3">
        <v>154725</v>
      </c>
      <c r="C305" s="3">
        <v>886448</v>
      </c>
      <c r="D305" s="4" t="s">
        <v>81</v>
      </c>
      <c r="E305" s="4" t="s">
        <v>734</v>
      </c>
      <c r="F305" s="4" t="s">
        <v>83</v>
      </c>
      <c r="G305" s="4" t="s">
        <v>20</v>
      </c>
      <c r="H305" s="5">
        <v>-500000</v>
      </c>
      <c r="I305" s="4" t="s">
        <v>21</v>
      </c>
      <c r="J305" s="5">
        <f t="shared" si="4"/>
        <v>2112900</v>
      </c>
      <c r="K305" s="4" t="s">
        <v>24</v>
      </c>
      <c r="L305" s="6">
        <v>4.2257999999999996</v>
      </c>
      <c r="M305" s="6">
        <v>0.2366</v>
      </c>
      <c r="N305" s="6">
        <v>4.2156000000000002</v>
      </c>
      <c r="O305" s="6">
        <v>1</v>
      </c>
      <c r="P305" s="5">
        <v>5100</v>
      </c>
      <c r="Q305" s="4" t="s">
        <v>1393</v>
      </c>
    </row>
    <row r="306" spans="1:17" x14ac:dyDescent="0.3">
      <c r="A306" s="2" t="s">
        <v>1389</v>
      </c>
      <c r="B306" s="3">
        <v>154729</v>
      </c>
      <c r="C306" s="3">
        <v>886486</v>
      </c>
      <c r="D306" s="4" t="s">
        <v>81</v>
      </c>
      <c r="E306" s="4" t="s">
        <v>734</v>
      </c>
      <c r="F306" s="4" t="s">
        <v>83</v>
      </c>
      <c r="G306" s="4" t="s">
        <v>20</v>
      </c>
      <c r="H306" s="5">
        <v>-500000</v>
      </c>
      <c r="I306" s="4" t="s">
        <v>21</v>
      </c>
      <c r="J306" s="5">
        <f t="shared" si="4"/>
        <v>2111900</v>
      </c>
      <c r="K306" s="4" t="s">
        <v>24</v>
      </c>
      <c r="L306" s="6">
        <v>4.2237999999999998</v>
      </c>
      <c r="M306" s="6">
        <v>0.23680000000000001</v>
      </c>
      <c r="N306" s="6">
        <v>4.2156000000000002</v>
      </c>
      <c r="O306" s="6">
        <v>1</v>
      </c>
      <c r="P306" s="5">
        <v>4100</v>
      </c>
      <c r="Q306" s="4" t="s">
        <v>1393</v>
      </c>
    </row>
    <row r="307" spans="1:17" x14ac:dyDescent="0.3">
      <c r="A307" s="2" t="s">
        <v>1389</v>
      </c>
      <c r="B307" s="3">
        <v>154730</v>
      </c>
      <c r="C307" s="3">
        <v>886487</v>
      </c>
      <c r="D307" s="4" t="s">
        <v>81</v>
      </c>
      <c r="E307" s="4" t="s">
        <v>725</v>
      </c>
      <c r="F307" s="4" t="s">
        <v>83</v>
      </c>
      <c r="G307" s="4" t="s">
        <v>20</v>
      </c>
      <c r="H307" s="5">
        <v>-1000000</v>
      </c>
      <c r="I307" s="4" t="s">
        <v>21</v>
      </c>
      <c r="J307" s="5">
        <f t="shared" si="4"/>
        <v>4223800</v>
      </c>
      <c r="K307" s="4" t="s">
        <v>24</v>
      </c>
      <c r="L307" s="6">
        <v>4.2237999999999998</v>
      </c>
      <c r="M307" s="6">
        <v>0.23680000000000001</v>
      </c>
      <c r="N307" s="6">
        <v>4.2156000000000002</v>
      </c>
      <c r="O307" s="6">
        <v>1</v>
      </c>
      <c r="P307" s="5">
        <v>8180</v>
      </c>
      <c r="Q307" s="4" t="s">
        <v>1392</v>
      </c>
    </row>
    <row r="308" spans="1:17" x14ac:dyDescent="0.3">
      <c r="A308" s="2" t="s">
        <v>1389</v>
      </c>
      <c r="B308" s="3">
        <v>154736</v>
      </c>
      <c r="C308" s="3">
        <v>886505</v>
      </c>
      <c r="D308" s="4" t="s">
        <v>81</v>
      </c>
      <c r="E308" s="4" t="s">
        <v>739</v>
      </c>
      <c r="F308" s="4" t="s">
        <v>87</v>
      </c>
      <c r="G308" s="4" t="s">
        <v>20</v>
      </c>
      <c r="H308" s="5">
        <v>100000</v>
      </c>
      <c r="I308" s="4" t="s">
        <v>91</v>
      </c>
      <c r="J308" s="5">
        <f t="shared" si="4"/>
        <v>-87180</v>
      </c>
      <c r="K308" s="4" t="s">
        <v>24</v>
      </c>
      <c r="L308" s="6">
        <v>0.87180000000000002</v>
      </c>
      <c r="M308" s="6">
        <v>1.1471</v>
      </c>
      <c r="N308" s="6">
        <v>4.2156000000000002</v>
      </c>
      <c r="O308" s="6">
        <v>4.8391000000000002</v>
      </c>
      <c r="P308" s="5">
        <v>-288.54250000000002</v>
      </c>
      <c r="Q308" s="4" t="s">
        <v>1391</v>
      </c>
    </row>
    <row r="309" spans="1:17" x14ac:dyDescent="0.3">
      <c r="A309" s="2" t="s">
        <v>1389</v>
      </c>
      <c r="B309" s="3">
        <v>154738</v>
      </c>
      <c r="C309" s="3">
        <v>886520</v>
      </c>
      <c r="D309" s="4" t="s">
        <v>81</v>
      </c>
      <c r="E309" s="4" t="s">
        <v>1114</v>
      </c>
      <c r="F309" s="4" t="s">
        <v>83</v>
      </c>
      <c r="G309" s="4" t="s">
        <v>20</v>
      </c>
      <c r="H309" s="5">
        <v>-400000</v>
      </c>
      <c r="I309" s="4" t="s">
        <v>21</v>
      </c>
      <c r="J309" s="5">
        <f t="shared" si="4"/>
        <v>1688000</v>
      </c>
      <c r="K309" s="4" t="s">
        <v>24</v>
      </c>
      <c r="L309" s="6">
        <v>4.22</v>
      </c>
      <c r="M309" s="6">
        <v>0.23699999999999999</v>
      </c>
      <c r="N309" s="6">
        <v>4.2156000000000002</v>
      </c>
      <c r="O309" s="6">
        <v>1</v>
      </c>
      <c r="P309" s="5">
        <v>1760</v>
      </c>
      <c r="Q309" s="4" t="s">
        <v>1390</v>
      </c>
    </row>
    <row r="310" spans="1:17" x14ac:dyDescent="0.3">
      <c r="A310" s="2" t="s">
        <v>1389</v>
      </c>
      <c r="B310" s="3">
        <v>154747</v>
      </c>
      <c r="C310" s="3">
        <v>886593</v>
      </c>
      <c r="D310" s="4" t="s">
        <v>81</v>
      </c>
      <c r="E310" s="4" t="s">
        <v>742</v>
      </c>
      <c r="F310" s="4" t="s">
        <v>83</v>
      </c>
      <c r="G310" s="4" t="s">
        <v>20</v>
      </c>
      <c r="H310" s="5">
        <v>-500000</v>
      </c>
      <c r="I310" s="4" t="s">
        <v>21</v>
      </c>
      <c r="J310" s="5">
        <f t="shared" si="4"/>
        <v>2111250</v>
      </c>
      <c r="K310" s="4" t="s">
        <v>24</v>
      </c>
      <c r="L310" s="6">
        <v>4.2225000000000001</v>
      </c>
      <c r="M310" s="6">
        <v>0.23680000000000001</v>
      </c>
      <c r="N310" s="6">
        <v>4.2156000000000002</v>
      </c>
      <c r="O310" s="6">
        <v>1</v>
      </c>
      <c r="P310" s="5">
        <v>3450</v>
      </c>
      <c r="Q310" s="4" t="s">
        <v>1396</v>
      </c>
    </row>
    <row r="311" spans="1:17" x14ac:dyDescent="0.3">
      <c r="A311" s="2" t="s">
        <v>1389</v>
      </c>
      <c r="B311" s="3">
        <v>154748</v>
      </c>
      <c r="C311" s="3">
        <v>886594</v>
      </c>
      <c r="D311" s="4" t="s">
        <v>81</v>
      </c>
      <c r="E311" s="4" t="s">
        <v>742</v>
      </c>
      <c r="F311" s="4" t="s">
        <v>83</v>
      </c>
      <c r="G311" s="4" t="s">
        <v>20</v>
      </c>
      <c r="H311" s="5">
        <v>-500000</v>
      </c>
      <c r="I311" s="4" t="s">
        <v>21</v>
      </c>
      <c r="J311" s="5">
        <f t="shared" si="4"/>
        <v>2111250</v>
      </c>
      <c r="K311" s="4" t="s">
        <v>24</v>
      </c>
      <c r="L311" s="6">
        <v>4.2225000000000001</v>
      </c>
      <c r="M311" s="6">
        <v>0.23680000000000001</v>
      </c>
      <c r="N311" s="6">
        <v>4.2156000000000002</v>
      </c>
      <c r="O311" s="6">
        <v>1</v>
      </c>
      <c r="P311" s="5">
        <v>3455</v>
      </c>
      <c r="Q311" s="4" t="s">
        <v>1396</v>
      </c>
    </row>
    <row r="312" spans="1:17" x14ac:dyDescent="0.3">
      <c r="A312" s="2" t="s">
        <v>1389</v>
      </c>
      <c r="B312" s="3">
        <v>154761</v>
      </c>
      <c r="C312" s="3">
        <v>886628</v>
      </c>
      <c r="D312" s="4" t="s">
        <v>81</v>
      </c>
      <c r="E312" s="4" t="s">
        <v>732</v>
      </c>
      <c r="F312" s="4" t="s">
        <v>83</v>
      </c>
      <c r="G312" s="4" t="s">
        <v>20</v>
      </c>
      <c r="H312" s="5">
        <v>-500000</v>
      </c>
      <c r="I312" s="4" t="s">
        <v>21</v>
      </c>
      <c r="J312" s="5">
        <f t="shared" si="4"/>
        <v>2111350</v>
      </c>
      <c r="K312" s="4" t="s">
        <v>24</v>
      </c>
      <c r="L312" s="6">
        <v>4.2226999999999997</v>
      </c>
      <c r="M312" s="6">
        <v>0.23680000000000001</v>
      </c>
      <c r="N312" s="6">
        <v>4.2156000000000002</v>
      </c>
      <c r="O312" s="6">
        <v>1</v>
      </c>
      <c r="P312" s="5">
        <v>3550</v>
      </c>
      <c r="Q312" s="4" t="s">
        <v>1394</v>
      </c>
    </row>
    <row r="313" spans="1:17" x14ac:dyDescent="0.3">
      <c r="A313" s="2" t="s">
        <v>1389</v>
      </c>
      <c r="B313" s="3">
        <v>154762</v>
      </c>
      <c r="C313" s="3">
        <v>886637</v>
      </c>
      <c r="D313" s="4" t="s">
        <v>81</v>
      </c>
      <c r="E313" s="4" t="s">
        <v>742</v>
      </c>
      <c r="F313" s="4" t="s">
        <v>83</v>
      </c>
      <c r="G313" s="4" t="s">
        <v>20</v>
      </c>
      <c r="H313" s="5">
        <v>-500000</v>
      </c>
      <c r="I313" s="4" t="s">
        <v>21</v>
      </c>
      <c r="J313" s="5">
        <f t="shared" si="4"/>
        <v>2111350</v>
      </c>
      <c r="K313" s="4" t="s">
        <v>24</v>
      </c>
      <c r="L313" s="6">
        <v>4.2226999999999997</v>
      </c>
      <c r="M313" s="6">
        <v>0.23680000000000001</v>
      </c>
      <c r="N313" s="6">
        <v>4.2156000000000002</v>
      </c>
      <c r="O313" s="6">
        <v>1</v>
      </c>
      <c r="P313" s="5">
        <v>3570</v>
      </c>
      <c r="Q313" s="4" t="s">
        <v>1396</v>
      </c>
    </row>
    <row r="314" spans="1:17" x14ac:dyDescent="0.3">
      <c r="A314" s="2" t="s">
        <v>1389</v>
      </c>
      <c r="B314" s="3">
        <v>154763</v>
      </c>
      <c r="C314" s="3">
        <v>886648</v>
      </c>
      <c r="D314" s="4" t="s">
        <v>81</v>
      </c>
      <c r="E314" s="4" t="s">
        <v>742</v>
      </c>
      <c r="F314" s="4" t="s">
        <v>83</v>
      </c>
      <c r="G314" s="4" t="s">
        <v>20</v>
      </c>
      <c r="H314" s="5">
        <v>-500000</v>
      </c>
      <c r="I314" s="4" t="s">
        <v>21</v>
      </c>
      <c r="J314" s="5">
        <f t="shared" si="4"/>
        <v>2111500</v>
      </c>
      <c r="K314" s="4" t="s">
        <v>24</v>
      </c>
      <c r="L314" s="6">
        <v>4.2229999999999999</v>
      </c>
      <c r="M314" s="6">
        <v>0.23680000000000001</v>
      </c>
      <c r="N314" s="6">
        <v>4.2156000000000002</v>
      </c>
      <c r="O314" s="6">
        <v>1</v>
      </c>
      <c r="P314" s="5">
        <v>3700</v>
      </c>
      <c r="Q314" s="4" t="s">
        <v>1396</v>
      </c>
    </row>
    <row r="315" spans="1:17" x14ac:dyDescent="0.3">
      <c r="A315" s="2" t="s">
        <v>1389</v>
      </c>
      <c r="B315" s="3">
        <v>154772</v>
      </c>
      <c r="C315" s="3">
        <v>886711</v>
      </c>
      <c r="D315" s="4" t="s">
        <v>81</v>
      </c>
      <c r="E315" s="4" t="s">
        <v>733</v>
      </c>
      <c r="F315" s="4" t="s">
        <v>83</v>
      </c>
      <c r="G315" s="4" t="s">
        <v>20</v>
      </c>
      <c r="H315" s="5">
        <v>-500000</v>
      </c>
      <c r="I315" s="4" t="s">
        <v>21</v>
      </c>
      <c r="J315" s="5">
        <f t="shared" si="4"/>
        <v>2111600</v>
      </c>
      <c r="K315" s="4" t="s">
        <v>24</v>
      </c>
      <c r="L315" s="6">
        <v>4.2232000000000003</v>
      </c>
      <c r="M315" s="6">
        <v>0.23680000000000001</v>
      </c>
      <c r="N315" s="6">
        <v>4.2156000000000002</v>
      </c>
      <c r="O315" s="6">
        <v>1</v>
      </c>
      <c r="P315" s="5">
        <v>3810</v>
      </c>
      <c r="Q315" s="4" t="s">
        <v>1391</v>
      </c>
    </row>
    <row r="316" spans="1:17" x14ac:dyDescent="0.3">
      <c r="A316" s="2" t="s">
        <v>1389</v>
      </c>
      <c r="B316" s="3">
        <v>154775</v>
      </c>
      <c r="C316" s="3">
        <v>886734</v>
      </c>
      <c r="D316" s="4" t="s">
        <v>81</v>
      </c>
      <c r="E316" s="4" t="s">
        <v>742</v>
      </c>
      <c r="F316" s="4" t="s">
        <v>83</v>
      </c>
      <c r="G316" s="4" t="s">
        <v>20</v>
      </c>
      <c r="H316" s="5">
        <v>-500000</v>
      </c>
      <c r="I316" s="4" t="s">
        <v>21</v>
      </c>
      <c r="J316" s="5">
        <f t="shared" si="4"/>
        <v>2112050</v>
      </c>
      <c r="K316" s="4" t="s">
        <v>24</v>
      </c>
      <c r="L316" s="6">
        <v>4.2241</v>
      </c>
      <c r="M316" s="6">
        <v>0.23669999999999999</v>
      </c>
      <c r="N316" s="6">
        <v>4.2156000000000002</v>
      </c>
      <c r="O316" s="6">
        <v>1</v>
      </c>
      <c r="P316" s="5">
        <v>4265</v>
      </c>
      <c r="Q316" s="4" t="s">
        <v>1396</v>
      </c>
    </row>
    <row r="317" spans="1:17" x14ac:dyDescent="0.3">
      <c r="A317" s="2" t="s">
        <v>1389</v>
      </c>
      <c r="B317" s="3">
        <v>154776</v>
      </c>
      <c r="C317" s="3">
        <v>886738</v>
      </c>
      <c r="D317" s="4" t="s">
        <v>81</v>
      </c>
      <c r="E317" s="4" t="s">
        <v>742</v>
      </c>
      <c r="F317" s="4" t="s">
        <v>83</v>
      </c>
      <c r="G317" s="4" t="s">
        <v>20</v>
      </c>
      <c r="H317" s="5">
        <v>-500000</v>
      </c>
      <c r="I317" s="4" t="s">
        <v>21</v>
      </c>
      <c r="J317" s="5">
        <f t="shared" si="4"/>
        <v>2112250</v>
      </c>
      <c r="K317" s="4" t="s">
        <v>24</v>
      </c>
      <c r="L317" s="6">
        <v>4.2244999999999999</v>
      </c>
      <c r="M317" s="6">
        <v>0.23669999999999999</v>
      </c>
      <c r="N317" s="6">
        <v>4.2156000000000002</v>
      </c>
      <c r="O317" s="6">
        <v>1</v>
      </c>
      <c r="P317" s="5">
        <v>4450</v>
      </c>
      <c r="Q317" s="4" t="s">
        <v>1396</v>
      </c>
    </row>
    <row r="318" spans="1:17" x14ac:dyDescent="0.3">
      <c r="A318" s="2" t="s">
        <v>1389</v>
      </c>
      <c r="B318" s="3">
        <v>154777</v>
      </c>
      <c r="C318" s="3">
        <v>886742</v>
      </c>
      <c r="D318" s="4" t="s">
        <v>81</v>
      </c>
      <c r="E318" s="4" t="s">
        <v>733</v>
      </c>
      <c r="F318" s="4" t="s">
        <v>83</v>
      </c>
      <c r="G318" s="4" t="s">
        <v>20</v>
      </c>
      <c r="H318" s="5">
        <v>-500000</v>
      </c>
      <c r="I318" s="4" t="s">
        <v>21</v>
      </c>
      <c r="J318" s="5">
        <f t="shared" si="4"/>
        <v>2112450</v>
      </c>
      <c r="K318" s="4" t="s">
        <v>24</v>
      </c>
      <c r="L318" s="6">
        <v>4.2248999999999999</v>
      </c>
      <c r="M318" s="6">
        <v>0.23669999999999999</v>
      </c>
      <c r="N318" s="6">
        <v>4.2156000000000002</v>
      </c>
      <c r="O318" s="6">
        <v>1</v>
      </c>
      <c r="P318" s="5">
        <v>4675</v>
      </c>
      <c r="Q318" s="4" t="s">
        <v>1391</v>
      </c>
    </row>
    <row r="319" spans="1:17" x14ac:dyDescent="0.3">
      <c r="A319" s="2" t="s">
        <v>1389</v>
      </c>
      <c r="B319" s="3">
        <v>154778</v>
      </c>
      <c r="C319" s="3">
        <v>886750</v>
      </c>
      <c r="D319" s="4" t="s">
        <v>81</v>
      </c>
      <c r="E319" s="4" t="s">
        <v>733</v>
      </c>
      <c r="F319" s="4" t="s">
        <v>83</v>
      </c>
      <c r="G319" s="4" t="s">
        <v>20</v>
      </c>
      <c r="H319" s="5">
        <v>-500000</v>
      </c>
      <c r="I319" s="4" t="s">
        <v>21</v>
      </c>
      <c r="J319" s="5">
        <f t="shared" si="4"/>
        <v>2112550</v>
      </c>
      <c r="K319" s="4" t="s">
        <v>24</v>
      </c>
      <c r="L319" s="6">
        <v>4.2251000000000003</v>
      </c>
      <c r="M319" s="6">
        <v>0.23669999999999999</v>
      </c>
      <c r="N319" s="6">
        <v>4.2156000000000002</v>
      </c>
      <c r="O319" s="6">
        <v>1</v>
      </c>
      <c r="P319" s="5">
        <v>4750</v>
      </c>
      <c r="Q319" s="4" t="s">
        <v>1391</v>
      </c>
    </row>
    <row r="320" spans="1:17" x14ac:dyDescent="0.3">
      <c r="A320" s="2" t="s">
        <v>1389</v>
      </c>
      <c r="B320" s="3">
        <v>154781</v>
      </c>
      <c r="C320" s="3">
        <v>886763</v>
      </c>
      <c r="D320" s="4" t="s">
        <v>81</v>
      </c>
      <c r="E320" s="4" t="s">
        <v>742</v>
      </c>
      <c r="F320" s="4" t="s">
        <v>83</v>
      </c>
      <c r="G320" s="4" t="s">
        <v>20</v>
      </c>
      <c r="H320" s="5">
        <v>-500000</v>
      </c>
      <c r="I320" s="4" t="s">
        <v>21</v>
      </c>
      <c r="J320" s="5">
        <f t="shared" si="4"/>
        <v>2113200</v>
      </c>
      <c r="K320" s="4" t="s">
        <v>24</v>
      </c>
      <c r="L320" s="6">
        <v>4.2263999999999999</v>
      </c>
      <c r="M320" s="6">
        <v>0.2366</v>
      </c>
      <c r="N320" s="6">
        <v>4.2156000000000002</v>
      </c>
      <c r="O320" s="6">
        <v>1</v>
      </c>
      <c r="P320" s="5">
        <v>5400</v>
      </c>
      <c r="Q320" s="4" t="s">
        <v>1396</v>
      </c>
    </row>
    <row r="321" spans="1:17" x14ac:dyDescent="0.3">
      <c r="A321" s="2" t="s">
        <v>1389</v>
      </c>
      <c r="B321" s="3">
        <v>154782</v>
      </c>
      <c r="C321" s="3">
        <v>886767</v>
      </c>
      <c r="D321" s="4" t="s">
        <v>81</v>
      </c>
      <c r="E321" s="4" t="s">
        <v>734</v>
      </c>
      <c r="F321" s="4" t="s">
        <v>87</v>
      </c>
      <c r="G321" s="4" t="s">
        <v>20</v>
      </c>
      <c r="H321" s="5">
        <v>100000</v>
      </c>
      <c r="I321" s="4" t="s">
        <v>34</v>
      </c>
      <c r="J321" s="5">
        <f t="shared" si="4"/>
        <v>-117360</v>
      </c>
      <c r="K321" s="4" t="s">
        <v>24</v>
      </c>
      <c r="L321" s="6">
        <v>1.1736</v>
      </c>
      <c r="M321" s="6">
        <v>0.85209999999999997</v>
      </c>
      <c r="N321" s="6">
        <v>4.2156000000000002</v>
      </c>
      <c r="O321" s="6">
        <v>3.5962999999999998</v>
      </c>
      <c r="P321" s="5">
        <v>-501.76799999999997</v>
      </c>
      <c r="Q321" s="4" t="s">
        <v>1393</v>
      </c>
    </row>
    <row r="322" spans="1:17" x14ac:dyDescent="0.3">
      <c r="A322" s="2" t="s">
        <v>1389</v>
      </c>
      <c r="B322" s="3">
        <v>154783</v>
      </c>
      <c r="C322" s="3">
        <v>886771</v>
      </c>
      <c r="D322" s="4" t="s">
        <v>81</v>
      </c>
      <c r="E322" s="4" t="s">
        <v>742</v>
      </c>
      <c r="F322" s="4" t="s">
        <v>83</v>
      </c>
      <c r="G322" s="4" t="s">
        <v>20</v>
      </c>
      <c r="H322" s="5">
        <v>-500000</v>
      </c>
      <c r="I322" s="4" t="s">
        <v>21</v>
      </c>
      <c r="J322" s="5">
        <f t="shared" si="4"/>
        <v>2113100</v>
      </c>
      <c r="K322" s="4" t="s">
        <v>24</v>
      </c>
      <c r="L322" s="6">
        <v>4.2262000000000004</v>
      </c>
      <c r="M322" s="6">
        <v>0.2366</v>
      </c>
      <c r="N322" s="6">
        <v>4.2156000000000002</v>
      </c>
      <c r="O322" s="6">
        <v>1</v>
      </c>
      <c r="P322" s="5">
        <v>5300</v>
      </c>
      <c r="Q322" s="4" t="s">
        <v>1396</v>
      </c>
    </row>
    <row r="323" spans="1:17" x14ac:dyDescent="0.3">
      <c r="A323" s="2" t="s">
        <v>1389</v>
      </c>
      <c r="B323" s="3">
        <v>154784</v>
      </c>
      <c r="C323" s="3">
        <v>886778</v>
      </c>
      <c r="D323" s="4" t="s">
        <v>81</v>
      </c>
      <c r="E323" s="4" t="s">
        <v>734</v>
      </c>
      <c r="F323" s="4" t="s">
        <v>87</v>
      </c>
      <c r="G323" s="4" t="s">
        <v>20</v>
      </c>
      <c r="H323" s="5">
        <v>100000</v>
      </c>
      <c r="I323" s="4" t="s">
        <v>34</v>
      </c>
      <c r="J323" s="5">
        <f t="shared" si="4"/>
        <v>-117360</v>
      </c>
      <c r="K323" s="4" t="s">
        <v>24</v>
      </c>
      <c r="L323" s="6">
        <v>1.1736</v>
      </c>
      <c r="M323" s="6">
        <v>0.85209999999999997</v>
      </c>
      <c r="N323" s="6">
        <v>4.2156000000000002</v>
      </c>
      <c r="O323" s="6">
        <v>3.5962999999999998</v>
      </c>
      <c r="P323" s="5">
        <v>-505.36430000000001</v>
      </c>
      <c r="Q323" s="4" t="s">
        <v>1393</v>
      </c>
    </row>
    <row r="324" spans="1:17" x14ac:dyDescent="0.3">
      <c r="A324" s="2" t="s">
        <v>1389</v>
      </c>
      <c r="B324" s="3">
        <v>154803</v>
      </c>
      <c r="C324" s="3">
        <v>886958</v>
      </c>
      <c r="D324" s="4" t="s">
        <v>81</v>
      </c>
      <c r="E324" s="4" t="s">
        <v>941</v>
      </c>
      <c r="F324" s="4" t="s">
        <v>83</v>
      </c>
      <c r="G324" s="4" t="s">
        <v>34</v>
      </c>
      <c r="H324" s="5">
        <v>-40000</v>
      </c>
      <c r="I324" s="4" t="s">
        <v>21</v>
      </c>
      <c r="J324" s="5">
        <f t="shared" ref="J324:J387" si="5">-H324*L324</f>
        <v>144040</v>
      </c>
      <c r="K324" s="4" t="s">
        <v>24</v>
      </c>
      <c r="L324" s="6">
        <v>3.601</v>
      </c>
      <c r="M324" s="6">
        <v>0.2777</v>
      </c>
      <c r="N324" s="6">
        <v>3.5962999999999998</v>
      </c>
      <c r="O324" s="6">
        <v>1</v>
      </c>
      <c r="P324" s="5">
        <v>188</v>
      </c>
      <c r="Q324" s="4" t="s">
        <v>1390</v>
      </c>
    </row>
    <row r="325" spans="1:17" x14ac:dyDescent="0.3">
      <c r="A325" s="2" t="s">
        <v>1389</v>
      </c>
      <c r="B325" s="3">
        <v>154807</v>
      </c>
      <c r="C325" s="3">
        <v>887008</v>
      </c>
      <c r="D325" s="4" t="s">
        <v>81</v>
      </c>
      <c r="E325" s="4" t="s">
        <v>739</v>
      </c>
      <c r="F325" s="4" t="s">
        <v>87</v>
      </c>
      <c r="G325" s="4" t="s">
        <v>20</v>
      </c>
      <c r="H325" s="5">
        <v>100000</v>
      </c>
      <c r="I325" s="4" t="s">
        <v>91</v>
      </c>
      <c r="J325" s="5">
        <f t="shared" si="5"/>
        <v>-87300</v>
      </c>
      <c r="K325" s="4" t="s">
        <v>24</v>
      </c>
      <c r="L325" s="6">
        <v>0.873</v>
      </c>
      <c r="M325" s="6">
        <v>1.1455</v>
      </c>
      <c r="N325" s="6">
        <v>4.2156000000000002</v>
      </c>
      <c r="O325" s="6">
        <v>4.8391000000000002</v>
      </c>
      <c r="P325" s="5">
        <v>-874.07360000000006</v>
      </c>
      <c r="Q325" s="4" t="s">
        <v>1391</v>
      </c>
    </row>
    <row r="326" spans="1:17" x14ac:dyDescent="0.3">
      <c r="A326" s="2" t="s">
        <v>1389</v>
      </c>
      <c r="B326" s="3">
        <v>154808</v>
      </c>
      <c r="C326" s="3">
        <v>887016</v>
      </c>
      <c r="D326" s="4" t="s">
        <v>81</v>
      </c>
      <c r="E326" s="4" t="s">
        <v>807</v>
      </c>
      <c r="F326" s="4" t="s">
        <v>83</v>
      </c>
      <c r="G326" s="4" t="s">
        <v>20</v>
      </c>
      <c r="H326" s="5">
        <v>-25000</v>
      </c>
      <c r="I326" s="4" t="s">
        <v>21</v>
      </c>
      <c r="J326" s="5">
        <f t="shared" si="5"/>
        <v>106177.49999999999</v>
      </c>
      <c r="K326" s="4" t="s">
        <v>24</v>
      </c>
      <c r="L326" s="6">
        <v>4.2470999999999997</v>
      </c>
      <c r="M326" s="6">
        <v>0.23549999999999999</v>
      </c>
      <c r="N326" s="6">
        <v>4.2156000000000002</v>
      </c>
      <c r="O326" s="6">
        <v>1</v>
      </c>
      <c r="P326" s="5">
        <v>787.5</v>
      </c>
      <c r="Q326" s="4" t="s">
        <v>1390</v>
      </c>
    </row>
    <row r="327" spans="1:17" x14ac:dyDescent="0.3">
      <c r="A327" s="2" t="s">
        <v>1389</v>
      </c>
      <c r="B327" s="3">
        <v>154809</v>
      </c>
      <c r="C327" s="3">
        <v>887017</v>
      </c>
      <c r="D327" s="4" t="s">
        <v>81</v>
      </c>
      <c r="E327" s="4" t="s">
        <v>732</v>
      </c>
      <c r="F327" s="4" t="s">
        <v>87</v>
      </c>
      <c r="G327" s="4" t="s">
        <v>20</v>
      </c>
      <c r="H327" s="5">
        <v>500000</v>
      </c>
      <c r="I327" s="4" t="s">
        <v>21</v>
      </c>
      <c r="J327" s="5">
        <f t="shared" si="5"/>
        <v>-2110000</v>
      </c>
      <c r="K327" s="4" t="s">
        <v>24</v>
      </c>
      <c r="L327" s="6">
        <v>4.22</v>
      </c>
      <c r="M327" s="6">
        <v>0.23699999999999999</v>
      </c>
      <c r="N327" s="6">
        <v>4.2156000000000002</v>
      </c>
      <c r="O327" s="6">
        <v>1</v>
      </c>
      <c r="P327" s="5">
        <v>-2200</v>
      </c>
      <c r="Q327" s="4" t="s">
        <v>1394</v>
      </c>
    </row>
    <row r="328" spans="1:17" x14ac:dyDescent="0.3">
      <c r="A328" s="2" t="s">
        <v>1389</v>
      </c>
      <c r="B328" s="3">
        <v>154810</v>
      </c>
      <c r="C328" s="3">
        <v>887021</v>
      </c>
      <c r="D328" s="4" t="s">
        <v>81</v>
      </c>
      <c r="E328" s="4" t="s">
        <v>734</v>
      </c>
      <c r="F328" s="4" t="s">
        <v>83</v>
      </c>
      <c r="G328" s="4" t="s">
        <v>20</v>
      </c>
      <c r="H328" s="5">
        <v>-100000</v>
      </c>
      <c r="I328" s="4" t="s">
        <v>34</v>
      </c>
      <c r="J328" s="5">
        <f t="shared" si="5"/>
        <v>117409.99999999999</v>
      </c>
      <c r="K328" s="4" t="s">
        <v>24</v>
      </c>
      <c r="L328" s="6">
        <v>1.1740999999999999</v>
      </c>
      <c r="M328" s="6">
        <v>0.85170000000000001</v>
      </c>
      <c r="N328" s="6">
        <v>4.2156000000000002</v>
      </c>
      <c r="O328" s="6">
        <v>3.5962999999999998</v>
      </c>
      <c r="P328" s="5">
        <v>674.3904</v>
      </c>
      <c r="Q328" s="4" t="s">
        <v>1393</v>
      </c>
    </row>
    <row r="329" spans="1:17" x14ac:dyDescent="0.3">
      <c r="A329" s="2" t="s">
        <v>1389</v>
      </c>
      <c r="B329" s="3">
        <v>154813</v>
      </c>
      <c r="C329" s="3">
        <v>887041</v>
      </c>
      <c r="D329" s="4" t="s">
        <v>81</v>
      </c>
      <c r="E329" s="4" t="s">
        <v>732</v>
      </c>
      <c r="F329" s="4" t="s">
        <v>87</v>
      </c>
      <c r="G329" s="4" t="s">
        <v>20</v>
      </c>
      <c r="H329" s="5">
        <v>500000</v>
      </c>
      <c r="I329" s="4" t="s">
        <v>21</v>
      </c>
      <c r="J329" s="5">
        <f t="shared" si="5"/>
        <v>-2109200</v>
      </c>
      <c r="K329" s="4" t="s">
        <v>24</v>
      </c>
      <c r="L329" s="6">
        <v>4.2183999999999999</v>
      </c>
      <c r="M329" s="6">
        <v>0.23710000000000001</v>
      </c>
      <c r="N329" s="6">
        <v>4.2156000000000002</v>
      </c>
      <c r="O329" s="6">
        <v>1</v>
      </c>
      <c r="P329" s="5">
        <v>-1385</v>
      </c>
      <c r="Q329" s="4" t="s">
        <v>1394</v>
      </c>
    </row>
    <row r="330" spans="1:17" x14ac:dyDescent="0.3">
      <c r="A330" s="2" t="s">
        <v>1389</v>
      </c>
      <c r="B330" s="3">
        <v>154814</v>
      </c>
      <c r="C330" s="3">
        <v>887042</v>
      </c>
      <c r="D330" s="4" t="s">
        <v>81</v>
      </c>
      <c r="E330" s="4" t="s">
        <v>732</v>
      </c>
      <c r="F330" s="4" t="s">
        <v>87</v>
      </c>
      <c r="G330" s="4" t="s">
        <v>20</v>
      </c>
      <c r="H330" s="5">
        <v>500000</v>
      </c>
      <c r="I330" s="4" t="s">
        <v>21</v>
      </c>
      <c r="J330" s="5">
        <f t="shared" si="5"/>
        <v>-2109300</v>
      </c>
      <c r="K330" s="4" t="s">
        <v>24</v>
      </c>
      <c r="L330" s="6">
        <v>4.2186000000000003</v>
      </c>
      <c r="M330" s="6">
        <v>0.23699999999999999</v>
      </c>
      <c r="N330" s="6">
        <v>4.2156000000000002</v>
      </c>
      <c r="O330" s="6">
        <v>1</v>
      </c>
      <c r="P330" s="5">
        <v>-1485</v>
      </c>
      <c r="Q330" s="4" t="s">
        <v>1394</v>
      </c>
    </row>
    <row r="331" spans="1:17" x14ac:dyDescent="0.3">
      <c r="A331" s="2" t="s">
        <v>1389</v>
      </c>
      <c r="B331" s="3">
        <v>154817</v>
      </c>
      <c r="C331" s="3">
        <v>887075</v>
      </c>
      <c r="D331" s="4" t="s">
        <v>81</v>
      </c>
      <c r="E331" s="4" t="s">
        <v>736</v>
      </c>
      <c r="F331" s="4" t="s">
        <v>87</v>
      </c>
      <c r="G331" s="4" t="s">
        <v>74</v>
      </c>
      <c r="H331" s="5">
        <v>1150000</v>
      </c>
      <c r="I331" s="4" t="s">
        <v>21</v>
      </c>
      <c r="J331" s="5">
        <f t="shared" si="5"/>
        <v>-410435</v>
      </c>
      <c r="K331" s="4" t="s">
        <v>24</v>
      </c>
      <c r="L331" s="6">
        <v>0.3569</v>
      </c>
      <c r="M331" s="6">
        <v>2.8018999999999998</v>
      </c>
      <c r="N331" s="6">
        <v>0.35699999999999998</v>
      </c>
      <c r="O331" s="6">
        <v>1</v>
      </c>
      <c r="P331" s="5">
        <v>115</v>
      </c>
      <c r="Q331" s="4" t="s">
        <v>1390</v>
      </c>
    </row>
    <row r="332" spans="1:17" x14ac:dyDescent="0.3">
      <c r="A332" s="2" t="s">
        <v>1389</v>
      </c>
      <c r="B332" s="3">
        <v>154818</v>
      </c>
      <c r="C332" s="3">
        <v>887082</v>
      </c>
      <c r="D332" s="4" t="s">
        <v>81</v>
      </c>
      <c r="E332" s="4" t="s">
        <v>744</v>
      </c>
      <c r="F332" s="4" t="s">
        <v>87</v>
      </c>
      <c r="G332" s="4" t="s">
        <v>20</v>
      </c>
      <c r="H332" s="5">
        <v>100000</v>
      </c>
      <c r="I332" s="4" t="s">
        <v>74</v>
      </c>
      <c r="J332" s="5">
        <f t="shared" si="5"/>
        <v>-1181870</v>
      </c>
      <c r="K332" s="4" t="s">
        <v>24</v>
      </c>
      <c r="L332" s="6">
        <v>11.8187</v>
      </c>
      <c r="M332" s="6">
        <v>8.4599999999999995E-2</v>
      </c>
      <c r="N332" s="6">
        <v>4.2156000000000002</v>
      </c>
      <c r="O332" s="6">
        <v>0.35699999999999998</v>
      </c>
      <c r="P332" s="5">
        <v>-367.59</v>
      </c>
      <c r="Q332" s="4" t="s">
        <v>1395</v>
      </c>
    </row>
    <row r="333" spans="1:17" x14ac:dyDescent="0.3">
      <c r="A333" s="2" t="s">
        <v>1389</v>
      </c>
      <c r="B333" s="3">
        <v>154823</v>
      </c>
      <c r="C333" s="3">
        <v>887113</v>
      </c>
      <c r="D333" s="4" t="s">
        <v>81</v>
      </c>
      <c r="E333" s="4" t="s">
        <v>1114</v>
      </c>
      <c r="F333" s="4" t="s">
        <v>83</v>
      </c>
      <c r="G333" s="4" t="s">
        <v>20</v>
      </c>
      <c r="H333" s="5">
        <v>-100000</v>
      </c>
      <c r="I333" s="4" t="s">
        <v>21</v>
      </c>
      <c r="J333" s="5">
        <f t="shared" si="5"/>
        <v>422000</v>
      </c>
      <c r="K333" s="4" t="s">
        <v>24</v>
      </c>
      <c r="L333" s="6">
        <v>4.22</v>
      </c>
      <c r="M333" s="6">
        <v>0.23699999999999999</v>
      </c>
      <c r="N333" s="6">
        <v>4.2156000000000002</v>
      </c>
      <c r="O333" s="6">
        <v>1</v>
      </c>
      <c r="P333" s="5">
        <v>440</v>
      </c>
      <c r="Q333" s="4" t="s">
        <v>1390</v>
      </c>
    </row>
    <row r="334" spans="1:17" x14ac:dyDescent="0.3">
      <c r="A334" s="2" t="s">
        <v>1389</v>
      </c>
      <c r="B334" s="3">
        <v>154825</v>
      </c>
      <c r="C334" s="3">
        <v>887126</v>
      </c>
      <c r="D334" s="4" t="s">
        <v>81</v>
      </c>
      <c r="E334" s="4" t="s">
        <v>1090</v>
      </c>
      <c r="F334" s="4" t="s">
        <v>87</v>
      </c>
      <c r="G334" s="4" t="s">
        <v>20</v>
      </c>
      <c r="H334" s="5">
        <v>12000</v>
      </c>
      <c r="I334" s="4" t="s">
        <v>21</v>
      </c>
      <c r="J334" s="5">
        <f t="shared" si="5"/>
        <v>-50468.4</v>
      </c>
      <c r="K334" s="4" t="s">
        <v>24</v>
      </c>
      <c r="L334" s="6">
        <v>4.2057000000000002</v>
      </c>
      <c r="M334" s="6">
        <v>0.23780000000000001</v>
      </c>
      <c r="N334" s="6">
        <v>4.2156000000000002</v>
      </c>
      <c r="O334" s="6">
        <v>1</v>
      </c>
      <c r="P334" s="5">
        <v>118.8</v>
      </c>
      <c r="Q334" s="4" t="s">
        <v>1390</v>
      </c>
    </row>
    <row r="335" spans="1:17" x14ac:dyDescent="0.3">
      <c r="A335" s="2" t="s">
        <v>1389</v>
      </c>
      <c r="B335" s="3">
        <v>154827</v>
      </c>
      <c r="C335" s="3">
        <v>887135</v>
      </c>
      <c r="D335" s="4" t="s">
        <v>81</v>
      </c>
      <c r="E335" s="4" t="s">
        <v>1090</v>
      </c>
      <c r="F335" s="4" t="s">
        <v>87</v>
      </c>
      <c r="G335" s="4" t="s">
        <v>20</v>
      </c>
      <c r="H335" s="5">
        <v>36000</v>
      </c>
      <c r="I335" s="4" t="s">
        <v>21</v>
      </c>
      <c r="J335" s="5">
        <f t="shared" si="5"/>
        <v>-151398</v>
      </c>
      <c r="K335" s="4" t="s">
        <v>24</v>
      </c>
      <c r="L335" s="6">
        <v>4.2054999999999998</v>
      </c>
      <c r="M335" s="6">
        <v>0.23780000000000001</v>
      </c>
      <c r="N335" s="6">
        <v>4.2156000000000002</v>
      </c>
      <c r="O335" s="6">
        <v>1</v>
      </c>
      <c r="P335" s="5">
        <v>363.6</v>
      </c>
      <c r="Q335" s="4" t="s">
        <v>1390</v>
      </c>
    </row>
    <row r="336" spans="1:17" x14ac:dyDescent="0.3">
      <c r="A336" s="2" t="s">
        <v>1389</v>
      </c>
      <c r="B336" s="3">
        <v>154829</v>
      </c>
      <c r="C336" s="3">
        <v>887160</v>
      </c>
      <c r="D336" s="4" t="s">
        <v>81</v>
      </c>
      <c r="E336" s="4" t="s">
        <v>733</v>
      </c>
      <c r="F336" s="4" t="s">
        <v>83</v>
      </c>
      <c r="G336" s="4" t="s">
        <v>20</v>
      </c>
      <c r="H336" s="5">
        <v>-500000</v>
      </c>
      <c r="I336" s="4" t="s">
        <v>21</v>
      </c>
      <c r="J336" s="5">
        <f t="shared" si="5"/>
        <v>2110350</v>
      </c>
      <c r="K336" s="4" t="s">
        <v>24</v>
      </c>
      <c r="L336" s="6">
        <v>4.2206999999999999</v>
      </c>
      <c r="M336" s="6">
        <v>0.2369</v>
      </c>
      <c r="N336" s="6">
        <v>4.2156000000000002</v>
      </c>
      <c r="O336" s="6">
        <v>1</v>
      </c>
      <c r="P336" s="5">
        <v>2530</v>
      </c>
      <c r="Q336" s="4" t="s">
        <v>1391</v>
      </c>
    </row>
    <row r="337" spans="1:17" x14ac:dyDescent="0.3">
      <c r="A337" s="2" t="s">
        <v>1389</v>
      </c>
      <c r="B337" s="3">
        <v>154831</v>
      </c>
      <c r="C337" s="3">
        <v>887167</v>
      </c>
      <c r="D337" s="4" t="s">
        <v>81</v>
      </c>
      <c r="E337" s="4" t="s">
        <v>735</v>
      </c>
      <c r="F337" s="4" t="s">
        <v>87</v>
      </c>
      <c r="G337" s="4" t="s">
        <v>20</v>
      </c>
      <c r="H337" s="5">
        <v>100000</v>
      </c>
      <c r="I337" s="4" t="s">
        <v>91</v>
      </c>
      <c r="J337" s="5">
        <f t="shared" si="5"/>
        <v>-87240</v>
      </c>
      <c r="K337" s="4" t="s">
        <v>24</v>
      </c>
      <c r="L337" s="6">
        <v>0.87239999999999995</v>
      </c>
      <c r="M337" s="6">
        <v>1.1463000000000001</v>
      </c>
      <c r="N337" s="6">
        <v>4.2156000000000002</v>
      </c>
      <c r="O337" s="6">
        <v>4.8391000000000002</v>
      </c>
      <c r="P337" s="5">
        <v>-603.08399999999995</v>
      </c>
      <c r="Q337" s="4" t="s">
        <v>1394</v>
      </c>
    </row>
    <row r="338" spans="1:17" x14ac:dyDescent="0.3">
      <c r="A338" s="2" t="s">
        <v>1389</v>
      </c>
      <c r="B338" s="3">
        <v>154842</v>
      </c>
      <c r="C338" s="3">
        <v>887191</v>
      </c>
      <c r="D338" s="4" t="s">
        <v>81</v>
      </c>
      <c r="E338" s="4" t="s">
        <v>734</v>
      </c>
      <c r="F338" s="4" t="s">
        <v>83</v>
      </c>
      <c r="G338" s="4" t="s">
        <v>20</v>
      </c>
      <c r="H338" s="5">
        <v>-500000</v>
      </c>
      <c r="I338" s="4" t="s">
        <v>21</v>
      </c>
      <c r="J338" s="5">
        <f t="shared" si="5"/>
        <v>2110650</v>
      </c>
      <c r="K338" s="4" t="s">
        <v>24</v>
      </c>
      <c r="L338" s="6">
        <v>4.2213000000000003</v>
      </c>
      <c r="M338" s="6">
        <v>0.2369</v>
      </c>
      <c r="N338" s="6">
        <v>4.2156000000000002</v>
      </c>
      <c r="O338" s="6">
        <v>1</v>
      </c>
      <c r="P338" s="5">
        <v>2850</v>
      </c>
      <c r="Q338" s="4" t="s">
        <v>1393</v>
      </c>
    </row>
    <row r="339" spans="1:17" x14ac:dyDescent="0.3">
      <c r="A339" s="2" t="s">
        <v>1389</v>
      </c>
      <c r="B339" s="3">
        <v>154843</v>
      </c>
      <c r="C339" s="3">
        <v>887192</v>
      </c>
      <c r="D339" s="4" t="s">
        <v>81</v>
      </c>
      <c r="E339" s="4" t="s">
        <v>733</v>
      </c>
      <c r="F339" s="4" t="s">
        <v>83</v>
      </c>
      <c r="G339" s="4" t="s">
        <v>20</v>
      </c>
      <c r="H339" s="5">
        <v>-500000</v>
      </c>
      <c r="I339" s="4" t="s">
        <v>21</v>
      </c>
      <c r="J339" s="5">
        <f t="shared" si="5"/>
        <v>2111050</v>
      </c>
      <c r="K339" s="4" t="s">
        <v>24</v>
      </c>
      <c r="L339" s="6">
        <v>4.2221000000000002</v>
      </c>
      <c r="M339" s="6">
        <v>0.23680000000000001</v>
      </c>
      <c r="N339" s="6">
        <v>4.2156000000000002</v>
      </c>
      <c r="O339" s="6">
        <v>1</v>
      </c>
      <c r="P339" s="5">
        <v>3260</v>
      </c>
      <c r="Q339" s="4" t="s">
        <v>1391</v>
      </c>
    </row>
    <row r="340" spans="1:17" x14ac:dyDescent="0.3">
      <c r="A340" s="2" t="s">
        <v>1389</v>
      </c>
      <c r="B340" s="3">
        <v>154866</v>
      </c>
      <c r="C340" s="3">
        <v>887266</v>
      </c>
      <c r="D340" s="4" t="s">
        <v>81</v>
      </c>
      <c r="E340" s="4" t="s">
        <v>725</v>
      </c>
      <c r="F340" s="4" t="s">
        <v>83</v>
      </c>
      <c r="G340" s="4" t="s">
        <v>20</v>
      </c>
      <c r="H340" s="5">
        <v>-4000000</v>
      </c>
      <c r="I340" s="4" t="s">
        <v>93</v>
      </c>
      <c r="J340" s="5">
        <f t="shared" si="5"/>
        <v>3720400</v>
      </c>
      <c r="K340" s="4" t="s">
        <v>105</v>
      </c>
      <c r="L340" s="6">
        <v>0.93010000000000004</v>
      </c>
      <c r="M340" s="6">
        <v>1.0750999999999999</v>
      </c>
      <c r="N340" s="6">
        <v>4.2110000000000003</v>
      </c>
      <c r="O340" s="6">
        <v>4.5263</v>
      </c>
      <c r="P340" s="5">
        <v>-4172.4279999999999</v>
      </c>
      <c r="Q340" s="4" t="s">
        <v>1392</v>
      </c>
    </row>
    <row r="341" spans="1:17" x14ac:dyDescent="0.3">
      <c r="A341" s="2" t="s">
        <v>1389</v>
      </c>
      <c r="B341" s="3">
        <v>154867</v>
      </c>
      <c r="C341" s="3">
        <v>887267</v>
      </c>
      <c r="D341" s="4" t="s">
        <v>81</v>
      </c>
      <c r="E341" s="4" t="s">
        <v>732</v>
      </c>
      <c r="F341" s="4" t="s">
        <v>87</v>
      </c>
      <c r="G341" s="4" t="s">
        <v>20</v>
      </c>
      <c r="H341" s="5">
        <v>500000</v>
      </c>
      <c r="I341" s="4" t="s">
        <v>21</v>
      </c>
      <c r="J341" s="5">
        <f t="shared" si="5"/>
        <v>-2110100</v>
      </c>
      <c r="K341" s="4" t="s">
        <v>24</v>
      </c>
      <c r="L341" s="6">
        <v>4.2202000000000002</v>
      </c>
      <c r="M341" s="6">
        <v>0.23699999999999999</v>
      </c>
      <c r="N341" s="6">
        <v>4.2156000000000002</v>
      </c>
      <c r="O341" s="6">
        <v>1</v>
      </c>
      <c r="P341" s="5">
        <v>-2295</v>
      </c>
      <c r="Q341" s="4" t="s">
        <v>1394</v>
      </c>
    </row>
    <row r="342" spans="1:17" x14ac:dyDescent="0.3">
      <c r="A342" s="2" t="s">
        <v>1389</v>
      </c>
      <c r="B342" s="3">
        <v>154868</v>
      </c>
      <c r="C342" s="3">
        <v>887269</v>
      </c>
      <c r="D342" s="4" t="s">
        <v>81</v>
      </c>
      <c r="E342" s="4" t="s">
        <v>730</v>
      </c>
      <c r="F342" s="4" t="s">
        <v>87</v>
      </c>
      <c r="G342" s="4" t="s">
        <v>20</v>
      </c>
      <c r="H342" s="5">
        <v>500000</v>
      </c>
      <c r="I342" s="4" t="s">
        <v>21</v>
      </c>
      <c r="J342" s="5">
        <f t="shared" si="5"/>
        <v>-2110150</v>
      </c>
      <c r="K342" s="4" t="s">
        <v>24</v>
      </c>
      <c r="L342" s="6">
        <v>4.2202999999999999</v>
      </c>
      <c r="M342" s="6">
        <v>0.23699999999999999</v>
      </c>
      <c r="N342" s="6">
        <v>4.2156000000000002</v>
      </c>
      <c r="O342" s="6">
        <v>1</v>
      </c>
      <c r="P342" s="5">
        <v>-2330</v>
      </c>
      <c r="Q342" s="4" t="s">
        <v>1396</v>
      </c>
    </row>
    <row r="343" spans="1:17" x14ac:dyDescent="0.3">
      <c r="A343" s="2" t="s">
        <v>1389</v>
      </c>
      <c r="B343" s="3">
        <v>154869</v>
      </c>
      <c r="C343" s="3">
        <v>887272</v>
      </c>
      <c r="D343" s="4" t="s">
        <v>81</v>
      </c>
      <c r="E343" s="4" t="s">
        <v>732</v>
      </c>
      <c r="F343" s="4" t="s">
        <v>87</v>
      </c>
      <c r="G343" s="4" t="s">
        <v>20</v>
      </c>
      <c r="H343" s="5">
        <v>500000</v>
      </c>
      <c r="I343" s="4" t="s">
        <v>21</v>
      </c>
      <c r="J343" s="5">
        <f t="shared" si="5"/>
        <v>-2110150</v>
      </c>
      <c r="K343" s="4" t="s">
        <v>24</v>
      </c>
      <c r="L343" s="6">
        <v>4.2202999999999999</v>
      </c>
      <c r="M343" s="6">
        <v>0.2369</v>
      </c>
      <c r="N343" s="6">
        <v>4.2156000000000002</v>
      </c>
      <c r="O343" s="6">
        <v>1</v>
      </c>
      <c r="P343" s="5">
        <v>-2375</v>
      </c>
      <c r="Q343" s="4" t="s">
        <v>1394</v>
      </c>
    </row>
    <row r="344" spans="1:17" x14ac:dyDescent="0.3">
      <c r="A344" s="2" t="s">
        <v>1389</v>
      </c>
      <c r="B344" s="3">
        <v>154870</v>
      </c>
      <c r="C344" s="3">
        <v>887275</v>
      </c>
      <c r="D344" s="4" t="s">
        <v>81</v>
      </c>
      <c r="E344" s="4" t="s">
        <v>734</v>
      </c>
      <c r="F344" s="4" t="s">
        <v>87</v>
      </c>
      <c r="G344" s="4" t="s">
        <v>20</v>
      </c>
      <c r="H344" s="5">
        <v>100000</v>
      </c>
      <c r="I344" s="4" t="s">
        <v>34</v>
      </c>
      <c r="J344" s="5">
        <f t="shared" si="5"/>
        <v>-117400</v>
      </c>
      <c r="K344" s="4" t="s">
        <v>24</v>
      </c>
      <c r="L344" s="6">
        <v>1.1739999999999999</v>
      </c>
      <c r="M344" s="6">
        <v>0.8518</v>
      </c>
      <c r="N344" s="6">
        <v>4.2156000000000002</v>
      </c>
      <c r="O344" s="6">
        <v>3.5962999999999998</v>
      </c>
      <c r="P344" s="5">
        <v>-652.81259999999997</v>
      </c>
      <c r="Q344" s="4" t="s">
        <v>1393</v>
      </c>
    </row>
    <row r="345" spans="1:17" x14ac:dyDescent="0.3">
      <c r="A345" s="2" t="s">
        <v>1389</v>
      </c>
      <c r="B345" s="3">
        <v>154871</v>
      </c>
      <c r="C345" s="3">
        <v>887278</v>
      </c>
      <c r="D345" s="4" t="s">
        <v>81</v>
      </c>
      <c r="E345" s="4" t="s">
        <v>734</v>
      </c>
      <c r="F345" s="4" t="s">
        <v>87</v>
      </c>
      <c r="G345" s="4" t="s">
        <v>20</v>
      </c>
      <c r="H345" s="5">
        <v>500000</v>
      </c>
      <c r="I345" s="4" t="s">
        <v>21</v>
      </c>
      <c r="J345" s="5">
        <f t="shared" si="5"/>
        <v>-2110050</v>
      </c>
      <c r="K345" s="4" t="s">
        <v>24</v>
      </c>
      <c r="L345" s="6">
        <v>4.2201000000000004</v>
      </c>
      <c r="M345" s="6">
        <v>0.23699999999999999</v>
      </c>
      <c r="N345" s="6">
        <v>4.2156000000000002</v>
      </c>
      <c r="O345" s="6">
        <v>1</v>
      </c>
      <c r="P345" s="5">
        <v>-2250</v>
      </c>
      <c r="Q345" s="4" t="s">
        <v>1393</v>
      </c>
    </row>
    <row r="346" spans="1:17" x14ac:dyDescent="0.3">
      <c r="A346" s="2" t="s">
        <v>1389</v>
      </c>
      <c r="B346" s="3">
        <v>154872</v>
      </c>
      <c r="C346" s="3">
        <v>887281</v>
      </c>
      <c r="D346" s="4" t="s">
        <v>81</v>
      </c>
      <c r="E346" s="4" t="s">
        <v>732</v>
      </c>
      <c r="F346" s="4" t="s">
        <v>87</v>
      </c>
      <c r="G346" s="4" t="s">
        <v>20</v>
      </c>
      <c r="H346" s="5">
        <v>500000</v>
      </c>
      <c r="I346" s="4" t="s">
        <v>21</v>
      </c>
      <c r="J346" s="5">
        <f t="shared" si="5"/>
        <v>-2110050</v>
      </c>
      <c r="K346" s="4" t="s">
        <v>24</v>
      </c>
      <c r="L346" s="6">
        <v>4.2201000000000004</v>
      </c>
      <c r="M346" s="6">
        <v>0.23699999999999999</v>
      </c>
      <c r="N346" s="6">
        <v>4.2156000000000002</v>
      </c>
      <c r="O346" s="6">
        <v>1</v>
      </c>
      <c r="P346" s="5">
        <v>-2255</v>
      </c>
      <c r="Q346" s="4" t="s">
        <v>1394</v>
      </c>
    </row>
    <row r="347" spans="1:17" x14ac:dyDescent="0.3">
      <c r="A347" s="2" t="s">
        <v>1389</v>
      </c>
      <c r="B347" s="3">
        <v>154873</v>
      </c>
      <c r="C347" s="3">
        <v>887292</v>
      </c>
      <c r="D347" s="4" t="s">
        <v>81</v>
      </c>
      <c r="E347" s="4" t="s">
        <v>725</v>
      </c>
      <c r="F347" s="4" t="s">
        <v>83</v>
      </c>
      <c r="G347" s="4" t="s">
        <v>20</v>
      </c>
      <c r="H347" s="5">
        <v>-200000</v>
      </c>
      <c r="I347" s="4" t="s">
        <v>91</v>
      </c>
      <c r="J347" s="5">
        <f t="shared" si="5"/>
        <v>174580</v>
      </c>
      <c r="K347" s="4" t="s">
        <v>24</v>
      </c>
      <c r="L347" s="6">
        <v>0.87290000000000001</v>
      </c>
      <c r="M347" s="6">
        <v>1.1456</v>
      </c>
      <c r="N347" s="6">
        <v>4.2156000000000002</v>
      </c>
      <c r="O347" s="6">
        <v>4.8391000000000002</v>
      </c>
      <c r="P347" s="5">
        <v>1670.7216000000001</v>
      </c>
      <c r="Q347" s="4" t="s">
        <v>1392</v>
      </c>
    </row>
    <row r="348" spans="1:17" x14ac:dyDescent="0.3">
      <c r="A348" s="2" t="s">
        <v>1389</v>
      </c>
      <c r="B348" s="3">
        <v>154874</v>
      </c>
      <c r="C348" s="3">
        <v>887293</v>
      </c>
      <c r="D348" s="4" t="s">
        <v>81</v>
      </c>
      <c r="E348" s="4" t="s">
        <v>733</v>
      </c>
      <c r="F348" s="4" t="s">
        <v>83</v>
      </c>
      <c r="G348" s="4" t="s">
        <v>20</v>
      </c>
      <c r="H348" s="5">
        <v>-500000</v>
      </c>
      <c r="I348" s="4" t="s">
        <v>21</v>
      </c>
      <c r="J348" s="5">
        <f t="shared" si="5"/>
        <v>2110350</v>
      </c>
      <c r="K348" s="4" t="s">
        <v>24</v>
      </c>
      <c r="L348" s="6">
        <v>4.2206999999999999</v>
      </c>
      <c r="M348" s="6">
        <v>0.2369</v>
      </c>
      <c r="N348" s="6">
        <v>4.2156000000000002</v>
      </c>
      <c r="O348" s="6">
        <v>1</v>
      </c>
      <c r="P348" s="5">
        <v>2535</v>
      </c>
      <c r="Q348" s="4" t="s">
        <v>1391</v>
      </c>
    </row>
    <row r="349" spans="1:17" x14ac:dyDescent="0.3">
      <c r="A349" s="2" t="s">
        <v>1389</v>
      </c>
      <c r="B349" s="3">
        <v>154875</v>
      </c>
      <c r="C349" s="3">
        <v>887294</v>
      </c>
      <c r="D349" s="4" t="s">
        <v>81</v>
      </c>
      <c r="E349" s="4" t="s">
        <v>733</v>
      </c>
      <c r="F349" s="4" t="s">
        <v>83</v>
      </c>
      <c r="G349" s="4" t="s">
        <v>20</v>
      </c>
      <c r="H349" s="5">
        <v>-500000</v>
      </c>
      <c r="I349" s="4" t="s">
        <v>21</v>
      </c>
      <c r="J349" s="5">
        <f t="shared" si="5"/>
        <v>2110300</v>
      </c>
      <c r="K349" s="4" t="s">
        <v>24</v>
      </c>
      <c r="L349" s="6">
        <v>4.2206000000000001</v>
      </c>
      <c r="M349" s="6">
        <v>0.2369</v>
      </c>
      <c r="N349" s="6">
        <v>4.2156000000000002</v>
      </c>
      <c r="O349" s="6">
        <v>1</v>
      </c>
      <c r="P349" s="5">
        <v>2485</v>
      </c>
      <c r="Q349" s="4" t="s">
        <v>1391</v>
      </c>
    </row>
    <row r="350" spans="1:17" x14ac:dyDescent="0.3">
      <c r="A350" s="2" t="s">
        <v>1389</v>
      </c>
      <c r="B350" s="3">
        <v>154876</v>
      </c>
      <c r="C350" s="3">
        <v>887322</v>
      </c>
      <c r="D350" s="4" t="s">
        <v>81</v>
      </c>
      <c r="E350" s="4" t="s">
        <v>735</v>
      </c>
      <c r="F350" s="4" t="s">
        <v>87</v>
      </c>
      <c r="G350" s="4" t="s">
        <v>20</v>
      </c>
      <c r="H350" s="5">
        <v>2400000</v>
      </c>
      <c r="I350" s="4" t="s">
        <v>21</v>
      </c>
      <c r="J350" s="5">
        <f t="shared" si="5"/>
        <v>-10130400</v>
      </c>
      <c r="K350" s="4" t="s">
        <v>24</v>
      </c>
      <c r="L350" s="6">
        <v>4.2210000000000001</v>
      </c>
      <c r="M350" s="6">
        <v>0.2369</v>
      </c>
      <c r="N350" s="6">
        <v>4.2156000000000002</v>
      </c>
      <c r="O350" s="6">
        <v>1</v>
      </c>
      <c r="P350" s="5">
        <v>-12960</v>
      </c>
      <c r="Q350" s="4" t="s">
        <v>1394</v>
      </c>
    </row>
    <row r="351" spans="1:17" x14ac:dyDescent="0.3">
      <c r="A351" s="2" t="s">
        <v>1389</v>
      </c>
      <c r="B351" s="3">
        <v>154878</v>
      </c>
      <c r="C351" s="3">
        <v>887327</v>
      </c>
      <c r="D351" s="4" t="s">
        <v>81</v>
      </c>
      <c r="E351" s="4" t="s">
        <v>730</v>
      </c>
      <c r="F351" s="4" t="s">
        <v>83</v>
      </c>
      <c r="G351" s="4" t="s">
        <v>20</v>
      </c>
      <c r="H351" s="5">
        <v>-100000</v>
      </c>
      <c r="I351" s="4" t="s">
        <v>110</v>
      </c>
      <c r="J351" s="5">
        <f t="shared" si="5"/>
        <v>175830</v>
      </c>
      <c r="K351" s="4" t="s">
        <v>24</v>
      </c>
      <c r="L351" s="6">
        <v>1.7583</v>
      </c>
      <c r="M351" s="6">
        <v>0.56869999999999998</v>
      </c>
      <c r="N351" s="6">
        <v>4.2156000000000002</v>
      </c>
      <c r="O351" s="6">
        <v>2.4091999999999998</v>
      </c>
      <c r="P351" s="5">
        <v>2059.2728000000002</v>
      </c>
      <c r="Q351" s="4" t="s">
        <v>1396</v>
      </c>
    </row>
    <row r="352" spans="1:17" x14ac:dyDescent="0.3">
      <c r="A352" s="2" t="s">
        <v>1389</v>
      </c>
      <c r="B352" s="3">
        <v>154879</v>
      </c>
      <c r="C352" s="3">
        <v>887328</v>
      </c>
      <c r="D352" s="4" t="s">
        <v>81</v>
      </c>
      <c r="E352" s="4" t="s">
        <v>733</v>
      </c>
      <c r="F352" s="4" t="s">
        <v>83</v>
      </c>
      <c r="G352" s="4" t="s">
        <v>20</v>
      </c>
      <c r="H352" s="5">
        <v>-500000</v>
      </c>
      <c r="I352" s="4" t="s">
        <v>21</v>
      </c>
      <c r="J352" s="5">
        <f t="shared" si="5"/>
        <v>2110750</v>
      </c>
      <c r="K352" s="4" t="s">
        <v>24</v>
      </c>
      <c r="L352" s="6">
        <v>4.2214999999999998</v>
      </c>
      <c r="M352" s="6">
        <v>0.2369</v>
      </c>
      <c r="N352" s="6">
        <v>4.2156000000000002</v>
      </c>
      <c r="O352" s="6">
        <v>1</v>
      </c>
      <c r="P352" s="5">
        <v>2950</v>
      </c>
      <c r="Q352" s="4" t="s">
        <v>1391</v>
      </c>
    </row>
    <row r="353" spans="1:17" x14ac:dyDescent="0.3">
      <c r="A353" s="2" t="s">
        <v>1389</v>
      </c>
      <c r="B353" s="3">
        <v>154880</v>
      </c>
      <c r="C353" s="3">
        <v>887329</v>
      </c>
      <c r="D353" s="4" t="s">
        <v>81</v>
      </c>
      <c r="E353" s="4" t="s">
        <v>733</v>
      </c>
      <c r="F353" s="4" t="s">
        <v>83</v>
      </c>
      <c r="G353" s="4" t="s">
        <v>20</v>
      </c>
      <c r="H353" s="5">
        <v>-500000</v>
      </c>
      <c r="I353" s="4" t="s">
        <v>21</v>
      </c>
      <c r="J353" s="5">
        <f t="shared" si="5"/>
        <v>2110800</v>
      </c>
      <c r="K353" s="4" t="s">
        <v>24</v>
      </c>
      <c r="L353" s="6">
        <v>4.2215999999999996</v>
      </c>
      <c r="M353" s="6">
        <v>0.2369</v>
      </c>
      <c r="N353" s="6">
        <v>4.2156000000000002</v>
      </c>
      <c r="O353" s="6">
        <v>1</v>
      </c>
      <c r="P353" s="5">
        <v>2995</v>
      </c>
      <c r="Q353" s="4" t="s">
        <v>1391</v>
      </c>
    </row>
    <row r="354" spans="1:17" x14ac:dyDescent="0.3">
      <c r="A354" s="2" t="s">
        <v>1389</v>
      </c>
      <c r="B354" s="3">
        <v>154881</v>
      </c>
      <c r="C354" s="3">
        <v>887342</v>
      </c>
      <c r="D354" s="4" t="s">
        <v>81</v>
      </c>
      <c r="E354" s="4" t="s">
        <v>733</v>
      </c>
      <c r="F354" s="4" t="s">
        <v>83</v>
      </c>
      <c r="G354" s="4" t="s">
        <v>20</v>
      </c>
      <c r="H354" s="5">
        <v>-500000</v>
      </c>
      <c r="I354" s="4" t="s">
        <v>21</v>
      </c>
      <c r="J354" s="5">
        <f t="shared" si="5"/>
        <v>2111250</v>
      </c>
      <c r="K354" s="4" t="s">
        <v>24</v>
      </c>
      <c r="L354" s="6">
        <v>4.2225000000000001</v>
      </c>
      <c r="M354" s="6">
        <v>0.23680000000000001</v>
      </c>
      <c r="N354" s="6">
        <v>4.2156000000000002</v>
      </c>
      <c r="O354" s="6">
        <v>1</v>
      </c>
      <c r="P354" s="5">
        <v>3465</v>
      </c>
      <c r="Q354" s="4" t="s">
        <v>1391</v>
      </c>
    </row>
    <row r="355" spans="1:17" x14ac:dyDescent="0.3">
      <c r="A355" s="2" t="s">
        <v>1389</v>
      </c>
      <c r="B355" s="3">
        <v>154883</v>
      </c>
      <c r="C355" s="3">
        <v>887349</v>
      </c>
      <c r="D355" s="4" t="s">
        <v>81</v>
      </c>
      <c r="E355" s="4" t="s">
        <v>725</v>
      </c>
      <c r="F355" s="4" t="s">
        <v>83</v>
      </c>
      <c r="G355" s="4" t="s">
        <v>20</v>
      </c>
      <c r="H355" s="5">
        <v>-500000</v>
      </c>
      <c r="I355" s="4" t="s">
        <v>21</v>
      </c>
      <c r="J355" s="5">
        <f t="shared" si="5"/>
        <v>2111750</v>
      </c>
      <c r="K355" s="4" t="s">
        <v>24</v>
      </c>
      <c r="L355" s="6">
        <v>4.2234999999999996</v>
      </c>
      <c r="M355" s="6">
        <v>0.23680000000000001</v>
      </c>
      <c r="N355" s="6">
        <v>4.2156000000000002</v>
      </c>
      <c r="O355" s="6">
        <v>1</v>
      </c>
      <c r="P355" s="5">
        <v>3945</v>
      </c>
      <c r="Q355" s="4" t="s">
        <v>1392</v>
      </c>
    </row>
    <row r="356" spans="1:17" x14ac:dyDescent="0.3">
      <c r="A356" s="2" t="s">
        <v>1389</v>
      </c>
      <c r="B356" s="3">
        <v>154891</v>
      </c>
      <c r="C356" s="3">
        <v>887359</v>
      </c>
      <c r="D356" s="4" t="s">
        <v>81</v>
      </c>
      <c r="E356" s="4" t="s">
        <v>733</v>
      </c>
      <c r="F356" s="4" t="s">
        <v>83</v>
      </c>
      <c r="G356" s="4" t="s">
        <v>20</v>
      </c>
      <c r="H356" s="5">
        <v>-500000</v>
      </c>
      <c r="I356" s="4" t="s">
        <v>21</v>
      </c>
      <c r="J356" s="5">
        <f t="shared" si="5"/>
        <v>2112250</v>
      </c>
      <c r="K356" s="4" t="s">
        <v>24</v>
      </c>
      <c r="L356" s="6">
        <v>4.2244999999999999</v>
      </c>
      <c r="M356" s="6">
        <v>0.23669999999999999</v>
      </c>
      <c r="N356" s="6">
        <v>4.2156000000000002</v>
      </c>
      <c r="O356" s="6">
        <v>1</v>
      </c>
      <c r="P356" s="5">
        <v>4425</v>
      </c>
      <c r="Q356" s="4" t="s">
        <v>1391</v>
      </c>
    </row>
    <row r="357" spans="1:17" x14ac:dyDescent="0.3">
      <c r="A357" s="2" t="s">
        <v>1389</v>
      </c>
      <c r="B357" s="3">
        <v>154892</v>
      </c>
      <c r="C357" s="3">
        <v>887366</v>
      </c>
      <c r="D357" s="4" t="s">
        <v>81</v>
      </c>
      <c r="E357" s="4" t="s">
        <v>725</v>
      </c>
      <c r="F357" s="4" t="s">
        <v>83</v>
      </c>
      <c r="G357" s="4" t="s">
        <v>20</v>
      </c>
      <c r="H357" s="5">
        <v>-500000</v>
      </c>
      <c r="I357" s="4" t="s">
        <v>21</v>
      </c>
      <c r="J357" s="5">
        <f t="shared" si="5"/>
        <v>2113100</v>
      </c>
      <c r="K357" s="4" t="s">
        <v>24</v>
      </c>
      <c r="L357" s="6">
        <v>4.2262000000000004</v>
      </c>
      <c r="M357" s="6">
        <v>0.2366</v>
      </c>
      <c r="N357" s="6">
        <v>4.2156000000000002</v>
      </c>
      <c r="O357" s="6">
        <v>1</v>
      </c>
      <c r="P357" s="5">
        <v>5300</v>
      </c>
      <c r="Q357" s="4" t="s">
        <v>1392</v>
      </c>
    </row>
    <row r="358" spans="1:17" x14ac:dyDescent="0.3">
      <c r="A358" s="2" t="s">
        <v>1389</v>
      </c>
      <c r="B358" s="3">
        <v>154893</v>
      </c>
      <c r="C358" s="3">
        <v>887367</v>
      </c>
      <c r="D358" s="4" t="s">
        <v>81</v>
      </c>
      <c r="E358" s="4" t="s">
        <v>725</v>
      </c>
      <c r="F358" s="4" t="s">
        <v>87</v>
      </c>
      <c r="G358" s="4" t="s">
        <v>20</v>
      </c>
      <c r="H358" s="5">
        <v>100000</v>
      </c>
      <c r="I358" s="4" t="s">
        <v>93</v>
      </c>
      <c r="J358" s="5">
        <f t="shared" si="5"/>
        <v>-93060</v>
      </c>
      <c r="K358" s="4" t="s">
        <v>105</v>
      </c>
      <c r="L358" s="6">
        <v>0.93059999999999998</v>
      </c>
      <c r="M358" s="6">
        <v>1.0745</v>
      </c>
      <c r="N358" s="6">
        <v>4.2110000000000003</v>
      </c>
      <c r="O358" s="6">
        <v>4.5263</v>
      </c>
      <c r="P358" s="5">
        <v>-131.05690000000001</v>
      </c>
      <c r="Q358" s="4" t="s">
        <v>1392</v>
      </c>
    </row>
    <row r="359" spans="1:17" x14ac:dyDescent="0.3">
      <c r="A359" s="2" t="s">
        <v>1389</v>
      </c>
      <c r="B359" s="3">
        <v>154895</v>
      </c>
      <c r="C359" s="3">
        <v>887376</v>
      </c>
      <c r="D359" s="4" t="s">
        <v>81</v>
      </c>
      <c r="E359" s="4" t="s">
        <v>725</v>
      </c>
      <c r="F359" s="4" t="s">
        <v>87</v>
      </c>
      <c r="G359" s="4" t="s">
        <v>20</v>
      </c>
      <c r="H359" s="5">
        <v>500000</v>
      </c>
      <c r="I359" s="4" t="s">
        <v>21</v>
      </c>
      <c r="J359" s="5">
        <f t="shared" si="5"/>
        <v>-2111150</v>
      </c>
      <c r="K359" s="4" t="s">
        <v>24</v>
      </c>
      <c r="L359" s="6">
        <v>4.2222999999999997</v>
      </c>
      <c r="M359" s="6">
        <v>0.23680000000000001</v>
      </c>
      <c r="N359" s="6">
        <v>4.2156000000000002</v>
      </c>
      <c r="O359" s="6">
        <v>1</v>
      </c>
      <c r="P359" s="5">
        <v>-3330</v>
      </c>
      <c r="Q359" s="4" t="s">
        <v>1392</v>
      </c>
    </row>
    <row r="360" spans="1:17" x14ac:dyDescent="0.3">
      <c r="A360" s="2" t="s">
        <v>1389</v>
      </c>
      <c r="B360" s="3">
        <v>154896</v>
      </c>
      <c r="C360" s="3">
        <v>887377</v>
      </c>
      <c r="D360" s="4" t="s">
        <v>81</v>
      </c>
      <c r="E360" s="4" t="s">
        <v>725</v>
      </c>
      <c r="F360" s="4" t="s">
        <v>87</v>
      </c>
      <c r="G360" s="4" t="s">
        <v>20</v>
      </c>
      <c r="H360" s="5">
        <v>100000</v>
      </c>
      <c r="I360" s="4" t="s">
        <v>89</v>
      </c>
      <c r="J360" s="5">
        <f t="shared" si="5"/>
        <v>-746910</v>
      </c>
      <c r="K360" s="4" t="s">
        <v>24</v>
      </c>
      <c r="L360" s="6">
        <v>7.4691000000000001</v>
      </c>
      <c r="M360" s="6">
        <v>0.13389999999999999</v>
      </c>
      <c r="N360" s="6">
        <v>4.2156000000000002</v>
      </c>
      <c r="O360" s="6">
        <v>0.56440000000000001</v>
      </c>
      <c r="P360" s="5">
        <v>6.2535999999999996</v>
      </c>
      <c r="Q360" s="4" t="s">
        <v>1392</v>
      </c>
    </row>
    <row r="361" spans="1:17" x14ac:dyDescent="0.3">
      <c r="A361" s="2" t="s">
        <v>1389</v>
      </c>
      <c r="B361" s="3">
        <v>154898</v>
      </c>
      <c r="C361" s="3">
        <v>887385</v>
      </c>
      <c r="D361" s="4" t="s">
        <v>81</v>
      </c>
      <c r="E361" s="4" t="s">
        <v>730</v>
      </c>
      <c r="F361" s="4" t="s">
        <v>83</v>
      </c>
      <c r="G361" s="4" t="s">
        <v>20</v>
      </c>
      <c r="H361" s="5">
        <v>-61498.23</v>
      </c>
      <c r="I361" s="4" t="s">
        <v>21</v>
      </c>
      <c r="J361" s="5">
        <f t="shared" si="5"/>
        <v>259454.88254699999</v>
      </c>
      <c r="K361" s="4" t="s">
        <v>24</v>
      </c>
      <c r="L361" s="6">
        <v>4.2188999999999997</v>
      </c>
      <c r="M361" s="6">
        <v>0.23699999999999999</v>
      </c>
      <c r="N361" s="6">
        <v>4.2156000000000002</v>
      </c>
      <c r="O361" s="6">
        <v>1</v>
      </c>
      <c r="P361" s="5">
        <v>202.33161200000001</v>
      </c>
      <c r="Q361" s="4" t="s">
        <v>1396</v>
      </c>
    </row>
    <row r="362" spans="1:17" x14ac:dyDescent="0.3">
      <c r="A362" s="2" t="s">
        <v>1389</v>
      </c>
      <c r="B362" s="3">
        <v>154899</v>
      </c>
      <c r="C362" s="3">
        <v>887386</v>
      </c>
      <c r="D362" s="4" t="s">
        <v>81</v>
      </c>
      <c r="E362" s="4" t="s">
        <v>734</v>
      </c>
      <c r="F362" s="4" t="s">
        <v>83</v>
      </c>
      <c r="G362" s="4" t="s">
        <v>93</v>
      </c>
      <c r="H362" s="5">
        <v>-409.28</v>
      </c>
      <c r="I362" s="4" t="s">
        <v>21</v>
      </c>
      <c r="J362" s="5">
        <f t="shared" si="5"/>
        <v>1853.8746880000001</v>
      </c>
      <c r="K362" s="4" t="s">
        <v>46</v>
      </c>
      <c r="L362" s="6">
        <v>4.5296000000000003</v>
      </c>
      <c r="M362" s="6">
        <v>0.2208</v>
      </c>
      <c r="N362" s="6">
        <v>4.5263</v>
      </c>
      <c r="O362" s="6">
        <v>1</v>
      </c>
      <c r="P362" s="5">
        <v>1.345936</v>
      </c>
      <c r="Q362" s="4" t="s">
        <v>1393</v>
      </c>
    </row>
    <row r="363" spans="1:17" x14ac:dyDescent="0.3">
      <c r="A363" s="2" t="s">
        <v>1389</v>
      </c>
      <c r="B363" s="3">
        <v>154900</v>
      </c>
      <c r="C363" s="3">
        <v>887387</v>
      </c>
      <c r="D363" s="4" t="s">
        <v>81</v>
      </c>
      <c r="E363" s="4" t="s">
        <v>739</v>
      </c>
      <c r="F363" s="4" t="s">
        <v>83</v>
      </c>
      <c r="G363" s="4" t="s">
        <v>34</v>
      </c>
      <c r="H363" s="5">
        <v>-13073.06</v>
      </c>
      <c r="I363" s="4" t="s">
        <v>21</v>
      </c>
      <c r="J363" s="5">
        <f t="shared" si="5"/>
        <v>47002.879924000001</v>
      </c>
      <c r="K363" s="4" t="s">
        <v>24</v>
      </c>
      <c r="L363" s="6">
        <v>3.5954000000000002</v>
      </c>
      <c r="M363" s="6">
        <v>0.27810000000000001</v>
      </c>
      <c r="N363" s="6">
        <v>3.5962999999999998</v>
      </c>
      <c r="O363" s="6">
        <v>1</v>
      </c>
      <c r="P363" s="5">
        <v>-11.375678000000001</v>
      </c>
      <c r="Q363" s="4" t="s">
        <v>1391</v>
      </c>
    </row>
    <row r="364" spans="1:17" x14ac:dyDescent="0.3">
      <c r="A364" s="2" t="s">
        <v>1389</v>
      </c>
      <c r="B364" s="3">
        <v>154901</v>
      </c>
      <c r="C364" s="3">
        <v>887388</v>
      </c>
      <c r="D364" s="4" t="s">
        <v>81</v>
      </c>
      <c r="E364" s="4" t="s">
        <v>730</v>
      </c>
      <c r="F364" s="4" t="s">
        <v>83</v>
      </c>
      <c r="G364" s="4" t="s">
        <v>91</v>
      </c>
      <c r="H364" s="5">
        <v>-7123.61</v>
      </c>
      <c r="I364" s="4" t="s">
        <v>21</v>
      </c>
      <c r="J364" s="5">
        <f t="shared" si="5"/>
        <v>34435.530739999995</v>
      </c>
      <c r="K364" s="4" t="s">
        <v>24</v>
      </c>
      <c r="L364" s="6">
        <v>4.8339999999999996</v>
      </c>
      <c r="M364" s="6">
        <v>0.2069</v>
      </c>
      <c r="N364" s="6">
        <v>4.8391000000000002</v>
      </c>
      <c r="O364" s="6">
        <v>1</v>
      </c>
      <c r="P364" s="5">
        <v>-36.191150999999998</v>
      </c>
      <c r="Q364" s="4" t="s">
        <v>1396</v>
      </c>
    </row>
    <row r="365" spans="1:17" x14ac:dyDescent="0.3">
      <c r="A365" s="2" t="s">
        <v>1389</v>
      </c>
      <c r="B365" s="3">
        <v>154902</v>
      </c>
      <c r="C365" s="3">
        <v>887393</v>
      </c>
      <c r="D365" s="4" t="s">
        <v>81</v>
      </c>
      <c r="E365" s="4" t="s">
        <v>735</v>
      </c>
      <c r="F365" s="4" t="s">
        <v>83</v>
      </c>
      <c r="G365" s="4" t="s">
        <v>20</v>
      </c>
      <c r="H365" s="5">
        <v>-77317.47</v>
      </c>
      <c r="I365" s="4" t="s">
        <v>21</v>
      </c>
      <c r="J365" s="5">
        <f t="shared" si="5"/>
        <v>326156.01544799999</v>
      </c>
      <c r="K365" s="4" t="s">
        <v>24</v>
      </c>
      <c r="L365" s="6">
        <v>4.2183999999999999</v>
      </c>
      <c r="M365" s="6">
        <v>0.23710000000000001</v>
      </c>
      <c r="N365" s="6">
        <v>4.2156000000000002</v>
      </c>
      <c r="O365" s="6">
        <v>1</v>
      </c>
      <c r="P365" s="5">
        <v>216.49346800000001</v>
      </c>
      <c r="Q365" s="4" t="s">
        <v>1394</v>
      </c>
    </row>
    <row r="366" spans="1:17" x14ac:dyDescent="0.3">
      <c r="A366" s="2" t="s">
        <v>1389</v>
      </c>
      <c r="B366" s="3">
        <v>154903</v>
      </c>
      <c r="C366" s="3">
        <v>887394</v>
      </c>
      <c r="D366" s="4" t="s">
        <v>81</v>
      </c>
      <c r="E366" s="4" t="s">
        <v>735</v>
      </c>
      <c r="F366" s="4" t="s">
        <v>83</v>
      </c>
      <c r="G366" s="4" t="s">
        <v>93</v>
      </c>
      <c r="H366" s="5">
        <v>-1533.22</v>
      </c>
      <c r="I366" s="4" t="s">
        <v>21</v>
      </c>
      <c r="J366" s="5">
        <f t="shared" si="5"/>
        <v>6948.0930739999994</v>
      </c>
      <c r="K366" s="4" t="s">
        <v>46</v>
      </c>
      <c r="L366" s="6">
        <v>4.5316999999999998</v>
      </c>
      <c r="M366" s="6">
        <v>0.22070000000000001</v>
      </c>
      <c r="N366" s="6">
        <v>4.5263</v>
      </c>
      <c r="O366" s="6">
        <v>1</v>
      </c>
      <c r="P366" s="5">
        <v>8.2763139999999993</v>
      </c>
      <c r="Q366" s="4" t="s">
        <v>1394</v>
      </c>
    </row>
    <row r="367" spans="1:17" x14ac:dyDescent="0.3">
      <c r="A367" s="2" t="s">
        <v>1389</v>
      </c>
      <c r="B367" s="3">
        <v>154904</v>
      </c>
      <c r="C367" s="3">
        <v>887395</v>
      </c>
      <c r="D367" s="4" t="s">
        <v>81</v>
      </c>
      <c r="E367" s="4" t="s">
        <v>735</v>
      </c>
      <c r="F367" s="4" t="s">
        <v>83</v>
      </c>
      <c r="G367" s="4" t="s">
        <v>34</v>
      </c>
      <c r="H367" s="5">
        <v>-1164.95</v>
      </c>
      <c r="I367" s="4" t="s">
        <v>21</v>
      </c>
      <c r="J367" s="5">
        <f t="shared" si="5"/>
        <v>4185.6653500000002</v>
      </c>
      <c r="K367" s="4" t="s">
        <v>24</v>
      </c>
      <c r="L367" s="6">
        <v>3.593</v>
      </c>
      <c r="M367" s="6">
        <v>0.27829999999999999</v>
      </c>
      <c r="N367" s="6">
        <v>3.5962999999999998</v>
      </c>
      <c r="O367" s="6">
        <v>1</v>
      </c>
      <c r="P367" s="5">
        <v>-3.8396849999999998</v>
      </c>
      <c r="Q367" s="4" t="s">
        <v>1394</v>
      </c>
    </row>
    <row r="368" spans="1:17" x14ac:dyDescent="0.3">
      <c r="A368" s="2" t="s">
        <v>1389</v>
      </c>
      <c r="B368" s="3">
        <v>154905</v>
      </c>
      <c r="C368" s="3">
        <v>887396</v>
      </c>
      <c r="D368" s="4" t="s">
        <v>81</v>
      </c>
      <c r="E368" s="4" t="s">
        <v>735</v>
      </c>
      <c r="F368" s="4" t="s">
        <v>83</v>
      </c>
      <c r="G368" s="4" t="s">
        <v>91</v>
      </c>
      <c r="H368" s="5">
        <v>-50573.74</v>
      </c>
      <c r="I368" s="4" t="s">
        <v>21</v>
      </c>
      <c r="J368" s="5">
        <f t="shared" si="5"/>
        <v>244604.95088399999</v>
      </c>
      <c r="K368" s="4" t="s">
        <v>24</v>
      </c>
      <c r="L368" s="6">
        <v>4.8365999999999998</v>
      </c>
      <c r="M368" s="6">
        <v>0.20680000000000001</v>
      </c>
      <c r="N368" s="6">
        <v>4.8391000000000002</v>
      </c>
      <c r="O368" s="6">
        <v>1</v>
      </c>
      <c r="P368" s="5">
        <v>-126.43523399999999</v>
      </c>
      <c r="Q368" s="4" t="s">
        <v>1394</v>
      </c>
    </row>
    <row r="369" spans="1:17" x14ac:dyDescent="0.3">
      <c r="A369" s="2" t="s">
        <v>1389</v>
      </c>
      <c r="B369" s="3">
        <v>154906</v>
      </c>
      <c r="C369" s="3">
        <v>887401</v>
      </c>
      <c r="D369" s="4" t="s">
        <v>81</v>
      </c>
      <c r="E369" s="4" t="s">
        <v>735</v>
      </c>
      <c r="F369" s="4" t="s">
        <v>83</v>
      </c>
      <c r="G369" s="4" t="s">
        <v>20</v>
      </c>
      <c r="H369" s="5">
        <v>-30791.24</v>
      </c>
      <c r="I369" s="4" t="s">
        <v>21</v>
      </c>
      <c r="J369" s="5">
        <f t="shared" si="5"/>
        <v>129874.37119600001</v>
      </c>
      <c r="K369" s="4" t="s">
        <v>24</v>
      </c>
      <c r="L369" s="6">
        <v>4.2179000000000002</v>
      </c>
      <c r="M369" s="6">
        <v>0.23710000000000001</v>
      </c>
      <c r="N369" s="6">
        <v>4.2156000000000002</v>
      </c>
      <c r="O369" s="6">
        <v>1</v>
      </c>
      <c r="P369" s="5">
        <v>70.818656000000004</v>
      </c>
      <c r="Q369" s="4" t="s">
        <v>1394</v>
      </c>
    </row>
    <row r="370" spans="1:17" x14ac:dyDescent="0.3">
      <c r="A370" s="2" t="s">
        <v>1389</v>
      </c>
      <c r="B370" s="3">
        <v>154907</v>
      </c>
      <c r="C370" s="3">
        <v>887402</v>
      </c>
      <c r="D370" s="4" t="s">
        <v>81</v>
      </c>
      <c r="E370" s="4" t="s">
        <v>739</v>
      </c>
      <c r="F370" s="4" t="s">
        <v>83</v>
      </c>
      <c r="G370" s="4" t="s">
        <v>91</v>
      </c>
      <c r="H370" s="5">
        <v>-1757.75</v>
      </c>
      <c r="I370" s="4" t="s">
        <v>21</v>
      </c>
      <c r="J370" s="5">
        <f t="shared" si="5"/>
        <v>8504.1702750000004</v>
      </c>
      <c r="K370" s="4" t="s">
        <v>24</v>
      </c>
      <c r="L370" s="6">
        <v>4.8380999999999998</v>
      </c>
      <c r="M370" s="6">
        <v>0.20669999999999999</v>
      </c>
      <c r="N370" s="6">
        <v>4.8391000000000002</v>
      </c>
      <c r="O370" s="6">
        <v>1</v>
      </c>
      <c r="P370" s="5">
        <v>-1.7380249999999999</v>
      </c>
      <c r="Q370" s="4" t="s">
        <v>1391</v>
      </c>
    </row>
    <row r="371" spans="1:17" x14ac:dyDescent="0.3">
      <c r="A371" s="2" t="s">
        <v>1389</v>
      </c>
      <c r="B371" s="3">
        <v>154908</v>
      </c>
      <c r="C371" s="3">
        <v>887403</v>
      </c>
      <c r="D371" s="4" t="s">
        <v>81</v>
      </c>
      <c r="E371" s="4" t="s">
        <v>735</v>
      </c>
      <c r="F371" s="4" t="s">
        <v>83</v>
      </c>
      <c r="G371" s="4" t="s">
        <v>34</v>
      </c>
      <c r="H371" s="5">
        <v>-9259.9</v>
      </c>
      <c r="I371" s="4" t="s">
        <v>21</v>
      </c>
      <c r="J371" s="5">
        <f t="shared" si="5"/>
        <v>33233.7811</v>
      </c>
      <c r="K371" s="4" t="s">
        <v>24</v>
      </c>
      <c r="L371" s="6">
        <v>3.589</v>
      </c>
      <c r="M371" s="6">
        <v>0.27860000000000001</v>
      </c>
      <c r="N371" s="6">
        <v>3.5962999999999998</v>
      </c>
      <c r="O371" s="6">
        <v>1</v>
      </c>
      <c r="P371" s="5">
        <v>-67.598370000000003</v>
      </c>
      <c r="Q371" s="4" t="s">
        <v>1394</v>
      </c>
    </row>
    <row r="372" spans="1:17" x14ac:dyDescent="0.3">
      <c r="A372" s="2" t="s">
        <v>1389</v>
      </c>
      <c r="B372" s="3">
        <v>154909</v>
      </c>
      <c r="C372" s="3">
        <v>887441</v>
      </c>
      <c r="D372" s="4" t="s">
        <v>81</v>
      </c>
      <c r="E372" s="4" t="s">
        <v>734</v>
      </c>
      <c r="F372" s="4" t="s">
        <v>83</v>
      </c>
      <c r="G372" s="4" t="s">
        <v>34</v>
      </c>
      <c r="H372" s="5">
        <v>-13137.23</v>
      </c>
      <c r="I372" s="4" t="s">
        <v>21</v>
      </c>
      <c r="J372" s="5">
        <f t="shared" si="5"/>
        <v>47102.224441999999</v>
      </c>
      <c r="K372" s="4" t="s">
        <v>46</v>
      </c>
      <c r="L372" s="6">
        <v>3.5853999999999999</v>
      </c>
      <c r="M372" s="6">
        <v>0.27889999999999998</v>
      </c>
      <c r="N372" s="6">
        <v>3.6044999999999998</v>
      </c>
      <c r="O372" s="6">
        <v>1</v>
      </c>
      <c r="P372" s="5">
        <v>-250.925535</v>
      </c>
      <c r="Q372" s="4" t="s">
        <v>1393</v>
      </c>
    </row>
    <row r="373" spans="1:17" x14ac:dyDescent="0.3">
      <c r="A373" s="2" t="s">
        <v>1389</v>
      </c>
      <c r="B373" s="3">
        <v>154910</v>
      </c>
      <c r="C373" s="3">
        <v>887442</v>
      </c>
      <c r="D373" s="4" t="s">
        <v>81</v>
      </c>
      <c r="E373" s="4" t="s">
        <v>734</v>
      </c>
      <c r="F373" s="4" t="s">
        <v>83</v>
      </c>
      <c r="G373" s="4" t="s">
        <v>91</v>
      </c>
      <c r="H373" s="5">
        <v>-3066.72</v>
      </c>
      <c r="I373" s="4" t="s">
        <v>21</v>
      </c>
      <c r="J373" s="5">
        <f t="shared" si="5"/>
        <v>14807.964191999998</v>
      </c>
      <c r="K373" s="4" t="s">
        <v>46</v>
      </c>
      <c r="L373" s="6">
        <v>4.8285999999999998</v>
      </c>
      <c r="M373" s="6">
        <v>0.20710000000000001</v>
      </c>
      <c r="N373" s="6">
        <v>4.8457999999999997</v>
      </c>
      <c r="O373" s="6">
        <v>1</v>
      </c>
      <c r="P373" s="5">
        <v>-52.751776</v>
      </c>
      <c r="Q373" s="4" t="s">
        <v>1393</v>
      </c>
    </row>
    <row r="374" spans="1:17" x14ac:dyDescent="0.3">
      <c r="A374" s="2" t="s">
        <v>1389</v>
      </c>
      <c r="B374" s="3">
        <v>154911</v>
      </c>
      <c r="C374" s="3">
        <v>887443</v>
      </c>
      <c r="D374" s="4" t="s">
        <v>81</v>
      </c>
      <c r="E374" s="4" t="s">
        <v>734</v>
      </c>
      <c r="F374" s="4" t="s">
        <v>83</v>
      </c>
      <c r="G374" s="4" t="s">
        <v>20</v>
      </c>
      <c r="H374" s="5">
        <v>-66282.92</v>
      </c>
      <c r="I374" s="4" t="s">
        <v>21</v>
      </c>
      <c r="J374" s="5">
        <f t="shared" si="5"/>
        <v>279289.71171199996</v>
      </c>
      <c r="K374" s="4" t="s">
        <v>46</v>
      </c>
      <c r="L374" s="6">
        <v>4.2135999999999996</v>
      </c>
      <c r="M374" s="6">
        <v>0.23730000000000001</v>
      </c>
      <c r="N374" s="6">
        <v>4.2110000000000003</v>
      </c>
      <c r="O374" s="6">
        <v>1</v>
      </c>
      <c r="P374" s="5">
        <v>172.99387999999999</v>
      </c>
      <c r="Q374" s="4" t="s">
        <v>1393</v>
      </c>
    </row>
    <row r="375" spans="1:17" x14ac:dyDescent="0.3">
      <c r="A375" s="2" t="s">
        <v>1389</v>
      </c>
      <c r="B375" s="3">
        <v>154912</v>
      </c>
      <c r="C375" s="3">
        <v>887444</v>
      </c>
      <c r="D375" s="4" t="s">
        <v>81</v>
      </c>
      <c r="E375" s="4" t="s">
        <v>734</v>
      </c>
      <c r="F375" s="4" t="s">
        <v>83</v>
      </c>
      <c r="G375" s="4" t="s">
        <v>20</v>
      </c>
      <c r="H375" s="5">
        <v>-100406.01</v>
      </c>
      <c r="I375" s="4" t="s">
        <v>21</v>
      </c>
      <c r="J375" s="5">
        <f t="shared" si="5"/>
        <v>423070.76373599994</v>
      </c>
      <c r="K375" s="4" t="s">
        <v>46</v>
      </c>
      <c r="L375" s="6">
        <v>4.2135999999999996</v>
      </c>
      <c r="M375" s="6">
        <v>0.23730000000000001</v>
      </c>
      <c r="N375" s="6">
        <v>4.2110000000000003</v>
      </c>
      <c r="O375" s="6">
        <v>1</v>
      </c>
      <c r="P375" s="5">
        <v>262.06189000000001</v>
      </c>
      <c r="Q375" s="4" t="s">
        <v>1393</v>
      </c>
    </row>
    <row r="376" spans="1:17" x14ac:dyDescent="0.3">
      <c r="A376" s="2" t="s">
        <v>1389</v>
      </c>
      <c r="B376" s="3">
        <v>154913</v>
      </c>
      <c r="C376" s="3">
        <v>887445</v>
      </c>
      <c r="D376" s="4" t="s">
        <v>81</v>
      </c>
      <c r="E376" s="4" t="s">
        <v>734</v>
      </c>
      <c r="F376" s="4" t="s">
        <v>83</v>
      </c>
      <c r="G376" s="4" t="s">
        <v>34</v>
      </c>
      <c r="H376" s="5">
        <v>-133804.29</v>
      </c>
      <c r="I376" s="4" t="s">
        <v>21</v>
      </c>
      <c r="J376" s="5">
        <f t="shared" si="5"/>
        <v>479741.90136600001</v>
      </c>
      <c r="K376" s="4" t="s">
        <v>46</v>
      </c>
      <c r="L376" s="6">
        <v>3.5853999999999999</v>
      </c>
      <c r="M376" s="6">
        <v>0.27889999999999998</v>
      </c>
      <c r="N376" s="6">
        <v>3.6044999999999998</v>
      </c>
      <c r="O376" s="6">
        <v>1</v>
      </c>
      <c r="P376" s="5">
        <v>-2555.663305</v>
      </c>
      <c r="Q376" s="4" t="s">
        <v>1393</v>
      </c>
    </row>
    <row r="377" spans="1:17" x14ac:dyDescent="0.3">
      <c r="A377" s="2" t="s">
        <v>1389</v>
      </c>
      <c r="B377" s="3">
        <v>154914</v>
      </c>
      <c r="C377" s="3">
        <v>887446</v>
      </c>
      <c r="D377" s="4" t="s">
        <v>81</v>
      </c>
      <c r="E377" s="4" t="s">
        <v>734</v>
      </c>
      <c r="F377" s="4" t="s">
        <v>83</v>
      </c>
      <c r="G377" s="4" t="s">
        <v>20</v>
      </c>
      <c r="H377" s="5">
        <v>-100194.32</v>
      </c>
      <c r="I377" s="4" t="s">
        <v>21</v>
      </c>
      <c r="J377" s="5">
        <f t="shared" si="5"/>
        <v>422178.78675199999</v>
      </c>
      <c r="K377" s="4" t="s">
        <v>46</v>
      </c>
      <c r="L377" s="6">
        <v>4.2135999999999996</v>
      </c>
      <c r="M377" s="6">
        <v>0.23730000000000001</v>
      </c>
      <c r="N377" s="6">
        <v>4.2110000000000003</v>
      </c>
      <c r="O377" s="6">
        <v>1</v>
      </c>
      <c r="P377" s="5">
        <v>261.50848000000002</v>
      </c>
      <c r="Q377" s="4" t="s">
        <v>1393</v>
      </c>
    </row>
    <row r="378" spans="1:17" x14ac:dyDescent="0.3">
      <c r="A378" s="2" t="s">
        <v>1389</v>
      </c>
      <c r="B378" s="3">
        <v>154915</v>
      </c>
      <c r="C378" s="3">
        <v>887447</v>
      </c>
      <c r="D378" s="4" t="s">
        <v>81</v>
      </c>
      <c r="E378" s="4" t="s">
        <v>734</v>
      </c>
      <c r="F378" s="4" t="s">
        <v>83</v>
      </c>
      <c r="G378" s="4" t="s">
        <v>20</v>
      </c>
      <c r="H378" s="5">
        <v>-103780.61</v>
      </c>
      <c r="I378" s="4" t="s">
        <v>21</v>
      </c>
      <c r="J378" s="5">
        <f t="shared" si="5"/>
        <v>437289.97829599999</v>
      </c>
      <c r="K378" s="4" t="s">
        <v>46</v>
      </c>
      <c r="L378" s="6">
        <v>4.2135999999999996</v>
      </c>
      <c r="M378" s="6">
        <v>0.23730000000000001</v>
      </c>
      <c r="N378" s="6">
        <v>4.2110000000000003</v>
      </c>
      <c r="O378" s="6">
        <v>1</v>
      </c>
      <c r="P378" s="5">
        <v>270.87128999999999</v>
      </c>
      <c r="Q378" s="4" t="s">
        <v>1393</v>
      </c>
    </row>
    <row r="379" spans="1:17" x14ac:dyDescent="0.3">
      <c r="A379" s="2" t="s">
        <v>1389</v>
      </c>
      <c r="B379" s="3">
        <v>154916</v>
      </c>
      <c r="C379" s="3">
        <v>887448</v>
      </c>
      <c r="D379" s="4" t="s">
        <v>81</v>
      </c>
      <c r="E379" s="4" t="s">
        <v>743</v>
      </c>
      <c r="F379" s="4" t="s">
        <v>87</v>
      </c>
      <c r="G379" s="4" t="s">
        <v>93</v>
      </c>
      <c r="H379" s="5">
        <v>15133.89</v>
      </c>
      <c r="I379" s="4" t="s">
        <v>21</v>
      </c>
      <c r="J379" s="5">
        <f t="shared" si="5"/>
        <v>-68665.485708000007</v>
      </c>
      <c r="K379" s="4" t="s">
        <v>46</v>
      </c>
      <c r="L379" s="6">
        <v>4.5372000000000003</v>
      </c>
      <c r="M379" s="6">
        <v>0.22040000000000001</v>
      </c>
      <c r="N379" s="6">
        <v>4.5263</v>
      </c>
      <c r="O379" s="6">
        <v>1</v>
      </c>
      <c r="P379" s="5">
        <v>-164.35369299999999</v>
      </c>
      <c r="Q379" s="4" t="s">
        <v>1395</v>
      </c>
    </row>
    <row r="380" spans="1:17" x14ac:dyDescent="0.3">
      <c r="A380" s="2" t="s">
        <v>1389</v>
      </c>
      <c r="B380" s="3">
        <v>154917</v>
      </c>
      <c r="C380" s="3">
        <v>214406</v>
      </c>
      <c r="D380" s="4" t="s">
        <v>17</v>
      </c>
      <c r="E380" s="4" t="s">
        <v>727</v>
      </c>
      <c r="F380" s="4" t="s">
        <v>32</v>
      </c>
      <c r="G380" s="4" t="s">
        <v>20</v>
      </c>
      <c r="H380" s="5">
        <v>-1000</v>
      </c>
      <c r="I380" s="4" t="s">
        <v>21</v>
      </c>
      <c r="J380" s="5">
        <f t="shared" si="5"/>
        <v>4216</v>
      </c>
      <c r="K380" s="4" t="s">
        <v>45</v>
      </c>
      <c r="L380" s="6">
        <v>4.2160000000000002</v>
      </c>
      <c r="M380" s="6">
        <v>0.23719999999999999</v>
      </c>
      <c r="N380" s="6">
        <v>4.2267000000000001</v>
      </c>
      <c r="O380" s="6">
        <v>1</v>
      </c>
      <c r="P380" s="5">
        <v>-12.44</v>
      </c>
      <c r="Q380" s="4" t="s">
        <v>1397</v>
      </c>
    </row>
    <row r="381" spans="1:17" x14ac:dyDescent="0.3">
      <c r="A381" s="2" t="s">
        <v>1389</v>
      </c>
      <c r="B381" s="3">
        <v>154918</v>
      </c>
      <c r="C381" s="3">
        <v>887468</v>
      </c>
      <c r="D381" s="4" t="s">
        <v>81</v>
      </c>
      <c r="E381" s="4" t="s">
        <v>734</v>
      </c>
      <c r="F381" s="4" t="s">
        <v>83</v>
      </c>
      <c r="G381" s="4" t="s">
        <v>20</v>
      </c>
      <c r="H381" s="5">
        <v>-38570.639999999999</v>
      </c>
      <c r="I381" s="4" t="s">
        <v>21</v>
      </c>
      <c r="J381" s="5">
        <f t="shared" si="5"/>
        <v>162629.24649600001</v>
      </c>
      <c r="K381" s="4" t="s">
        <v>46</v>
      </c>
      <c r="L381" s="6">
        <v>4.2164000000000001</v>
      </c>
      <c r="M381" s="6">
        <v>0.23719999999999999</v>
      </c>
      <c r="N381" s="6">
        <v>4.2110000000000003</v>
      </c>
      <c r="O381" s="6">
        <v>1</v>
      </c>
      <c r="P381" s="5">
        <v>209.43495999999999</v>
      </c>
      <c r="Q381" s="4" t="s">
        <v>1393</v>
      </c>
    </row>
    <row r="382" spans="1:17" x14ac:dyDescent="0.3">
      <c r="A382" s="2" t="s">
        <v>1389</v>
      </c>
      <c r="B382" s="3">
        <v>154919</v>
      </c>
      <c r="C382" s="3">
        <v>887469</v>
      </c>
      <c r="D382" s="4" t="s">
        <v>81</v>
      </c>
      <c r="E382" s="4" t="s">
        <v>734</v>
      </c>
      <c r="F382" s="4" t="s">
        <v>83</v>
      </c>
      <c r="G382" s="4" t="s">
        <v>34</v>
      </c>
      <c r="H382" s="5">
        <v>-1628.83</v>
      </c>
      <c r="I382" s="4" t="s">
        <v>21</v>
      </c>
      <c r="J382" s="5">
        <f t="shared" si="5"/>
        <v>5842.1245609999996</v>
      </c>
      <c r="K382" s="4" t="s">
        <v>46</v>
      </c>
      <c r="L382" s="6">
        <v>3.5867</v>
      </c>
      <c r="M382" s="6">
        <v>0.27879999999999999</v>
      </c>
      <c r="N382" s="6">
        <v>3.6044999999999998</v>
      </c>
      <c r="O382" s="6">
        <v>1</v>
      </c>
      <c r="P382" s="5">
        <v>-29.037735000000001</v>
      </c>
      <c r="Q382" s="4" t="s">
        <v>1393</v>
      </c>
    </row>
    <row r="383" spans="1:17" x14ac:dyDescent="0.3">
      <c r="A383" s="2" t="s">
        <v>1389</v>
      </c>
      <c r="B383" s="3">
        <v>154920</v>
      </c>
      <c r="C383" s="3">
        <v>214408</v>
      </c>
      <c r="D383" s="4" t="s">
        <v>17</v>
      </c>
      <c r="E383" s="4" t="s">
        <v>734</v>
      </c>
      <c r="F383" s="4" t="s">
        <v>19</v>
      </c>
      <c r="G383" s="4" t="s">
        <v>20</v>
      </c>
      <c r="H383" s="5">
        <v>20000</v>
      </c>
      <c r="I383" s="4" t="s">
        <v>21</v>
      </c>
      <c r="J383" s="5">
        <f t="shared" si="5"/>
        <v>-84400</v>
      </c>
      <c r="K383" s="4" t="s">
        <v>45</v>
      </c>
      <c r="L383" s="6">
        <v>4.22</v>
      </c>
      <c r="M383" s="6">
        <v>0.23699999999999999</v>
      </c>
      <c r="N383" s="6">
        <v>4.2267000000000001</v>
      </c>
      <c r="O383" s="6">
        <v>1</v>
      </c>
      <c r="P383" s="5">
        <v>134</v>
      </c>
      <c r="Q383" s="4" t="s">
        <v>1393</v>
      </c>
    </row>
    <row r="384" spans="1:17" x14ac:dyDescent="0.3">
      <c r="A384" s="2" t="s">
        <v>1389</v>
      </c>
      <c r="B384" s="3">
        <v>154921</v>
      </c>
      <c r="C384" s="3">
        <v>214410</v>
      </c>
      <c r="D384" s="4" t="s">
        <v>17</v>
      </c>
      <c r="E384" s="4" t="s">
        <v>734</v>
      </c>
      <c r="F384" s="4" t="s">
        <v>32</v>
      </c>
      <c r="G384" s="4" t="s">
        <v>20</v>
      </c>
      <c r="H384" s="5">
        <v>-5000</v>
      </c>
      <c r="I384" s="4" t="s">
        <v>21</v>
      </c>
      <c r="J384" s="5">
        <f t="shared" si="5"/>
        <v>21093</v>
      </c>
      <c r="K384" s="4" t="s">
        <v>45</v>
      </c>
      <c r="L384" s="6">
        <v>4.2186000000000003</v>
      </c>
      <c r="M384" s="6">
        <v>0.23699999999999999</v>
      </c>
      <c r="N384" s="6">
        <v>4.2267000000000001</v>
      </c>
      <c r="O384" s="6">
        <v>1</v>
      </c>
      <c r="P384" s="5">
        <v>-46.33</v>
      </c>
      <c r="Q384" s="4" t="s">
        <v>1393</v>
      </c>
    </row>
    <row r="385" spans="1:17" x14ac:dyDescent="0.3">
      <c r="A385" s="2" t="s">
        <v>1389</v>
      </c>
      <c r="B385" s="3">
        <v>154922</v>
      </c>
      <c r="C385" s="3">
        <v>214412</v>
      </c>
      <c r="D385" s="4" t="s">
        <v>17</v>
      </c>
      <c r="E385" s="4" t="s">
        <v>734</v>
      </c>
      <c r="F385" s="4" t="s">
        <v>19</v>
      </c>
      <c r="G385" s="4" t="s">
        <v>20</v>
      </c>
      <c r="H385" s="5">
        <v>3048</v>
      </c>
      <c r="I385" s="4" t="s">
        <v>21</v>
      </c>
      <c r="J385" s="5">
        <f t="shared" si="5"/>
        <v>-12861.950400000002</v>
      </c>
      <c r="K385" s="4" t="s">
        <v>45</v>
      </c>
      <c r="L385" s="6">
        <v>4.2198000000000002</v>
      </c>
      <c r="M385" s="6">
        <v>0.23699999999999999</v>
      </c>
      <c r="N385" s="6">
        <v>4.2267000000000001</v>
      </c>
      <c r="O385" s="6">
        <v>1</v>
      </c>
      <c r="P385" s="5">
        <v>21.031199999999444</v>
      </c>
      <c r="Q385" s="4" t="s">
        <v>1393</v>
      </c>
    </row>
    <row r="386" spans="1:17" x14ac:dyDescent="0.3">
      <c r="A386" s="2" t="s">
        <v>1389</v>
      </c>
      <c r="B386" s="3">
        <v>154923</v>
      </c>
      <c r="C386" s="3">
        <v>887484</v>
      </c>
      <c r="D386" s="4" t="s">
        <v>81</v>
      </c>
      <c r="E386" s="4" t="s">
        <v>734</v>
      </c>
      <c r="F386" s="4" t="s">
        <v>83</v>
      </c>
      <c r="G386" s="4" t="s">
        <v>20</v>
      </c>
      <c r="H386" s="5">
        <v>-47589.08</v>
      </c>
      <c r="I386" s="4" t="s">
        <v>21</v>
      </c>
      <c r="J386" s="5">
        <f t="shared" si="5"/>
        <v>200754.53397999998</v>
      </c>
      <c r="K386" s="4" t="s">
        <v>46</v>
      </c>
      <c r="L386" s="6">
        <v>4.2184999999999997</v>
      </c>
      <c r="M386" s="6">
        <v>0.23699999999999999</v>
      </c>
      <c r="N386" s="6">
        <v>4.2110000000000003</v>
      </c>
      <c r="O386" s="6">
        <v>1</v>
      </c>
      <c r="P386" s="5">
        <v>358.34411999999998</v>
      </c>
      <c r="Q386" s="4" t="s">
        <v>1393</v>
      </c>
    </row>
    <row r="387" spans="1:17" x14ac:dyDescent="0.3">
      <c r="A387" s="2" t="s">
        <v>1389</v>
      </c>
      <c r="B387" s="3">
        <v>154924</v>
      </c>
      <c r="C387" s="3">
        <v>887485</v>
      </c>
      <c r="D387" s="4" t="s">
        <v>81</v>
      </c>
      <c r="E387" s="4" t="s">
        <v>730</v>
      </c>
      <c r="F387" s="4" t="s">
        <v>83</v>
      </c>
      <c r="G387" s="4" t="s">
        <v>34</v>
      </c>
      <c r="H387" s="5">
        <v>-1088</v>
      </c>
      <c r="I387" s="4" t="s">
        <v>21</v>
      </c>
      <c r="J387" s="5">
        <f t="shared" si="5"/>
        <v>3907.6608000000001</v>
      </c>
      <c r="K387" s="4" t="s">
        <v>46</v>
      </c>
      <c r="L387" s="6">
        <v>3.5916000000000001</v>
      </c>
      <c r="M387" s="6">
        <v>0.27839999999999998</v>
      </c>
      <c r="N387" s="6">
        <v>3.6044999999999998</v>
      </c>
      <c r="O387" s="6">
        <v>1</v>
      </c>
      <c r="P387" s="5">
        <v>-13.996</v>
      </c>
      <c r="Q387" s="4" t="s">
        <v>1396</v>
      </c>
    </row>
    <row r="388" spans="1:17" x14ac:dyDescent="0.3">
      <c r="A388" s="2" t="s">
        <v>1389</v>
      </c>
      <c r="B388" s="3">
        <v>154925</v>
      </c>
      <c r="C388" s="3">
        <v>214415</v>
      </c>
      <c r="D388" s="4" t="s">
        <v>17</v>
      </c>
      <c r="E388" s="4" t="s">
        <v>734</v>
      </c>
      <c r="F388" s="4" t="s">
        <v>19</v>
      </c>
      <c r="G388" s="4" t="s">
        <v>20</v>
      </c>
      <c r="H388" s="5">
        <v>20000</v>
      </c>
      <c r="I388" s="4" t="s">
        <v>21</v>
      </c>
      <c r="J388" s="5">
        <f t="shared" ref="J388:J451" si="6">-H388*L388</f>
        <v>-84390</v>
      </c>
      <c r="K388" s="4" t="s">
        <v>45</v>
      </c>
      <c r="L388" s="6">
        <v>4.2195</v>
      </c>
      <c r="M388" s="6">
        <v>0.23699999999999999</v>
      </c>
      <c r="N388" s="6">
        <v>4.2267000000000001</v>
      </c>
      <c r="O388" s="6">
        <v>1</v>
      </c>
      <c r="P388" s="5">
        <v>144</v>
      </c>
      <c r="Q388" s="4" t="s">
        <v>1393</v>
      </c>
    </row>
    <row r="389" spans="1:17" x14ac:dyDescent="0.3">
      <c r="A389" s="2" t="s">
        <v>1389</v>
      </c>
      <c r="B389" s="3">
        <v>154926</v>
      </c>
      <c r="C389" s="3">
        <v>887490</v>
      </c>
      <c r="D389" s="4" t="s">
        <v>81</v>
      </c>
      <c r="E389" s="4" t="s">
        <v>739</v>
      </c>
      <c r="F389" s="4" t="s">
        <v>83</v>
      </c>
      <c r="G389" s="4" t="s">
        <v>20</v>
      </c>
      <c r="H389" s="5">
        <v>-20000</v>
      </c>
      <c r="I389" s="4" t="s">
        <v>21</v>
      </c>
      <c r="J389" s="5">
        <f t="shared" si="6"/>
        <v>84370</v>
      </c>
      <c r="K389" s="4" t="s">
        <v>46</v>
      </c>
      <c r="L389" s="6">
        <v>4.2184999999999997</v>
      </c>
      <c r="M389" s="6">
        <v>0.23699999999999999</v>
      </c>
      <c r="N389" s="6">
        <v>4.2110000000000003</v>
      </c>
      <c r="O389" s="6">
        <v>1</v>
      </c>
      <c r="P389" s="5">
        <v>150.4</v>
      </c>
      <c r="Q389" s="4" t="s">
        <v>1391</v>
      </c>
    </row>
    <row r="390" spans="1:17" x14ac:dyDescent="0.3">
      <c r="A390" s="2" t="s">
        <v>1389</v>
      </c>
      <c r="B390" s="3">
        <v>154927</v>
      </c>
      <c r="C390" s="3">
        <v>887491</v>
      </c>
      <c r="D390" s="4" t="s">
        <v>81</v>
      </c>
      <c r="E390" s="4" t="s">
        <v>1062</v>
      </c>
      <c r="F390" s="4" t="s">
        <v>87</v>
      </c>
      <c r="G390" s="4" t="s">
        <v>20</v>
      </c>
      <c r="H390" s="5">
        <v>20000</v>
      </c>
      <c r="I390" s="4" t="s">
        <v>21</v>
      </c>
      <c r="J390" s="5">
        <f t="shared" si="6"/>
        <v>-84124</v>
      </c>
      <c r="K390" s="4" t="s">
        <v>46</v>
      </c>
      <c r="L390" s="6">
        <v>4.2061999999999999</v>
      </c>
      <c r="M390" s="6">
        <v>0.23769999999999999</v>
      </c>
      <c r="N390" s="6">
        <v>4.2110000000000003</v>
      </c>
      <c r="O390" s="6">
        <v>1</v>
      </c>
      <c r="P390" s="5">
        <v>96</v>
      </c>
      <c r="Q390" s="4" t="s">
        <v>1390</v>
      </c>
    </row>
    <row r="391" spans="1:17" x14ac:dyDescent="0.3">
      <c r="A391" s="2" t="s">
        <v>1389</v>
      </c>
      <c r="B391" s="3">
        <v>154928</v>
      </c>
      <c r="C391" s="3">
        <v>214416</v>
      </c>
      <c r="D391" s="4" t="s">
        <v>17</v>
      </c>
      <c r="E391" s="4" t="s">
        <v>734</v>
      </c>
      <c r="F391" s="4" t="s">
        <v>32</v>
      </c>
      <c r="G391" s="4" t="s">
        <v>20</v>
      </c>
      <c r="H391" s="5">
        <v>-4000</v>
      </c>
      <c r="I391" s="4" t="s">
        <v>21</v>
      </c>
      <c r="J391" s="5">
        <f t="shared" si="6"/>
        <v>16873.599999999999</v>
      </c>
      <c r="K391" s="4" t="s">
        <v>45</v>
      </c>
      <c r="L391" s="6">
        <v>4.2183999999999999</v>
      </c>
      <c r="M391" s="6">
        <v>0.23710000000000001</v>
      </c>
      <c r="N391" s="6">
        <v>4.2267000000000001</v>
      </c>
      <c r="O391" s="6">
        <v>1</v>
      </c>
      <c r="P391" s="5">
        <v>-37.64</v>
      </c>
      <c r="Q391" s="4" t="s">
        <v>1393</v>
      </c>
    </row>
    <row r="392" spans="1:17" x14ac:dyDescent="0.3">
      <c r="A392" s="2" t="s">
        <v>1389</v>
      </c>
      <c r="B392" s="3">
        <v>154929</v>
      </c>
      <c r="C392" s="3">
        <v>214424</v>
      </c>
      <c r="D392" s="4" t="s">
        <v>17</v>
      </c>
      <c r="E392" s="4" t="s">
        <v>753</v>
      </c>
      <c r="F392" s="4" t="s">
        <v>32</v>
      </c>
      <c r="G392" s="4" t="s">
        <v>20</v>
      </c>
      <c r="H392" s="5">
        <v>-100000</v>
      </c>
      <c r="I392" s="4" t="s">
        <v>21</v>
      </c>
      <c r="J392" s="5">
        <f t="shared" si="6"/>
        <v>421500</v>
      </c>
      <c r="K392" s="4" t="s">
        <v>45</v>
      </c>
      <c r="L392" s="6">
        <v>4.2149999999999999</v>
      </c>
      <c r="M392" s="6">
        <v>0.23719999999999999</v>
      </c>
      <c r="N392" s="6">
        <v>4.2267000000000001</v>
      </c>
      <c r="O392" s="6">
        <v>1</v>
      </c>
      <c r="P392" s="5">
        <v>-1170</v>
      </c>
      <c r="Q392" s="4" t="s">
        <v>1390</v>
      </c>
    </row>
    <row r="393" spans="1:17" x14ac:dyDescent="0.3">
      <c r="A393" s="2" t="s">
        <v>1389</v>
      </c>
      <c r="B393" s="3">
        <v>154930</v>
      </c>
      <c r="C393" s="3">
        <v>887520</v>
      </c>
      <c r="D393" s="4" t="s">
        <v>81</v>
      </c>
      <c r="E393" s="4" t="s">
        <v>871</v>
      </c>
      <c r="F393" s="4" t="s">
        <v>87</v>
      </c>
      <c r="G393" s="4" t="s">
        <v>20</v>
      </c>
      <c r="H393" s="5">
        <v>380000</v>
      </c>
      <c r="I393" s="4" t="s">
        <v>21</v>
      </c>
      <c r="J393" s="5">
        <f t="shared" si="6"/>
        <v>-1601130</v>
      </c>
      <c r="K393" s="4" t="s">
        <v>46</v>
      </c>
      <c r="L393" s="6">
        <v>4.2134999999999998</v>
      </c>
      <c r="M393" s="6">
        <v>0.23730000000000001</v>
      </c>
      <c r="N393" s="6">
        <v>4.2110000000000003</v>
      </c>
      <c r="O393" s="6">
        <v>1</v>
      </c>
      <c r="P393" s="5">
        <v>-950</v>
      </c>
      <c r="Q393" s="4" t="s">
        <v>1390</v>
      </c>
    </row>
    <row r="394" spans="1:17" x14ac:dyDescent="0.3">
      <c r="A394" s="2" t="s">
        <v>1389</v>
      </c>
      <c r="B394" s="3">
        <v>154931</v>
      </c>
      <c r="C394" s="3">
        <v>214429</v>
      </c>
      <c r="D394" s="4" t="s">
        <v>17</v>
      </c>
      <c r="E394" s="4" t="s">
        <v>1200</v>
      </c>
      <c r="F394" s="4" t="s">
        <v>19</v>
      </c>
      <c r="G394" s="4" t="s">
        <v>20</v>
      </c>
      <c r="H394" s="5">
        <v>2000</v>
      </c>
      <c r="I394" s="4" t="s">
        <v>21</v>
      </c>
      <c r="J394" s="5">
        <f t="shared" si="6"/>
        <v>-8412</v>
      </c>
      <c r="K394" s="4" t="s">
        <v>45</v>
      </c>
      <c r="L394" s="6">
        <v>4.2060000000000004</v>
      </c>
      <c r="M394" s="6">
        <v>0.23780000000000001</v>
      </c>
      <c r="N394" s="6">
        <v>4.2267000000000001</v>
      </c>
      <c r="O394" s="6">
        <v>1</v>
      </c>
      <c r="P394" s="5">
        <v>41.399999999999636</v>
      </c>
      <c r="Q394" s="4" t="s">
        <v>1390</v>
      </c>
    </row>
    <row r="395" spans="1:17" x14ac:dyDescent="0.3">
      <c r="A395" s="2" t="s">
        <v>1389</v>
      </c>
      <c r="B395" s="3">
        <v>154932</v>
      </c>
      <c r="C395" s="3">
        <v>887536</v>
      </c>
      <c r="D395" s="4" t="s">
        <v>81</v>
      </c>
      <c r="E395" s="4" t="s">
        <v>742</v>
      </c>
      <c r="F395" s="4" t="s">
        <v>83</v>
      </c>
      <c r="G395" s="4" t="s">
        <v>20</v>
      </c>
      <c r="H395" s="5">
        <v>-1000000</v>
      </c>
      <c r="I395" s="4" t="s">
        <v>21</v>
      </c>
      <c r="J395" s="5">
        <f t="shared" si="6"/>
        <v>4219800</v>
      </c>
      <c r="K395" s="4" t="s">
        <v>46</v>
      </c>
      <c r="L395" s="6">
        <v>4.2198000000000002</v>
      </c>
      <c r="M395" s="6">
        <v>0.23699999999999999</v>
      </c>
      <c r="N395" s="6">
        <v>4.2110000000000003</v>
      </c>
      <c r="O395" s="6">
        <v>1</v>
      </c>
      <c r="P395" s="5">
        <v>8800</v>
      </c>
      <c r="Q395" s="4" t="s">
        <v>1396</v>
      </c>
    </row>
    <row r="396" spans="1:17" x14ac:dyDescent="0.3">
      <c r="A396" s="2" t="s">
        <v>1389</v>
      </c>
      <c r="B396" s="3">
        <v>154933</v>
      </c>
      <c r="C396" s="3">
        <v>887565</v>
      </c>
      <c r="D396" s="4" t="s">
        <v>81</v>
      </c>
      <c r="E396" s="4" t="s">
        <v>751</v>
      </c>
      <c r="F396" s="4" t="s">
        <v>83</v>
      </c>
      <c r="G396" s="4" t="s">
        <v>20</v>
      </c>
      <c r="H396" s="5">
        <v>-2000000</v>
      </c>
      <c r="I396" s="4" t="s">
        <v>21</v>
      </c>
      <c r="J396" s="5">
        <f t="shared" si="6"/>
        <v>8428000</v>
      </c>
      <c r="K396" s="4" t="s">
        <v>46</v>
      </c>
      <c r="L396" s="6">
        <v>4.2140000000000004</v>
      </c>
      <c r="M396" s="6">
        <v>0.23730000000000001</v>
      </c>
      <c r="N396" s="6">
        <v>4.2110000000000003</v>
      </c>
      <c r="O396" s="6">
        <v>1</v>
      </c>
      <c r="P396" s="5">
        <v>6000</v>
      </c>
      <c r="Q396" s="4" t="s">
        <v>1390</v>
      </c>
    </row>
    <row r="397" spans="1:17" x14ac:dyDescent="0.3">
      <c r="A397" s="2" t="s">
        <v>1389</v>
      </c>
      <c r="B397" s="3">
        <v>154934</v>
      </c>
      <c r="C397" s="3">
        <v>887576</v>
      </c>
      <c r="D397" s="4" t="s">
        <v>81</v>
      </c>
      <c r="E397" s="4" t="s">
        <v>725</v>
      </c>
      <c r="F397" s="4" t="s">
        <v>83</v>
      </c>
      <c r="G397" s="4" t="s">
        <v>20</v>
      </c>
      <c r="H397" s="5">
        <v>-100000</v>
      </c>
      <c r="I397" s="4" t="s">
        <v>89</v>
      </c>
      <c r="J397" s="5">
        <f t="shared" si="6"/>
        <v>746930</v>
      </c>
      <c r="K397" s="4" t="s">
        <v>105</v>
      </c>
      <c r="L397" s="6">
        <v>7.4692999999999996</v>
      </c>
      <c r="M397" s="6">
        <v>0.13389999999999999</v>
      </c>
      <c r="N397" s="6">
        <v>4.2110000000000003</v>
      </c>
      <c r="O397" s="6">
        <v>0.56369999999999998</v>
      </c>
      <c r="P397" s="5">
        <v>-56.686399999999999</v>
      </c>
      <c r="Q397" s="4" t="s">
        <v>1392</v>
      </c>
    </row>
    <row r="398" spans="1:17" x14ac:dyDescent="0.3">
      <c r="A398" s="2" t="s">
        <v>1389</v>
      </c>
      <c r="B398" s="3">
        <v>154935</v>
      </c>
      <c r="C398" s="3">
        <v>887577</v>
      </c>
      <c r="D398" s="4" t="s">
        <v>81</v>
      </c>
      <c r="E398" s="4" t="s">
        <v>734</v>
      </c>
      <c r="F398" s="4" t="s">
        <v>87</v>
      </c>
      <c r="G398" s="4" t="s">
        <v>20</v>
      </c>
      <c r="H398" s="5">
        <v>100000</v>
      </c>
      <c r="I398" s="4" t="s">
        <v>34</v>
      </c>
      <c r="J398" s="5">
        <f t="shared" si="6"/>
        <v>-117320</v>
      </c>
      <c r="K398" s="4" t="s">
        <v>105</v>
      </c>
      <c r="L398" s="6">
        <v>1.1732</v>
      </c>
      <c r="M398" s="6">
        <v>0.85240000000000005</v>
      </c>
      <c r="N398" s="6">
        <v>4.2110000000000003</v>
      </c>
      <c r="O398" s="6">
        <v>3.6044999999999998</v>
      </c>
      <c r="P398" s="5">
        <v>-1776.3354999999999</v>
      </c>
      <c r="Q398" s="4" t="s">
        <v>1393</v>
      </c>
    </row>
    <row r="399" spans="1:17" x14ac:dyDescent="0.3">
      <c r="A399" s="2" t="s">
        <v>1389</v>
      </c>
      <c r="B399" s="3">
        <v>154936</v>
      </c>
      <c r="C399" s="3">
        <v>887578</v>
      </c>
      <c r="D399" s="4" t="s">
        <v>81</v>
      </c>
      <c r="E399" s="4" t="s">
        <v>734</v>
      </c>
      <c r="F399" s="4" t="s">
        <v>87</v>
      </c>
      <c r="G399" s="4" t="s">
        <v>20</v>
      </c>
      <c r="H399" s="5">
        <v>100000</v>
      </c>
      <c r="I399" s="4" t="s">
        <v>34</v>
      </c>
      <c r="J399" s="5">
        <f t="shared" si="6"/>
        <v>-117320</v>
      </c>
      <c r="K399" s="4" t="s">
        <v>105</v>
      </c>
      <c r="L399" s="6">
        <v>1.1732</v>
      </c>
      <c r="M399" s="6">
        <v>0.85229999999999995</v>
      </c>
      <c r="N399" s="6">
        <v>4.2110000000000003</v>
      </c>
      <c r="O399" s="6">
        <v>3.6044999999999998</v>
      </c>
      <c r="P399" s="5">
        <v>-1794.3579999999999</v>
      </c>
      <c r="Q399" s="4" t="s">
        <v>1393</v>
      </c>
    </row>
    <row r="400" spans="1:17" x14ac:dyDescent="0.3">
      <c r="A400" s="2" t="s">
        <v>1389</v>
      </c>
      <c r="B400" s="3">
        <v>154937</v>
      </c>
      <c r="C400" s="3">
        <v>214441</v>
      </c>
      <c r="D400" s="4" t="s">
        <v>17</v>
      </c>
      <c r="E400" s="4" t="s">
        <v>1199</v>
      </c>
      <c r="F400" s="4" t="s">
        <v>32</v>
      </c>
      <c r="G400" s="4" t="s">
        <v>20</v>
      </c>
      <c r="H400" s="5">
        <v>-50000</v>
      </c>
      <c r="I400" s="4" t="s">
        <v>34</v>
      </c>
      <c r="J400" s="5">
        <f t="shared" si="6"/>
        <v>58655</v>
      </c>
      <c r="K400" s="4" t="s">
        <v>45</v>
      </c>
      <c r="L400" s="6">
        <v>1.1731</v>
      </c>
      <c r="M400" s="6">
        <v>0.85240000000000005</v>
      </c>
      <c r="N400" s="6">
        <v>4.2267000000000001</v>
      </c>
      <c r="O400" s="6">
        <v>3.6015999999999999</v>
      </c>
      <c r="P400" s="5">
        <v>-137.17599999999999</v>
      </c>
      <c r="Q400" s="4" t="s">
        <v>1390</v>
      </c>
    </row>
    <row r="401" spans="1:17" x14ac:dyDescent="0.3">
      <c r="A401" s="2" t="s">
        <v>1389</v>
      </c>
      <c r="B401" s="3">
        <v>154938</v>
      </c>
      <c r="C401" s="3">
        <v>887589</v>
      </c>
      <c r="D401" s="4" t="s">
        <v>81</v>
      </c>
      <c r="E401" s="4" t="s">
        <v>734</v>
      </c>
      <c r="F401" s="4" t="s">
        <v>87</v>
      </c>
      <c r="G401" s="4" t="s">
        <v>20</v>
      </c>
      <c r="H401" s="5">
        <v>100000</v>
      </c>
      <c r="I401" s="4" t="s">
        <v>34</v>
      </c>
      <c r="J401" s="5">
        <f t="shared" si="6"/>
        <v>-117240.00000000001</v>
      </c>
      <c r="K401" s="4" t="s">
        <v>105</v>
      </c>
      <c r="L401" s="6">
        <v>1.1724000000000001</v>
      </c>
      <c r="M401" s="6">
        <v>0.85289999999999999</v>
      </c>
      <c r="N401" s="6">
        <v>4.2110000000000003</v>
      </c>
      <c r="O401" s="6">
        <v>3.6044999999999998</v>
      </c>
      <c r="P401" s="5">
        <v>-1509.6025</v>
      </c>
      <c r="Q401" s="4" t="s">
        <v>1393</v>
      </c>
    </row>
    <row r="402" spans="1:17" x14ac:dyDescent="0.3">
      <c r="A402" s="2" t="s">
        <v>1389</v>
      </c>
      <c r="B402" s="3">
        <v>154939</v>
      </c>
      <c r="C402" s="3">
        <v>214449</v>
      </c>
      <c r="D402" s="4" t="s">
        <v>17</v>
      </c>
      <c r="E402" s="4" t="s">
        <v>1131</v>
      </c>
      <c r="F402" s="4" t="s">
        <v>32</v>
      </c>
      <c r="G402" s="4" t="s">
        <v>20</v>
      </c>
      <c r="H402" s="5">
        <v>-456700</v>
      </c>
      <c r="I402" s="4" t="s">
        <v>21</v>
      </c>
      <c r="J402" s="5">
        <f t="shared" si="6"/>
        <v>1930927.5999999999</v>
      </c>
      <c r="K402" s="4" t="s">
        <v>45</v>
      </c>
      <c r="L402" s="6">
        <v>4.2279999999999998</v>
      </c>
      <c r="M402" s="6">
        <v>0.23649999999999999</v>
      </c>
      <c r="N402" s="6">
        <v>4.2267000000000001</v>
      </c>
      <c r="O402" s="6">
        <v>1</v>
      </c>
      <c r="P402" s="5">
        <v>593.71</v>
      </c>
      <c r="Q402" s="4" t="s">
        <v>1390</v>
      </c>
    </row>
    <row r="403" spans="1:17" x14ac:dyDescent="0.3">
      <c r="A403" s="2" t="s">
        <v>1389</v>
      </c>
      <c r="B403" s="3">
        <v>154941</v>
      </c>
      <c r="C403" s="3">
        <v>887633</v>
      </c>
      <c r="D403" s="4" t="s">
        <v>81</v>
      </c>
      <c r="E403" s="4" t="s">
        <v>1092</v>
      </c>
      <c r="F403" s="4" t="s">
        <v>83</v>
      </c>
      <c r="G403" s="4" t="s">
        <v>34</v>
      </c>
      <c r="H403" s="5">
        <v>-5000</v>
      </c>
      <c r="I403" s="4" t="s">
        <v>21</v>
      </c>
      <c r="J403" s="5">
        <f t="shared" si="6"/>
        <v>17991.5</v>
      </c>
      <c r="K403" s="4" t="s">
        <v>46</v>
      </c>
      <c r="L403" s="6">
        <v>3.5983000000000001</v>
      </c>
      <c r="M403" s="6">
        <v>0.27789999999999998</v>
      </c>
      <c r="N403" s="6">
        <v>3.6044999999999998</v>
      </c>
      <c r="O403" s="6">
        <v>1</v>
      </c>
      <c r="P403" s="5">
        <v>-31</v>
      </c>
      <c r="Q403" s="4" t="s">
        <v>1390</v>
      </c>
    </row>
    <row r="404" spans="1:17" x14ac:dyDescent="0.3">
      <c r="A404" s="2" t="s">
        <v>1389</v>
      </c>
      <c r="B404" s="3">
        <v>154942</v>
      </c>
      <c r="C404" s="3">
        <v>887634</v>
      </c>
      <c r="D404" s="4" t="s">
        <v>81</v>
      </c>
      <c r="E404" s="4" t="s">
        <v>732</v>
      </c>
      <c r="F404" s="4" t="s">
        <v>87</v>
      </c>
      <c r="G404" s="4" t="s">
        <v>20</v>
      </c>
      <c r="H404" s="5">
        <v>500000</v>
      </c>
      <c r="I404" s="4" t="s">
        <v>21</v>
      </c>
      <c r="J404" s="5">
        <f t="shared" si="6"/>
        <v>-2106750</v>
      </c>
      <c r="K404" s="4" t="s">
        <v>46</v>
      </c>
      <c r="L404" s="6">
        <v>4.2134999999999998</v>
      </c>
      <c r="M404" s="6">
        <v>0.23730000000000001</v>
      </c>
      <c r="N404" s="6">
        <v>4.2110000000000003</v>
      </c>
      <c r="O404" s="6">
        <v>1</v>
      </c>
      <c r="P404" s="5">
        <v>-1250</v>
      </c>
      <c r="Q404" s="4" t="s">
        <v>1394</v>
      </c>
    </row>
    <row r="405" spans="1:17" x14ac:dyDescent="0.3">
      <c r="A405" s="2" t="s">
        <v>1389</v>
      </c>
      <c r="B405" s="3">
        <v>154943</v>
      </c>
      <c r="C405" s="3">
        <v>887635</v>
      </c>
      <c r="D405" s="4" t="s">
        <v>81</v>
      </c>
      <c r="E405" s="4" t="s">
        <v>734</v>
      </c>
      <c r="F405" s="4" t="s">
        <v>87</v>
      </c>
      <c r="G405" s="4" t="s">
        <v>20</v>
      </c>
      <c r="H405" s="5">
        <v>500000</v>
      </c>
      <c r="I405" s="4" t="s">
        <v>21</v>
      </c>
      <c r="J405" s="5">
        <f t="shared" si="6"/>
        <v>-2106900</v>
      </c>
      <c r="K405" s="4" t="s">
        <v>46</v>
      </c>
      <c r="L405" s="6">
        <v>4.2138</v>
      </c>
      <c r="M405" s="6">
        <v>0.23730000000000001</v>
      </c>
      <c r="N405" s="6">
        <v>4.2110000000000003</v>
      </c>
      <c r="O405" s="6">
        <v>1</v>
      </c>
      <c r="P405" s="5">
        <v>-1400</v>
      </c>
      <c r="Q405" s="4" t="s">
        <v>1393</v>
      </c>
    </row>
    <row r="406" spans="1:17" x14ac:dyDescent="0.3">
      <c r="A406" s="2" t="s">
        <v>1389</v>
      </c>
      <c r="B406" s="3">
        <v>154944</v>
      </c>
      <c r="C406" s="3">
        <v>887636</v>
      </c>
      <c r="D406" s="4" t="s">
        <v>81</v>
      </c>
      <c r="E406" s="4" t="s">
        <v>732</v>
      </c>
      <c r="F406" s="4" t="s">
        <v>87</v>
      </c>
      <c r="G406" s="4" t="s">
        <v>20</v>
      </c>
      <c r="H406" s="5">
        <v>500000</v>
      </c>
      <c r="I406" s="4" t="s">
        <v>21</v>
      </c>
      <c r="J406" s="5">
        <f t="shared" si="6"/>
        <v>-2106800</v>
      </c>
      <c r="K406" s="4" t="s">
        <v>46</v>
      </c>
      <c r="L406" s="6">
        <v>4.2135999999999996</v>
      </c>
      <c r="M406" s="6">
        <v>0.23730000000000001</v>
      </c>
      <c r="N406" s="6">
        <v>4.2110000000000003</v>
      </c>
      <c r="O406" s="6">
        <v>1</v>
      </c>
      <c r="P406" s="5">
        <v>-1295</v>
      </c>
      <c r="Q406" s="4" t="s">
        <v>1394</v>
      </c>
    </row>
    <row r="407" spans="1:17" x14ac:dyDescent="0.3">
      <c r="A407" s="2" t="s">
        <v>1389</v>
      </c>
      <c r="B407" s="3">
        <v>154945</v>
      </c>
      <c r="C407" s="3">
        <v>214454</v>
      </c>
      <c r="D407" s="4" t="s">
        <v>17</v>
      </c>
      <c r="E407" s="4" t="s">
        <v>819</v>
      </c>
      <c r="F407" s="4" t="s">
        <v>32</v>
      </c>
      <c r="G407" s="4" t="s">
        <v>20</v>
      </c>
      <c r="H407" s="5">
        <v>-50000</v>
      </c>
      <c r="I407" s="4" t="s">
        <v>21</v>
      </c>
      <c r="J407" s="5">
        <f t="shared" si="6"/>
        <v>210849.99999999997</v>
      </c>
      <c r="K407" s="4" t="s">
        <v>45</v>
      </c>
      <c r="L407" s="6">
        <v>4.2169999999999996</v>
      </c>
      <c r="M407" s="6">
        <v>0.23710000000000001</v>
      </c>
      <c r="N407" s="6">
        <v>4.2267000000000001</v>
      </c>
      <c r="O407" s="6">
        <v>1</v>
      </c>
      <c r="P407" s="5">
        <v>-485</v>
      </c>
      <c r="Q407" s="4" t="s">
        <v>1390</v>
      </c>
    </row>
    <row r="408" spans="1:17" x14ac:dyDescent="0.3">
      <c r="A408" s="2" t="s">
        <v>1389</v>
      </c>
      <c r="B408" s="3">
        <v>154946</v>
      </c>
      <c r="C408" s="3">
        <v>887643</v>
      </c>
      <c r="D408" s="4" t="s">
        <v>81</v>
      </c>
      <c r="E408" s="4" t="s">
        <v>742</v>
      </c>
      <c r="F408" s="4" t="s">
        <v>87</v>
      </c>
      <c r="G408" s="4" t="s">
        <v>20</v>
      </c>
      <c r="H408" s="5">
        <v>500000</v>
      </c>
      <c r="I408" s="4" t="s">
        <v>21</v>
      </c>
      <c r="J408" s="5">
        <f t="shared" si="6"/>
        <v>-2106450</v>
      </c>
      <c r="K408" s="4" t="s">
        <v>46</v>
      </c>
      <c r="L408" s="6">
        <v>4.2129000000000003</v>
      </c>
      <c r="M408" s="6">
        <v>0.2374</v>
      </c>
      <c r="N408" s="6">
        <v>4.2110000000000003</v>
      </c>
      <c r="O408" s="6">
        <v>1</v>
      </c>
      <c r="P408" s="5">
        <v>-955</v>
      </c>
      <c r="Q408" s="4" t="s">
        <v>1396</v>
      </c>
    </row>
    <row r="409" spans="1:17" x14ac:dyDescent="0.3">
      <c r="A409" s="2" t="s">
        <v>1389</v>
      </c>
      <c r="B409" s="3">
        <v>154947</v>
      </c>
      <c r="C409" s="3">
        <v>887644</v>
      </c>
      <c r="D409" s="4" t="s">
        <v>81</v>
      </c>
      <c r="E409" s="4" t="s">
        <v>742</v>
      </c>
      <c r="F409" s="4" t="s">
        <v>87</v>
      </c>
      <c r="G409" s="4" t="s">
        <v>20</v>
      </c>
      <c r="H409" s="5">
        <v>500000</v>
      </c>
      <c r="I409" s="4" t="s">
        <v>21</v>
      </c>
      <c r="J409" s="5">
        <f t="shared" si="6"/>
        <v>-2106500</v>
      </c>
      <c r="K409" s="4" t="s">
        <v>46</v>
      </c>
      <c r="L409" s="6">
        <v>4.2130000000000001</v>
      </c>
      <c r="M409" s="6">
        <v>0.2374</v>
      </c>
      <c r="N409" s="6">
        <v>4.2110000000000003</v>
      </c>
      <c r="O409" s="6">
        <v>1</v>
      </c>
      <c r="P409" s="5">
        <v>-985</v>
      </c>
      <c r="Q409" s="4" t="s">
        <v>1396</v>
      </c>
    </row>
    <row r="410" spans="1:17" x14ac:dyDescent="0.3">
      <c r="A410" s="2" t="s">
        <v>1389</v>
      </c>
      <c r="B410" s="3">
        <v>154948</v>
      </c>
      <c r="C410" s="3">
        <v>887645</v>
      </c>
      <c r="D410" s="4" t="s">
        <v>81</v>
      </c>
      <c r="E410" s="4" t="s">
        <v>735</v>
      </c>
      <c r="F410" s="4" t="s">
        <v>87</v>
      </c>
      <c r="G410" s="4" t="s">
        <v>20</v>
      </c>
      <c r="H410" s="5">
        <v>500000</v>
      </c>
      <c r="I410" s="4" t="s">
        <v>21</v>
      </c>
      <c r="J410" s="5">
        <f t="shared" si="6"/>
        <v>-2106550</v>
      </c>
      <c r="K410" s="4" t="s">
        <v>46</v>
      </c>
      <c r="L410" s="6">
        <v>4.2130999999999998</v>
      </c>
      <c r="M410" s="6">
        <v>0.2374</v>
      </c>
      <c r="N410" s="6">
        <v>4.2110000000000003</v>
      </c>
      <c r="O410" s="6">
        <v>1</v>
      </c>
      <c r="P410" s="5">
        <v>-1050</v>
      </c>
      <c r="Q410" s="4" t="s">
        <v>1394</v>
      </c>
    </row>
    <row r="411" spans="1:17" x14ac:dyDescent="0.3">
      <c r="A411" s="2" t="s">
        <v>1389</v>
      </c>
      <c r="B411" s="3">
        <v>154949</v>
      </c>
      <c r="C411" s="3">
        <v>887646</v>
      </c>
      <c r="D411" s="4" t="s">
        <v>81</v>
      </c>
      <c r="E411" s="4" t="s">
        <v>735</v>
      </c>
      <c r="F411" s="4" t="s">
        <v>87</v>
      </c>
      <c r="G411" s="4" t="s">
        <v>20</v>
      </c>
      <c r="H411" s="5">
        <v>500000</v>
      </c>
      <c r="I411" s="4" t="s">
        <v>21</v>
      </c>
      <c r="J411" s="5">
        <f t="shared" si="6"/>
        <v>-2106500</v>
      </c>
      <c r="K411" s="4" t="s">
        <v>46</v>
      </c>
      <c r="L411" s="6">
        <v>4.2130000000000001</v>
      </c>
      <c r="M411" s="6">
        <v>0.2374</v>
      </c>
      <c r="N411" s="6">
        <v>4.2110000000000003</v>
      </c>
      <c r="O411" s="6">
        <v>1</v>
      </c>
      <c r="P411" s="5">
        <v>-1000</v>
      </c>
      <c r="Q411" s="4" t="s">
        <v>1394</v>
      </c>
    </row>
    <row r="412" spans="1:17" x14ac:dyDescent="0.3">
      <c r="A412" s="2" t="s">
        <v>1389</v>
      </c>
      <c r="B412" s="3">
        <v>154950</v>
      </c>
      <c r="C412" s="3">
        <v>887647</v>
      </c>
      <c r="D412" s="4" t="s">
        <v>81</v>
      </c>
      <c r="E412" s="4" t="s">
        <v>751</v>
      </c>
      <c r="F412" s="4" t="s">
        <v>83</v>
      </c>
      <c r="G412" s="4" t="s">
        <v>20</v>
      </c>
      <c r="H412" s="5">
        <v>-2000000</v>
      </c>
      <c r="I412" s="4" t="s">
        <v>21</v>
      </c>
      <c r="J412" s="5">
        <f t="shared" si="6"/>
        <v>8429000</v>
      </c>
      <c r="K412" s="4" t="s">
        <v>46</v>
      </c>
      <c r="L412" s="6">
        <v>4.2145000000000001</v>
      </c>
      <c r="M412" s="6">
        <v>0.23730000000000001</v>
      </c>
      <c r="N412" s="6">
        <v>4.2110000000000003</v>
      </c>
      <c r="O412" s="6">
        <v>1</v>
      </c>
      <c r="P412" s="5">
        <v>7000</v>
      </c>
      <c r="Q412" s="4" t="s">
        <v>1390</v>
      </c>
    </row>
    <row r="413" spans="1:17" x14ac:dyDescent="0.3">
      <c r="A413" s="2" t="s">
        <v>1389</v>
      </c>
      <c r="B413" s="3">
        <v>154952</v>
      </c>
      <c r="C413" s="3">
        <v>887651</v>
      </c>
      <c r="D413" s="4" t="s">
        <v>81</v>
      </c>
      <c r="E413" s="4" t="s">
        <v>742</v>
      </c>
      <c r="F413" s="4" t="s">
        <v>87</v>
      </c>
      <c r="G413" s="4" t="s">
        <v>20</v>
      </c>
      <c r="H413" s="5">
        <v>500000</v>
      </c>
      <c r="I413" s="4" t="s">
        <v>21</v>
      </c>
      <c r="J413" s="5">
        <f t="shared" si="6"/>
        <v>-2106550</v>
      </c>
      <c r="K413" s="4" t="s">
        <v>46</v>
      </c>
      <c r="L413" s="6">
        <v>4.2130999999999998</v>
      </c>
      <c r="M413" s="6">
        <v>0.2374</v>
      </c>
      <c r="N413" s="6">
        <v>4.2110000000000003</v>
      </c>
      <c r="O413" s="6">
        <v>1</v>
      </c>
      <c r="P413" s="5">
        <v>-1040</v>
      </c>
      <c r="Q413" s="4" t="s">
        <v>1396</v>
      </c>
    </row>
    <row r="414" spans="1:17" x14ac:dyDescent="0.3">
      <c r="A414" s="2" t="s">
        <v>1389</v>
      </c>
      <c r="B414" s="3">
        <v>154953</v>
      </c>
      <c r="C414" s="3">
        <v>214457</v>
      </c>
      <c r="D414" s="4" t="s">
        <v>17</v>
      </c>
      <c r="E414" s="4" t="s">
        <v>1155</v>
      </c>
      <c r="F414" s="4" t="s">
        <v>32</v>
      </c>
      <c r="G414" s="4" t="s">
        <v>20</v>
      </c>
      <c r="H414" s="5">
        <v>-50000</v>
      </c>
      <c r="I414" s="4" t="s">
        <v>74</v>
      </c>
      <c r="J414" s="5">
        <f t="shared" si="6"/>
        <v>590385</v>
      </c>
      <c r="K414" s="4" t="s">
        <v>45</v>
      </c>
      <c r="L414" s="6">
        <v>11.807700000000001</v>
      </c>
      <c r="M414" s="6">
        <v>8.4699999999999998E-2</v>
      </c>
      <c r="N414" s="6">
        <v>4.2267000000000001</v>
      </c>
      <c r="O414" s="6">
        <v>0.35770000000000002</v>
      </c>
      <c r="P414" s="5">
        <v>-198.99799999999999</v>
      </c>
      <c r="Q414" s="4" t="s">
        <v>1390</v>
      </c>
    </row>
    <row r="415" spans="1:17" x14ac:dyDescent="0.3">
      <c r="A415" s="2" t="s">
        <v>1389</v>
      </c>
      <c r="B415" s="3">
        <v>154954</v>
      </c>
      <c r="C415" s="3">
        <v>887656</v>
      </c>
      <c r="D415" s="4" t="s">
        <v>81</v>
      </c>
      <c r="E415" s="4" t="s">
        <v>742</v>
      </c>
      <c r="F415" s="4" t="s">
        <v>87</v>
      </c>
      <c r="G415" s="4" t="s">
        <v>20</v>
      </c>
      <c r="H415" s="5">
        <v>500000</v>
      </c>
      <c r="I415" s="4" t="s">
        <v>21</v>
      </c>
      <c r="J415" s="5">
        <f t="shared" si="6"/>
        <v>-2106500</v>
      </c>
      <c r="K415" s="4" t="s">
        <v>46</v>
      </c>
      <c r="L415" s="6">
        <v>4.2130000000000001</v>
      </c>
      <c r="M415" s="6">
        <v>0.2374</v>
      </c>
      <c r="N415" s="6">
        <v>4.2110000000000003</v>
      </c>
      <c r="O415" s="6">
        <v>1</v>
      </c>
      <c r="P415" s="5">
        <v>-975</v>
      </c>
      <c r="Q415" s="4" t="s">
        <v>1396</v>
      </c>
    </row>
    <row r="416" spans="1:17" x14ac:dyDescent="0.3">
      <c r="A416" s="2" t="s">
        <v>1389</v>
      </c>
      <c r="B416" s="3">
        <v>154955</v>
      </c>
      <c r="C416" s="3">
        <v>887657</v>
      </c>
      <c r="D416" s="4" t="s">
        <v>81</v>
      </c>
      <c r="E416" s="4" t="s">
        <v>732</v>
      </c>
      <c r="F416" s="4" t="s">
        <v>87</v>
      </c>
      <c r="G416" s="4" t="s">
        <v>20</v>
      </c>
      <c r="H416" s="5">
        <v>500000</v>
      </c>
      <c r="I416" s="4" t="s">
        <v>21</v>
      </c>
      <c r="J416" s="5">
        <f t="shared" si="6"/>
        <v>-2106400</v>
      </c>
      <c r="K416" s="4" t="s">
        <v>46</v>
      </c>
      <c r="L416" s="6">
        <v>4.2127999999999997</v>
      </c>
      <c r="M416" s="6">
        <v>0.2374</v>
      </c>
      <c r="N416" s="6">
        <v>4.2110000000000003</v>
      </c>
      <c r="O416" s="6">
        <v>1</v>
      </c>
      <c r="P416" s="5">
        <v>-890</v>
      </c>
      <c r="Q416" s="4" t="s">
        <v>1394</v>
      </c>
    </row>
    <row r="417" spans="1:17" x14ac:dyDescent="0.3">
      <c r="A417" s="2" t="s">
        <v>1389</v>
      </c>
      <c r="B417" s="3">
        <v>154956</v>
      </c>
      <c r="C417" s="3">
        <v>887658</v>
      </c>
      <c r="D417" s="4" t="s">
        <v>81</v>
      </c>
      <c r="E417" s="4" t="s">
        <v>734</v>
      </c>
      <c r="F417" s="4" t="s">
        <v>83</v>
      </c>
      <c r="G417" s="4" t="s">
        <v>20</v>
      </c>
      <c r="H417" s="5">
        <v>-100000</v>
      </c>
      <c r="I417" s="4" t="s">
        <v>34</v>
      </c>
      <c r="J417" s="5">
        <f t="shared" si="6"/>
        <v>117300</v>
      </c>
      <c r="K417" s="4" t="s">
        <v>105</v>
      </c>
      <c r="L417" s="6">
        <v>1.173</v>
      </c>
      <c r="M417" s="6">
        <v>0.85250000000000004</v>
      </c>
      <c r="N417" s="6">
        <v>4.2110000000000003</v>
      </c>
      <c r="O417" s="6">
        <v>3.6044999999999998</v>
      </c>
      <c r="P417" s="5">
        <v>1715.059</v>
      </c>
      <c r="Q417" s="4" t="s">
        <v>1393</v>
      </c>
    </row>
    <row r="418" spans="1:17" x14ac:dyDescent="0.3">
      <c r="A418" s="2" t="s">
        <v>1389</v>
      </c>
      <c r="B418" s="3">
        <v>154957</v>
      </c>
      <c r="C418" s="3">
        <v>887662</v>
      </c>
      <c r="D418" s="4" t="s">
        <v>81</v>
      </c>
      <c r="E418" s="4" t="s">
        <v>735</v>
      </c>
      <c r="F418" s="4" t="s">
        <v>87</v>
      </c>
      <c r="G418" s="4" t="s">
        <v>20</v>
      </c>
      <c r="H418" s="5">
        <v>500000</v>
      </c>
      <c r="I418" s="4" t="s">
        <v>21</v>
      </c>
      <c r="J418" s="5">
        <f t="shared" si="6"/>
        <v>-2106450</v>
      </c>
      <c r="K418" s="4" t="s">
        <v>46</v>
      </c>
      <c r="L418" s="6">
        <v>4.2129000000000003</v>
      </c>
      <c r="M418" s="6">
        <v>0.2374</v>
      </c>
      <c r="N418" s="6">
        <v>4.2110000000000003</v>
      </c>
      <c r="O418" s="6">
        <v>1</v>
      </c>
      <c r="P418" s="5">
        <v>-950</v>
      </c>
      <c r="Q418" s="4" t="s">
        <v>1394</v>
      </c>
    </row>
    <row r="419" spans="1:17" x14ac:dyDescent="0.3">
      <c r="A419" s="2" t="s">
        <v>1389</v>
      </c>
      <c r="B419" s="3">
        <v>154958</v>
      </c>
      <c r="C419" s="3">
        <v>887671</v>
      </c>
      <c r="D419" s="4" t="s">
        <v>81</v>
      </c>
      <c r="E419" s="4" t="s">
        <v>734</v>
      </c>
      <c r="F419" s="4" t="s">
        <v>83</v>
      </c>
      <c r="G419" s="4" t="s">
        <v>20</v>
      </c>
      <c r="H419" s="5">
        <v>-100000</v>
      </c>
      <c r="I419" s="4" t="s">
        <v>34</v>
      </c>
      <c r="J419" s="5">
        <f t="shared" si="6"/>
        <v>117320</v>
      </c>
      <c r="K419" s="4" t="s">
        <v>105</v>
      </c>
      <c r="L419" s="6">
        <v>1.1732</v>
      </c>
      <c r="M419" s="6">
        <v>0.85240000000000005</v>
      </c>
      <c r="N419" s="6">
        <v>4.2110000000000003</v>
      </c>
      <c r="O419" s="6">
        <v>3.6044999999999998</v>
      </c>
      <c r="P419" s="5">
        <v>1779.94</v>
      </c>
      <c r="Q419" s="4" t="s">
        <v>1393</v>
      </c>
    </row>
    <row r="420" spans="1:17" x14ac:dyDescent="0.3">
      <c r="A420" s="2" t="s">
        <v>1389</v>
      </c>
      <c r="B420" s="3">
        <v>154960</v>
      </c>
      <c r="C420" s="3">
        <v>887681</v>
      </c>
      <c r="D420" s="4" t="s">
        <v>81</v>
      </c>
      <c r="E420" s="4" t="s">
        <v>734</v>
      </c>
      <c r="F420" s="4" t="s">
        <v>83</v>
      </c>
      <c r="G420" s="4" t="s">
        <v>20</v>
      </c>
      <c r="H420" s="5">
        <v>-100000</v>
      </c>
      <c r="I420" s="4" t="s">
        <v>34</v>
      </c>
      <c r="J420" s="5">
        <f t="shared" si="6"/>
        <v>117370</v>
      </c>
      <c r="K420" s="4" t="s">
        <v>105</v>
      </c>
      <c r="L420" s="6">
        <v>1.1737</v>
      </c>
      <c r="M420" s="6">
        <v>0.85199999999999998</v>
      </c>
      <c r="N420" s="6">
        <v>4.2110000000000003</v>
      </c>
      <c r="O420" s="6">
        <v>3.6044999999999998</v>
      </c>
      <c r="P420" s="5">
        <v>1949.3515</v>
      </c>
      <c r="Q420" s="4" t="s">
        <v>1393</v>
      </c>
    </row>
    <row r="421" spans="1:17" x14ac:dyDescent="0.3">
      <c r="A421" s="2" t="s">
        <v>1389</v>
      </c>
      <c r="B421" s="3">
        <v>154961</v>
      </c>
      <c r="C421" s="3">
        <v>887682</v>
      </c>
      <c r="D421" s="4" t="s">
        <v>81</v>
      </c>
      <c r="E421" s="4" t="s">
        <v>735</v>
      </c>
      <c r="F421" s="4" t="s">
        <v>87</v>
      </c>
      <c r="G421" s="4" t="s">
        <v>20</v>
      </c>
      <c r="H421" s="5">
        <v>500000</v>
      </c>
      <c r="I421" s="4" t="s">
        <v>21</v>
      </c>
      <c r="J421" s="5">
        <f t="shared" si="6"/>
        <v>-2106650</v>
      </c>
      <c r="K421" s="4" t="s">
        <v>46</v>
      </c>
      <c r="L421" s="6">
        <v>4.2133000000000003</v>
      </c>
      <c r="M421" s="6">
        <v>0.23730000000000001</v>
      </c>
      <c r="N421" s="6">
        <v>4.2110000000000003</v>
      </c>
      <c r="O421" s="6">
        <v>1</v>
      </c>
      <c r="P421" s="5">
        <v>-1150</v>
      </c>
      <c r="Q421" s="4" t="s">
        <v>1394</v>
      </c>
    </row>
    <row r="422" spans="1:17" x14ac:dyDescent="0.3">
      <c r="A422" s="2" t="s">
        <v>1389</v>
      </c>
      <c r="B422" s="3">
        <v>154962</v>
      </c>
      <c r="C422" s="3">
        <v>887686</v>
      </c>
      <c r="D422" s="4" t="s">
        <v>81</v>
      </c>
      <c r="E422" s="4" t="s">
        <v>1158</v>
      </c>
      <c r="F422" s="4" t="s">
        <v>83</v>
      </c>
      <c r="G422" s="4" t="s">
        <v>20</v>
      </c>
      <c r="H422" s="5">
        <v>-887777</v>
      </c>
      <c r="I422" s="4" t="s">
        <v>21</v>
      </c>
      <c r="J422" s="5">
        <f t="shared" si="6"/>
        <v>3741891.2773000002</v>
      </c>
      <c r="K422" s="4" t="s">
        <v>46</v>
      </c>
      <c r="L422" s="6">
        <v>4.2149000000000001</v>
      </c>
      <c r="M422" s="6">
        <v>0.23730000000000001</v>
      </c>
      <c r="N422" s="6">
        <v>4.2110000000000003</v>
      </c>
      <c r="O422" s="6">
        <v>1</v>
      </c>
      <c r="P422" s="5">
        <v>3462.3330000000001</v>
      </c>
      <c r="Q422" s="4" t="s">
        <v>1390</v>
      </c>
    </row>
    <row r="423" spans="1:17" x14ac:dyDescent="0.3">
      <c r="A423" s="2" t="s">
        <v>1389</v>
      </c>
      <c r="B423" s="3">
        <v>154994</v>
      </c>
      <c r="C423" s="3">
        <v>214467</v>
      </c>
      <c r="D423" s="4" t="s">
        <v>17</v>
      </c>
      <c r="E423" s="4" t="s">
        <v>1355</v>
      </c>
      <c r="F423" s="4" t="s">
        <v>19</v>
      </c>
      <c r="G423" s="4" t="s">
        <v>20</v>
      </c>
      <c r="H423" s="5">
        <v>8740</v>
      </c>
      <c r="I423" s="4" t="s">
        <v>21</v>
      </c>
      <c r="J423" s="5">
        <f t="shared" si="6"/>
        <v>-36720.235999999997</v>
      </c>
      <c r="K423" s="4" t="s">
        <v>45</v>
      </c>
      <c r="L423" s="6">
        <v>4.2013999999999996</v>
      </c>
      <c r="M423" s="6">
        <v>0.23799999999999999</v>
      </c>
      <c r="N423" s="6">
        <v>4.2267000000000001</v>
      </c>
      <c r="O423" s="6">
        <v>1</v>
      </c>
      <c r="P423" s="5">
        <v>221.12200000000303</v>
      </c>
      <c r="Q423" s="4" t="s">
        <v>1390</v>
      </c>
    </row>
    <row r="424" spans="1:17" x14ac:dyDescent="0.3">
      <c r="A424" s="2" t="s">
        <v>1389</v>
      </c>
      <c r="B424" s="3">
        <v>154997</v>
      </c>
      <c r="C424" s="3">
        <v>214469</v>
      </c>
      <c r="D424" s="4" t="s">
        <v>17</v>
      </c>
      <c r="E424" s="4" t="s">
        <v>829</v>
      </c>
      <c r="F424" s="4" t="s">
        <v>32</v>
      </c>
      <c r="G424" s="4" t="s">
        <v>20</v>
      </c>
      <c r="H424" s="5">
        <v>-275000</v>
      </c>
      <c r="I424" s="4" t="s">
        <v>21</v>
      </c>
      <c r="J424" s="5">
        <f t="shared" si="6"/>
        <v>1161875</v>
      </c>
      <c r="K424" s="4" t="s">
        <v>45</v>
      </c>
      <c r="L424" s="6">
        <v>4.2249999999999996</v>
      </c>
      <c r="M424" s="6">
        <v>0.23669999999999999</v>
      </c>
      <c r="N424" s="6">
        <v>4.2267000000000001</v>
      </c>
      <c r="O424" s="6">
        <v>1</v>
      </c>
      <c r="P424" s="5">
        <v>-742.5</v>
      </c>
      <c r="Q424" s="4" t="s">
        <v>1390</v>
      </c>
    </row>
    <row r="425" spans="1:17" x14ac:dyDescent="0.3">
      <c r="A425" s="2" t="s">
        <v>1389</v>
      </c>
      <c r="B425" s="3">
        <v>155004</v>
      </c>
      <c r="C425" s="3">
        <v>214480</v>
      </c>
      <c r="D425" s="4" t="s">
        <v>17</v>
      </c>
      <c r="E425" s="4" t="s">
        <v>1199</v>
      </c>
      <c r="F425" s="4" t="s">
        <v>32</v>
      </c>
      <c r="G425" s="4" t="s">
        <v>20</v>
      </c>
      <c r="H425" s="5">
        <v>-50000</v>
      </c>
      <c r="I425" s="4" t="s">
        <v>34</v>
      </c>
      <c r="J425" s="5">
        <f t="shared" si="6"/>
        <v>58600</v>
      </c>
      <c r="K425" s="4" t="s">
        <v>45</v>
      </c>
      <c r="L425" s="6">
        <v>1.1719999999999999</v>
      </c>
      <c r="M425" s="6">
        <v>0.85319999999999996</v>
      </c>
      <c r="N425" s="6">
        <v>4.2267000000000001</v>
      </c>
      <c r="O425" s="6">
        <v>3.6015999999999999</v>
      </c>
      <c r="P425" s="5">
        <v>-335.26400000000001</v>
      </c>
      <c r="Q425" s="4" t="s">
        <v>1390</v>
      </c>
    </row>
    <row r="426" spans="1:17" x14ac:dyDescent="0.3">
      <c r="A426" s="2" t="s">
        <v>1389</v>
      </c>
      <c r="B426" s="3">
        <v>155007</v>
      </c>
      <c r="C426" s="3">
        <v>887750</v>
      </c>
      <c r="D426" s="4" t="s">
        <v>81</v>
      </c>
      <c r="E426" s="4" t="s">
        <v>742</v>
      </c>
      <c r="F426" s="4" t="s">
        <v>87</v>
      </c>
      <c r="G426" s="4" t="s">
        <v>20</v>
      </c>
      <c r="H426" s="5">
        <v>500000</v>
      </c>
      <c r="I426" s="4" t="s">
        <v>21</v>
      </c>
      <c r="J426" s="5">
        <f t="shared" si="6"/>
        <v>-2107300</v>
      </c>
      <c r="K426" s="4" t="s">
        <v>46</v>
      </c>
      <c r="L426" s="6">
        <v>4.2145999999999999</v>
      </c>
      <c r="M426" s="6">
        <v>0.23730000000000001</v>
      </c>
      <c r="N426" s="6">
        <v>4.2110000000000003</v>
      </c>
      <c r="O426" s="6">
        <v>1</v>
      </c>
      <c r="P426" s="5">
        <v>-1795</v>
      </c>
      <c r="Q426" s="4" t="s">
        <v>1396</v>
      </c>
    </row>
    <row r="427" spans="1:17" x14ac:dyDescent="0.3">
      <c r="A427" s="2" t="s">
        <v>1389</v>
      </c>
      <c r="B427" s="3">
        <v>155009</v>
      </c>
      <c r="C427" s="3">
        <v>214487</v>
      </c>
      <c r="D427" s="4" t="s">
        <v>17</v>
      </c>
      <c r="E427" s="4" t="s">
        <v>1154</v>
      </c>
      <c r="F427" s="4" t="s">
        <v>32</v>
      </c>
      <c r="G427" s="4" t="s">
        <v>20</v>
      </c>
      <c r="H427" s="5">
        <v>-300000</v>
      </c>
      <c r="I427" s="4" t="s">
        <v>21</v>
      </c>
      <c r="J427" s="5">
        <f t="shared" si="6"/>
        <v>1264950</v>
      </c>
      <c r="K427" s="4" t="s">
        <v>45</v>
      </c>
      <c r="L427" s="6">
        <v>4.2164999999999999</v>
      </c>
      <c r="M427" s="6">
        <v>0.23719999999999999</v>
      </c>
      <c r="N427" s="6">
        <v>4.2267000000000001</v>
      </c>
      <c r="O427" s="6">
        <v>1</v>
      </c>
      <c r="P427" s="5">
        <v>-3360</v>
      </c>
      <c r="Q427" s="4" t="s">
        <v>1390</v>
      </c>
    </row>
    <row r="428" spans="1:17" x14ac:dyDescent="0.3">
      <c r="A428" s="2" t="s">
        <v>1389</v>
      </c>
      <c r="B428" s="3">
        <v>155010</v>
      </c>
      <c r="C428" s="3">
        <v>214489</v>
      </c>
      <c r="D428" s="4" t="s">
        <v>17</v>
      </c>
      <c r="E428" s="4" t="s">
        <v>1154</v>
      </c>
      <c r="F428" s="4" t="s">
        <v>32</v>
      </c>
      <c r="G428" s="4" t="s">
        <v>20</v>
      </c>
      <c r="H428" s="5">
        <v>-338800</v>
      </c>
      <c r="I428" s="4" t="s">
        <v>21</v>
      </c>
      <c r="J428" s="5">
        <f t="shared" si="6"/>
        <v>1428516.32</v>
      </c>
      <c r="K428" s="4" t="s">
        <v>45</v>
      </c>
      <c r="L428" s="6">
        <v>4.2164000000000001</v>
      </c>
      <c r="M428" s="6">
        <v>0.23719999999999999</v>
      </c>
      <c r="N428" s="6">
        <v>4.2267000000000001</v>
      </c>
      <c r="O428" s="6">
        <v>1</v>
      </c>
      <c r="P428" s="5">
        <v>-3828.44</v>
      </c>
      <c r="Q428" s="4" t="s">
        <v>1390</v>
      </c>
    </row>
    <row r="429" spans="1:17" x14ac:dyDescent="0.3">
      <c r="A429" s="2" t="s">
        <v>1389</v>
      </c>
      <c r="B429" s="3">
        <v>155011</v>
      </c>
      <c r="C429" s="3">
        <v>887774</v>
      </c>
      <c r="D429" s="4" t="s">
        <v>81</v>
      </c>
      <c r="E429" s="4" t="s">
        <v>733</v>
      </c>
      <c r="F429" s="4" t="s">
        <v>87</v>
      </c>
      <c r="G429" s="4" t="s">
        <v>20</v>
      </c>
      <c r="H429" s="5">
        <v>500000</v>
      </c>
      <c r="I429" s="4" t="s">
        <v>21</v>
      </c>
      <c r="J429" s="5">
        <f t="shared" si="6"/>
        <v>-2107450</v>
      </c>
      <c r="K429" s="4" t="s">
        <v>46</v>
      </c>
      <c r="L429" s="6">
        <v>4.2149000000000001</v>
      </c>
      <c r="M429" s="6">
        <v>0.23730000000000001</v>
      </c>
      <c r="N429" s="6">
        <v>4.2110000000000003</v>
      </c>
      <c r="O429" s="6">
        <v>1</v>
      </c>
      <c r="P429" s="5">
        <v>-1935</v>
      </c>
      <c r="Q429" s="4" t="s">
        <v>1391</v>
      </c>
    </row>
    <row r="430" spans="1:17" x14ac:dyDescent="0.3">
      <c r="A430" s="2" t="s">
        <v>1389</v>
      </c>
      <c r="B430" s="3">
        <v>155012</v>
      </c>
      <c r="C430" s="3">
        <v>214493</v>
      </c>
      <c r="D430" s="4" t="s">
        <v>17</v>
      </c>
      <c r="E430" s="4" t="s">
        <v>1328</v>
      </c>
      <c r="F430" s="4" t="s">
        <v>19</v>
      </c>
      <c r="G430" s="4" t="s">
        <v>20</v>
      </c>
      <c r="H430" s="5">
        <v>200000</v>
      </c>
      <c r="I430" s="4" t="s">
        <v>21</v>
      </c>
      <c r="J430" s="5">
        <f t="shared" si="6"/>
        <v>-842300</v>
      </c>
      <c r="K430" s="4" t="s">
        <v>45</v>
      </c>
      <c r="L430" s="6">
        <v>4.2115</v>
      </c>
      <c r="M430" s="6">
        <v>0.2374</v>
      </c>
      <c r="N430" s="6">
        <v>4.2267000000000001</v>
      </c>
      <c r="O430" s="6">
        <v>1</v>
      </c>
      <c r="P430" s="5">
        <v>3040</v>
      </c>
      <c r="Q430" s="4" t="s">
        <v>1390</v>
      </c>
    </row>
    <row r="431" spans="1:17" x14ac:dyDescent="0.3">
      <c r="A431" s="2" t="s">
        <v>1389</v>
      </c>
      <c r="B431" s="3">
        <v>155013</v>
      </c>
      <c r="C431" s="3">
        <v>887793</v>
      </c>
      <c r="D431" s="4" t="s">
        <v>81</v>
      </c>
      <c r="E431" s="4" t="s">
        <v>733</v>
      </c>
      <c r="F431" s="4" t="s">
        <v>87</v>
      </c>
      <c r="G431" s="4" t="s">
        <v>20</v>
      </c>
      <c r="H431" s="5">
        <v>500000</v>
      </c>
      <c r="I431" s="4" t="s">
        <v>21</v>
      </c>
      <c r="J431" s="5">
        <f t="shared" si="6"/>
        <v>-2106500</v>
      </c>
      <c r="K431" s="4" t="s">
        <v>46</v>
      </c>
      <c r="L431" s="6">
        <v>4.2130000000000001</v>
      </c>
      <c r="M431" s="6">
        <v>0.2374</v>
      </c>
      <c r="N431" s="6">
        <v>4.2110000000000003</v>
      </c>
      <c r="O431" s="6">
        <v>1</v>
      </c>
      <c r="P431" s="5">
        <v>-995</v>
      </c>
      <c r="Q431" s="4" t="s">
        <v>1391</v>
      </c>
    </row>
    <row r="432" spans="1:17" x14ac:dyDescent="0.3">
      <c r="A432" s="2" t="s">
        <v>1389</v>
      </c>
      <c r="B432" s="3">
        <v>155015</v>
      </c>
      <c r="C432" s="3">
        <v>214499</v>
      </c>
      <c r="D432" s="4" t="s">
        <v>17</v>
      </c>
      <c r="E432" s="4" t="s">
        <v>1180</v>
      </c>
      <c r="F432" s="4" t="s">
        <v>19</v>
      </c>
      <c r="G432" s="4" t="s">
        <v>20</v>
      </c>
      <c r="H432" s="5">
        <v>6800</v>
      </c>
      <c r="I432" s="4" t="s">
        <v>21</v>
      </c>
      <c r="J432" s="5">
        <f t="shared" si="6"/>
        <v>-28594</v>
      </c>
      <c r="K432" s="4" t="s">
        <v>45</v>
      </c>
      <c r="L432" s="6">
        <v>4.2050000000000001</v>
      </c>
      <c r="M432" s="6">
        <v>0.23780000000000001</v>
      </c>
      <c r="N432" s="6">
        <v>4.2267000000000001</v>
      </c>
      <c r="O432" s="6">
        <v>1</v>
      </c>
      <c r="P432" s="5">
        <v>147.56000000000131</v>
      </c>
      <c r="Q432" s="4" t="s">
        <v>1390</v>
      </c>
    </row>
    <row r="433" spans="1:17" x14ac:dyDescent="0.3">
      <c r="A433" s="2" t="s">
        <v>1389</v>
      </c>
      <c r="B433" s="3">
        <v>155016</v>
      </c>
      <c r="C433" s="3">
        <v>887806</v>
      </c>
      <c r="D433" s="4" t="s">
        <v>81</v>
      </c>
      <c r="E433" s="4" t="s">
        <v>733</v>
      </c>
      <c r="F433" s="4" t="s">
        <v>87</v>
      </c>
      <c r="G433" s="4" t="s">
        <v>20</v>
      </c>
      <c r="H433" s="5">
        <v>500000</v>
      </c>
      <c r="I433" s="4" t="s">
        <v>21</v>
      </c>
      <c r="J433" s="5">
        <f t="shared" si="6"/>
        <v>-2106150</v>
      </c>
      <c r="K433" s="4" t="s">
        <v>46</v>
      </c>
      <c r="L433" s="6">
        <v>4.2122999999999999</v>
      </c>
      <c r="M433" s="6">
        <v>0.2374</v>
      </c>
      <c r="N433" s="6">
        <v>4.2110000000000003</v>
      </c>
      <c r="O433" s="6">
        <v>1</v>
      </c>
      <c r="P433" s="5">
        <v>-665</v>
      </c>
      <c r="Q433" s="4" t="s">
        <v>1391</v>
      </c>
    </row>
    <row r="434" spans="1:17" x14ac:dyDescent="0.3">
      <c r="A434" s="2" t="s">
        <v>1389</v>
      </c>
      <c r="B434" s="3">
        <v>155017</v>
      </c>
      <c r="C434" s="3">
        <v>214503</v>
      </c>
      <c r="D434" s="4" t="s">
        <v>17</v>
      </c>
      <c r="E434" s="4" t="s">
        <v>1180</v>
      </c>
      <c r="F434" s="4" t="s">
        <v>19</v>
      </c>
      <c r="G434" s="4" t="s">
        <v>20</v>
      </c>
      <c r="H434" s="5">
        <v>1041.81</v>
      </c>
      <c r="I434" s="4" t="s">
        <v>34</v>
      </c>
      <c r="J434" s="5">
        <f t="shared" si="6"/>
        <v>-1218.9177</v>
      </c>
      <c r="K434" s="4" t="s">
        <v>45</v>
      </c>
      <c r="L434" s="6">
        <v>1.17</v>
      </c>
      <c r="M434" s="6">
        <v>0.85470000000000002</v>
      </c>
      <c r="N434" s="6">
        <v>4.2267000000000001</v>
      </c>
      <c r="O434" s="6">
        <v>3.6015999999999999</v>
      </c>
      <c r="P434" s="5">
        <v>13.364338680000401</v>
      </c>
      <c r="Q434" s="4" t="s">
        <v>1390</v>
      </c>
    </row>
    <row r="435" spans="1:17" x14ac:dyDescent="0.3">
      <c r="A435" s="2" t="s">
        <v>1389</v>
      </c>
      <c r="B435" s="3">
        <v>155018</v>
      </c>
      <c r="C435" s="3">
        <v>887823</v>
      </c>
      <c r="D435" s="4" t="s">
        <v>81</v>
      </c>
      <c r="E435" s="4" t="s">
        <v>769</v>
      </c>
      <c r="F435" s="4" t="s">
        <v>83</v>
      </c>
      <c r="G435" s="4" t="s">
        <v>20</v>
      </c>
      <c r="H435" s="5">
        <v>-100000</v>
      </c>
      <c r="I435" s="4" t="s">
        <v>21</v>
      </c>
      <c r="J435" s="5">
        <f t="shared" si="6"/>
        <v>421590.00000000006</v>
      </c>
      <c r="K435" s="4" t="s">
        <v>46</v>
      </c>
      <c r="L435" s="6">
        <v>4.2159000000000004</v>
      </c>
      <c r="M435" s="6">
        <v>0.23719999999999999</v>
      </c>
      <c r="N435" s="6">
        <v>4.2110000000000003</v>
      </c>
      <c r="O435" s="6">
        <v>1</v>
      </c>
      <c r="P435" s="5">
        <v>490</v>
      </c>
      <c r="Q435" s="4" t="s">
        <v>1390</v>
      </c>
    </row>
    <row r="436" spans="1:17" x14ac:dyDescent="0.3">
      <c r="A436" s="2" t="s">
        <v>1389</v>
      </c>
      <c r="B436" s="3">
        <v>155019</v>
      </c>
      <c r="C436" s="3">
        <v>214512</v>
      </c>
      <c r="D436" s="4" t="s">
        <v>17</v>
      </c>
      <c r="E436" s="4" t="s">
        <v>1272</v>
      </c>
      <c r="F436" s="4" t="s">
        <v>32</v>
      </c>
      <c r="G436" s="4" t="s">
        <v>34</v>
      </c>
      <c r="H436" s="5">
        <v>-25000</v>
      </c>
      <c r="I436" s="4" t="s">
        <v>21</v>
      </c>
      <c r="J436" s="5">
        <f t="shared" si="6"/>
        <v>89967.5</v>
      </c>
      <c r="K436" s="4" t="s">
        <v>45</v>
      </c>
      <c r="L436" s="6">
        <v>3.5987</v>
      </c>
      <c r="M436" s="6">
        <v>0.27789999999999998</v>
      </c>
      <c r="N436" s="6">
        <v>3.6015999999999999</v>
      </c>
      <c r="O436" s="6">
        <v>1</v>
      </c>
      <c r="P436" s="5">
        <v>-72.5</v>
      </c>
      <c r="Q436" s="4" t="s">
        <v>1390</v>
      </c>
    </row>
    <row r="437" spans="1:17" x14ac:dyDescent="0.3">
      <c r="A437" s="2" t="s">
        <v>1389</v>
      </c>
      <c r="B437" s="3">
        <v>155021</v>
      </c>
      <c r="C437" s="3">
        <v>214517</v>
      </c>
      <c r="D437" s="4" t="s">
        <v>17</v>
      </c>
      <c r="E437" s="4" t="s">
        <v>788</v>
      </c>
      <c r="F437" s="4" t="s">
        <v>19</v>
      </c>
      <c r="G437" s="4" t="s">
        <v>20</v>
      </c>
      <c r="H437" s="5">
        <v>50000</v>
      </c>
      <c r="I437" s="4" t="s">
        <v>21</v>
      </c>
      <c r="J437" s="5">
        <f t="shared" si="6"/>
        <v>-210500</v>
      </c>
      <c r="K437" s="4" t="s">
        <v>45</v>
      </c>
      <c r="L437" s="6">
        <v>4.21</v>
      </c>
      <c r="M437" s="6">
        <v>0.23749999999999999</v>
      </c>
      <c r="N437" s="6">
        <v>4.2267000000000001</v>
      </c>
      <c r="O437" s="6">
        <v>1</v>
      </c>
      <c r="P437" s="5">
        <v>835</v>
      </c>
      <c r="Q437" s="4" t="s">
        <v>1390</v>
      </c>
    </row>
    <row r="438" spans="1:17" x14ac:dyDescent="0.3">
      <c r="A438" s="2" t="s">
        <v>1389</v>
      </c>
      <c r="B438" s="3">
        <v>155022</v>
      </c>
      <c r="C438" s="3">
        <v>214518</v>
      </c>
      <c r="D438" s="4" t="s">
        <v>17</v>
      </c>
      <c r="E438" s="4" t="s">
        <v>984</v>
      </c>
      <c r="F438" s="4" t="s">
        <v>32</v>
      </c>
      <c r="G438" s="4" t="s">
        <v>20</v>
      </c>
      <c r="H438" s="5">
        <v>-545000</v>
      </c>
      <c r="I438" s="4" t="s">
        <v>21</v>
      </c>
      <c r="J438" s="5">
        <f t="shared" si="6"/>
        <v>2297720</v>
      </c>
      <c r="K438" s="4" t="s">
        <v>45</v>
      </c>
      <c r="L438" s="6">
        <v>4.2160000000000002</v>
      </c>
      <c r="M438" s="6">
        <v>0.23719999999999999</v>
      </c>
      <c r="N438" s="6">
        <v>4.2267000000000001</v>
      </c>
      <c r="O438" s="6">
        <v>1</v>
      </c>
      <c r="P438" s="5">
        <v>-5831.5</v>
      </c>
      <c r="Q438" s="4" t="s">
        <v>1390</v>
      </c>
    </row>
    <row r="439" spans="1:17" x14ac:dyDescent="0.3">
      <c r="A439" s="2" t="s">
        <v>1389</v>
      </c>
      <c r="B439" s="3">
        <v>155023</v>
      </c>
      <c r="C439" s="3">
        <v>887878</v>
      </c>
      <c r="D439" s="4" t="s">
        <v>81</v>
      </c>
      <c r="E439" s="4" t="s">
        <v>732</v>
      </c>
      <c r="F439" s="4" t="s">
        <v>87</v>
      </c>
      <c r="G439" s="4" t="s">
        <v>20</v>
      </c>
      <c r="H439" s="5">
        <v>500000</v>
      </c>
      <c r="I439" s="4" t="s">
        <v>21</v>
      </c>
      <c r="J439" s="5">
        <f t="shared" si="6"/>
        <v>-2106000</v>
      </c>
      <c r="K439" s="4" t="s">
        <v>46</v>
      </c>
      <c r="L439" s="6">
        <v>4.2119999999999997</v>
      </c>
      <c r="M439" s="6">
        <v>0.2374</v>
      </c>
      <c r="N439" s="6">
        <v>4.2110000000000003</v>
      </c>
      <c r="O439" s="6">
        <v>1</v>
      </c>
      <c r="P439" s="5">
        <v>-500</v>
      </c>
      <c r="Q439" s="4" t="s">
        <v>1394</v>
      </c>
    </row>
    <row r="440" spans="1:17" x14ac:dyDescent="0.3">
      <c r="A440" s="2" t="s">
        <v>1389</v>
      </c>
      <c r="B440" s="3">
        <v>155024</v>
      </c>
      <c r="C440" s="3">
        <v>887888</v>
      </c>
      <c r="D440" s="4" t="s">
        <v>81</v>
      </c>
      <c r="E440" s="4" t="s">
        <v>733</v>
      </c>
      <c r="F440" s="4" t="s">
        <v>87</v>
      </c>
      <c r="G440" s="4" t="s">
        <v>20</v>
      </c>
      <c r="H440" s="5">
        <v>500000</v>
      </c>
      <c r="I440" s="4" t="s">
        <v>21</v>
      </c>
      <c r="J440" s="5">
        <f t="shared" si="6"/>
        <v>-2106250</v>
      </c>
      <c r="K440" s="4" t="s">
        <v>46</v>
      </c>
      <c r="L440" s="6">
        <v>4.2125000000000004</v>
      </c>
      <c r="M440" s="6">
        <v>0.2374</v>
      </c>
      <c r="N440" s="6">
        <v>4.2110000000000003</v>
      </c>
      <c r="O440" s="6">
        <v>1</v>
      </c>
      <c r="P440" s="5">
        <v>-760</v>
      </c>
      <c r="Q440" s="4" t="s">
        <v>1391</v>
      </c>
    </row>
    <row r="441" spans="1:17" x14ac:dyDescent="0.3">
      <c r="A441" s="2" t="s">
        <v>1389</v>
      </c>
      <c r="B441" s="3">
        <v>155025</v>
      </c>
      <c r="C441" s="3">
        <v>214524</v>
      </c>
      <c r="D441" s="4" t="s">
        <v>17</v>
      </c>
      <c r="E441" s="4" t="s">
        <v>1061</v>
      </c>
      <c r="F441" s="4" t="s">
        <v>19</v>
      </c>
      <c r="G441" s="4" t="s">
        <v>20</v>
      </c>
      <c r="H441" s="5">
        <v>427680</v>
      </c>
      <c r="I441" s="4" t="s">
        <v>21</v>
      </c>
      <c r="J441" s="5">
        <f t="shared" si="6"/>
        <v>-1799292.5279999999</v>
      </c>
      <c r="K441" s="4" t="s">
        <v>45</v>
      </c>
      <c r="L441" s="6">
        <v>4.2070999999999996</v>
      </c>
      <c r="M441" s="6">
        <v>0.23769999999999999</v>
      </c>
      <c r="N441" s="6">
        <v>4.2267000000000001</v>
      </c>
      <c r="O441" s="6">
        <v>1</v>
      </c>
      <c r="P441" s="5">
        <v>8382.5280000001658</v>
      </c>
      <c r="Q441" s="4" t="s">
        <v>1390</v>
      </c>
    </row>
    <row r="442" spans="1:17" x14ac:dyDescent="0.3">
      <c r="A442" s="2" t="s">
        <v>1389</v>
      </c>
      <c r="B442" s="3">
        <v>155026</v>
      </c>
      <c r="C442" s="3">
        <v>887898</v>
      </c>
      <c r="D442" s="4" t="s">
        <v>81</v>
      </c>
      <c r="E442" s="4" t="s">
        <v>1114</v>
      </c>
      <c r="F442" s="4" t="s">
        <v>83</v>
      </c>
      <c r="G442" s="4" t="s">
        <v>20</v>
      </c>
      <c r="H442" s="5">
        <v>-100000</v>
      </c>
      <c r="I442" s="4" t="s">
        <v>21</v>
      </c>
      <c r="J442" s="5">
        <f t="shared" si="6"/>
        <v>421450</v>
      </c>
      <c r="K442" s="4" t="s">
        <v>46</v>
      </c>
      <c r="L442" s="6">
        <v>4.2145000000000001</v>
      </c>
      <c r="M442" s="6">
        <v>0.23730000000000001</v>
      </c>
      <c r="N442" s="6">
        <v>4.2110000000000003</v>
      </c>
      <c r="O442" s="6">
        <v>1</v>
      </c>
      <c r="P442" s="5">
        <v>350</v>
      </c>
      <c r="Q442" s="4" t="s">
        <v>1390</v>
      </c>
    </row>
    <row r="443" spans="1:17" x14ac:dyDescent="0.3">
      <c r="A443" s="2" t="s">
        <v>1389</v>
      </c>
      <c r="B443" s="3">
        <v>155028</v>
      </c>
      <c r="C443" s="3">
        <v>887921</v>
      </c>
      <c r="D443" s="4" t="s">
        <v>81</v>
      </c>
      <c r="E443" s="4" t="s">
        <v>734</v>
      </c>
      <c r="F443" s="4" t="s">
        <v>83</v>
      </c>
      <c r="G443" s="4" t="s">
        <v>20</v>
      </c>
      <c r="H443" s="5">
        <v>-100000</v>
      </c>
      <c r="I443" s="4" t="s">
        <v>34</v>
      </c>
      <c r="J443" s="5">
        <f t="shared" si="6"/>
        <v>117200</v>
      </c>
      <c r="K443" s="4" t="s">
        <v>105</v>
      </c>
      <c r="L443" s="6">
        <v>1.1719999999999999</v>
      </c>
      <c r="M443" s="6">
        <v>0.85319999999999996</v>
      </c>
      <c r="N443" s="6">
        <v>4.2110000000000003</v>
      </c>
      <c r="O443" s="6">
        <v>3.6044999999999998</v>
      </c>
      <c r="P443" s="5">
        <v>1354.6089999999999</v>
      </c>
      <c r="Q443" s="4" t="s">
        <v>1393</v>
      </c>
    </row>
    <row r="444" spans="1:17" x14ac:dyDescent="0.3">
      <c r="A444" s="2" t="s">
        <v>1389</v>
      </c>
      <c r="B444" s="3">
        <v>155029</v>
      </c>
      <c r="C444" s="3">
        <v>887924</v>
      </c>
      <c r="D444" s="4" t="s">
        <v>81</v>
      </c>
      <c r="E444" s="4" t="s">
        <v>734</v>
      </c>
      <c r="F444" s="4" t="s">
        <v>83</v>
      </c>
      <c r="G444" s="4" t="s">
        <v>20</v>
      </c>
      <c r="H444" s="5">
        <v>-100000</v>
      </c>
      <c r="I444" s="4" t="s">
        <v>34</v>
      </c>
      <c r="J444" s="5">
        <f t="shared" si="6"/>
        <v>117219.99999999999</v>
      </c>
      <c r="K444" s="4" t="s">
        <v>105</v>
      </c>
      <c r="L444" s="6">
        <v>1.1721999999999999</v>
      </c>
      <c r="M444" s="6">
        <v>0.85309999999999997</v>
      </c>
      <c r="N444" s="6">
        <v>4.2110000000000003</v>
      </c>
      <c r="O444" s="6">
        <v>3.6044999999999998</v>
      </c>
      <c r="P444" s="5">
        <v>1433.9079999999999</v>
      </c>
      <c r="Q444" s="4" t="s">
        <v>1393</v>
      </c>
    </row>
    <row r="445" spans="1:17" x14ac:dyDescent="0.3">
      <c r="A445" s="2" t="s">
        <v>1389</v>
      </c>
      <c r="B445" s="3">
        <v>155030</v>
      </c>
      <c r="C445" s="3">
        <v>887935</v>
      </c>
      <c r="D445" s="4" t="s">
        <v>81</v>
      </c>
      <c r="E445" s="4" t="s">
        <v>734</v>
      </c>
      <c r="F445" s="4" t="s">
        <v>83</v>
      </c>
      <c r="G445" s="4" t="s">
        <v>20</v>
      </c>
      <c r="H445" s="5">
        <v>-100000</v>
      </c>
      <c r="I445" s="4" t="s">
        <v>34</v>
      </c>
      <c r="J445" s="5">
        <f t="shared" si="6"/>
        <v>117240.00000000001</v>
      </c>
      <c r="K445" s="4" t="s">
        <v>105</v>
      </c>
      <c r="L445" s="6">
        <v>1.1724000000000001</v>
      </c>
      <c r="M445" s="6">
        <v>0.85289999999999999</v>
      </c>
      <c r="N445" s="6">
        <v>4.2110000000000003</v>
      </c>
      <c r="O445" s="6">
        <v>3.6044999999999998</v>
      </c>
      <c r="P445" s="5">
        <v>1498.789</v>
      </c>
      <c r="Q445" s="4" t="s">
        <v>1393</v>
      </c>
    </row>
    <row r="446" spans="1:17" x14ac:dyDescent="0.3">
      <c r="A446" s="2" t="s">
        <v>1389</v>
      </c>
      <c r="B446" s="3">
        <v>155031</v>
      </c>
      <c r="C446" s="3">
        <v>214537</v>
      </c>
      <c r="D446" s="4" t="s">
        <v>17</v>
      </c>
      <c r="E446" s="4" t="s">
        <v>1088</v>
      </c>
      <c r="F446" s="4" t="s">
        <v>19</v>
      </c>
      <c r="G446" s="4" t="s">
        <v>20</v>
      </c>
      <c r="H446" s="5">
        <v>100000</v>
      </c>
      <c r="I446" s="4" t="s">
        <v>21</v>
      </c>
      <c r="J446" s="5">
        <f t="shared" si="6"/>
        <v>-419500</v>
      </c>
      <c r="K446" s="4" t="s">
        <v>45</v>
      </c>
      <c r="L446" s="6">
        <v>4.1950000000000003</v>
      </c>
      <c r="M446" s="6">
        <v>0.2384</v>
      </c>
      <c r="N446" s="6">
        <v>4.2267000000000001</v>
      </c>
      <c r="O446" s="6">
        <v>1</v>
      </c>
      <c r="P446" s="5">
        <v>3170</v>
      </c>
      <c r="Q446" s="4" t="s">
        <v>1390</v>
      </c>
    </row>
    <row r="447" spans="1:17" x14ac:dyDescent="0.3">
      <c r="A447" s="2" t="s">
        <v>1389</v>
      </c>
      <c r="B447" s="3">
        <v>155032</v>
      </c>
      <c r="C447" s="3">
        <v>214538</v>
      </c>
      <c r="D447" s="4" t="s">
        <v>17</v>
      </c>
      <c r="E447" s="4" t="s">
        <v>1216</v>
      </c>
      <c r="F447" s="4" t="s">
        <v>19</v>
      </c>
      <c r="G447" s="4" t="s">
        <v>20</v>
      </c>
      <c r="H447" s="5">
        <v>30000</v>
      </c>
      <c r="I447" s="4" t="s">
        <v>21</v>
      </c>
      <c r="J447" s="5">
        <f t="shared" si="6"/>
        <v>-126029.99999999999</v>
      </c>
      <c r="K447" s="4" t="s">
        <v>45</v>
      </c>
      <c r="L447" s="6">
        <v>4.2009999999999996</v>
      </c>
      <c r="M447" s="6">
        <v>0.23799999999999999</v>
      </c>
      <c r="N447" s="6">
        <v>4.2267000000000001</v>
      </c>
      <c r="O447" s="6">
        <v>1</v>
      </c>
      <c r="P447" s="5">
        <v>771.00000000001455</v>
      </c>
      <c r="Q447" s="4" t="s">
        <v>1390</v>
      </c>
    </row>
    <row r="448" spans="1:17" x14ac:dyDescent="0.3">
      <c r="A448" s="2" t="s">
        <v>1389</v>
      </c>
      <c r="B448" s="3">
        <v>155034</v>
      </c>
      <c r="C448" s="3">
        <v>214542</v>
      </c>
      <c r="D448" s="4" t="s">
        <v>17</v>
      </c>
      <c r="E448" s="4" t="s">
        <v>757</v>
      </c>
      <c r="F448" s="4" t="s">
        <v>19</v>
      </c>
      <c r="G448" s="4" t="s">
        <v>20</v>
      </c>
      <c r="H448" s="5">
        <v>5000</v>
      </c>
      <c r="I448" s="4" t="s">
        <v>21</v>
      </c>
      <c r="J448" s="5">
        <f t="shared" si="6"/>
        <v>-21000</v>
      </c>
      <c r="K448" s="4" t="s">
        <v>45</v>
      </c>
      <c r="L448" s="6">
        <v>4.2</v>
      </c>
      <c r="M448" s="6">
        <v>0.23810000000000001</v>
      </c>
      <c r="N448" s="6">
        <v>4.2267000000000001</v>
      </c>
      <c r="O448" s="6">
        <v>1</v>
      </c>
      <c r="P448" s="5">
        <v>133.5</v>
      </c>
      <c r="Q448" s="4" t="s">
        <v>1390</v>
      </c>
    </row>
    <row r="449" spans="1:17" x14ac:dyDescent="0.3">
      <c r="A449" s="2" t="s">
        <v>1389</v>
      </c>
      <c r="B449" s="3">
        <v>155039</v>
      </c>
      <c r="C449" s="3">
        <v>214557</v>
      </c>
      <c r="D449" s="4" t="s">
        <v>17</v>
      </c>
      <c r="E449" s="4" t="s">
        <v>1202</v>
      </c>
      <c r="F449" s="4" t="s">
        <v>19</v>
      </c>
      <c r="G449" s="4" t="s">
        <v>20</v>
      </c>
      <c r="H449" s="5">
        <v>50000</v>
      </c>
      <c r="I449" s="4" t="s">
        <v>21</v>
      </c>
      <c r="J449" s="5">
        <f t="shared" si="6"/>
        <v>-209750</v>
      </c>
      <c r="K449" s="4" t="s">
        <v>45</v>
      </c>
      <c r="L449" s="6">
        <v>4.1950000000000003</v>
      </c>
      <c r="M449" s="6">
        <v>0.2384</v>
      </c>
      <c r="N449" s="6">
        <v>4.2267000000000001</v>
      </c>
      <c r="O449" s="6">
        <v>1</v>
      </c>
      <c r="P449" s="5">
        <v>1585</v>
      </c>
      <c r="Q449" s="4" t="s">
        <v>1390</v>
      </c>
    </row>
    <row r="450" spans="1:17" x14ac:dyDescent="0.3">
      <c r="A450" s="2" t="s">
        <v>1389</v>
      </c>
      <c r="B450" s="3">
        <v>155040</v>
      </c>
      <c r="C450" s="3">
        <v>888004</v>
      </c>
      <c r="D450" s="4" t="s">
        <v>81</v>
      </c>
      <c r="E450" s="4" t="s">
        <v>742</v>
      </c>
      <c r="F450" s="4" t="s">
        <v>83</v>
      </c>
      <c r="G450" s="4" t="s">
        <v>20</v>
      </c>
      <c r="H450" s="5">
        <v>-500000</v>
      </c>
      <c r="I450" s="4" t="s">
        <v>21</v>
      </c>
      <c r="J450" s="5">
        <f t="shared" si="6"/>
        <v>2105900</v>
      </c>
      <c r="K450" s="4" t="s">
        <v>46</v>
      </c>
      <c r="L450" s="6">
        <v>4.2118000000000002</v>
      </c>
      <c r="M450" s="6">
        <v>0.2374</v>
      </c>
      <c r="N450" s="6">
        <v>4.2110000000000003</v>
      </c>
      <c r="O450" s="6">
        <v>1</v>
      </c>
      <c r="P450" s="5">
        <v>410</v>
      </c>
      <c r="Q450" s="4" t="s">
        <v>1396</v>
      </c>
    </row>
    <row r="451" spans="1:17" x14ac:dyDescent="0.3">
      <c r="A451" s="2" t="s">
        <v>1389</v>
      </c>
      <c r="B451" s="3">
        <v>155041</v>
      </c>
      <c r="C451" s="3">
        <v>888005</v>
      </c>
      <c r="D451" s="4" t="s">
        <v>81</v>
      </c>
      <c r="E451" s="4" t="s">
        <v>725</v>
      </c>
      <c r="F451" s="4" t="s">
        <v>87</v>
      </c>
      <c r="G451" s="4" t="s">
        <v>20</v>
      </c>
      <c r="H451" s="5">
        <v>100000</v>
      </c>
      <c r="I451" s="4" t="s">
        <v>91</v>
      </c>
      <c r="J451" s="5">
        <f t="shared" si="6"/>
        <v>-87150</v>
      </c>
      <c r="K451" s="4" t="s">
        <v>105</v>
      </c>
      <c r="L451" s="6">
        <v>0.87150000000000005</v>
      </c>
      <c r="M451" s="6">
        <v>1.1474</v>
      </c>
      <c r="N451" s="6">
        <v>4.2110000000000003</v>
      </c>
      <c r="O451" s="6">
        <v>4.8457999999999997</v>
      </c>
      <c r="P451" s="5">
        <v>-1226.0074</v>
      </c>
      <c r="Q451" s="4" t="s">
        <v>1392</v>
      </c>
    </row>
    <row r="452" spans="1:17" x14ac:dyDescent="0.3">
      <c r="A452" s="2" t="s">
        <v>1389</v>
      </c>
      <c r="B452" s="3">
        <v>155043</v>
      </c>
      <c r="C452" s="3">
        <v>888018</v>
      </c>
      <c r="D452" s="4" t="s">
        <v>81</v>
      </c>
      <c r="E452" s="4" t="s">
        <v>742</v>
      </c>
      <c r="F452" s="4" t="s">
        <v>83</v>
      </c>
      <c r="G452" s="4" t="s">
        <v>20</v>
      </c>
      <c r="H452" s="5">
        <v>-500000</v>
      </c>
      <c r="I452" s="4" t="s">
        <v>21</v>
      </c>
      <c r="J452" s="5">
        <f t="shared" ref="J452:J515" si="7">-H452*L452</f>
        <v>2106100</v>
      </c>
      <c r="K452" s="4" t="s">
        <v>46</v>
      </c>
      <c r="L452" s="6">
        <v>4.2122000000000002</v>
      </c>
      <c r="M452" s="6">
        <v>0.2374</v>
      </c>
      <c r="N452" s="6">
        <v>4.2110000000000003</v>
      </c>
      <c r="O452" s="6">
        <v>1</v>
      </c>
      <c r="P452" s="5">
        <v>600</v>
      </c>
      <c r="Q452" s="4" t="s">
        <v>1396</v>
      </c>
    </row>
    <row r="453" spans="1:17" x14ac:dyDescent="0.3">
      <c r="A453" s="2" t="s">
        <v>1389</v>
      </c>
      <c r="B453" s="3">
        <v>155044</v>
      </c>
      <c r="C453" s="3">
        <v>214570</v>
      </c>
      <c r="D453" s="4" t="s">
        <v>17</v>
      </c>
      <c r="E453" s="4" t="s">
        <v>1155</v>
      </c>
      <c r="F453" s="4" t="s">
        <v>32</v>
      </c>
      <c r="G453" s="4" t="s">
        <v>20</v>
      </c>
      <c r="H453" s="5">
        <v>-250000</v>
      </c>
      <c r="I453" s="4" t="s">
        <v>74</v>
      </c>
      <c r="J453" s="5">
        <f t="shared" si="7"/>
        <v>2950900</v>
      </c>
      <c r="K453" s="4" t="s">
        <v>42</v>
      </c>
      <c r="L453" s="6">
        <v>11.803599999999999</v>
      </c>
      <c r="M453" s="6">
        <v>8.4699999999999998E-2</v>
      </c>
      <c r="N453" s="6">
        <v>4.2119</v>
      </c>
      <c r="O453" s="6">
        <v>0.35630000000000001</v>
      </c>
      <c r="P453" s="5">
        <v>-1462.44</v>
      </c>
      <c r="Q453" s="4" t="s">
        <v>1390</v>
      </c>
    </row>
    <row r="454" spans="1:17" x14ac:dyDescent="0.3">
      <c r="A454" s="2" t="s">
        <v>1389</v>
      </c>
      <c r="B454" s="3">
        <v>155047</v>
      </c>
      <c r="C454" s="3">
        <v>888066</v>
      </c>
      <c r="D454" s="4" t="s">
        <v>81</v>
      </c>
      <c r="E454" s="4" t="s">
        <v>742</v>
      </c>
      <c r="F454" s="4" t="s">
        <v>87</v>
      </c>
      <c r="G454" s="4" t="s">
        <v>20</v>
      </c>
      <c r="H454" s="5">
        <v>500000</v>
      </c>
      <c r="I454" s="4" t="s">
        <v>21</v>
      </c>
      <c r="J454" s="5">
        <f t="shared" si="7"/>
        <v>-2106500</v>
      </c>
      <c r="K454" s="4" t="s">
        <v>46</v>
      </c>
      <c r="L454" s="6">
        <v>4.2130000000000001</v>
      </c>
      <c r="M454" s="6">
        <v>0.2374</v>
      </c>
      <c r="N454" s="6">
        <v>4.2110000000000003</v>
      </c>
      <c r="O454" s="6">
        <v>1</v>
      </c>
      <c r="P454" s="5">
        <v>-1000</v>
      </c>
      <c r="Q454" s="4" t="s">
        <v>1396</v>
      </c>
    </row>
    <row r="455" spans="1:17" x14ac:dyDescent="0.3">
      <c r="A455" s="2" t="s">
        <v>1389</v>
      </c>
      <c r="B455" s="3">
        <v>155048</v>
      </c>
      <c r="C455" s="3">
        <v>888067</v>
      </c>
      <c r="D455" s="4" t="s">
        <v>81</v>
      </c>
      <c r="E455" s="4" t="s">
        <v>735</v>
      </c>
      <c r="F455" s="4" t="s">
        <v>87</v>
      </c>
      <c r="G455" s="4" t="s">
        <v>20</v>
      </c>
      <c r="H455" s="5">
        <v>500000</v>
      </c>
      <c r="I455" s="4" t="s">
        <v>21</v>
      </c>
      <c r="J455" s="5">
        <f t="shared" si="7"/>
        <v>-2106500</v>
      </c>
      <c r="K455" s="4" t="s">
        <v>46</v>
      </c>
      <c r="L455" s="6">
        <v>4.2130000000000001</v>
      </c>
      <c r="M455" s="6">
        <v>0.2374</v>
      </c>
      <c r="N455" s="6">
        <v>4.2110000000000003</v>
      </c>
      <c r="O455" s="6">
        <v>1</v>
      </c>
      <c r="P455" s="5">
        <v>-1000</v>
      </c>
      <c r="Q455" s="4" t="s">
        <v>1394</v>
      </c>
    </row>
    <row r="456" spans="1:17" x14ac:dyDescent="0.3">
      <c r="A456" s="2" t="s">
        <v>1389</v>
      </c>
      <c r="B456" s="3">
        <v>155049</v>
      </c>
      <c r="C456" s="3">
        <v>888068</v>
      </c>
      <c r="D456" s="4" t="s">
        <v>81</v>
      </c>
      <c r="E456" s="4" t="s">
        <v>742</v>
      </c>
      <c r="F456" s="4" t="s">
        <v>87</v>
      </c>
      <c r="G456" s="4" t="s">
        <v>20</v>
      </c>
      <c r="H456" s="5">
        <v>500000</v>
      </c>
      <c r="I456" s="4" t="s">
        <v>21</v>
      </c>
      <c r="J456" s="5">
        <f t="shared" si="7"/>
        <v>-2106500</v>
      </c>
      <c r="K456" s="4" t="s">
        <v>46</v>
      </c>
      <c r="L456" s="6">
        <v>4.2130000000000001</v>
      </c>
      <c r="M456" s="6">
        <v>0.2374</v>
      </c>
      <c r="N456" s="6">
        <v>4.2110000000000003</v>
      </c>
      <c r="O456" s="6">
        <v>1</v>
      </c>
      <c r="P456" s="5">
        <v>-1025</v>
      </c>
      <c r="Q456" s="4" t="s">
        <v>1396</v>
      </c>
    </row>
    <row r="457" spans="1:17" x14ac:dyDescent="0.3">
      <c r="A457" s="2" t="s">
        <v>1389</v>
      </c>
      <c r="B457" s="3">
        <v>155050</v>
      </c>
      <c r="C457" s="3">
        <v>888069</v>
      </c>
      <c r="D457" s="4" t="s">
        <v>81</v>
      </c>
      <c r="E457" s="4" t="s">
        <v>725</v>
      </c>
      <c r="F457" s="4" t="s">
        <v>87</v>
      </c>
      <c r="G457" s="4" t="s">
        <v>20</v>
      </c>
      <c r="H457" s="5">
        <v>500000</v>
      </c>
      <c r="I457" s="4" t="s">
        <v>21</v>
      </c>
      <c r="J457" s="5">
        <f t="shared" si="7"/>
        <v>-2106450</v>
      </c>
      <c r="K457" s="4" t="s">
        <v>46</v>
      </c>
      <c r="L457" s="6">
        <v>4.2129000000000003</v>
      </c>
      <c r="M457" s="6">
        <v>0.2374</v>
      </c>
      <c r="N457" s="6">
        <v>4.2110000000000003</v>
      </c>
      <c r="O457" s="6">
        <v>1</v>
      </c>
      <c r="P457" s="5">
        <v>-945</v>
      </c>
      <c r="Q457" s="4" t="s">
        <v>1392</v>
      </c>
    </row>
    <row r="458" spans="1:17" x14ac:dyDescent="0.3">
      <c r="A458" s="2" t="s">
        <v>1389</v>
      </c>
      <c r="B458" s="3">
        <v>155052</v>
      </c>
      <c r="C458" s="3">
        <v>214577</v>
      </c>
      <c r="D458" s="4" t="s">
        <v>17</v>
      </c>
      <c r="E458" s="4" t="s">
        <v>1104</v>
      </c>
      <c r="F458" s="4" t="s">
        <v>19</v>
      </c>
      <c r="G458" s="4" t="s">
        <v>20</v>
      </c>
      <c r="H458" s="5">
        <v>20000</v>
      </c>
      <c r="I458" s="4" t="s">
        <v>21</v>
      </c>
      <c r="J458" s="5">
        <f t="shared" si="7"/>
        <v>-84200</v>
      </c>
      <c r="K458" s="4" t="s">
        <v>45</v>
      </c>
      <c r="L458" s="6">
        <v>4.21</v>
      </c>
      <c r="M458" s="6">
        <v>0.23749999999999999</v>
      </c>
      <c r="N458" s="6">
        <v>4.2267000000000001</v>
      </c>
      <c r="O458" s="6">
        <v>1</v>
      </c>
      <c r="P458" s="5">
        <v>334</v>
      </c>
      <c r="Q458" s="4" t="s">
        <v>1390</v>
      </c>
    </row>
    <row r="459" spans="1:17" x14ac:dyDescent="0.3">
      <c r="A459" s="2" t="s">
        <v>1389</v>
      </c>
      <c r="B459" s="3">
        <v>155054</v>
      </c>
      <c r="C459" s="3">
        <v>888079</v>
      </c>
      <c r="D459" s="4" t="s">
        <v>81</v>
      </c>
      <c r="E459" s="4" t="s">
        <v>733</v>
      </c>
      <c r="F459" s="4" t="s">
        <v>87</v>
      </c>
      <c r="G459" s="4" t="s">
        <v>20</v>
      </c>
      <c r="H459" s="5">
        <v>500000</v>
      </c>
      <c r="I459" s="4" t="s">
        <v>21</v>
      </c>
      <c r="J459" s="5">
        <f t="shared" si="7"/>
        <v>-2106350</v>
      </c>
      <c r="K459" s="4" t="s">
        <v>46</v>
      </c>
      <c r="L459" s="6">
        <v>4.2126999999999999</v>
      </c>
      <c r="M459" s="6">
        <v>0.2374</v>
      </c>
      <c r="N459" s="6">
        <v>4.2110000000000003</v>
      </c>
      <c r="O459" s="6">
        <v>1</v>
      </c>
      <c r="P459" s="5">
        <v>-875</v>
      </c>
      <c r="Q459" s="4" t="s">
        <v>1391</v>
      </c>
    </row>
    <row r="460" spans="1:17" x14ac:dyDescent="0.3">
      <c r="A460" s="2" t="s">
        <v>1389</v>
      </c>
      <c r="B460" s="3">
        <v>155055</v>
      </c>
      <c r="C460" s="3">
        <v>888080</v>
      </c>
      <c r="D460" s="4" t="s">
        <v>81</v>
      </c>
      <c r="E460" s="4" t="s">
        <v>734</v>
      </c>
      <c r="F460" s="4" t="s">
        <v>87</v>
      </c>
      <c r="G460" s="4" t="s">
        <v>20</v>
      </c>
      <c r="H460" s="5">
        <v>100000</v>
      </c>
      <c r="I460" s="4" t="s">
        <v>34</v>
      </c>
      <c r="J460" s="5">
        <f t="shared" si="7"/>
        <v>-117219.99999999999</v>
      </c>
      <c r="K460" s="4" t="s">
        <v>105</v>
      </c>
      <c r="L460" s="6">
        <v>1.1721999999999999</v>
      </c>
      <c r="M460" s="6">
        <v>0.85309999999999997</v>
      </c>
      <c r="N460" s="6">
        <v>4.2110000000000003</v>
      </c>
      <c r="O460" s="6">
        <v>3.6044999999999998</v>
      </c>
      <c r="P460" s="5">
        <v>-1412.2809999999999</v>
      </c>
      <c r="Q460" s="4" t="s">
        <v>1393</v>
      </c>
    </row>
    <row r="461" spans="1:17" x14ac:dyDescent="0.3">
      <c r="A461" s="2" t="s">
        <v>1389</v>
      </c>
      <c r="B461" s="3">
        <v>155065</v>
      </c>
      <c r="C461" s="3">
        <v>888097</v>
      </c>
      <c r="D461" s="4" t="s">
        <v>81</v>
      </c>
      <c r="E461" s="4" t="s">
        <v>732</v>
      </c>
      <c r="F461" s="4" t="s">
        <v>87</v>
      </c>
      <c r="G461" s="4" t="s">
        <v>20</v>
      </c>
      <c r="H461" s="5">
        <v>500000</v>
      </c>
      <c r="I461" s="4" t="s">
        <v>21</v>
      </c>
      <c r="J461" s="5">
        <f t="shared" si="7"/>
        <v>-2106000</v>
      </c>
      <c r="K461" s="4" t="s">
        <v>46</v>
      </c>
      <c r="L461" s="6">
        <v>4.2119999999999997</v>
      </c>
      <c r="M461" s="6">
        <v>0.2374</v>
      </c>
      <c r="N461" s="6">
        <v>4.2110000000000003</v>
      </c>
      <c r="O461" s="6">
        <v>1</v>
      </c>
      <c r="P461" s="5">
        <v>-500</v>
      </c>
      <c r="Q461" s="4" t="s">
        <v>1394</v>
      </c>
    </row>
    <row r="462" spans="1:17" x14ac:dyDescent="0.3">
      <c r="A462" s="2" t="s">
        <v>1389</v>
      </c>
      <c r="B462" s="3">
        <v>155066</v>
      </c>
      <c r="C462" s="3">
        <v>888098</v>
      </c>
      <c r="D462" s="4" t="s">
        <v>81</v>
      </c>
      <c r="E462" s="4" t="s">
        <v>732</v>
      </c>
      <c r="F462" s="4" t="s">
        <v>87</v>
      </c>
      <c r="G462" s="4" t="s">
        <v>20</v>
      </c>
      <c r="H462" s="5">
        <v>500000</v>
      </c>
      <c r="I462" s="4" t="s">
        <v>21</v>
      </c>
      <c r="J462" s="5">
        <f t="shared" si="7"/>
        <v>-2105850</v>
      </c>
      <c r="K462" s="4" t="s">
        <v>46</v>
      </c>
      <c r="L462" s="6">
        <v>4.2117000000000004</v>
      </c>
      <c r="M462" s="6">
        <v>0.2374</v>
      </c>
      <c r="N462" s="6">
        <v>4.2110000000000003</v>
      </c>
      <c r="O462" s="6">
        <v>1</v>
      </c>
      <c r="P462" s="5">
        <v>-350</v>
      </c>
      <c r="Q462" s="4" t="s">
        <v>1394</v>
      </c>
    </row>
    <row r="463" spans="1:17" x14ac:dyDescent="0.3">
      <c r="A463" s="2" t="s">
        <v>1389</v>
      </c>
      <c r="B463" s="3">
        <v>155067</v>
      </c>
      <c r="C463" s="3">
        <v>888099</v>
      </c>
      <c r="D463" s="4" t="s">
        <v>81</v>
      </c>
      <c r="E463" s="4" t="s">
        <v>734</v>
      </c>
      <c r="F463" s="4" t="s">
        <v>87</v>
      </c>
      <c r="G463" s="4" t="s">
        <v>20</v>
      </c>
      <c r="H463" s="5">
        <v>500000</v>
      </c>
      <c r="I463" s="4" t="s">
        <v>21</v>
      </c>
      <c r="J463" s="5">
        <f t="shared" si="7"/>
        <v>-2105900</v>
      </c>
      <c r="K463" s="4" t="s">
        <v>46</v>
      </c>
      <c r="L463" s="6">
        <v>4.2118000000000002</v>
      </c>
      <c r="M463" s="6">
        <v>0.2374</v>
      </c>
      <c r="N463" s="6">
        <v>4.2110000000000003</v>
      </c>
      <c r="O463" s="6">
        <v>1</v>
      </c>
      <c r="P463" s="5">
        <v>-400</v>
      </c>
      <c r="Q463" s="4" t="s">
        <v>1393</v>
      </c>
    </row>
    <row r="464" spans="1:17" x14ac:dyDescent="0.3">
      <c r="A464" s="2" t="s">
        <v>1389</v>
      </c>
      <c r="B464" s="3">
        <v>155068</v>
      </c>
      <c r="C464" s="3">
        <v>214581</v>
      </c>
      <c r="D464" s="4" t="s">
        <v>17</v>
      </c>
      <c r="E464" s="4" t="s">
        <v>1338</v>
      </c>
      <c r="F464" s="4" t="s">
        <v>32</v>
      </c>
      <c r="G464" s="4" t="s">
        <v>20</v>
      </c>
      <c r="H464" s="5">
        <v>-650000</v>
      </c>
      <c r="I464" s="4" t="s">
        <v>21</v>
      </c>
      <c r="J464" s="5">
        <f t="shared" si="7"/>
        <v>2748200</v>
      </c>
      <c r="K464" s="4" t="s">
        <v>35</v>
      </c>
      <c r="L464" s="6">
        <v>4.2279999999999998</v>
      </c>
      <c r="M464" s="6">
        <v>0.23649999999999999</v>
      </c>
      <c r="N464" s="6">
        <v>4.2110000000000003</v>
      </c>
      <c r="O464" s="6">
        <v>1</v>
      </c>
      <c r="P464" s="5">
        <v>12350</v>
      </c>
      <c r="Q464" s="4" t="s">
        <v>1390</v>
      </c>
    </row>
    <row r="465" spans="1:17" x14ac:dyDescent="0.3">
      <c r="A465" s="2" t="s">
        <v>1389</v>
      </c>
      <c r="B465" s="3">
        <v>155069</v>
      </c>
      <c r="C465" s="3">
        <v>888112</v>
      </c>
      <c r="D465" s="4" t="s">
        <v>81</v>
      </c>
      <c r="E465" s="4" t="s">
        <v>732</v>
      </c>
      <c r="F465" s="4" t="s">
        <v>87</v>
      </c>
      <c r="G465" s="4" t="s">
        <v>20</v>
      </c>
      <c r="H465" s="5">
        <v>500000</v>
      </c>
      <c r="I465" s="4" t="s">
        <v>21</v>
      </c>
      <c r="J465" s="5">
        <f t="shared" si="7"/>
        <v>-2105900</v>
      </c>
      <c r="K465" s="4" t="s">
        <v>46</v>
      </c>
      <c r="L465" s="6">
        <v>4.2118000000000002</v>
      </c>
      <c r="M465" s="6">
        <v>0.2374</v>
      </c>
      <c r="N465" s="6">
        <v>4.2110000000000003</v>
      </c>
      <c r="O465" s="6">
        <v>1</v>
      </c>
      <c r="P465" s="5">
        <v>-400</v>
      </c>
      <c r="Q465" s="4" t="s">
        <v>1394</v>
      </c>
    </row>
    <row r="466" spans="1:17" x14ac:dyDescent="0.3">
      <c r="A466" s="2" t="s">
        <v>1389</v>
      </c>
      <c r="B466" s="3">
        <v>155070</v>
      </c>
      <c r="C466" s="3">
        <v>888113</v>
      </c>
      <c r="D466" s="4" t="s">
        <v>81</v>
      </c>
      <c r="E466" s="4" t="s">
        <v>956</v>
      </c>
      <c r="F466" s="4" t="s">
        <v>87</v>
      </c>
      <c r="G466" s="4" t="s">
        <v>34</v>
      </c>
      <c r="H466" s="5">
        <v>72000</v>
      </c>
      <c r="I466" s="4" t="s">
        <v>21</v>
      </c>
      <c r="J466" s="5">
        <f t="shared" si="7"/>
        <v>-258120</v>
      </c>
      <c r="K466" s="4" t="s">
        <v>46</v>
      </c>
      <c r="L466" s="6">
        <v>3.585</v>
      </c>
      <c r="M466" s="6">
        <v>0.27889999999999998</v>
      </c>
      <c r="N466" s="6">
        <v>3.6044999999999998</v>
      </c>
      <c r="O466" s="6">
        <v>1</v>
      </c>
      <c r="P466" s="5">
        <v>1404</v>
      </c>
      <c r="Q466" s="4" t="s">
        <v>1390</v>
      </c>
    </row>
    <row r="467" spans="1:17" x14ac:dyDescent="0.3">
      <c r="A467" s="2" t="s">
        <v>1389</v>
      </c>
      <c r="B467" s="3">
        <v>155071</v>
      </c>
      <c r="C467" s="3">
        <v>214584</v>
      </c>
      <c r="D467" s="4" t="s">
        <v>17</v>
      </c>
      <c r="E467" s="4" t="s">
        <v>1159</v>
      </c>
      <c r="F467" s="4" t="s">
        <v>32</v>
      </c>
      <c r="G467" s="4" t="s">
        <v>20</v>
      </c>
      <c r="H467" s="5">
        <v>-330000</v>
      </c>
      <c r="I467" s="4" t="s">
        <v>21</v>
      </c>
      <c r="J467" s="5">
        <f t="shared" si="7"/>
        <v>1392567</v>
      </c>
      <c r="K467" s="4" t="s">
        <v>45</v>
      </c>
      <c r="L467" s="6">
        <v>4.2199</v>
      </c>
      <c r="M467" s="6">
        <v>0.23699999999999999</v>
      </c>
      <c r="N467" s="6">
        <v>4.2267000000000001</v>
      </c>
      <c r="O467" s="6">
        <v>1</v>
      </c>
      <c r="P467" s="5">
        <v>-2541</v>
      </c>
      <c r="Q467" s="4" t="s">
        <v>1390</v>
      </c>
    </row>
    <row r="468" spans="1:17" x14ac:dyDescent="0.3">
      <c r="A468" s="2" t="s">
        <v>1389</v>
      </c>
      <c r="B468" s="3">
        <v>155072</v>
      </c>
      <c r="C468" s="3">
        <v>214586</v>
      </c>
      <c r="D468" s="4" t="s">
        <v>17</v>
      </c>
      <c r="E468" s="4" t="s">
        <v>1261</v>
      </c>
      <c r="F468" s="4" t="s">
        <v>19</v>
      </c>
      <c r="G468" s="4" t="s">
        <v>20</v>
      </c>
      <c r="H468" s="5">
        <v>30000</v>
      </c>
      <c r="I468" s="4" t="s">
        <v>21</v>
      </c>
      <c r="J468" s="5">
        <f t="shared" si="7"/>
        <v>-126060</v>
      </c>
      <c r="K468" s="4" t="s">
        <v>45</v>
      </c>
      <c r="L468" s="6">
        <v>4.202</v>
      </c>
      <c r="M468" s="6">
        <v>0.23799999999999999</v>
      </c>
      <c r="N468" s="6">
        <v>4.2267000000000001</v>
      </c>
      <c r="O468" s="6">
        <v>1</v>
      </c>
      <c r="P468" s="5">
        <v>741</v>
      </c>
      <c r="Q468" s="4" t="s">
        <v>1390</v>
      </c>
    </row>
    <row r="469" spans="1:17" x14ac:dyDescent="0.3">
      <c r="A469" s="2" t="s">
        <v>1389</v>
      </c>
      <c r="B469" s="3">
        <v>155073</v>
      </c>
      <c r="C469" s="3">
        <v>214587</v>
      </c>
      <c r="D469" s="4" t="s">
        <v>17</v>
      </c>
      <c r="E469" s="4" t="s">
        <v>770</v>
      </c>
      <c r="F469" s="4" t="s">
        <v>32</v>
      </c>
      <c r="G469" s="4" t="s">
        <v>20</v>
      </c>
      <c r="H469" s="5">
        <v>-1000</v>
      </c>
      <c r="I469" s="4" t="s">
        <v>21</v>
      </c>
      <c r="J469" s="5">
        <f t="shared" si="7"/>
        <v>4218.8999999999996</v>
      </c>
      <c r="K469" s="4" t="s">
        <v>45</v>
      </c>
      <c r="L469" s="6">
        <v>4.2188999999999997</v>
      </c>
      <c r="M469" s="6">
        <v>0.23699999999999999</v>
      </c>
      <c r="N469" s="6">
        <v>4.2267000000000001</v>
      </c>
      <c r="O469" s="6">
        <v>1</v>
      </c>
      <c r="P469" s="5">
        <v>-8.6</v>
      </c>
      <c r="Q469" s="4" t="s">
        <v>1390</v>
      </c>
    </row>
    <row r="470" spans="1:17" x14ac:dyDescent="0.3">
      <c r="A470" s="2" t="s">
        <v>1389</v>
      </c>
      <c r="B470" s="3">
        <v>156942</v>
      </c>
      <c r="C470" s="3">
        <v>898657</v>
      </c>
      <c r="D470" s="4" t="s">
        <v>81</v>
      </c>
      <c r="E470" s="4" t="s">
        <v>732</v>
      </c>
      <c r="F470" s="4" t="s">
        <v>87</v>
      </c>
      <c r="G470" s="4" t="s">
        <v>20</v>
      </c>
      <c r="H470" s="5">
        <v>1000000</v>
      </c>
      <c r="I470" s="4" t="s">
        <v>21</v>
      </c>
      <c r="J470" s="5">
        <f t="shared" si="7"/>
        <v>-4209600</v>
      </c>
      <c r="K470" s="4" t="s">
        <v>39</v>
      </c>
      <c r="L470" s="6">
        <v>4.2096</v>
      </c>
      <c r="M470" s="6">
        <v>0.23760000000000001</v>
      </c>
      <c r="N470" s="6">
        <v>4.2230999999999996</v>
      </c>
      <c r="O470" s="6">
        <v>1</v>
      </c>
      <c r="P470" s="5">
        <v>13500</v>
      </c>
      <c r="Q470" s="4" t="s">
        <v>1394</v>
      </c>
    </row>
    <row r="471" spans="1:17" x14ac:dyDescent="0.3">
      <c r="A471" s="2" t="s">
        <v>1389</v>
      </c>
      <c r="B471" s="3">
        <v>156943</v>
      </c>
      <c r="C471" s="3">
        <v>217224</v>
      </c>
      <c r="D471" s="4" t="s">
        <v>17</v>
      </c>
      <c r="E471" s="4" t="s">
        <v>1331</v>
      </c>
      <c r="F471" s="4" t="s">
        <v>32</v>
      </c>
      <c r="G471" s="4" t="s">
        <v>20</v>
      </c>
      <c r="H471" s="5">
        <v>-1353819.36</v>
      </c>
      <c r="I471" s="4" t="s">
        <v>21</v>
      </c>
      <c r="J471" s="5">
        <f t="shared" si="7"/>
        <v>5723948.2540800003</v>
      </c>
      <c r="K471" s="4" t="s">
        <v>35</v>
      </c>
      <c r="L471" s="6">
        <v>4.2279999999999998</v>
      </c>
      <c r="M471" s="6">
        <v>0.23649999999999999</v>
      </c>
      <c r="N471" s="6">
        <v>4.2110000000000003</v>
      </c>
      <c r="O471" s="6">
        <v>1</v>
      </c>
      <c r="P471" s="5">
        <v>23014.925039999998</v>
      </c>
      <c r="Q471" s="4" t="s">
        <v>1390</v>
      </c>
    </row>
    <row r="472" spans="1:17" x14ac:dyDescent="0.3">
      <c r="A472" s="2" t="s">
        <v>1389</v>
      </c>
      <c r="B472" s="3">
        <v>156944</v>
      </c>
      <c r="C472" s="3">
        <v>217245</v>
      </c>
      <c r="D472" s="4" t="s">
        <v>17</v>
      </c>
      <c r="E472" s="4" t="s">
        <v>729</v>
      </c>
      <c r="F472" s="4" t="s">
        <v>32</v>
      </c>
      <c r="G472" s="4" t="s">
        <v>20</v>
      </c>
      <c r="H472" s="5">
        <v>-26050.25</v>
      </c>
      <c r="I472" s="4" t="s">
        <v>21</v>
      </c>
      <c r="J472" s="5">
        <f t="shared" si="7"/>
        <v>109853.90424999999</v>
      </c>
      <c r="K472" s="4" t="s">
        <v>35</v>
      </c>
      <c r="L472" s="6">
        <v>4.2169999999999996</v>
      </c>
      <c r="M472" s="6">
        <v>0.23710000000000001</v>
      </c>
      <c r="N472" s="6">
        <v>4.2110000000000003</v>
      </c>
      <c r="O472" s="6">
        <v>1</v>
      </c>
      <c r="P472" s="5">
        <v>156.29724999999999</v>
      </c>
      <c r="Q472" s="4" t="s">
        <v>1390</v>
      </c>
    </row>
    <row r="473" spans="1:17" x14ac:dyDescent="0.3">
      <c r="A473" s="2" t="s">
        <v>1389</v>
      </c>
      <c r="B473" s="3">
        <v>156945</v>
      </c>
      <c r="C473" s="3">
        <v>217247</v>
      </c>
      <c r="D473" s="4" t="s">
        <v>17</v>
      </c>
      <c r="E473" s="4" t="s">
        <v>728</v>
      </c>
      <c r="F473" s="4" t="s">
        <v>19</v>
      </c>
      <c r="G473" s="4" t="s">
        <v>20</v>
      </c>
      <c r="H473" s="5">
        <v>26050.25</v>
      </c>
      <c r="I473" s="4" t="s">
        <v>21</v>
      </c>
      <c r="J473" s="5">
        <f t="shared" si="7"/>
        <v>-109879.95449999999</v>
      </c>
      <c r="K473" s="4" t="s">
        <v>35</v>
      </c>
      <c r="L473" s="6">
        <v>4.218</v>
      </c>
      <c r="M473" s="6">
        <v>0.23710000000000001</v>
      </c>
      <c r="N473" s="6">
        <v>4.2110000000000003</v>
      </c>
      <c r="O473" s="6">
        <v>1</v>
      </c>
      <c r="P473" s="5">
        <v>-182.35174999998708</v>
      </c>
      <c r="Q473" s="4" t="s">
        <v>1390</v>
      </c>
    </row>
    <row r="474" spans="1:17" x14ac:dyDescent="0.3">
      <c r="A474" s="2" t="s">
        <v>1389</v>
      </c>
      <c r="B474" s="3">
        <v>156946</v>
      </c>
      <c r="C474" s="3">
        <v>217248</v>
      </c>
      <c r="D474" s="4" t="s">
        <v>17</v>
      </c>
      <c r="E474" s="4" t="s">
        <v>728</v>
      </c>
      <c r="F474" s="4" t="s">
        <v>32</v>
      </c>
      <c r="G474" s="4" t="s">
        <v>20</v>
      </c>
      <c r="H474" s="5">
        <v>-26050.25</v>
      </c>
      <c r="I474" s="4" t="s">
        <v>21</v>
      </c>
      <c r="J474" s="5">
        <f t="shared" si="7"/>
        <v>109879.95449999999</v>
      </c>
      <c r="K474" s="4" t="s">
        <v>35</v>
      </c>
      <c r="L474" s="6">
        <v>4.218</v>
      </c>
      <c r="M474" s="6">
        <v>0.23710000000000001</v>
      </c>
      <c r="N474" s="6">
        <v>4.2110000000000003</v>
      </c>
      <c r="O474" s="6">
        <v>1</v>
      </c>
      <c r="P474" s="5">
        <v>156.29724999999999</v>
      </c>
      <c r="Q474" s="4" t="s">
        <v>1390</v>
      </c>
    </row>
    <row r="475" spans="1:17" x14ac:dyDescent="0.3">
      <c r="A475" s="2" t="s">
        <v>1389</v>
      </c>
      <c r="B475" s="3">
        <v>156947</v>
      </c>
      <c r="C475" s="3">
        <v>898735</v>
      </c>
      <c r="D475" s="4" t="s">
        <v>81</v>
      </c>
      <c r="E475" s="4" t="s">
        <v>1114</v>
      </c>
      <c r="F475" s="4" t="s">
        <v>83</v>
      </c>
      <c r="G475" s="4" t="s">
        <v>20</v>
      </c>
      <c r="H475" s="5">
        <v>-100000</v>
      </c>
      <c r="I475" s="4" t="s">
        <v>21</v>
      </c>
      <c r="J475" s="5">
        <f t="shared" si="7"/>
        <v>421180</v>
      </c>
      <c r="K475" s="4" t="s">
        <v>39</v>
      </c>
      <c r="L475" s="6">
        <v>4.2118000000000002</v>
      </c>
      <c r="M475" s="6">
        <v>0.2374</v>
      </c>
      <c r="N475" s="6">
        <v>4.2230999999999996</v>
      </c>
      <c r="O475" s="6">
        <v>1</v>
      </c>
      <c r="P475" s="5">
        <v>-1130</v>
      </c>
      <c r="Q475" s="4" t="s">
        <v>1390</v>
      </c>
    </row>
    <row r="476" spans="1:17" x14ac:dyDescent="0.3">
      <c r="A476" s="2" t="s">
        <v>1389</v>
      </c>
      <c r="B476" s="3">
        <v>156948</v>
      </c>
      <c r="C476" s="3">
        <v>217249</v>
      </c>
      <c r="D476" s="4" t="s">
        <v>17</v>
      </c>
      <c r="E476" s="4" t="s">
        <v>933</v>
      </c>
      <c r="F476" s="4" t="s">
        <v>19</v>
      </c>
      <c r="G476" s="4" t="s">
        <v>20</v>
      </c>
      <c r="H476" s="5">
        <v>105000</v>
      </c>
      <c r="I476" s="4" t="s">
        <v>21</v>
      </c>
      <c r="J476" s="5">
        <f t="shared" si="7"/>
        <v>-441735</v>
      </c>
      <c r="K476" s="4" t="s">
        <v>35</v>
      </c>
      <c r="L476" s="6">
        <v>4.2069999999999999</v>
      </c>
      <c r="M476" s="6">
        <v>0.23769999999999999</v>
      </c>
      <c r="N476" s="6">
        <v>4.2110000000000003</v>
      </c>
      <c r="O476" s="6">
        <v>1</v>
      </c>
      <c r="P476" s="5">
        <v>420.00000000005821</v>
      </c>
      <c r="Q476" s="4" t="s">
        <v>1390</v>
      </c>
    </row>
    <row r="477" spans="1:17" x14ac:dyDescent="0.3">
      <c r="A477" s="2" t="s">
        <v>1389</v>
      </c>
      <c r="B477" s="3">
        <v>156950</v>
      </c>
      <c r="C477" s="3">
        <v>898768</v>
      </c>
      <c r="D477" s="4" t="s">
        <v>81</v>
      </c>
      <c r="E477" s="4" t="s">
        <v>1134</v>
      </c>
      <c r="F477" s="4" t="s">
        <v>83</v>
      </c>
      <c r="G477" s="4" t="s">
        <v>20</v>
      </c>
      <c r="H477" s="5">
        <v>-50000</v>
      </c>
      <c r="I477" s="4" t="s">
        <v>21</v>
      </c>
      <c r="J477" s="5">
        <f t="shared" si="7"/>
        <v>210650</v>
      </c>
      <c r="K477" s="4" t="s">
        <v>39</v>
      </c>
      <c r="L477" s="6">
        <v>4.2130000000000001</v>
      </c>
      <c r="M477" s="6">
        <v>0.2374</v>
      </c>
      <c r="N477" s="6">
        <v>4.2230999999999996</v>
      </c>
      <c r="O477" s="6">
        <v>1</v>
      </c>
      <c r="P477" s="5">
        <v>-505</v>
      </c>
      <c r="Q477" s="4" t="s">
        <v>1390</v>
      </c>
    </row>
    <row r="478" spans="1:17" x14ac:dyDescent="0.3">
      <c r="A478" s="2" t="s">
        <v>1389</v>
      </c>
      <c r="B478" s="3">
        <v>156951</v>
      </c>
      <c r="C478" s="3">
        <v>217262</v>
      </c>
      <c r="D478" s="4" t="s">
        <v>17</v>
      </c>
      <c r="E478" s="4" t="s">
        <v>1378</v>
      </c>
      <c r="F478" s="4" t="s">
        <v>19</v>
      </c>
      <c r="G478" s="4" t="s">
        <v>20</v>
      </c>
      <c r="H478" s="5">
        <v>10000</v>
      </c>
      <c r="I478" s="4" t="s">
        <v>21</v>
      </c>
      <c r="J478" s="5">
        <f t="shared" si="7"/>
        <v>-41836</v>
      </c>
      <c r="K478" s="4" t="s">
        <v>35</v>
      </c>
      <c r="L478" s="6">
        <v>4.1836000000000002</v>
      </c>
      <c r="M478" s="6">
        <v>0.23899999999999999</v>
      </c>
      <c r="N478" s="6">
        <v>4.2110000000000003</v>
      </c>
      <c r="O478" s="6">
        <v>1</v>
      </c>
      <c r="P478" s="5">
        <v>274</v>
      </c>
      <c r="Q478" s="4" t="s">
        <v>1390</v>
      </c>
    </row>
    <row r="479" spans="1:17" x14ac:dyDescent="0.3">
      <c r="A479" s="2" t="s">
        <v>1389</v>
      </c>
      <c r="B479" s="3">
        <v>156954</v>
      </c>
      <c r="C479" s="3">
        <v>217267</v>
      </c>
      <c r="D479" s="4" t="s">
        <v>17</v>
      </c>
      <c r="E479" s="4" t="s">
        <v>1092</v>
      </c>
      <c r="F479" s="4" t="s">
        <v>32</v>
      </c>
      <c r="G479" s="4" t="s">
        <v>20</v>
      </c>
      <c r="H479" s="5">
        <v>-8000</v>
      </c>
      <c r="I479" s="4" t="s">
        <v>21</v>
      </c>
      <c r="J479" s="5">
        <f t="shared" si="7"/>
        <v>33715.200000000004</v>
      </c>
      <c r="K479" s="4" t="s">
        <v>35</v>
      </c>
      <c r="L479" s="6">
        <v>4.2144000000000004</v>
      </c>
      <c r="M479" s="6">
        <v>0.23730000000000001</v>
      </c>
      <c r="N479" s="6">
        <v>4.2110000000000003</v>
      </c>
      <c r="O479" s="6">
        <v>1</v>
      </c>
      <c r="P479" s="5">
        <v>19.2</v>
      </c>
      <c r="Q479" s="4" t="s">
        <v>1390</v>
      </c>
    </row>
    <row r="480" spans="1:17" x14ac:dyDescent="0.3">
      <c r="A480" s="2" t="s">
        <v>1389</v>
      </c>
      <c r="B480" s="3">
        <v>156957</v>
      </c>
      <c r="C480" s="3">
        <v>217275</v>
      </c>
      <c r="D480" s="4" t="s">
        <v>17</v>
      </c>
      <c r="E480" s="4" t="s">
        <v>753</v>
      </c>
      <c r="F480" s="4" t="s">
        <v>32</v>
      </c>
      <c r="G480" s="4" t="s">
        <v>20</v>
      </c>
      <c r="H480" s="5">
        <v>-70000</v>
      </c>
      <c r="I480" s="4" t="s">
        <v>21</v>
      </c>
      <c r="J480" s="5">
        <f t="shared" si="7"/>
        <v>294700</v>
      </c>
      <c r="K480" s="4" t="s">
        <v>35</v>
      </c>
      <c r="L480" s="6">
        <v>4.21</v>
      </c>
      <c r="M480" s="6">
        <v>0.23749999999999999</v>
      </c>
      <c r="N480" s="6">
        <v>4.2110000000000003</v>
      </c>
      <c r="O480" s="6">
        <v>1</v>
      </c>
      <c r="P480" s="5">
        <v>-70</v>
      </c>
      <c r="Q480" s="4" t="s">
        <v>1390</v>
      </c>
    </row>
    <row r="481" spans="1:17" x14ac:dyDescent="0.3">
      <c r="A481" s="2" t="s">
        <v>1389</v>
      </c>
      <c r="B481" s="3">
        <v>156958</v>
      </c>
      <c r="C481" s="3">
        <v>217280</v>
      </c>
      <c r="D481" s="4" t="s">
        <v>17</v>
      </c>
      <c r="E481" s="4" t="s">
        <v>772</v>
      </c>
      <c r="F481" s="4" t="s">
        <v>19</v>
      </c>
      <c r="G481" s="4" t="s">
        <v>20</v>
      </c>
      <c r="H481" s="5">
        <v>5800</v>
      </c>
      <c r="I481" s="4" t="s">
        <v>21</v>
      </c>
      <c r="J481" s="5">
        <f t="shared" si="7"/>
        <v>-24372.760000000002</v>
      </c>
      <c r="K481" s="4" t="s">
        <v>35</v>
      </c>
      <c r="L481" s="6">
        <v>4.2022000000000004</v>
      </c>
      <c r="M481" s="6">
        <v>0.23799999999999999</v>
      </c>
      <c r="N481" s="6">
        <v>4.2110000000000003</v>
      </c>
      <c r="O481" s="6">
        <v>1</v>
      </c>
      <c r="P481" s="5">
        <v>51.040000000000873</v>
      </c>
      <c r="Q481" s="4" t="s">
        <v>1390</v>
      </c>
    </row>
    <row r="482" spans="1:17" x14ac:dyDescent="0.3">
      <c r="A482" s="2" t="s">
        <v>1389</v>
      </c>
      <c r="B482" s="3">
        <v>156959</v>
      </c>
      <c r="C482" s="3">
        <v>217281</v>
      </c>
      <c r="D482" s="4" t="s">
        <v>17</v>
      </c>
      <c r="E482" s="4" t="s">
        <v>1230</v>
      </c>
      <c r="F482" s="4" t="s">
        <v>32</v>
      </c>
      <c r="G482" s="4" t="s">
        <v>20</v>
      </c>
      <c r="H482" s="5">
        <v>-10000</v>
      </c>
      <c r="I482" s="4" t="s">
        <v>21</v>
      </c>
      <c r="J482" s="5">
        <f t="shared" si="7"/>
        <v>42210</v>
      </c>
      <c r="K482" s="4" t="s">
        <v>35</v>
      </c>
      <c r="L482" s="6">
        <v>4.2210000000000001</v>
      </c>
      <c r="M482" s="6">
        <v>0.2369</v>
      </c>
      <c r="N482" s="6">
        <v>4.2110000000000003</v>
      </c>
      <c r="O482" s="6">
        <v>1</v>
      </c>
      <c r="P482" s="5">
        <v>100</v>
      </c>
      <c r="Q482" s="4" t="s">
        <v>1390</v>
      </c>
    </row>
    <row r="483" spans="1:17" x14ac:dyDescent="0.3">
      <c r="A483" s="2" t="s">
        <v>1389</v>
      </c>
      <c r="B483" s="3">
        <v>156960</v>
      </c>
      <c r="C483" s="3">
        <v>898854</v>
      </c>
      <c r="D483" s="4" t="s">
        <v>81</v>
      </c>
      <c r="E483" s="4" t="s">
        <v>734</v>
      </c>
      <c r="F483" s="4" t="s">
        <v>87</v>
      </c>
      <c r="G483" s="4" t="s">
        <v>20</v>
      </c>
      <c r="H483" s="5">
        <v>1000000</v>
      </c>
      <c r="I483" s="4" t="s">
        <v>21</v>
      </c>
      <c r="J483" s="5">
        <f t="shared" si="7"/>
        <v>-4207500</v>
      </c>
      <c r="K483" s="4" t="s">
        <v>39</v>
      </c>
      <c r="L483" s="6">
        <v>4.2074999999999996</v>
      </c>
      <c r="M483" s="6">
        <v>0.23769999999999999</v>
      </c>
      <c r="N483" s="6">
        <v>4.2230999999999996</v>
      </c>
      <c r="O483" s="6">
        <v>1</v>
      </c>
      <c r="P483" s="5">
        <v>15600</v>
      </c>
      <c r="Q483" s="4" t="s">
        <v>1393</v>
      </c>
    </row>
    <row r="484" spans="1:17" x14ac:dyDescent="0.3">
      <c r="A484" s="2" t="s">
        <v>1389</v>
      </c>
      <c r="B484" s="3">
        <v>156961</v>
      </c>
      <c r="C484" s="3">
        <v>217286</v>
      </c>
      <c r="D484" s="4" t="s">
        <v>17</v>
      </c>
      <c r="E484" s="4" t="s">
        <v>783</v>
      </c>
      <c r="F484" s="4" t="s">
        <v>19</v>
      </c>
      <c r="G484" s="4" t="s">
        <v>34</v>
      </c>
      <c r="H484" s="5">
        <v>300000</v>
      </c>
      <c r="I484" s="4" t="s">
        <v>21</v>
      </c>
      <c r="J484" s="5">
        <f t="shared" si="7"/>
        <v>-1084800</v>
      </c>
      <c r="K484" s="4" t="s">
        <v>27</v>
      </c>
      <c r="L484" s="6">
        <v>3.6160000000000001</v>
      </c>
      <c r="M484" s="6">
        <v>0.27650000000000002</v>
      </c>
      <c r="N484" s="6">
        <v>3.5188999999999999</v>
      </c>
      <c r="O484" s="6">
        <v>1</v>
      </c>
      <c r="P484" s="5">
        <v>-29130</v>
      </c>
      <c r="Q484" s="4" t="s">
        <v>1390</v>
      </c>
    </row>
    <row r="485" spans="1:17" x14ac:dyDescent="0.3">
      <c r="A485" s="2" t="s">
        <v>1389</v>
      </c>
      <c r="B485" s="3">
        <v>156962</v>
      </c>
      <c r="C485" s="3">
        <v>217289</v>
      </c>
      <c r="D485" s="4" t="s">
        <v>17</v>
      </c>
      <c r="E485" s="4" t="s">
        <v>1357</v>
      </c>
      <c r="F485" s="4" t="s">
        <v>19</v>
      </c>
      <c r="G485" s="4" t="s">
        <v>20</v>
      </c>
      <c r="H485" s="5">
        <v>10000</v>
      </c>
      <c r="I485" s="4" t="s">
        <v>21</v>
      </c>
      <c r="J485" s="5">
        <f t="shared" si="7"/>
        <v>-41829</v>
      </c>
      <c r="K485" s="4" t="s">
        <v>35</v>
      </c>
      <c r="L485" s="6">
        <v>4.1829000000000001</v>
      </c>
      <c r="M485" s="6">
        <v>0.23910000000000001</v>
      </c>
      <c r="N485" s="6">
        <v>4.2110000000000003</v>
      </c>
      <c r="O485" s="6">
        <v>1</v>
      </c>
      <c r="P485" s="5">
        <v>281</v>
      </c>
      <c r="Q485" s="4" t="s">
        <v>1390</v>
      </c>
    </row>
    <row r="486" spans="1:17" x14ac:dyDescent="0.3">
      <c r="A486" s="2" t="s">
        <v>1389</v>
      </c>
      <c r="B486" s="3">
        <v>156963</v>
      </c>
      <c r="C486" s="3">
        <v>898883</v>
      </c>
      <c r="D486" s="4" t="s">
        <v>81</v>
      </c>
      <c r="E486" s="4" t="s">
        <v>743</v>
      </c>
      <c r="F486" s="4" t="s">
        <v>87</v>
      </c>
      <c r="G486" s="4" t="s">
        <v>20</v>
      </c>
      <c r="H486" s="5">
        <v>1000000</v>
      </c>
      <c r="I486" s="4" t="s">
        <v>21</v>
      </c>
      <c r="J486" s="5">
        <f t="shared" si="7"/>
        <v>-4207900</v>
      </c>
      <c r="K486" s="4" t="s">
        <v>39</v>
      </c>
      <c r="L486" s="6">
        <v>4.2079000000000004</v>
      </c>
      <c r="M486" s="6">
        <v>0.23769999999999999</v>
      </c>
      <c r="N486" s="6">
        <v>4.2230999999999996</v>
      </c>
      <c r="O486" s="6">
        <v>1</v>
      </c>
      <c r="P486" s="5">
        <v>15240</v>
      </c>
      <c r="Q486" s="4" t="s">
        <v>1395</v>
      </c>
    </row>
    <row r="487" spans="1:17" x14ac:dyDescent="0.3">
      <c r="A487" s="2" t="s">
        <v>1389</v>
      </c>
      <c r="B487" s="3">
        <v>156964</v>
      </c>
      <c r="C487" s="3">
        <v>898884</v>
      </c>
      <c r="D487" s="4" t="s">
        <v>81</v>
      </c>
      <c r="E487" s="4" t="s">
        <v>735</v>
      </c>
      <c r="F487" s="4" t="s">
        <v>87</v>
      </c>
      <c r="G487" s="4" t="s">
        <v>20</v>
      </c>
      <c r="H487" s="5">
        <v>1000000</v>
      </c>
      <c r="I487" s="4" t="s">
        <v>21</v>
      </c>
      <c r="J487" s="5">
        <f t="shared" si="7"/>
        <v>-4207900</v>
      </c>
      <c r="K487" s="4" t="s">
        <v>39</v>
      </c>
      <c r="L487" s="6">
        <v>4.2079000000000004</v>
      </c>
      <c r="M487" s="6">
        <v>0.23760000000000001</v>
      </c>
      <c r="N487" s="6">
        <v>4.2230999999999996</v>
      </c>
      <c r="O487" s="6">
        <v>1</v>
      </c>
      <c r="P487" s="5">
        <v>15200</v>
      </c>
      <c r="Q487" s="4" t="s">
        <v>1394</v>
      </c>
    </row>
    <row r="488" spans="1:17" x14ac:dyDescent="0.3">
      <c r="A488" s="2" t="s">
        <v>1389</v>
      </c>
      <c r="B488" s="3">
        <v>156965</v>
      </c>
      <c r="C488" s="3">
        <v>898885</v>
      </c>
      <c r="D488" s="4" t="s">
        <v>81</v>
      </c>
      <c r="E488" s="4" t="s">
        <v>743</v>
      </c>
      <c r="F488" s="4" t="s">
        <v>87</v>
      </c>
      <c r="G488" s="4" t="s">
        <v>20</v>
      </c>
      <c r="H488" s="5">
        <v>1000000</v>
      </c>
      <c r="I488" s="4" t="s">
        <v>21</v>
      </c>
      <c r="J488" s="5">
        <f t="shared" si="7"/>
        <v>-4207800</v>
      </c>
      <c r="K488" s="4" t="s">
        <v>39</v>
      </c>
      <c r="L488" s="6">
        <v>4.2077999999999998</v>
      </c>
      <c r="M488" s="6">
        <v>0.23769999999999999</v>
      </c>
      <c r="N488" s="6">
        <v>4.2230999999999996</v>
      </c>
      <c r="O488" s="6">
        <v>1</v>
      </c>
      <c r="P488" s="5">
        <v>15320</v>
      </c>
      <c r="Q488" s="4" t="s">
        <v>1395</v>
      </c>
    </row>
    <row r="489" spans="1:17" x14ac:dyDescent="0.3">
      <c r="A489" s="2" t="s">
        <v>1389</v>
      </c>
      <c r="B489" s="3">
        <v>156966</v>
      </c>
      <c r="C489" s="3">
        <v>217295</v>
      </c>
      <c r="D489" s="4" t="s">
        <v>17</v>
      </c>
      <c r="E489" s="4" t="s">
        <v>1201</v>
      </c>
      <c r="F489" s="4" t="s">
        <v>32</v>
      </c>
      <c r="G489" s="4" t="s">
        <v>20</v>
      </c>
      <c r="H489" s="5">
        <v>-1000000</v>
      </c>
      <c r="I489" s="4" t="s">
        <v>21</v>
      </c>
      <c r="J489" s="5">
        <f t="shared" si="7"/>
        <v>4209000</v>
      </c>
      <c r="K489" s="4" t="s">
        <v>35</v>
      </c>
      <c r="L489" s="6">
        <v>4.2089999999999996</v>
      </c>
      <c r="M489" s="6">
        <v>0.23760000000000001</v>
      </c>
      <c r="N489" s="6">
        <v>4.2110000000000003</v>
      </c>
      <c r="O489" s="6">
        <v>1</v>
      </c>
      <c r="P489" s="5">
        <v>-2000</v>
      </c>
      <c r="Q489" s="4" t="s">
        <v>1390</v>
      </c>
    </row>
    <row r="490" spans="1:17" x14ac:dyDescent="0.3">
      <c r="A490" s="2" t="s">
        <v>1389</v>
      </c>
      <c r="B490" s="3">
        <v>156967</v>
      </c>
      <c r="C490" s="3">
        <v>217296</v>
      </c>
      <c r="D490" s="4" t="s">
        <v>17</v>
      </c>
      <c r="E490" s="4" t="s">
        <v>1201</v>
      </c>
      <c r="F490" s="4" t="s">
        <v>32</v>
      </c>
      <c r="G490" s="4" t="s">
        <v>20</v>
      </c>
      <c r="H490" s="5">
        <v>-1000000</v>
      </c>
      <c r="I490" s="4" t="s">
        <v>21</v>
      </c>
      <c r="J490" s="5">
        <f t="shared" si="7"/>
        <v>4209000</v>
      </c>
      <c r="K490" s="4" t="s">
        <v>35</v>
      </c>
      <c r="L490" s="6">
        <v>4.2089999999999996</v>
      </c>
      <c r="M490" s="6">
        <v>0.23760000000000001</v>
      </c>
      <c r="N490" s="6">
        <v>4.2110000000000003</v>
      </c>
      <c r="O490" s="6">
        <v>1</v>
      </c>
      <c r="P490" s="5">
        <v>-2000</v>
      </c>
      <c r="Q490" s="4" t="s">
        <v>1390</v>
      </c>
    </row>
    <row r="491" spans="1:17" x14ac:dyDescent="0.3">
      <c r="A491" s="2" t="s">
        <v>1389</v>
      </c>
      <c r="B491" s="3">
        <v>156968</v>
      </c>
      <c r="C491" s="3">
        <v>217297</v>
      </c>
      <c r="D491" s="4" t="s">
        <v>17</v>
      </c>
      <c r="E491" s="4" t="s">
        <v>1110</v>
      </c>
      <c r="F491" s="4" t="s">
        <v>32</v>
      </c>
      <c r="G491" s="4" t="s">
        <v>20</v>
      </c>
      <c r="H491" s="5">
        <v>-50000</v>
      </c>
      <c r="I491" s="4" t="s">
        <v>21</v>
      </c>
      <c r="J491" s="5">
        <f t="shared" si="7"/>
        <v>210449.99999999997</v>
      </c>
      <c r="K491" s="4" t="s">
        <v>35</v>
      </c>
      <c r="L491" s="6">
        <v>4.2089999999999996</v>
      </c>
      <c r="M491" s="6">
        <v>0.23760000000000001</v>
      </c>
      <c r="N491" s="6">
        <v>4.2110000000000003</v>
      </c>
      <c r="O491" s="6">
        <v>1</v>
      </c>
      <c r="P491" s="5">
        <v>-100</v>
      </c>
      <c r="Q491" s="4" t="s">
        <v>1390</v>
      </c>
    </row>
    <row r="492" spans="1:17" x14ac:dyDescent="0.3">
      <c r="A492" s="2" t="s">
        <v>1389</v>
      </c>
      <c r="B492" s="3">
        <v>156969</v>
      </c>
      <c r="C492" s="3">
        <v>217298</v>
      </c>
      <c r="D492" s="4" t="s">
        <v>17</v>
      </c>
      <c r="E492" s="4" t="s">
        <v>1201</v>
      </c>
      <c r="F492" s="4" t="s">
        <v>32</v>
      </c>
      <c r="G492" s="4" t="s">
        <v>20</v>
      </c>
      <c r="H492" s="5">
        <v>-1000000</v>
      </c>
      <c r="I492" s="4" t="s">
        <v>21</v>
      </c>
      <c r="J492" s="5">
        <f t="shared" si="7"/>
        <v>4210500</v>
      </c>
      <c r="K492" s="4" t="s">
        <v>35</v>
      </c>
      <c r="L492" s="6">
        <v>4.2104999999999997</v>
      </c>
      <c r="M492" s="6">
        <v>0.23749999999999999</v>
      </c>
      <c r="N492" s="6">
        <v>4.2110000000000003</v>
      </c>
      <c r="O492" s="6">
        <v>1</v>
      </c>
      <c r="P492" s="5">
        <v>-1500</v>
      </c>
      <c r="Q492" s="4" t="s">
        <v>1390</v>
      </c>
    </row>
    <row r="493" spans="1:17" x14ac:dyDescent="0.3">
      <c r="A493" s="2" t="s">
        <v>1389</v>
      </c>
      <c r="B493" s="3">
        <v>156970</v>
      </c>
      <c r="C493" s="3">
        <v>898901</v>
      </c>
      <c r="D493" s="4" t="s">
        <v>81</v>
      </c>
      <c r="E493" s="4" t="s">
        <v>734</v>
      </c>
      <c r="F493" s="4" t="s">
        <v>87</v>
      </c>
      <c r="G493" s="4" t="s">
        <v>20</v>
      </c>
      <c r="H493" s="5">
        <v>400000</v>
      </c>
      <c r="I493" s="4" t="s">
        <v>21</v>
      </c>
      <c r="J493" s="5">
        <f t="shared" si="7"/>
        <v>-1682600</v>
      </c>
      <c r="K493" s="4" t="s">
        <v>39</v>
      </c>
      <c r="L493" s="6">
        <v>4.2065000000000001</v>
      </c>
      <c r="M493" s="6">
        <v>0.23769999999999999</v>
      </c>
      <c r="N493" s="6">
        <v>4.2230999999999996</v>
      </c>
      <c r="O493" s="6">
        <v>1</v>
      </c>
      <c r="P493" s="5">
        <v>6640</v>
      </c>
      <c r="Q493" s="4" t="s">
        <v>1393</v>
      </c>
    </row>
    <row r="494" spans="1:17" x14ac:dyDescent="0.3">
      <c r="A494" s="2" t="s">
        <v>1389</v>
      </c>
      <c r="B494" s="3">
        <v>156972</v>
      </c>
      <c r="C494" s="3">
        <v>898906</v>
      </c>
      <c r="D494" s="4" t="s">
        <v>81</v>
      </c>
      <c r="E494" s="4" t="s">
        <v>732</v>
      </c>
      <c r="F494" s="4" t="s">
        <v>83</v>
      </c>
      <c r="G494" s="4" t="s">
        <v>20</v>
      </c>
      <c r="H494" s="5">
        <v>-500000</v>
      </c>
      <c r="I494" s="4" t="s">
        <v>21</v>
      </c>
      <c r="J494" s="5">
        <f t="shared" si="7"/>
        <v>2102950</v>
      </c>
      <c r="K494" s="4" t="s">
        <v>39</v>
      </c>
      <c r="L494" s="6">
        <v>4.2058999999999997</v>
      </c>
      <c r="M494" s="6">
        <v>0.23780000000000001</v>
      </c>
      <c r="N494" s="6">
        <v>4.2230999999999996</v>
      </c>
      <c r="O494" s="6">
        <v>1</v>
      </c>
      <c r="P494" s="5">
        <v>-8600</v>
      </c>
      <c r="Q494" s="4" t="s">
        <v>1394</v>
      </c>
    </row>
    <row r="495" spans="1:17" x14ac:dyDescent="0.3">
      <c r="A495" s="2" t="s">
        <v>1389</v>
      </c>
      <c r="B495" s="3">
        <v>156973</v>
      </c>
      <c r="C495" s="3">
        <v>898907</v>
      </c>
      <c r="D495" s="4" t="s">
        <v>81</v>
      </c>
      <c r="E495" s="4" t="s">
        <v>732</v>
      </c>
      <c r="F495" s="4" t="s">
        <v>83</v>
      </c>
      <c r="G495" s="4" t="s">
        <v>20</v>
      </c>
      <c r="H495" s="5">
        <v>-1000000</v>
      </c>
      <c r="I495" s="4" t="s">
        <v>21</v>
      </c>
      <c r="J495" s="5">
        <f t="shared" si="7"/>
        <v>4205900</v>
      </c>
      <c r="K495" s="4" t="s">
        <v>39</v>
      </c>
      <c r="L495" s="6">
        <v>4.2058999999999997</v>
      </c>
      <c r="M495" s="6">
        <v>0.23780000000000001</v>
      </c>
      <c r="N495" s="6">
        <v>4.2230999999999996</v>
      </c>
      <c r="O495" s="6">
        <v>1</v>
      </c>
      <c r="P495" s="5">
        <v>-17200</v>
      </c>
      <c r="Q495" s="4" t="s">
        <v>1394</v>
      </c>
    </row>
    <row r="496" spans="1:17" x14ac:dyDescent="0.3">
      <c r="A496" s="2" t="s">
        <v>1389</v>
      </c>
      <c r="B496" s="3">
        <v>156974</v>
      </c>
      <c r="C496" s="3">
        <v>898909</v>
      </c>
      <c r="D496" s="4" t="s">
        <v>81</v>
      </c>
      <c r="E496" s="4" t="s">
        <v>725</v>
      </c>
      <c r="F496" s="4" t="s">
        <v>83</v>
      </c>
      <c r="G496" s="4" t="s">
        <v>20</v>
      </c>
      <c r="H496" s="5">
        <v>-1000000</v>
      </c>
      <c r="I496" s="4" t="s">
        <v>21</v>
      </c>
      <c r="J496" s="5">
        <f t="shared" si="7"/>
        <v>4205500</v>
      </c>
      <c r="K496" s="4" t="s">
        <v>39</v>
      </c>
      <c r="L496" s="6">
        <v>4.2054999999999998</v>
      </c>
      <c r="M496" s="6">
        <v>0.23780000000000001</v>
      </c>
      <c r="N496" s="6">
        <v>4.2230999999999996</v>
      </c>
      <c r="O496" s="6">
        <v>1</v>
      </c>
      <c r="P496" s="5">
        <v>-17580</v>
      </c>
      <c r="Q496" s="4" t="s">
        <v>1392</v>
      </c>
    </row>
    <row r="497" spans="1:17" x14ac:dyDescent="0.3">
      <c r="A497" s="2" t="s">
        <v>1389</v>
      </c>
      <c r="B497" s="3">
        <v>156975</v>
      </c>
      <c r="C497" s="3">
        <v>898911</v>
      </c>
      <c r="D497" s="4" t="s">
        <v>81</v>
      </c>
      <c r="E497" s="4" t="s">
        <v>735</v>
      </c>
      <c r="F497" s="4" t="s">
        <v>83</v>
      </c>
      <c r="G497" s="4" t="s">
        <v>20</v>
      </c>
      <c r="H497" s="5">
        <v>-1000000</v>
      </c>
      <c r="I497" s="4" t="s">
        <v>21</v>
      </c>
      <c r="J497" s="5">
        <f t="shared" si="7"/>
        <v>4205600</v>
      </c>
      <c r="K497" s="4" t="s">
        <v>39</v>
      </c>
      <c r="L497" s="6">
        <v>4.2055999999999996</v>
      </c>
      <c r="M497" s="6">
        <v>0.23780000000000001</v>
      </c>
      <c r="N497" s="6">
        <v>4.2230999999999996</v>
      </c>
      <c r="O497" s="6">
        <v>1</v>
      </c>
      <c r="P497" s="5">
        <v>-17500</v>
      </c>
      <c r="Q497" s="4" t="s">
        <v>1394</v>
      </c>
    </row>
    <row r="498" spans="1:17" x14ac:dyDescent="0.3">
      <c r="A498" s="2" t="s">
        <v>1389</v>
      </c>
      <c r="B498" s="3">
        <v>156976</v>
      </c>
      <c r="C498" s="3">
        <v>898912</v>
      </c>
      <c r="D498" s="4" t="s">
        <v>81</v>
      </c>
      <c r="E498" s="4" t="s">
        <v>734</v>
      </c>
      <c r="F498" s="4" t="s">
        <v>83</v>
      </c>
      <c r="G498" s="4" t="s">
        <v>20</v>
      </c>
      <c r="H498" s="5">
        <v>-1000000</v>
      </c>
      <c r="I498" s="4" t="s">
        <v>21</v>
      </c>
      <c r="J498" s="5">
        <f t="shared" si="7"/>
        <v>4205600</v>
      </c>
      <c r="K498" s="4" t="s">
        <v>39</v>
      </c>
      <c r="L498" s="6">
        <v>4.2055999999999996</v>
      </c>
      <c r="M498" s="6">
        <v>0.23780000000000001</v>
      </c>
      <c r="N498" s="6">
        <v>4.2230999999999996</v>
      </c>
      <c r="O498" s="6">
        <v>1</v>
      </c>
      <c r="P498" s="5">
        <v>-17500</v>
      </c>
      <c r="Q498" s="4" t="s">
        <v>1393</v>
      </c>
    </row>
    <row r="499" spans="1:17" x14ac:dyDescent="0.3">
      <c r="A499" s="2" t="s">
        <v>1389</v>
      </c>
      <c r="B499" s="3">
        <v>156977</v>
      </c>
      <c r="C499" s="3">
        <v>898913</v>
      </c>
      <c r="D499" s="4" t="s">
        <v>81</v>
      </c>
      <c r="E499" s="4" t="s">
        <v>741</v>
      </c>
      <c r="F499" s="4" t="s">
        <v>83</v>
      </c>
      <c r="G499" s="4" t="s">
        <v>20</v>
      </c>
      <c r="H499" s="5">
        <v>-1000000</v>
      </c>
      <c r="I499" s="4" t="s">
        <v>21</v>
      </c>
      <c r="J499" s="5">
        <f t="shared" si="7"/>
        <v>4205500</v>
      </c>
      <c r="K499" s="4" t="s">
        <v>39</v>
      </c>
      <c r="L499" s="6">
        <v>4.2054999999999998</v>
      </c>
      <c r="M499" s="6">
        <v>0.23780000000000001</v>
      </c>
      <c r="N499" s="6">
        <v>4.2230999999999996</v>
      </c>
      <c r="O499" s="6">
        <v>1</v>
      </c>
      <c r="P499" s="5">
        <v>-17600</v>
      </c>
      <c r="Q499" s="4" t="s">
        <v>1398</v>
      </c>
    </row>
    <row r="500" spans="1:17" x14ac:dyDescent="0.3">
      <c r="A500" s="2" t="s">
        <v>1389</v>
      </c>
      <c r="B500" s="3">
        <v>156978</v>
      </c>
      <c r="C500" s="3">
        <v>217300</v>
      </c>
      <c r="D500" s="4" t="s">
        <v>17</v>
      </c>
      <c r="E500" s="4" t="s">
        <v>1169</v>
      </c>
      <c r="F500" s="4" t="s">
        <v>19</v>
      </c>
      <c r="G500" s="4" t="s">
        <v>20</v>
      </c>
      <c r="H500" s="5">
        <v>200000</v>
      </c>
      <c r="I500" s="4" t="s">
        <v>21</v>
      </c>
      <c r="J500" s="5">
        <f t="shared" si="7"/>
        <v>-839600.00000000012</v>
      </c>
      <c r="K500" s="4" t="s">
        <v>35</v>
      </c>
      <c r="L500" s="6">
        <v>4.1980000000000004</v>
      </c>
      <c r="M500" s="6">
        <v>0.2382</v>
      </c>
      <c r="N500" s="6">
        <v>4.2110000000000003</v>
      </c>
      <c r="O500" s="6">
        <v>1</v>
      </c>
      <c r="P500" s="5">
        <v>2600</v>
      </c>
      <c r="Q500" s="4" t="s">
        <v>1390</v>
      </c>
    </row>
    <row r="501" spans="1:17" x14ac:dyDescent="0.3">
      <c r="A501" s="2" t="s">
        <v>1389</v>
      </c>
      <c r="B501" s="3">
        <v>156979</v>
      </c>
      <c r="C501" s="3">
        <v>217301</v>
      </c>
      <c r="D501" s="4" t="s">
        <v>17</v>
      </c>
      <c r="E501" s="4" t="s">
        <v>1343</v>
      </c>
      <c r="F501" s="4" t="s">
        <v>19</v>
      </c>
      <c r="G501" s="4" t="s">
        <v>20</v>
      </c>
      <c r="H501" s="5">
        <v>5000678.95</v>
      </c>
      <c r="I501" s="4" t="s">
        <v>21</v>
      </c>
      <c r="J501" s="5">
        <f t="shared" si="7"/>
        <v>-21005851.997370001</v>
      </c>
      <c r="K501" s="4" t="s">
        <v>35</v>
      </c>
      <c r="L501" s="6">
        <v>4.2005999999999997</v>
      </c>
      <c r="M501" s="6">
        <v>0.23810000000000001</v>
      </c>
      <c r="N501" s="6">
        <v>4.2110000000000003</v>
      </c>
      <c r="O501" s="6">
        <v>1</v>
      </c>
      <c r="P501" s="5">
        <v>52007.061080001295</v>
      </c>
      <c r="Q501" s="4" t="s">
        <v>1390</v>
      </c>
    </row>
    <row r="502" spans="1:17" x14ac:dyDescent="0.3">
      <c r="A502" s="2" t="s">
        <v>1389</v>
      </c>
      <c r="B502" s="3">
        <v>156980</v>
      </c>
      <c r="C502" s="3">
        <v>217302</v>
      </c>
      <c r="D502" s="4" t="s">
        <v>17</v>
      </c>
      <c r="E502" s="4" t="s">
        <v>1219</v>
      </c>
      <c r="F502" s="4" t="s">
        <v>19</v>
      </c>
      <c r="G502" s="4" t="s">
        <v>34</v>
      </c>
      <c r="H502" s="5">
        <v>50000</v>
      </c>
      <c r="I502" s="4" t="s">
        <v>21</v>
      </c>
      <c r="J502" s="5">
        <f t="shared" si="7"/>
        <v>-180415</v>
      </c>
      <c r="K502" s="4" t="s">
        <v>35</v>
      </c>
      <c r="L502" s="6">
        <v>3.6082999999999998</v>
      </c>
      <c r="M502" s="6">
        <v>0.27710000000000001</v>
      </c>
      <c r="N502" s="6">
        <v>3.6139999999999999</v>
      </c>
      <c r="O502" s="6">
        <v>1</v>
      </c>
      <c r="P502" s="5">
        <v>285</v>
      </c>
      <c r="Q502" s="4" t="s">
        <v>1390</v>
      </c>
    </row>
    <row r="503" spans="1:17" x14ac:dyDescent="0.3">
      <c r="A503" s="2" t="s">
        <v>1389</v>
      </c>
      <c r="B503" s="3">
        <v>156981</v>
      </c>
      <c r="C503" s="3">
        <v>898923</v>
      </c>
      <c r="D503" s="4" t="s">
        <v>81</v>
      </c>
      <c r="E503" s="4" t="s">
        <v>734</v>
      </c>
      <c r="F503" s="4" t="s">
        <v>83</v>
      </c>
      <c r="G503" s="4" t="s">
        <v>20</v>
      </c>
      <c r="H503" s="5">
        <v>-500000</v>
      </c>
      <c r="I503" s="4" t="s">
        <v>21</v>
      </c>
      <c r="J503" s="5">
        <f t="shared" si="7"/>
        <v>2102650</v>
      </c>
      <c r="K503" s="4" t="s">
        <v>39</v>
      </c>
      <c r="L503" s="6">
        <v>4.2053000000000003</v>
      </c>
      <c r="M503" s="6">
        <v>0.23780000000000001</v>
      </c>
      <c r="N503" s="6">
        <v>4.2230999999999996</v>
      </c>
      <c r="O503" s="6">
        <v>1</v>
      </c>
      <c r="P503" s="5">
        <v>-8900</v>
      </c>
      <c r="Q503" s="4" t="s">
        <v>1393</v>
      </c>
    </row>
    <row r="504" spans="1:17" x14ac:dyDescent="0.3">
      <c r="A504" s="2" t="s">
        <v>1389</v>
      </c>
      <c r="B504" s="3">
        <v>156982</v>
      </c>
      <c r="C504" s="3">
        <v>217303</v>
      </c>
      <c r="D504" s="4" t="s">
        <v>17</v>
      </c>
      <c r="E504" s="4" t="s">
        <v>1219</v>
      </c>
      <c r="F504" s="4" t="s">
        <v>19</v>
      </c>
      <c r="G504" s="4" t="s">
        <v>20</v>
      </c>
      <c r="H504" s="5">
        <v>20000</v>
      </c>
      <c r="I504" s="4" t="s">
        <v>21</v>
      </c>
      <c r="J504" s="5">
        <f t="shared" si="7"/>
        <v>-83862</v>
      </c>
      <c r="K504" s="4" t="s">
        <v>35</v>
      </c>
      <c r="L504" s="6">
        <v>4.1931000000000003</v>
      </c>
      <c r="M504" s="6">
        <v>0.23849999999999999</v>
      </c>
      <c r="N504" s="6">
        <v>4.2110000000000003</v>
      </c>
      <c r="O504" s="6">
        <v>1</v>
      </c>
      <c r="P504" s="5">
        <v>358</v>
      </c>
      <c r="Q504" s="4" t="s">
        <v>1390</v>
      </c>
    </row>
    <row r="505" spans="1:17" x14ac:dyDescent="0.3">
      <c r="A505" s="2" t="s">
        <v>1389</v>
      </c>
      <c r="B505" s="3">
        <v>156983</v>
      </c>
      <c r="C505" s="3">
        <v>217304</v>
      </c>
      <c r="D505" s="4" t="s">
        <v>17</v>
      </c>
      <c r="E505" s="4" t="s">
        <v>1201</v>
      </c>
      <c r="F505" s="4" t="s">
        <v>32</v>
      </c>
      <c r="G505" s="4" t="s">
        <v>20</v>
      </c>
      <c r="H505" s="5">
        <v>-1000000</v>
      </c>
      <c r="I505" s="4" t="s">
        <v>21</v>
      </c>
      <c r="J505" s="5">
        <f t="shared" si="7"/>
        <v>4210000</v>
      </c>
      <c r="K505" s="4" t="s">
        <v>35</v>
      </c>
      <c r="L505" s="6">
        <v>4.21</v>
      </c>
      <c r="M505" s="6">
        <v>0.23749999999999999</v>
      </c>
      <c r="N505" s="6">
        <v>4.2110000000000003</v>
      </c>
      <c r="O505" s="6">
        <v>1</v>
      </c>
      <c r="P505" s="5">
        <v>-2000</v>
      </c>
      <c r="Q505" s="4" t="s">
        <v>1390</v>
      </c>
    </row>
    <row r="506" spans="1:17" x14ac:dyDescent="0.3">
      <c r="A506" s="2" t="s">
        <v>1389</v>
      </c>
      <c r="B506" s="3">
        <v>156984</v>
      </c>
      <c r="C506" s="3">
        <v>898933</v>
      </c>
      <c r="D506" s="4" t="s">
        <v>81</v>
      </c>
      <c r="E506" s="4" t="s">
        <v>1019</v>
      </c>
      <c r="F506" s="4" t="s">
        <v>83</v>
      </c>
      <c r="G506" s="4" t="s">
        <v>20</v>
      </c>
      <c r="H506" s="5">
        <v>-400000</v>
      </c>
      <c r="I506" s="4" t="s">
        <v>21</v>
      </c>
      <c r="J506" s="5">
        <f t="shared" si="7"/>
        <v>1683200</v>
      </c>
      <c r="K506" s="4" t="s">
        <v>39</v>
      </c>
      <c r="L506" s="6">
        <v>4.2080000000000002</v>
      </c>
      <c r="M506" s="6">
        <v>0.23760000000000001</v>
      </c>
      <c r="N506" s="6">
        <v>4.2230999999999996</v>
      </c>
      <c r="O506" s="6">
        <v>1</v>
      </c>
      <c r="P506" s="5">
        <v>-6040</v>
      </c>
      <c r="Q506" s="4" t="s">
        <v>1390</v>
      </c>
    </row>
    <row r="507" spans="1:17" x14ac:dyDescent="0.3">
      <c r="A507" s="2" t="s">
        <v>1389</v>
      </c>
      <c r="B507" s="3">
        <v>156985</v>
      </c>
      <c r="C507" s="3">
        <v>217307</v>
      </c>
      <c r="D507" s="4" t="s">
        <v>17</v>
      </c>
      <c r="E507" s="4" t="s">
        <v>1004</v>
      </c>
      <c r="F507" s="4" t="s">
        <v>32</v>
      </c>
      <c r="G507" s="4" t="s">
        <v>20</v>
      </c>
      <c r="H507" s="5">
        <v>-18000</v>
      </c>
      <c r="I507" s="4" t="s">
        <v>34</v>
      </c>
      <c r="J507" s="5">
        <f t="shared" si="7"/>
        <v>21407.4</v>
      </c>
      <c r="K507" s="4" t="s">
        <v>35</v>
      </c>
      <c r="L507" s="6">
        <v>1.1893</v>
      </c>
      <c r="M507" s="6">
        <v>0.84079999999999999</v>
      </c>
      <c r="N507" s="6">
        <v>4.2110000000000003</v>
      </c>
      <c r="O507" s="6">
        <v>3.6139999999999999</v>
      </c>
      <c r="P507" s="5">
        <v>1548.828</v>
      </c>
      <c r="Q507" s="4" t="s">
        <v>1390</v>
      </c>
    </row>
    <row r="508" spans="1:17" x14ac:dyDescent="0.3">
      <c r="A508" s="2" t="s">
        <v>1389</v>
      </c>
      <c r="B508" s="3">
        <v>156988</v>
      </c>
      <c r="C508" s="3">
        <v>217313</v>
      </c>
      <c r="D508" s="4" t="s">
        <v>17</v>
      </c>
      <c r="E508" s="4" t="s">
        <v>1297</v>
      </c>
      <c r="F508" s="4" t="s">
        <v>19</v>
      </c>
      <c r="G508" s="4" t="s">
        <v>20</v>
      </c>
      <c r="H508" s="5">
        <v>5000</v>
      </c>
      <c r="I508" s="4" t="s">
        <v>21</v>
      </c>
      <c r="J508" s="5">
        <f t="shared" si="7"/>
        <v>-20955.499999999996</v>
      </c>
      <c r="K508" s="4" t="s">
        <v>35</v>
      </c>
      <c r="L508" s="6">
        <v>4.1910999999999996</v>
      </c>
      <c r="M508" s="6">
        <v>0.23860000000000001</v>
      </c>
      <c r="N508" s="6">
        <v>4.2110000000000003</v>
      </c>
      <c r="O508" s="6">
        <v>1</v>
      </c>
      <c r="P508" s="5">
        <v>99.500000000003638</v>
      </c>
      <c r="Q508" s="4" t="s">
        <v>1390</v>
      </c>
    </row>
    <row r="509" spans="1:17" x14ac:dyDescent="0.3">
      <c r="A509" s="2" t="s">
        <v>1389</v>
      </c>
      <c r="B509" s="3">
        <v>156991</v>
      </c>
      <c r="C509" s="3">
        <v>217317</v>
      </c>
      <c r="D509" s="4" t="s">
        <v>17</v>
      </c>
      <c r="E509" s="4" t="s">
        <v>950</v>
      </c>
      <c r="F509" s="4" t="s">
        <v>32</v>
      </c>
      <c r="G509" s="4" t="s">
        <v>34</v>
      </c>
      <c r="H509" s="5">
        <v>-2000</v>
      </c>
      <c r="I509" s="4" t="s">
        <v>21</v>
      </c>
      <c r="J509" s="5">
        <f t="shared" si="7"/>
        <v>7237.8</v>
      </c>
      <c r="K509" s="4" t="s">
        <v>35</v>
      </c>
      <c r="L509" s="6">
        <v>3.6189</v>
      </c>
      <c r="M509" s="6">
        <v>0.27629999999999999</v>
      </c>
      <c r="N509" s="6">
        <v>3.6139999999999999</v>
      </c>
      <c r="O509" s="6">
        <v>1</v>
      </c>
      <c r="P509" s="5">
        <v>9.6</v>
      </c>
      <c r="Q509" s="4" t="s">
        <v>1390</v>
      </c>
    </row>
    <row r="510" spans="1:17" x14ac:dyDescent="0.3">
      <c r="A510" s="2" t="s">
        <v>1389</v>
      </c>
      <c r="B510" s="3">
        <v>156993</v>
      </c>
      <c r="C510" s="3">
        <v>217328</v>
      </c>
      <c r="D510" s="4" t="s">
        <v>17</v>
      </c>
      <c r="E510" s="4" t="s">
        <v>1077</v>
      </c>
      <c r="F510" s="4" t="s">
        <v>19</v>
      </c>
      <c r="G510" s="4" t="s">
        <v>20</v>
      </c>
      <c r="H510" s="5">
        <v>15000</v>
      </c>
      <c r="I510" s="4" t="s">
        <v>21</v>
      </c>
      <c r="J510" s="5">
        <f t="shared" si="7"/>
        <v>-63057</v>
      </c>
      <c r="K510" s="4" t="s">
        <v>22</v>
      </c>
      <c r="L510" s="6">
        <v>4.2038000000000002</v>
      </c>
      <c r="M510" s="6">
        <v>0.2379</v>
      </c>
      <c r="N510" s="6">
        <v>4.2068000000000003</v>
      </c>
      <c r="O510" s="6">
        <v>1</v>
      </c>
      <c r="P510" s="5">
        <v>45.000000000007276</v>
      </c>
      <c r="Q510" s="4" t="s">
        <v>1390</v>
      </c>
    </row>
    <row r="511" spans="1:17" x14ac:dyDescent="0.3">
      <c r="A511" s="2" t="s">
        <v>1389</v>
      </c>
      <c r="B511" s="3">
        <v>156994</v>
      </c>
      <c r="C511" s="3">
        <v>899006</v>
      </c>
      <c r="D511" s="4" t="s">
        <v>81</v>
      </c>
      <c r="E511" s="4" t="s">
        <v>725</v>
      </c>
      <c r="F511" s="4" t="s">
        <v>87</v>
      </c>
      <c r="G511" s="4" t="s">
        <v>20</v>
      </c>
      <c r="H511" s="5">
        <v>1000000</v>
      </c>
      <c r="I511" s="4" t="s">
        <v>21</v>
      </c>
      <c r="J511" s="5">
        <f t="shared" si="7"/>
        <v>-4206500</v>
      </c>
      <c r="K511" s="4" t="s">
        <v>39</v>
      </c>
      <c r="L511" s="6">
        <v>4.2065000000000001</v>
      </c>
      <c r="M511" s="6">
        <v>0.23769999999999999</v>
      </c>
      <c r="N511" s="6">
        <v>4.2230999999999996</v>
      </c>
      <c r="O511" s="6">
        <v>1</v>
      </c>
      <c r="P511" s="5">
        <v>16650</v>
      </c>
      <c r="Q511" s="4" t="s">
        <v>1392</v>
      </c>
    </row>
    <row r="512" spans="1:17" x14ac:dyDescent="0.3">
      <c r="A512" s="2" t="s">
        <v>1389</v>
      </c>
      <c r="B512" s="3">
        <v>156995</v>
      </c>
      <c r="C512" s="3">
        <v>217329</v>
      </c>
      <c r="D512" s="4" t="s">
        <v>17</v>
      </c>
      <c r="E512" s="4" t="s">
        <v>1154</v>
      </c>
      <c r="F512" s="4" t="s">
        <v>32</v>
      </c>
      <c r="G512" s="4" t="s">
        <v>20</v>
      </c>
      <c r="H512" s="5">
        <v>-162000</v>
      </c>
      <c r="I512" s="4" t="s">
        <v>21</v>
      </c>
      <c r="J512" s="5">
        <f t="shared" si="7"/>
        <v>681647.4</v>
      </c>
      <c r="K512" s="4" t="s">
        <v>35</v>
      </c>
      <c r="L512" s="6">
        <v>4.2077</v>
      </c>
      <c r="M512" s="6">
        <v>0.23769999999999999</v>
      </c>
      <c r="N512" s="6">
        <v>4.2110000000000003</v>
      </c>
      <c r="O512" s="6">
        <v>1</v>
      </c>
      <c r="P512" s="5">
        <v>-696.6</v>
      </c>
      <c r="Q512" s="4" t="s">
        <v>1390</v>
      </c>
    </row>
    <row r="513" spans="1:17" x14ac:dyDescent="0.3">
      <c r="A513" s="2" t="s">
        <v>1389</v>
      </c>
      <c r="B513" s="3">
        <v>156996</v>
      </c>
      <c r="C513" s="3">
        <v>217330</v>
      </c>
      <c r="D513" s="4" t="s">
        <v>17</v>
      </c>
      <c r="E513" s="4" t="s">
        <v>1201</v>
      </c>
      <c r="F513" s="4" t="s">
        <v>32</v>
      </c>
      <c r="G513" s="4" t="s">
        <v>20</v>
      </c>
      <c r="H513" s="5">
        <v>-1000000</v>
      </c>
      <c r="I513" s="4" t="s">
        <v>21</v>
      </c>
      <c r="J513" s="5">
        <f t="shared" si="7"/>
        <v>4209000</v>
      </c>
      <c r="K513" s="4" t="s">
        <v>35</v>
      </c>
      <c r="L513" s="6">
        <v>4.2089999999999996</v>
      </c>
      <c r="M513" s="6">
        <v>0.23760000000000001</v>
      </c>
      <c r="N513" s="6">
        <v>4.2110000000000003</v>
      </c>
      <c r="O513" s="6">
        <v>1</v>
      </c>
      <c r="P513" s="5">
        <v>-3000</v>
      </c>
      <c r="Q513" s="4" t="s">
        <v>1390</v>
      </c>
    </row>
    <row r="514" spans="1:17" x14ac:dyDescent="0.3">
      <c r="A514" s="2" t="s">
        <v>1389</v>
      </c>
      <c r="B514" s="3">
        <v>156997</v>
      </c>
      <c r="C514" s="3">
        <v>217333</v>
      </c>
      <c r="D514" s="4" t="s">
        <v>17</v>
      </c>
      <c r="E514" s="4" t="s">
        <v>856</v>
      </c>
      <c r="F514" s="4" t="s">
        <v>32</v>
      </c>
      <c r="G514" s="4" t="s">
        <v>20</v>
      </c>
      <c r="H514" s="5">
        <v>-25000</v>
      </c>
      <c r="I514" s="4" t="s">
        <v>21</v>
      </c>
      <c r="J514" s="5">
        <f t="shared" si="7"/>
        <v>105212.5</v>
      </c>
      <c r="K514" s="4" t="s">
        <v>35</v>
      </c>
      <c r="L514" s="6">
        <v>4.2084999999999999</v>
      </c>
      <c r="M514" s="6">
        <v>0.23760000000000001</v>
      </c>
      <c r="N514" s="6">
        <v>4.2110000000000003</v>
      </c>
      <c r="O514" s="6">
        <v>1</v>
      </c>
      <c r="P514" s="5">
        <v>-87.5</v>
      </c>
      <c r="Q514" s="4" t="s">
        <v>1390</v>
      </c>
    </row>
    <row r="515" spans="1:17" x14ac:dyDescent="0.3">
      <c r="A515" s="2" t="s">
        <v>1389</v>
      </c>
      <c r="B515" s="3">
        <v>156998</v>
      </c>
      <c r="C515" s="3">
        <v>217335</v>
      </c>
      <c r="D515" s="4" t="s">
        <v>17</v>
      </c>
      <c r="E515" s="4" t="s">
        <v>1196</v>
      </c>
      <c r="F515" s="4" t="s">
        <v>32</v>
      </c>
      <c r="G515" s="4" t="s">
        <v>20</v>
      </c>
      <c r="H515" s="5">
        <v>-47000</v>
      </c>
      <c r="I515" s="4" t="s">
        <v>21</v>
      </c>
      <c r="J515" s="5">
        <f t="shared" si="7"/>
        <v>198058.00000000003</v>
      </c>
      <c r="K515" s="4" t="s">
        <v>35</v>
      </c>
      <c r="L515" s="6">
        <v>4.2140000000000004</v>
      </c>
      <c r="M515" s="6">
        <v>0.23730000000000001</v>
      </c>
      <c r="N515" s="6">
        <v>4.2110000000000003</v>
      </c>
      <c r="O515" s="6">
        <v>1</v>
      </c>
      <c r="P515" s="5">
        <v>141</v>
      </c>
      <c r="Q515" s="4" t="s">
        <v>1390</v>
      </c>
    </row>
    <row r="516" spans="1:17" x14ac:dyDescent="0.3">
      <c r="A516" s="2" t="s">
        <v>1389</v>
      </c>
      <c r="B516" s="3">
        <v>156999</v>
      </c>
      <c r="C516" s="3">
        <v>217336</v>
      </c>
      <c r="D516" s="4" t="s">
        <v>17</v>
      </c>
      <c r="E516" s="4" t="s">
        <v>1353</v>
      </c>
      <c r="F516" s="4" t="s">
        <v>32</v>
      </c>
      <c r="G516" s="4" t="s">
        <v>20</v>
      </c>
      <c r="H516" s="5">
        <v>-9960</v>
      </c>
      <c r="I516" s="4" t="s">
        <v>21</v>
      </c>
      <c r="J516" s="5">
        <f t="shared" ref="J516:J579" si="8">-H516*L516</f>
        <v>42126.815999999999</v>
      </c>
      <c r="K516" s="4" t="s">
        <v>35</v>
      </c>
      <c r="L516" s="6">
        <v>4.2295999999999996</v>
      </c>
      <c r="M516" s="6">
        <v>0.2364</v>
      </c>
      <c r="N516" s="6">
        <v>4.2110000000000003</v>
      </c>
      <c r="O516" s="6">
        <v>1</v>
      </c>
      <c r="P516" s="5">
        <v>174.3</v>
      </c>
      <c r="Q516" s="4" t="s">
        <v>1390</v>
      </c>
    </row>
    <row r="517" spans="1:17" x14ac:dyDescent="0.3">
      <c r="A517" s="2" t="s">
        <v>1389</v>
      </c>
      <c r="B517" s="3">
        <v>157000</v>
      </c>
      <c r="C517" s="3">
        <v>217341</v>
      </c>
      <c r="D517" s="4" t="s">
        <v>17</v>
      </c>
      <c r="E517" s="4" t="s">
        <v>903</v>
      </c>
      <c r="F517" s="4" t="s">
        <v>32</v>
      </c>
      <c r="G517" s="4" t="s">
        <v>20</v>
      </c>
      <c r="H517" s="5">
        <v>-50000</v>
      </c>
      <c r="I517" s="4" t="s">
        <v>21</v>
      </c>
      <c r="J517" s="5">
        <f t="shared" si="8"/>
        <v>210750</v>
      </c>
      <c r="K517" s="4" t="s">
        <v>35</v>
      </c>
      <c r="L517" s="6">
        <v>4.2149999999999999</v>
      </c>
      <c r="M517" s="6">
        <v>0.23719999999999999</v>
      </c>
      <c r="N517" s="6">
        <v>4.2110000000000003</v>
      </c>
      <c r="O517" s="6">
        <v>1</v>
      </c>
      <c r="P517" s="5">
        <v>200</v>
      </c>
      <c r="Q517" s="4" t="s">
        <v>1390</v>
      </c>
    </row>
    <row r="518" spans="1:17" x14ac:dyDescent="0.3">
      <c r="A518" s="2" t="s">
        <v>1389</v>
      </c>
      <c r="B518" s="3">
        <v>157001</v>
      </c>
      <c r="C518" s="3">
        <v>217342</v>
      </c>
      <c r="D518" s="4" t="s">
        <v>17</v>
      </c>
      <c r="E518" s="4" t="s">
        <v>903</v>
      </c>
      <c r="F518" s="4" t="s">
        <v>32</v>
      </c>
      <c r="G518" s="4" t="s">
        <v>91</v>
      </c>
      <c r="H518" s="5">
        <v>-50000</v>
      </c>
      <c r="I518" s="4" t="s">
        <v>21</v>
      </c>
      <c r="J518" s="5">
        <f t="shared" si="8"/>
        <v>243350</v>
      </c>
      <c r="K518" s="4" t="s">
        <v>35</v>
      </c>
      <c r="L518" s="6">
        <v>4.867</v>
      </c>
      <c r="M518" s="6">
        <v>0.20549999999999999</v>
      </c>
      <c r="N518" s="6">
        <v>4.8631000000000002</v>
      </c>
      <c r="O518" s="6">
        <v>1</v>
      </c>
      <c r="P518" s="5">
        <v>195</v>
      </c>
      <c r="Q518" s="4" t="s">
        <v>1390</v>
      </c>
    </row>
    <row r="519" spans="1:17" x14ac:dyDescent="0.3">
      <c r="A519" s="2" t="s">
        <v>1389</v>
      </c>
      <c r="B519" s="3">
        <v>157003</v>
      </c>
      <c r="C519" s="3">
        <v>217346</v>
      </c>
      <c r="D519" s="4" t="s">
        <v>17</v>
      </c>
      <c r="E519" s="4" t="s">
        <v>951</v>
      </c>
      <c r="F519" s="4" t="s">
        <v>32</v>
      </c>
      <c r="G519" s="4" t="s">
        <v>20</v>
      </c>
      <c r="H519" s="5">
        <v>-21350</v>
      </c>
      <c r="I519" s="4" t="s">
        <v>21</v>
      </c>
      <c r="J519" s="5">
        <f t="shared" si="8"/>
        <v>89868.554999999993</v>
      </c>
      <c r="K519" s="4" t="s">
        <v>35</v>
      </c>
      <c r="L519" s="6">
        <v>4.2092999999999998</v>
      </c>
      <c r="M519" s="6">
        <v>0.23760000000000001</v>
      </c>
      <c r="N519" s="6">
        <v>4.2110000000000003</v>
      </c>
      <c r="O519" s="6">
        <v>1</v>
      </c>
      <c r="P519" s="5">
        <v>-57.64</v>
      </c>
      <c r="Q519" s="4" t="s">
        <v>1390</v>
      </c>
    </row>
    <row r="520" spans="1:17" x14ac:dyDescent="0.3">
      <c r="A520" s="2" t="s">
        <v>1389</v>
      </c>
      <c r="B520" s="3">
        <v>157004</v>
      </c>
      <c r="C520" s="3">
        <v>217347</v>
      </c>
      <c r="D520" s="4" t="s">
        <v>17</v>
      </c>
      <c r="E520" s="4" t="s">
        <v>1346</v>
      </c>
      <c r="F520" s="4" t="s">
        <v>32</v>
      </c>
      <c r="G520" s="4" t="s">
        <v>20</v>
      </c>
      <c r="H520" s="5">
        <v>-25000</v>
      </c>
      <c r="I520" s="4" t="s">
        <v>21</v>
      </c>
      <c r="J520" s="5">
        <f t="shared" si="8"/>
        <v>105482.49999999999</v>
      </c>
      <c r="K520" s="4" t="s">
        <v>35</v>
      </c>
      <c r="L520" s="6">
        <v>4.2192999999999996</v>
      </c>
      <c r="M520" s="6">
        <v>0.23699999999999999</v>
      </c>
      <c r="N520" s="6">
        <v>4.2110000000000003</v>
      </c>
      <c r="O520" s="6">
        <v>1</v>
      </c>
      <c r="P520" s="5">
        <v>180</v>
      </c>
      <c r="Q520" s="4" t="s">
        <v>1390</v>
      </c>
    </row>
    <row r="521" spans="1:17" x14ac:dyDescent="0.3">
      <c r="A521" s="2" t="s">
        <v>1389</v>
      </c>
      <c r="B521" s="3">
        <v>157005</v>
      </c>
      <c r="C521" s="3">
        <v>217348</v>
      </c>
      <c r="D521" s="4" t="s">
        <v>17</v>
      </c>
      <c r="E521" s="4" t="s">
        <v>812</v>
      </c>
      <c r="F521" s="4" t="s">
        <v>19</v>
      </c>
      <c r="G521" s="4" t="s">
        <v>84</v>
      </c>
      <c r="H521" s="5">
        <v>500000</v>
      </c>
      <c r="I521" s="4" t="s">
        <v>21</v>
      </c>
      <c r="J521" s="5">
        <f t="shared" si="8"/>
        <v>-196550</v>
      </c>
      <c r="K521" s="4" t="s">
        <v>35</v>
      </c>
      <c r="L521" s="6">
        <v>0.3931</v>
      </c>
      <c r="M521" s="6">
        <v>2.5438999999999998</v>
      </c>
      <c r="N521" s="6">
        <v>0.39250000000000002</v>
      </c>
      <c r="O521" s="6">
        <v>1</v>
      </c>
      <c r="P521" s="5">
        <v>-300</v>
      </c>
      <c r="Q521" s="4" t="s">
        <v>1390</v>
      </c>
    </row>
    <row r="522" spans="1:17" x14ac:dyDescent="0.3">
      <c r="A522" s="2" t="s">
        <v>1389</v>
      </c>
      <c r="B522" s="3">
        <v>157007</v>
      </c>
      <c r="C522" s="3">
        <v>899074</v>
      </c>
      <c r="D522" s="4" t="s">
        <v>81</v>
      </c>
      <c r="E522" s="4" t="s">
        <v>735</v>
      </c>
      <c r="F522" s="4" t="s">
        <v>87</v>
      </c>
      <c r="G522" s="4" t="s">
        <v>20</v>
      </c>
      <c r="H522" s="5">
        <v>1000000</v>
      </c>
      <c r="I522" s="4" t="s">
        <v>21</v>
      </c>
      <c r="J522" s="5">
        <f t="shared" si="8"/>
        <v>-4206500</v>
      </c>
      <c r="K522" s="4" t="s">
        <v>39</v>
      </c>
      <c r="L522" s="6">
        <v>4.2065000000000001</v>
      </c>
      <c r="M522" s="6">
        <v>0.23769999999999999</v>
      </c>
      <c r="N522" s="6">
        <v>4.2230999999999996</v>
      </c>
      <c r="O522" s="6">
        <v>1</v>
      </c>
      <c r="P522" s="5">
        <v>16600</v>
      </c>
      <c r="Q522" s="4" t="s">
        <v>1394</v>
      </c>
    </row>
    <row r="523" spans="1:17" x14ac:dyDescent="0.3">
      <c r="A523" s="2" t="s">
        <v>1389</v>
      </c>
      <c r="B523" s="3">
        <v>157008</v>
      </c>
      <c r="C523" s="3">
        <v>217350</v>
      </c>
      <c r="D523" s="4" t="s">
        <v>17</v>
      </c>
      <c r="E523" s="4" t="s">
        <v>1283</v>
      </c>
      <c r="F523" s="4" t="s">
        <v>32</v>
      </c>
      <c r="G523" s="4" t="s">
        <v>20</v>
      </c>
      <c r="H523" s="5">
        <v>-1000000</v>
      </c>
      <c r="I523" s="4" t="s">
        <v>21</v>
      </c>
      <c r="J523" s="5">
        <f t="shared" si="8"/>
        <v>4208400</v>
      </c>
      <c r="K523" s="4" t="s">
        <v>35</v>
      </c>
      <c r="L523" s="6">
        <v>4.2084000000000001</v>
      </c>
      <c r="M523" s="6">
        <v>0.23760000000000001</v>
      </c>
      <c r="N523" s="6">
        <v>4.2110000000000003</v>
      </c>
      <c r="O523" s="6">
        <v>1</v>
      </c>
      <c r="P523" s="5">
        <v>-2600</v>
      </c>
      <c r="Q523" s="4" t="s">
        <v>1390</v>
      </c>
    </row>
    <row r="524" spans="1:17" x14ac:dyDescent="0.3">
      <c r="A524" s="2" t="s">
        <v>1389</v>
      </c>
      <c r="B524" s="3">
        <v>157009</v>
      </c>
      <c r="C524" s="3">
        <v>899081</v>
      </c>
      <c r="D524" s="4" t="s">
        <v>81</v>
      </c>
      <c r="E524" s="4" t="s">
        <v>730</v>
      </c>
      <c r="F524" s="4" t="s">
        <v>87</v>
      </c>
      <c r="G524" s="4" t="s">
        <v>20</v>
      </c>
      <c r="H524" s="5">
        <v>100000</v>
      </c>
      <c r="I524" s="4" t="s">
        <v>84</v>
      </c>
      <c r="J524" s="5">
        <f t="shared" si="8"/>
        <v>-1068230</v>
      </c>
      <c r="K524" s="4" t="s">
        <v>39</v>
      </c>
      <c r="L524" s="6">
        <v>10.6823</v>
      </c>
      <c r="M524" s="6">
        <v>9.3600000000000003E-2</v>
      </c>
      <c r="N524" s="6">
        <v>4.2230999999999996</v>
      </c>
      <c r="O524" s="6">
        <v>0.39360000000000001</v>
      </c>
      <c r="P524" s="5">
        <v>1856.2464</v>
      </c>
      <c r="Q524" s="4" t="s">
        <v>1396</v>
      </c>
    </row>
    <row r="525" spans="1:17" x14ac:dyDescent="0.3">
      <c r="A525" s="2" t="s">
        <v>1389</v>
      </c>
      <c r="B525" s="3">
        <v>157010</v>
      </c>
      <c r="C525" s="3">
        <v>217355</v>
      </c>
      <c r="D525" s="4" t="s">
        <v>17</v>
      </c>
      <c r="E525" s="4" t="s">
        <v>830</v>
      </c>
      <c r="F525" s="4" t="s">
        <v>19</v>
      </c>
      <c r="G525" s="4" t="s">
        <v>20</v>
      </c>
      <c r="H525" s="5">
        <v>55000</v>
      </c>
      <c r="I525" s="4" t="s">
        <v>21</v>
      </c>
      <c r="J525" s="5">
        <f t="shared" si="8"/>
        <v>-230785.50000000003</v>
      </c>
      <c r="K525" s="4" t="s">
        <v>35</v>
      </c>
      <c r="L525" s="6">
        <v>4.1961000000000004</v>
      </c>
      <c r="M525" s="6">
        <v>0.23830000000000001</v>
      </c>
      <c r="N525" s="6">
        <v>4.2110000000000003</v>
      </c>
      <c r="O525" s="6">
        <v>1</v>
      </c>
      <c r="P525" s="5">
        <v>819.5</v>
      </c>
      <c r="Q525" s="4" t="s">
        <v>1390</v>
      </c>
    </row>
    <row r="526" spans="1:17" x14ac:dyDescent="0.3">
      <c r="A526" s="2" t="s">
        <v>1389</v>
      </c>
      <c r="B526" s="3">
        <v>157011</v>
      </c>
      <c r="C526" s="3">
        <v>899103</v>
      </c>
      <c r="D526" s="4" t="s">
        <v>81</v>
      </c>
      <c r="E526" s="4" t="s">
        <v>734</v>
      </c>
      <c r="F526" s="4" t="s">
        <v>83</v>
      </c>
      <c r="G526" s="4" t="s">
        <v>20</v>
      </c>
      <c r="H526" s="5">
        <v>-100000</v>
      </c>
      <c r="I526" s="4" t="s">
        <v>91</v>
      </c>
      <c r="J526" s="5">
        <f t="shared" si="8"/>
        <v>86600</v>
      </c>
      <c r="K526" s="4" t="s">
        <v>39</v>
      </c>
      <c r="L526" s="6">
        <v>0.86599999999999999</v>
      </c>
      <c r="M526" s="6">
        <v>1.1548</v>
      </c>
      <c r="N526" s="6">
        <v>4.2230999999999996</v>
      </c>
      <c r="O526" s="6">
        <v>4.8704000000000001</v>
      </c>
      <c r="P526" s="5">
        <v>-552.84159999999997</v>
      </c>
      <c r="Q526" s="4" t="s">
        <v>1393</v>
      </c>
    </row>
    <row r="527" spans="1:17" x14ac:dyDescent="0.3">
      <c r="A527" s="2" t="s">
        <v>1389</v>
      </c>
      <c r="B527" s="3">
        <v>157014</v>
      </c>
      <c r="C527" s="3">
        <v>899124</v>
      </c>
      <c r="D527" s="4" t="s">
        <v>81</v>
      </c>
      <c r="E527" s="4" t="s">
        <v>735</v>
      </c>
      <c r="F527" s="4" t="s">
        <v>87</v>
      </c>
      <c r="G527" s="4" t="s">
        <v>20</v>
      </c>
      <c r="H527" s="5">
        <v>500000</v>
      </c>
      <c r="I527" s="4" t="s">
        <v>21</v>
      </c>
      <c r="J527" s="5">
        <f t="shared" si="8"/>
        <v>-2103850</v>
      </c>
      <c r="K527" s="4" t="s">
        <v>39</v>
      </c>
      <c r="L527" s="6">
        <v>4.2077</v>
      </c>
      <c r="M527" s="6">
        <v>0.23769999999999999</v>
      </c>
      <c r="N527" s="6">
        <v>4.2230999999999996</v>
      </c>
      <c r="O527" s="6">
        <v>1</v>
      </c>
      <c r="P527" s="5">
        <v>7700</v>
      </c>
      <c r="Q527" s="4" t="s">
        <v>1394</v>
      </c>
    </row>
    <row r="528" spans="1:17" x14ac:dyDescent="0.3">
      <c r="A528" s="2" t="s">
        <v>1389</v>
      </c>
      <c r="B528" s="3">
        <v>157015</v>
      </c>
      <c r="C528" s="3">
        <v>217367</v>
      </c>
      <c r="D528" s="4" t="s">
        <v>17</v>
      </c>
      <c r="E528" s="4" t="s">
        <v>1193</v>
      </c>
      <c r="F528" s="4" t="s">
        <v>32</v>
      </c>
      <c r="G528" s="4" t="s">
        <v>20</v>
      </c>
      <c r="H528" s="5">
        <v>-518700</v>
      </c>
      <c r="I528" s="4" t="s">
        <v>21</v>
      </c>
      <c r="J528" s="5">
        <f t="shared" si="8"/>
        <v>2183052.69</v>
      </c>
      <c r="K528" s="4" t="s">
        <v>35</v>
      </c>
      <c r="L528" s="6">
        <v>4.2087000000000003</v>
      </c>
      <c r="M528" s="6">
        <v>0.23760000000000001</v>
      </c>
      <c r="N528" s="6">
        <v>4.2110000000000003</v>
      </c>
      <c r="O528" s="6">
        <v>1</v>
      </c>
      <c r="P528" s="5">
        <v>-1193.01</v>
      </c>
      <c r="Q528" s="4" t="s">
        <v>1390</v>
      </c>
    </row>
    <row r="529" spans="1:17" x14ac:dyDescent="0.3">
      <c r="A529" s="2" t="s">
        <v>1389</v>
      </c>
      <c r="B529" s="3">
        <v>157016</v>
      </c>
      <c r="C529" s="3">
        <v>217368</v>
      </c>
      <c r="D529" s="4" t="s">
        <v>17</v>
      </c>
      <c r="E529" s="4" t="s">
        <v>868</v>
      </c>
      <c r="F529" s="4" t="s">
        <v>19</v>
      </c>
      <c r="G529" s="4" t="s">
        <v>20</v>
      </c>
      <c r="H529" s="5">
        <v>350000</v>
      </c>
      <c r="I529" s="4" t="s">
        <v>21</v>
      </c>
      <c r="J529" s="5">
        <f t="shared" si="8"/>
        <v>-1470420</v>
      </c>
      <c r="K529" s="4" t="s">
        <v>35</v>
      </c>
      <c r="L529" s="6">
        <v>4.2012</v>
      </c>
      <c r="M529" s="6">
        <v>0.23799999999999999</v>
      </c>
      <c r="N529" s="6">
        <v>4.2110000000000003</v>
      </c>
      <c r="O529" s="6">
        <v>1</v>
      </c>
      <c r="P529" s="5">
        <v>3430</v>
      </c>
      <c r="Q529" s="4" t="s">
        <v>1390</v>
      </c>
    </row>
    <row r="530" spans="1:17" x14ac:dyDescent="0.3">
      <c r="A530" s="2" t="s">
        <v>1389</v>
      </c>
      <c r="B530" s="3">
        <v>157018</v>
      </c>
      <c r="C530" s="3">
        <v>899165</v>
      </c>
      <c r="D530" s="4" t="s">
        <v>81</v>
      </c>
      <c r="E530" s="4" t="s">
        <v>732</v>
      </c>
      <c r="F530" s="4" t="s">
        <v>83</v>
      </c>
      <c r="G530" s="4" t="s">
        <v>20</v>
      </c>
      <c r="H530" s="5">
        <v>-1000000</v>
      </c>
      <c r="I530" s="4" t="s">
        <v>21</v>
      </c>
      <c r="J530" s="5">
        <f t="shared" si="8"/>
        <v>4208100</v>
      </c>
      <c r="K530" s="4" t="s">
        <v>39</v>
      </c>
      <c r="L530" s="6">
        <v>4.2081</v>
      </c>
      <c r="M530" s="6">
        <v>0.23760000000000001</v>
      </c>
      <c r="N530" s="6">
        <v>4.2230999999999996</v>
      </c>
      <c r="O530" s="6">
        <v>1</v>
      </c>
      <c r="P530" s="5">
        <v>-15000</v>
      </c>
      <c r="Q530" s="4" t="s">
        <v>1394</v>
      </c>
    </row>
    <row r="531" spans="1:17" x14ac:dyDescent="0.3">
      <c r="A531" s="2" t="s">
        <v>1389</v>
      </c>
      <c r="B531" s="3">
        <v>157020</v>
      </c>
      <c r="C531" s="3">
        <v>899166</v>
      </c>
      <c r="D531" s="4" t="s">
        <v>81</v>
      </c>
      <c r="E531" s="4" t="s">
        <v>730</v>
      </c>
      <c r="F531" s="4" t="s">
        <v>83</v>
      </c>
      <c r="G531" s="4" t="s">
        <v>20</v>
      </c>
      <c r="H531" s="5">
        <v>-1000000</v>
      </c>
      <c r="I531" s="4" t="s">
        <v>21</v>
      </c>
      <c r="J531" s="5">
        <f t="shared" si="8"/>
        <v>4208000</v>
      </c>
      <c r="K531" s="4" t="s">
        <v>39</v>
      </c>
      <c r="L531" s="6">
        <v>4.2080000000000002</v>
      </c>
      <c r="M531" s="6">
        <v>0.23760000000000001</v>
      </c>
      <c r="N531" s="6">
        <v>4.2230999999999996</v>
      </c>
      <c r="O531" s="6">
        <v>1</v>
      </c>
      <c r="P531" s="5">
        <v>-15100</v>
      </c>
      <c r="Q531" s="4" t="s">
        <v>1396</v>
      </c>
    </row>
    <row r="532" spans="1:17" x14ac:dyDescent="0.3">
      <c r="A532" s="2" t="s">
        <v>1389</v>
      </c>
      <c r="B532" s="3">
        <v>157022</v>
      </c>
      <c r="C532" s="3">
        <v>217381</v>
      </c>
      <c r="D532" s="4" t="s">
        <v>17</v>
      </c>
      <c r="E532" s="4" t="s">
        <v>892</v>
      </c>
      <c r="F532" s="4" t="s">
        <v>32</v>
      </c>
      <c r="G532" s="4" t="s">
        <v>20</v>
      </c>
      <c r="H532" s="5">
        <v>-17000</v>
      </c>
      <c r="I532" s="4" t="s">
        <v>21</v>
      </c>
      <c r="J532" s="5">
        <f t="shared" si="8"/>
        <v>71757</v>
      </c>
      <c r="K532" s="4" t="s">
        <v>35</v>
      </c>
      <c r="L532" s="6">
        <v>4.2210000000000001</v>
      </c>
      <c r="M532" s="6">
        <v>0.2369</v>
      </c>
      <c r="N532" s="6">
        <v>4.2110000000000003</v>
      </c>
      <c r="O532" s="6">
        <v>1</v>
      </c>
      <c r="P532" s="5">
        <v>153</v>
      </c>
      <c r="Q532" s="4" t="s">
        <v>1390</v>
      </c>
    </row>
    <row r="533" spans="1:17" x14ac:dyDescent="0.3">
      <c r="A533" s="2" t="s">
        <v>1389</v>
      </c>
      <c r="B533" s="3">
        <v>157023</v>
      </c>
      <c r="C533" s="3">
        <v>899210</v>
      </c>
      <c r="D533" s="4" t="s">
        <v>81</v>
      </c>
      <c r="E533" s="4" t="s">
        <v>734</v>
      </c>
      <c r="F533" s="4" t="s">
        <v>87</v>
      </c>
      <c r="G533" s="4" t="s">
        <v>20</v>
      </c>
      <c r="H533" s="5">
        <v>500000</v>
      </c>
      <c r="I533" s="4" t="s">
        <v>21</v>
      </c>
      <c r="J533" s="5">
        <f t="shared" si="8"/>
        <v>-2104450</v>
      </c>
      <c r="K533" s="4" t="s">
        <v>39</v>
      </c>
      <c r="L533" s="6">
        <v>4.2088999999999999</v>
      </c>
      <c r="M533" s="6">
        <v>0.23760000000000001</v>
      </c>
      <c r="N533" s="6">
        <v>4.2230999999999996</v>
      </c>
      <c r="O533" s="6">
        <v>1</v>
      </c>
      <c r="P533" s="5">
        <v>7100</v>
      </c>
      <c r="Q533" s="4" t="s">
        <v>1393</v>
      </c>
    </row>
    <row r="534" spans="1:17" x14ac:dyDescent="0.3">
      <c r="A534" s="2" t="s">
        <v>1389</v>
      </c>
      <c r="B534" s="3">
        <v>157024</v>
      </c>
      <c r="C534" s="3">
        <v>217388</v>
      </c>
      <c r="D534" s="4" t="s">
        <v>17</v>
      </c>
      <c r="E534" s="4" t="s">
        <v>973</v>
      </c>
      <c r="F534" s="4" t="s">
        <v>32</v>
      </c>
      <c r="G534" s="4" t="s">
        <v>20</v>
      </c>
      <c r="H534" s="5">
        <v>-75000</v>
      </c>
      <c r="I534" s="4" t="s">
        <v>21</v>
      </c>
      <c r="J534" s="5">
        <f t="shared" si="8"/>
        <v>316312.5</v>
      </c>
      <c r="K534" s="4" t="s">
        <v>35</v>
      </c>
      <c r="L534" s="6">
        <v>4.2175000000000002</v>
      </c>
      <c r="M534" s="6">
        <v>0.23710000000000001</v>
      </c>
      <c r="N534" s="6">
        <v>4.2110000000000003</v>
      </c>
      <c r="O534" s="6">
        <v>1</v>
      </c>
      <c r="P534" s="5">
        <v>487.5</v>
      </c>
      <c r="Q534" s="4" t="s">
        <v>1390</v>
      </c>
    </row>
    <row r="535" spans="1:17" x14ac:dyDescent="0.3">
      <c r="A535" s="2" t="s">
        <v>1389</v>
      </c>
      <c r="B535" s="3">
        <v>157026</v>
      </c>
      <c r="C535" s="3">
        <v>217395</v>
      </c>
      <c r="D535" s="4" t="s">
        <v>17</v>
      </c>
      <c r="E535" s="4" t="s">
        <v>887</v>
      </c>
      <c r="F535" s="4" t="s">
        <v>32</v>
      </c>
      <c r="G535" s="4" t="s">
        <v>34</v>
      </c>
      <c r="H535" s="5">
        <v>-20800</v>
      </c>
      <c r="I535" s="4" t="s">
        <v>21</v>
      </c>
      <c r="J535" s="5">
        <f t="shared" si="8"/>
        <v>75329.279999999999</v>
      </c>
      <c r="K535" s="4" t="s">
        <v>35</v>
      </c>
      <c r="L535" s="6">
        <v>3.6215999999999999</v>
      </c>
      <c r="M535" s="6">
        <v>0.27610000000000001</v>
      </c>
      <c r="N535" s="6">
        <v>3.6139999999999999</v>
      </c>
      <c r="O535" s="6">
        <v>1</v>
      </c>
      <c r="P535" s="5">
        <v>156</v>
      </c>
      <c r="Q535" s="4" t="s">
        <v>1390</v>
      </c>
    </row>
    <row r="536" spans="1:17" x14ac:dyDescent="0.3">
      <c r="A536" s="2" t="s">
        <v>1389</v>
      </c>
      <c r="B536" s="3">
        <v>157028</v>
      </c>
      <c r="C536" s="3">
        <v>899254</v>
      </c>
      <c r="D536" s="4" t="s">
        <v>81</v>
      </c>
      <c r="E536" s="4" t="s">
        <v>732</v>
      </c>
      <c r="F536" s="4" t="s">
        <v>87</v>
      </c>
      <c r="G536" s="4" t="s">
        <v>20</v>
      </c>
      <c r="H536" s="5">
        <v>500000</v>
      </c>
      <c r="I536" s="4" t="s">
        <v>21</v>
      </c>
      <c r="J536" s="5">
        <f t="shared" si="8"/>
        <v>-2104250</v>
      </c>
      <c r="K536" s="4" t="s">
        <v>39</v>
      </c>
      <c r="L536" s="6">
        <v>4.2084999999999999</v>
      </c>
      <c r="M536" s="6">
        <v>0.23760000000000001</v>
      </c>
      <c r="N536" s="6">
        <v>4.2230999999999996</v>
      </c>
      <c r="O536" s="6">
        <v>1</v>
      </c>
      <c r="P536" s="5">
        <v>7295</v>
      </c>
      <c r="Q536" s="4" t="s">
        <v>1394</v>
      </c>
    </row>
    <row r="537" spans="1:17" x14ac:dyDescent="0.3">
      <c r="A537" s="2" t="s">
        <v>1389</v>
      </c>
      <c r="B537" s="3">
        <v>157029</v>
      </c>
      <c r="C537" s="3">
        <v>217401</v>
      </c>
      <c r="D537" s="4" t="s">
        <v>17</v>
      </c>
      <c r="E537" s="4" t="s">
        <v>1341</v>
      </c>
      <c r="F537" s="4" t="s">
        <v>32</v>
      </c>
      <c r="G537" s="4" t="s">
        <v>21</v>
      </c>
      <c r="H537" s="5">
        <v>-285000</v>
      </c>
      <c r="I537" s="4" t="s">
        <v>34</v>
      </c>
      <c r="J537" s="5">
        <f t="shared" si="8"/>
        <v>1028365.5</v>
      </c>
      <c r="K537" s="4" t="s">
        <v>35</v>
      </c>
      <c r="L537" s="6">
        <v>3.6082999999999998</v>
      </c>
      <c r="M537" s="6">
        <v>0.27710000000000001</v>
      </c>
      <c r="N537" s="6">
        <v>1</v>
      </c>
      <c r="O537" s="6">
        <v>3.6139999999999999</v>
      </c>
      <c r="P537" s="5">
        <v>489.77314000000001</v>
      </c>
      <c r="Q537" s="4" t="s">
        <v>1390</v>
      </c>
    </row>
    <row r="538" spans="1:17" x14ac:dyDescent="0.3">
      <c r="A538" s="2" t="s">
        <v>1389</v>
      </c>
      <c r="B538" s="3">
        <v>157030</v>
      </c>
      <c r="C538" s="3">
        <v>899262</v>
      </c>
      <c r="D538" s="4" t="s">
        <v>81</v>
      </c>
      <c r="E538" s="4" t="s">
        <v>735</v>
      </c>
      <c r="F538" s="4" t="s">
        <v>87</v>
      </c>
      <c r="G538" s="4" t="s">
        <v>20</v>
      </c>
      <c r="H538" s="5">
        <v>1000000</v>
      </c>
      <c r="I538" s="4" t="s">
        <v>21</v>
      </c>
      <c r="J538" s="5">
        <f t="shared" si="8"/>
        <v>-4208600</v>
      </c>
      <c r="K538" s="4" t="s">
        <v>39</v>
      </c>
      <c r="L538" s="6">
        <v>4.2085999999999997</v>
      </c>
      <c r="M538" s="6">
        <v>0.23760000000000001</v>
      </c>
      <c r="N538" s="6">
        <v>4.2230999999999996</v>
      </c>
      <c r="O538" s="6">
        <v>1</v>
      </c>
      <c r="P538" s="5">
        <v>14500</v>
      </c>
      <c r="Q538" s="4" t="s">
        <v>1394</v>
      </c>
    </row>
    <row r="539" spans="1:17" x14ac:dyDescent="0.3">
      <c r="A539" s="2" t="s">
        <v>1389</v>
      </c>
      <c r="B539" s="3">
        <v>157032</v>
      </c>
      <c r="C539" s="3">
        <v>899266</v>
      </c>
      <c r="D539" s="4" t="s">
        <v>81</v>
      </c>
      <c r="E539" s="4" t="s">
        <v>1264</v>
      </c>
      <c r="F539" s="4" t="s">
        <v>83</v>
      </c>
      <c r="G539" s="4" t="s">
        <v>20</v>
      </c>
      <c r="H539" s="5">
        <v>-700000</v>
      </c>
      <c r="I539" s="4" t="s">
        <v>21</v>
      </c>
      <c r="J539" s="5">
        <f t="shared" si="8"/>
        <v>2950290</v>
      </c>
      <c r="K539" s="4" t="s">
        <v>49</v>
      </c>
      <c r="L539" s="6">
        <v>4.2146999999999997</v>
      </c>
      <c r="M539" s="6">
        <v>0.23730000000000001</v>
      </c>
      <c r="N539" s="6">
        <v>4.2191999999999998</v>
      </c>
      <c r="O539" s="6">
        <v>1</v>
      </c>
      <c r="P539" s="5">
        <v>-3150</v>
      </c>
      <c r="Q539" s="4" t="s">
        <v>1390</v>
      </c>
    </row>
    <row r="540" spans="1:17" x14ac:dyDescent="0.3">
      <c r="A540" s="2" t="s">
        <v>1389</v>
      </c>
      <c r="B540" s="3">
        <v>157033</v>
      </c>
      <c r="C540" s="3">
        <v>899267</v>
      </c>
      <c r="D540" s="4" t="s">
        <v>81</v>
      </c>
      <c r="E540" s="4" t="s">
        <v>732</v>
      </c>
      <c r="F540" s="4" t="s">
        <v>87</v>
      </c>
      <c r="G540" s="4" t="s">
        <v>20</v>
      </c>
      <c r="H540" s="5">
        <v>1000000</v>
      </c>
      <c r="I540" s="4" t="s">
        <v>21</v>
      </c>
      <c r="J540" s="5">
        <f t="shared" si="8"/>
        <v>-4209100</v>
      </c>
      <c r="K540" s="4" t="s">
        <v>39</v>
      </c>
      <c r="L540" s="6">
        <v>4.2091000000000003</v>
      </c>
      <c r="M540" s="6">
        <v>0.23760000000000001</v>
      </c>
      <c r="N540" s="6">
        <v>4.2230999999999996</v>
      </c>
      <c r="O540" s="6">
        <v>1</v>
      </c>
      <c r="P540" s="5">
        <v>14000</v>
      </c>
      <c r="Q540" s="4" t="s">
        <v>1394</v>
      </c>
    </row>
    <row r="541" spans="1:17" x14ac:dyDescent="0.3">
      <c r="A541" s="2" t="s">
        <v>1389</v>
      </c>
      <c r="B541" s="3">
        <v>157034</v>
      </c>
      <c r="C541" s="3">
        <v>217406</v>
      </c>
      <c r="D541" s="4" t="s">
        <v>17</v>
      </c>
      <c r="E541" s="4" t="s">
        <v>881</v>
      </c>
      <c r="F541" s="4" t="s">
        <v>32</v>
      </c>
      <c r="G541" s="4" t="s">
        <v>20</v>
      </c>
      <c r="H541" s="5">
        <v>-2560</v>
      </c>
      <c r="I541" s="4" t="s">
        <v>21</v>
      </c>
      <c r="J541" s="5">
        <f t="shared" si="8"/>
        <v>10788.608</v>
      </c>
      <c r="K541" s="4" t="s">
        <v>22</v>
      </c>
      <c r="L541" s="6">
        <v>4.2142999999999997</v>
      </c>
      <c r="M541" s="6">
        <v>0.23730000000000001</v>
      </c>
      <c r="N541" s="6">
        <v>4.2068000000000003</v>
      </c>
      <c r="O541" s="6">
        <v>1</v>
      </c>
      <c r="P541" s="5">
        <v>17.152000000000001</v>
      </c>
      <c r="Q541" s="4" t="s">
        <v>1390</v>
      </c>
    </row>
    <row r="542" spans="1:17" x14ac:dyDescent="0.3">
      <c r="A542" s="2" t="s">
        <v>1389</v>
      </c>
      <c r="B542" s="3">
        <v>157036</v>
      </c>
      <c r="C542" s="3">
        <v>217412</v>
      </c>
      <c r="D542" s="4" t="s">
        <v>17</v>
      </c>
      <c r="E542" s="4" t="s">
        <v>1352</v>
      </c>
      <c r="F542" s="4" t="s">
        <v>19</v>
      </c>
      <c r="G542" s="4" t="s">
        <v>20</v>
      </c>
      <c r="H542" s="5">
        <v>80000</v>
      </c>
      <c r="I542" s="4" t="s">
        <v>21</v>
      </c>
      <c r="J542" s="5">
        <f t="shared" si="8"/>
        <v>-335280</v>
      </c>
      <c r="K542" s="4" t="s">
        <v>35</v>
      </c>
      <c r="L542" s="6">
        <v>4.1909999999999998</v>
      </c>
      <c r="M542" s="6">
        <v>0.23860000000000001</v>
      </c>
      <c r="N542" s="6">
        <v>4.2110000000000003</v>
      </c>
      <c r="O542" s="6">
        <v>1</v>
      </c>
      <c r="P542" s="5">
        <v>1600</v>
      </c>
      <c r="Q542" s="4" t="s">
        <v>1390</v>
      </c>
    </row>
    <row r="543" spans="1:17" x14ac:dyDescent="0.3">
      <c r="A543" s="2" t="s">
        <v>1389</v>
      </c>
      <c r="B543" s="3">
        <v>157037</v>
      </c>
      <c r="C543" s="3">
        <v>899302</v>
      </c>
      <c r="D543" s="4" t="s">
        <v>81</v>
      </c>
      <c r="E543" s="4" t="s">
        <v>725</v>
      </c>
      <c r="F543" s="4" t="s">
        <v>83</v>
      </c>
      <c r="G543" s="4" t="s">
        <v>20</v>
      </c>
      <c r="H543" s="5">
        <v>-1000000</v>
      </c>
      <c r="I543" s="4" t="s">
        <v>21</v>
      </c>
      <c r="J543" s="5">
        <f t="shared" si="8"/>
        <v>4207500</v>
      </c>
      <c r="K543" s="4" t="s">
        <v>39</v>
      </c>
      <c r="L543" s="6">
        <v>4.2074999999999996</v>
      </c>
      <c r="M543" s="6">
        <v>0.23769999999999999</v>
      </c>
      <c r="N543" s="6">
        <v>4.2230999999999996</v>
      </c>
      <c r="O543" s="6">
        <v>1</v>
      </c>
      <c r="P543" s="5">
        <v>-15580</v>
      </c>
      <c r="Q543" s="4" t="s">
        <v>1392</v>
      </c>
    </row>
    <row r="544" spans="1:17" x14ac:dyDescent="0.3">
      <c r="A544" s="2" t="s">
        <v>1389</v>
      </c>
      <c r="B544" s="3">
        <v>157038</v>
      </c>
      <c r="C544" s="3">
        <v>899324</v>
      </c>
      <c r="D544" s="4" t="s">
        <v>81</v>
      </c>
      <c r="E544" s="4" t="s">
        <v>733</v>
      </c>
      <c r="F544" s="4" t="s">
        <v>87</v>
      </c>
      <c r="G544" s="4" t="s">
        <v>20</v>
      </c>
      <c r="H544" s="5">
        <v>1000000</v>
      </c>
      <c r="I544" s="4" t="s">
        <v>21</v>
      </c>
      <c r="J544" s="5">
        <f t="shared" si="8"/>
        <v>-4208300</v>
      </c>
      <c r="K544" s="4" t="s">
        <v>39</v>
      </c>
      <c r="L544" s="6">
        <v>4.2083000000000004</v>
      </c>
      <c r="M544" s="6">
        <v>0.23760000000000001</v>
      </c>
      <c r="N544" s="6">
        <v>4.2230999999999996</v>
      </c>
      <c r="O544" s="6">
        <v>1</v>
      </c>
      <c r="P544" s="5">
        <v>14840</v>
      </c>
      <c r="Q544" s="4" t="s">
        <v>1391</v>
      </c>
    </row>
    <row r="545" spans="1:17" x14ac:dyDescent="0.3">
      <c r="A545" s="2" t="s">
        <v>1389</v>
      </c>
      <c r="B545" s="3">
        <v>157040</v>
      </c>
      <c r="C545" s="3">
        <v>217426</v>
      </c>
      <c r="D545" s="4" t="s">
        <v>17</v>
      </c>
      <c r="E545" s="4" t="s">
        <v>979</v>
      </c>
      <c r="F545" s="4" t="s">
        <v>32</v>
      </c>
      <c r="G545" s="4" t="s">
        <v>20</v>
      </c>
      <c r="H545" s="5">
        <v>-50000</v>
      </c>
      <c r="I545" s="4" t="s">
        <v>21</v>
      </c>
      <c r="J545" s="5">
        <f t="shared" si="8"/>
        <v>212000</v>
      </c>
      <c r="K545" s="4" t="s">
        <v>35</v>
      </c>
      <c r="L545" s="6">
        <v>4.24</v>
      </c>
      <c r="M545" s="6">
        <v>0.23580000000000001</v>
      </c>
      <c r="N545" s="6">
        <v>4.2110000000000003</v>
      </c>
      <c r="O545" s="6">
        <v>1</v>
      </c>
      <c r="P545" s="5">
        <v>1450</v>
      </c>
      <c r="Q545" s="4" t="s">
        <v>1390</v>
      </c>
    </row>
    <row r="546" spans="1:17" x14ac:dyDescent="0.3">
      <c r="A546" s="2" t="s">
        <v>1389</v>
      </c>
      <c r="B546" s="3">
        <v>157041</v>
      </c>
      <c r="C546" s="3">
        <v>217427</v>
      </c>
      <c r="D546" s="4" t="s">
        <v>17</v>
      </c>
      <c r="E546" s="4" t="s">
        <v>826</v>
      </c>
      <c r="F546" s="4" t="s">
        <v>19</v>
      </c>
      <c r="G546" s="4" t="s">
        <v>20</v>
      </c>
      <c r="H546" s="5">
        <v>8000</v>
      </c>
      <c r="I546" s="4" t="s">
        <v>21</v>
      </c>
      <c r="J546" s="5">
        <f t="shared" si="8"/>
        <v>-33644.799999999996</v>
      </c>
      <c r="K546" s="4" t="s">
        <v>35</v>
      </c>
      <c r="L546" s="6">
        <v>4.2055999999999996</v>
      </c>
      <c r="M546" s="6">
        <v>0.23780000000000001</v>
      </c>
      <c r="N546" s="6">
        <v>4.2110000000000003</v>
      </c>
      <c r="O546" s="6">
        <v>1</v>
      </c>
      <c r="P546" s="5">
        <v>43.200000000004366</v>
      </c>
      <c r="Q546" s="4" t="s">
        <v>1390</v>
      </c>
    </row>
    <row r="547" spans="1:17" x14ac:dyDescent="0.3">
      <c r="A547" s="2" t="s">
        <v>1389</v>
      </c>
      <c r="B547" s="3">
        <v>157043</v>
      </c>
      <c r="C547" s="3">
        <v>217428</v>
      </c>
      <c r="D547" s="4" t="s">
        <v>17</v>
      </c>
      <c r="E547" s="4" t="s">
        <v>1114</v>
      </c>
      <c r="F547" s="4" t="s">
        <v>32</v>
      </c>
      <c r="G547" s="4" t="s">
        <v>20</v>
      </c>
      <c r="H547" s="5">
        <v>-200000</v>
      </c>
      <c r="I547" s="4" t="s">
        <v>21</v>
      </c>
      <c r="J547" s="5">
        <f t="shared" si="8"/>
        <v>842060</v>
      </c>
      <c r="K547" s="4" t="s">
        <v>50</v>
      </c>
      <c r="L547" s="6">
        <v>4.2103000000000002</v>
      </c>
      <c r="M547" s="6">
        <v>0.23749999999999999</v>
      </c>
      <c r="N547" s="6">
        <v>4.2279</v>
      </c>
      <c r="O547" s="6">
        <v>1</v>
      </c>
      <c r="P547" s="5">
        <v>-3440</v>
      </c>
      <c r="Q547" s="4" t="s">
        <v>1390</v>
      </c>
    </row>
    <row r="548" spans="1:17" x14ac:dyDescent="0.3">
      <c r="A548" s="2" t="s">
        <v>1389</v>
      </c>
      <c r="B548" s="3">
        <v>157044</v>
      </c>
      <c r="C548" s="3">
        <v>217429</v>
      </c>
      <c r="D548" s="4" t="s">
        <v>17</v>
      </c>
      <c r="E548" s="4" t="s">
        <v>1120</v>
      </c>
      <c r="F548" s="4" t="s">
        <v>19</v>
      </c>
      <c r="G548" s="4" t="s">
        <v>20</v>
      </c>
      <c r="H548" s="5">
        <v>100000</v>
      </c>
      <c r="I548" s="4" t="s">
        <v>21</v>
      </c>
      <c r="J548" s="5">
        <f t="shared" si="8"/>
        <v>-419400</v>
      </c>
      <c r="K548" s="4" t="s">
        <v>35</v>
      </c>
      <c r="L548" s="6">
        <v>4.194</v>
      </c>
      <c r="M548" s="6">
        <v>0.2384</v>
      </c>
      <c r="N548" s="6">
        <v>4.2110000000000003</v>
      </c>
      <c r="O548" s="6">
        <v>1</v>
      </c>
      <c r="P548" s="5">
        <v>1700.0000000000582</v>
      </c>
      <c r="Q548" s="4" t="s">
        <v>1390</v>
      </c>
    </row>
    <row r="549" spans="1:17" x14ac:dyDescent="0.3">
      <c r="A549" s="2" t="s">
        <v>1389</v>
      </c>
      <c r="B549" s="3">
        <v>157045</v>
      </c>
      <c r="C549" s="3">
        <v>217430</v>
      </c>
      <c r="D549" s="4" t="s">
        <v>17</v>
      </c>
      <c r="E549" s="4" t="s">
        <v>986</v>
      </c>
      <c r="F549" s="4" t="s">
        <v>19</v>
      </c>
      <c r="G549" s="4" t="s">
        <v>20</v>
      </c>
      <c r="H549" s="5">
        <v>100000</v>
      </c>
      <c r="I549" s="4" t="s">
        <v>21</v>
      </c>
      <c r="J549" s="5">
        <f t="shared" si="8"/>
        <v>-420200</v>
      </c>
      <c r="K549" s="4" t="s">
        <v>35</v>
      </c>
      <c r="L549" s="6">
        <v>4.202</v>
      </c>
      <c r="M549" s="6">
        <v>0.23799999999999999</v>
      </c>
      <c r="N549" s="6">
        <v>4.2110000000000003</v>
      </c>
      <c r="O549" s="6">
        <v>1</v>
      </c>
      <c r="P549" s="5">
        <v>900.00000000005821</v>
      </c>
      <c r="Q549" s="4" t="s">
        <v>1390</v>
      </c>
    </row>
    <row r="550" spans="1:17" x14ac:dyDescent="0.3">
      <c r="A550" s="2" t="s">
        <v>1389</v>
      </c>
      <c r="B550" s="3">
        <v>157046</v>
      </c>
      <c r="C550" s="3">
        <v>217436</v>
      </c>
      <c r="D550" s="4" t="s">
        <v>17</v>
      </c>
      <c r="E550" s="4" t="s">
        <v>1070</v>
      </c>
      <c r="F550" s="4" t="s">
        <v>32</v>
      </c>
      <c r="G550" s="4" t="s">
        <v>34</v>
      </c>
      <c r="H550" s="5">
        <v>-100000</v>
      </c>
      <c r="I550" s="4" t="s">
        <v>21</v>
      </c>
      <c r="J550" s="5">
        <f t="shared" si="8"/>
        <v>362200</v>
      </c>
      <c r="K550" s="4" t="s">
        <v>35</v>
      </c>
      <c r="L550" s="6">
        <v>3.6219999999999999</v>
      </c>
      <c r="M550" s="6">
        <v>0.27610000000000001</v>
      </c>
      <c r="N550" s="6">
        <v>3.6139999999999999</v>
      </c>
      <c r="O550" s="6">
        <v>1</v>
      </c>
      <c r="P550" s="5">
        <v>800</v>
      </c>
      <c r="Q550" s="4" t="s">
        <v>1390</v>
      </c>
    </row>
    <row r="551" spans="1:17" x14ac:dyDescent="0.3">
      <c r="A551" s="2" t="s">
        <v>1389</v>
      </c>
      <c r="B551" s="3">
        <v>157047</v>
      </c>
      <c r="C551" s="3">
        <v>217442</v>
      </c>
      <c r="D551" s="4" t="s">
        <v>17</v>
      </c>
      <c r="E551" s="4" t="s">
        <v>1282</v>
      </c>
      <c r="F551" s="4" t="s">
        <v>19</v>
      </c>
      <c r="G551" s="4" t="s">
        <v>84</v>
      </c>
      <c r="H551" s="5">
        <v>82424.89</v>
      </c>
      <c r="I551" s="4" t="s">
        <v>21</v>
      </c>
      <c r="J551" s="5">
        <f t="shared" si="8"/>
        <v>-32269.344435000003</v>
      </c>
      <c r="K551" s="4" t="s">
        <v>35</v>
      </c>
      <c r="L551" s="6">
        <v>0.39150000000000001</v>
      </c>
      <c r="M551" s="6">
        <v>2.5543</v>
      </c>
      <c r="N551" s="6">
        <v>0.39250000000000002</v>
      </c>
      <c r="O551" s="6">
        <v>1</v>
      </c>
      <c r="P551" s="5">
        <v>82.424889999998413</v>
      </c>
      <c r="Q551" s="4" t="s">
        <v>1390</v>
      </c>
    </row>
    <row r="552" spans="1:17" x14ac:dyDescent="0.3">
      <c r="A552" s="2" t="s">
        <v>1389</v>
      </c>
      <c r="B552" s="3">
        <v>157050</v>
      </c>
      <c r="C552" s="3">
        <v>217443</v>
      </c>
      <c r="D552" s="4" t="s">
        <v>17</v>
      </c>
      <c r="E552" s="4" t="s">
        <v>1341</v>
      </c>
      <c r="F552" s="4" t="s">
        <v>19</v>
      </c>
      <c r="G552" s="4" t="s">
        <v>21</v>
      </c>
      <c r="H552" s="5">
        <v>200000</v>
      </c>
      <c r="I552" s="4" t="s">
        <v>20</v>
      </c>
      <c r="J552" s="5">
        <f t="shared" si="8"/>
        <v>-844280</v>
      </c>
      <c r="K552" s="4" t="s">
        <v>35</v>
      </c>
      <c r="L552" s="6">
        <v>4.2214</v>
      </c>
      <c r="M552" s="6">
        <v>0.2369</v>
      </c>
      <c r="N552" s="6">
        <v>1</v>
      </c>
      <c r="O552" s="6">
        <v>4.2110000000000003</v>
      </c>
      <c r="P552" s="5">
        <v>-3355263.08</v>
      </c>
      <c r="Q552" s="4" t="s">
        <v>1390</v>
      </c>
    </row>
    <row r="553" spans="1:17" x14ac:dyDescent="0.3">
      <c r="A553" s="2" t="s">
        <v>1389</v>
      </c>
      <c r="B553" s="3">
        <v>157051</v>
      </c>
      <c r="C553" s="3">
        <v>217444</v>
      </c>
      <c r="D553" s="4" t="s">
        <v>17</v>
      </c>
      <c r="E553" s="4" t="s">
        <v>1111</v>
      </c>
      <c r="F553" s="4" t="s">
        <v>19</v>
      </c>
      <c r="G553" s="4" t="s">
        <v>20</v>
      </c>
      <c r="H553" s="5">
        <v>50000</v>
      </c>
      <c r="I553" s="4" t="s">
        <v>21</v>
      </c>
      <c r="J553" s="5">
        <f t="shared" si="8"/>
        <v>-207700</v>
      </c>
      <c r="K553" s="4" t="s">
        <v>35</v>
      </c>
      <c r="L553" s="6">
        <v>4.1539999999999999</v>
      </c>
      <c r="M553" s="6">
        <v>0.2407</v>
      </c>
      <c r="N553" s="6">
        <v>4.2110000000000003</v>
      </c>
      <c r="O553" s="6">
        <v>1</v>
      </c>
      <c r="P553" s="5">
        <v>2850.0000000000291</v>
      </c>
      <c r="Q553" s="4" t="s">
        <v>1390</v>
      </c>
    </row>
    <row r="554" spans="1:17" x14ac:dyDescent="0.3">
      <c r="A554" s="2" t="s">
        <v>1389</v>
      </c>
      <c r="B554" s="3">
        <v>157053</v>
      </c>
      <c r="C554" s="3">
        <v>217452</v>
      </c>
      <c r="D554" s="4" t="s">
        <v>17</v>
      </c>
      <c r="E554" s="4" t="s">
        <v>832</v>
      </c>
      <c r="F554" s="4" t="s">
        <v>32</v>
      </c>
      <c r="G554" s="4" t="s">
        <v>20</v>
      </c>
      <c r="H554" s="5">
        <v>-5000</v>
      </c>
      <c r="I554" s="4" t="s">
        <v>21</v>
      </c>
      <c r="J554" s="5">
        <f t="shared" si="8"/>
        <v>21120.5</v>
      </c>
      <c r="K554" s="4" t="s">
        <v>35</v>
      </c>
      <c r="L554" s="6">
        <v>4.2241</v>
      </c>
      <c r="M554" s="6">
        <v>0.23669999999999999</v>
      </c>
      <c r="N554" s="6">
        <v>4.2110000000000003</v>
      </c>
      <c r="O554" s="6">
        <v>1</v>
      </c>
      <c r="P554" s="5">
        <v>60</v>
      </c>
      <c r="Q554" s="4" t="s">
        <v>1390</v>
      </c>
    </row>
    <row r="555" spans="1:17" x14ac:dyDescent="0.3">
      <c r="A555" s="2" t="s">
        <v>1389</v>
      </c>
      <c r="B555" s="3">
        <v>157054</v>
      </c>
      <c r="C555" s="3">
        <v>217454</v>
      </c>
      <c r="D555" s="4" t="s">
        <v>17</v>
      </c>
      <c r="E555" s="4" t="s">
        <v>1096</v>
      </c>
      <c r="F555" s="4" t="s">
        <v>19</v>
      </c>
      <c r="G555" s="4" t="s">
        <v>20</v>
      </c>
      <c r="H555" s="5">
        <v>30000</v>
      </c>
      <c r="I555" s="4" t="s">
        <v>21</v>
      </c>
      <c r="J555" s="5">
        <f t="shared" si="8"/>
        <v>-126126</v>
      </c>
      <c r="K555" s="4" t="s">
        <v>35</v>
      </c>
      <c r="L555" s="6">
        <v>4.2042000000000002</v>
      </c>
      <c r="M555" s="6">
        <v>0.2379</v>
      </c>
      <c r="N555" s="6">
        <v>4.2110000000000003</v>
      </c>
      <c r="O555" s="6">
        <v>1</v>
      </c>
      <c r="P555" s="5">
        <v>204.00000000001455</v>
      </c>
      <c r="Q555" s="4" t="s">
        <v>1390</v>
      </c>
    </row>
    <row r="556" spans="1:17" x14ac:dyDescent="0.3">
      <c r="A556" s="2" t="s">
        <v>1389</v>
      </c>
      <c r="B556" s="3">
        <v>157055</v>
      </c>
      <c r="C556" s="3">
        <v>217464</v>
      </c>
      <c r="D556" s="4" t="s">
        <v>17</v>
      </c>
      <c r="E556" s="4" t="s">
        <v>757</v>
      </c>
      <c r="F556" s="4" t="s">
        <v>19</v>
      </c>
      <c r="G556" s="4" t="s">
        <v>20</v>
      </c>
      <c r="H556" s="5">
        <v>17000</v>
      </c>
      <c r="I556" s="4" t="s">
        <v>21</v>
      </c>
      <c r="J556" s="5">
        <f t="shared" si="8"/>
        <v>-71230</v>
      </c>
      <c r="K556" s="4" t="s">
        <v>35</v>
      </c>
      <c r="L556" s="6">
        <v>4.1900000000000004</v>
      </c>
      <c r="M556" s="6">
        <v>0.2387</v>
      </c>
      <c r="N556" s="6">
        <v>4.2110000000000003</v>
      </c>
      <c r="O556" s="6">
        <v>1</v>
      </c>
      <c r="P556" s="5">
        <v>357</v>
      </c>
      <c r="Q556" s="4" t="s">
        <v>1390</v>
      </c>
    </row>
    <row r="557" spans="1:17" x14ac:dyDescent="0.3">
      <c r="A557" s="2" t="s">
        <v>1389</v>
      </c>
      <c r="B557" s="3">
        <v>157056</v>
      </c>
      <c r="C557" s="3">
        <v>899485</v>
      </c>
      <c r="D557" s="4" t="s">
        <v>81</v>
      </c>
      <c r="E557" s="4" t="s">
        <v>735</v>
      </c>
      <c r="F557" s="4" t="s">
        <v>83</v>
      </c>
      <c r="G557" s="4" t="s">
        <v>20</v>
      </c>
      <c r="H557" s="5">
        <v>-500000</v>
      </c>
      <c r="I557" s="4" t="s">
        <v>21</v>
      </c>
      <c r="J557" s="5">
        <f t="shared" si="8"/>
        <v>2104750</v>
      </c>
      <c r="K557" s="4" t="s">
        <v>39</v>
      </c>
      <c r="L557" s="6">
        <v>4.2095000000000002</v>
      </c>
      <c r="M557" s="6">
        <v>0.23760000000000001</v>
      </c>
      <c r="N557" s="6">
        <v>4.2230999999999996</v>
      </c>
      <c r="O557" s="6">
        <v>1</v>
      </c>
      <c r="P557" s="5">
        <v>-6800</v>
      </c>
      <c r="Q557" s="4" t="s">
        <v>1394</v>
      </c>
    </row>
    <row r="558" spans="1:17" x14ac:dyDescent="0.3">
      <c r="A558" s="2" t="s">
        <v>1389</v>
      </c>
      <c r="B558" s="3">
        <v>157057</v>
      </c>
      <c r="C558" s="3">
        <v>217466</v>
      </c>
      <c r="D558" s="4" t="s">
        <v>17</v>
      </c>
      <c r="E558" s="4" t="s">
        <v>1192</v>
      </c>
      <c r="F558" s="4" t="s">
        <v>19</v>
      </c>
      <c r="G558" s="4" t="s">
        <v>20</v>
      </c>
      <c r="H558" s="5">
        <v>180000</v>
      </c>
      <c r="I558" s="4" t="s">
        <v>21</v>
      </c>
      <c r="J558" s="5">
        <f t="shared" si="8"/>
        <v>-757440</v>
      </c>
      <c r="K558" s="4" t="s">
        <v>35</v>
      </c>
      <c r="L558" s="6">
        <v>4.2080000000000002</v>
      </c>
      <c r="M558" s="6">
        <v>0.23760000000000001</v>
      </c>
      <c r="N558" s="6">
        <v>4.2110000000000003</v>
      </c>
      <c r="O558" s="6">
        <v>1</v>
      </c>
      <c r="P558" s="5">
        <v>540</v>
      </c>
      <c r="Q558" s="4" t="s">
        <v>1390</v>
      </c>
    </row>
    <row r="559" spans="1:17" x14ac:dyDescent="0.3">
      <c r="A559" s="2" t="s">
        <v>1389</v>
      </c>
      <c r="B559" s="3">
        <v>157058</v>
      </c>
      <c r="C559" s="3">
        <v>217467</v>
      </c>
      <c r="D559" s="4" t="s">
        <v>17</v>
      </c>
      <c r="E559" s="4" t="s">
        <v>1138</v>
      </c>
      <c r="F559" s="4" t="s">
        <v>19</v>
      </c>
      <c r="G559" s="4" t="s">
        <v>20</v>
      </c>
      <c r="H559" s="5">
        <v>22673</v>
      </c>
      <c r="I559" s="4" t="s">
        <v>34</v>
      </c>
      <c r="J559" s="5">
        <f t="shared" si="8"/>
        <v>-26346.025999999998</v>
      </c>
      <c r="K559" s="4" t="s">
        <v>35</v>
      </c>
      <c r="L559" s="6">
        <v>1.1619999999999999</v>
      </c>
      <c r="M559" s="6">
        <v>0.86060000000000003</v>
      </c>
      <c r="N559" s="6">
        <v>4.2110000000000003</v>
      </c>
      <c r="O559" s="6">
        <v>3.6139999999999999</v>
      </c>
      <c r="P559" s="5">
        <v>261.46503600002325</v>
      </c>
      <c r="Q559" s="4" t="s">
        <v>1390</v>
      </c>
    </row>
    <row r="560" spans="1:17" x14ac:dyDescent="0.3">
      <c r="A560" s="2" t="s">
        <v>1389</v>
      </c>
      <c r="B560" s="3">
        <v>157060</v>
      </c>
      <c r="C560" s="3">
        <v>217468</v>
      </c>
      <c r="D560" s="4" t="s">
        <v>17</v>
      </c>
      <c r="E560" s="4" t="s">
        <v>1003</v>
      </c>
      <c r="F560" s="4" t="s">
        <v>19</v>
      </c>
      <c r="G560" s="4" t="s">
        <v>20</v>
      </c>
      <c r="H560" s="5">
        <v>70000</v>
      </c>
      <c r="I560" s="4" t="s">
        <v>21</v>
      </c>
      <c r="J560" s="5">
        <f t="shared" si="8"/>
        <v>-292950</v>
      </c>
      <c r="K560" s="4" t="s">
        <v>35</v>
      </c>
      <c r="L560" s="6">
        <v>4.1849999999999996</v>
      </c>
      <c r="M560" s="6">
        <v>0.2389</v>
      </c>
      <c r="N560" s="6">
        <v>4.2110000000000003</v>
      </c>
      <c r="O560" s="6">
        <v>1</v>
      </c>
      <c r="P560" s="5">
        <v>1820</v>
      </c>
      <c r="Q560" s="4" t="s">
        <v>1390</v>
      </c>
    </row>
    <row r="561" spans="1:17" x14ac:dyDescent="0.3">
      <c r="A561" s="2" t="s">
        <v>1389</v>
      </c>
      <c r="B561" s="3">
        <v>157061</v>
      </c>
      <c r="C561" s="3">
        <v>217469</v>
      </c>
      <c r="D561" s="4" t="s">
        <v>17</v>
      </c>
      <c r="E561" s="4" t="s">
        <v>920</v>
      </c>
      <c r="F561" s="4" t="s">
        <v>32</v>
      </c>
      <c r="G561" s="4" t="s">
        <v>20</v>
      </c>
      <c r="H561" s="5">
        <v>-36530.639999999999</v>
      </c>
      <c r="I561" s="4" t="s">
        <v>21</v>
      </c>
      <c r="J561" s="5">
        <f t="shared" si="8"/>
        <v>153903.58632</v>
      </c>
      <c r="K561" s="4" t="s">
        <v>35</v>
      </c>
      <c r="L561" s="6">
        <v>4.2130000000000001</v>
      </c>
      <c r="M561" s="6">
        <v>0.2374</v>
      </c>
      <c r="N561" s="6">
        <v>4.2110000000000003</v>
      </c>
      <c r="O561" s="6">
        <v>1</v>
      </c>
      <c r="P561" s="5">
        <v>36.534959999999998</v>
      </c>
      <c r="Q561" s="4" t="s">
        <v>1390</v>
      </c>
    </row>
    <row r="562" spans="1:17" x14ac:dyDescent="0.3">
      <c r="A562" s="2" t="s">
        <v>1389</v>
      </c>
      <c r="B562" s="3">
        <v>157062</v>
      </c>
      <c r="C562" s="3">
        <v>217470</v>
      </c>
      <c r="D562" s="4" t="s">
        <v>17</v>
      </c>
      <c r="E562" s="4" t="s">
        <v>1383</v>
      </c>
      <c r="F562" s="4" t="s">
        <v>19</v>
      </c>
      <c r="G562" s="4" t="s">
        <v>34</v>
      </c>
      <c r="H562" s="5">
        <v>150000</v>
      </c>
      <c r="I562" s="4" t="s">
        <v>21</v>
      </c>
      <c r="J562" s="5">
        <f t="shared" si="8"/>
        <v>-541260</v>
      </c>
      <c r="K562" s="4" t="s">
        <v>35</v>
      </c>
      <c r="L562" s="6">
        <v>3.6084000000000001</v>
      </c>
      <c r="M562" s="6">
        <v>0.27710000000000001</v>
      </c>
      <c r="N562" s="6">
        <v>3.6139999999999999</v>
      </c>
      <c r="O562" s="6">
        <v>1</v>
      </c>
      <c r="P562" s="5">
        <v>840</v>
      </c>
      <c r="Q562" s="4" t="s">
        <v>1390</v>
      </c>
    </row>
    <row r="563" spans="1:17" x14ac:dyDescent="0.3">
      <c r="A563" s="2" t="s">
        <v>1389</v>
      </c>
      <c r="B563" s="3">
        <v>157068</v>
      </c>
      <c r="C563" s="3">
        <v>217472</v>
      </c>
      <c r="D563" s="4" t="s">
        <v>17</v>
      </c>
      <c r="E563" s="4" t="s">
        <v>1261</v>
      </c>
      <c r="F563" s="4" t="s">
        <v>19</v>
      </c>
      <c r="G563" s="4" t="s">
        <v>20</v>
      </c>
      <c r="H563" s="5">
        <v>10000</v>
      </c>
      <c r="I563" s="4" t="s">
        <v>21</v>
      </c>
      <c r="J563" s="5">
        <f t="shared" si="8"/>
        <v>-42009.999999999993</v>
      </c>
      <c r="K563" s="4" t="s">
        <v>35</v>
      </c>
      <c r="L563" s="6">
        <v>4.2009999999999996</v>
      </c>
      <c r="M563" s="6">
        <v>0.23799999999999999</v>
      </c>
      <c r="N563" s="6">
        <v>4.2110000000000003</v>
      </c>
      <c r="O563" s="6">
        <v>1</v>
      </c>
      <c r="P563" s="5">
        <v>100.00000000000728</v>
      </c>
      <c r="Q563" s="4" t="s">
        <v>1390</v>
      </c>
    </row>
    <row r="564" spans="1:17" x14ac:dyDescent="0.3">
      <c r="A564" s="2" t="s">
        <v>1389</v>
      </c>
      <c r="B564" s="3">
        <v>157069</v>
      </c>
      <c r="C564" s="3">
        <v>217475</v>
      </c>
      <c r="D564" s="4" t="s">
        <v>17</v>
      </c>
      <c r="E564" s="4" t="s">
        <v>1261</v>
      </c>
      <c r="F564" s="4" t="s">
        <v>19</v>
      </c>
      <c r="G564" s="4" t="s">
        <v>74</v>
      </c>
      <c r="H564" s="5">
        <v>4453.45</v>
      </c>
      <c r="I564" s="4" t="s">
        <v>21</v>
      </c>
      <c r="J564" s="5">
        <f t="shared" si="8"/>
        <v>-1580.9747499999999</v>
      </c>
      <c r="K564" s="4" t="s">
        <v>35</v>
      </c>
      <c r="L564" s="6">
        <v>0.35499999999999998</v>
      </c>
      <c r="M564" s="6">
        <v>2.8169</v>
      </c>
      <c r="N564" s="6">
        <v>0.35849999999999999</v>
      </c>
      <c r="O564" s="6">
        <v>1</v>
      </c>
      <c r="P564" s="5">
        <v>15.587074999999913</v>
      </c>
      <c r="Q564" s="4" t="s">
        <v>1390</v>
      </c>
    </row>
    <row r="565" spans="1:17" x14ac:dyDescent="0.3">
      <c r="A565" s="2" t="s">
        <v>1389</v>
      </c>
      <c r="B565" s="3">
        <v>157070</v>
      </c>
      <c r="C565" s="3">
        <v>217480</v>
      </c>
      <c r="D565" s="4" t="s">
        <v>17</v>
      </c>
      <c r="E565" s="4" t="s">
        <v>1132</v>
      </c>
      <c r="F565" s="4" t="s">
        <v>19</v>
      </c>
      <c r="G565" s="4" t="s">
        <v>20</v>
      </c>
      <c r="H565" s="5">
        <v>35000</v>
      </c>
      <c r="I565" s="4" t="s">
        <v>21</v>
      </c>
      <c r="J565" s="5">
        <f t="shared" si="8"/>
        <v>-147175</v>
      </c>
      <c r="K565" s="4" t="s">
        <v>35</v>
      </c>
      <c r="L565" s="6">
        <v>4.2050000000000001</v>
      </c>
      <c r="M565" s="6">
        <v>0.23780000000000001</v>
      </c>
      <c r="N565" s="6">
        <v>4.2110000000000003</v>
      </c>
      <c r="O565" s="6">
        <v>1</v>
      </c>
      <c r="P565" s="5">
        <v>210</v>
      </c>
      <c r="Q565" s="4" t="s">
        <v>1390</v>
      </c>
    </row>
    <row r="566" spans="1:17" x14ac:dyDescent="0.3">
      <c r="A566" s="2" t="s">
        <v>1389</v>
      </c>
      <c r="B566" s="3">
        <v>157071</v>
      </c>
      <c r="C566" s="3">
        <v>899536</v>
      </c>
      <c r="D566" s="4" t="s">
        <v>81</v>
      </c>
      <c r="E566" s="4" t="s">
        <v>725</v>
      </c>
      <c r="F566" s="4" t="s">
        <v>83</v>
      </c>
      <c r="G566" s="4" t="s">
        <v>20</v>
      </c>
      <c r="H566" s="5">
        <v>-1000000</v>
      </c>
      <c r="I566" s="4" t="s">
        <v>21</v>
      </c>
      <c r="J566" s="5">
        <f t="shared" si="8"/>
        <v>4209200</v>
      </c>
      <c r="K566" s="4" t="s">
        <v>39</v>
      </c>
      <c r="L566" s="6">
        <v>4.2092000000000001</v>
      </c>
      <c r="M566" s="6">
        <v>0.23760000000000001</v>
      </c>
      <c r="N566" s="6">
        <v>4.2230999999999996</v>
      </c>
      <c r="O566" s="6">
        <v>1</v>
      </c>
      <c r="P566" s="5">
        <v>-13910</v>
      </c>
      <c r="Q566" s="4" t="s">
        <v>1392</v>
      </c>
    </row>
    <row r="567" spans="1:17" x14ac:dyDescent="0.3">
      <c r="A567" s="2" t="s">
        <v>1389</v>
      </c>
      <c r="B567" s="3">
        <v>157072</v>
      </c>
      <c r="C567" s="3">
        <v>217482</v>
      </c>
      <c r="D567" s="4" t="s">
        <v>17</v>
      </c>
      <c r="E567" s="4" t="s">
        <v>1180</v>
      </c>
      <c r="F567" s="4" t="s">
        <v>19</v>
      </c>
      <c r="G567" s="4" t="s">
        <v>91</v>
      </c>
      <c r="H567" s="5">
        <v>75052.89</v>
      </c>
      <c r="I567" s="4" t="s">
        <v>21</v>
      </c>
      <c r="J567" s="5">
        <f t="shared" si="8"/>
        <v>-363706.30494</v>
      </c>
      <c r="K567" s="4" t="s">
        <v>35</v>
      </c>
      <c r="L567" s="6">
        <v>4.8460000000000001</v>
      </c>
      <c r="M567" s="6">
        <v>0.2064</v>
      </c>
      <c r="N567" s="6">
        <v>4.8631000000000002</v>
      </c>
      <c r="O567" s="6">
        <v>1</v>
      </c>
      <c r="P567" s="5">
        <v>1283.4044190000277</v>
      </c>
      <c r="Q567" s="4" t="s">
        <v>1390</v>
      </c>
    </row>
    <row r="568" spans="1:17" x14ac:dyDescent="0.3">
      <c r="A568" s="2" t="s">
        <v>1389</v>
      </c>
      <c r="B568" s="3">
        <v>157073</v>
      </c>
      <c r="C568" s="3">
        <v>217484</v>
      </c>
      <c r="D568" s="4" t="s">
        <v>17</v>
      </c>
      <c r="E568" s="4" t="s">
        <v>1262</v>
      </c>
      <c r="F568" s="4" t="s">
        <v>19</v>
      </c>
      <c r="G568" s="4" t="s">
        <v>20</v>
      </c>
      <c r="H568" s="5">
        <v>3900</v>
      </c>
      <c r="I568" s="4" t="s">
        <v>21</v>
      </c>
      <c r="J568" s="5">
        <f t="shared" si="8"/>
        <v>-16395.21</v>
      </c>
      <c r="K568" s="4" t="s">
        <v>22</v>
      </c>
      <c r="L568" s="6">
        <v>4.2039</v>
      </c>
      <c r="M568" s="6">
        <v>0.2379</v>
      </c>
      <c r="N568" s="6">
        <v>4.2068000000000003</v>
      </c>
      <c r="O568" s="6">
        <v>1</v>
      </c>
      <c r="P568" s="5">
        <v>11.31000000000131</v>
      </c>
      <c r="Q568" s="4" t="s">
        <v>1390</v>
      </c>
    </row>
    <row r="569" spans="1:17" x14ac:dyDescent="0.3">
      <c r="A569" s="2" t="s">
        <v>1389</v>
      </c>
      <c r="B569" s="3">
        <v>157074</v>
      </c>
      <c r="C569" s="3">
        <v>899555</v>
      </c>
      <c r="D569" s="4" t="s">
        <v>81</v>
      </c>
      <c r="E569" s="4" t="s">
        <v>735</v>
      </c>
      <c r="F569" s="4" t="s">
        <v>83</v>
      </c>
      <c r="G569" s="4" t="s">
        <v>20</v>
      </c>
      <c r="H569" s="5">
        <v>-500000</v>
      </c>
      <c r="I569" s="4" t="s">
        <v>21</v>
      </c>
      <c r="J569" s="5">
        <f t="shared" si="8"/>
        <v>2104550</v>
      </c>
      <c r="K569" s="4" t="s">
        <v>39</v>
      </c>
      <c r="L569" s="6">
        <v>4.2091000000000003</v>
      </c>
      <c r="M569" s="6">
        <v>0.23760000000000001</v>
      </c>
      <c r="N569" s="6">
        <v>4.2230999999999996</v>
      </c>
      <c r="O569" s="6">
        <v>1</v>
      </c>
      <c r="P569" s="5">
        <v>-7000</v>
      </c>
      <c r="Q569" s="4" t="s">
        <v>1394</v>
      </c>
    </row>
    <row r="570" spans="1:17" x14ac:dyDescent="0.3">
      <c r="A570" s="2" t="s">
        <v>1389</v>
      </c>
      <c r="B570" s="3">
        <v>157075</v>
      </c>
      <c r="C570" s="3">
        <v>217487</v>
      </c>
      <c r="D570" s="4" t="s">
        <v>17</v>
      </c>
      <c r="E570" s="4" t="s">
        <v>909</v>
      </c>
      <c r="F570" s="4" t="s">
        <v>19</v>
      </c>
      <c r="G570" s="4" t="s">
        <v>20</v>
      </c>
      <c r="H570" s="5">
        <v>350000</v>
      </c>
      <c r="I570" s="4" t="s">
        <v>21</v>
      </c>
      <c r="J570" s="5">
        <f t="shared" si="8"/>
        <v>-1472450</v>
      </c>
      <c r="K570" s="4" t="s">
        <v>35</v>
      </c>
      <c r="L570" s="6">
        <v>4.2069999999999999</v>
      </c>
      <c r="M570" s="6">
        <v>0.23769999999999999</v>
      </c>
      <c r="N570" s="6">
        <v>4.2110000000000003</v>
      </c>
      <c r="O570" s="6">
        <v>1</v>
      </c>
      <c r="P570" s="5">
        <v>1400</v>
      </c>
      <c r="Q570" s="4" t="s">
        <v>1390</v>
      </c>
    </row>
    <row r="571" spans="1:17" x14ac:dyDescent="0.3">
      <c r="A571" s="2" t="s">
        <v>1389</v>
      </c>
      <c r="B571" s="3">
        <v>157076</v>
      </c>
      <c r="C571" s="3">
        <v>217488</v>
      </c>
      <c r="D571" s="4" t="s">
        <v>17</v>
      </c>
      <c r="E571" s="4" t="s">
        <v>908</v>
      </c>
      <c r="F571" s="4" t="s">
        <v>19</v>
      </c>
      <c r="G571" s="4" t="s">
        <v>20</v>
      </c>
      <c r="H571" s="5">
        <v>170000</v>
      </c>
      <c r="I571" s="4" t="s">
        <v>21</v>
      </c>
      <c r="J571" s="5">
        <f t="shared" si="8"/>
        <v>-715190</v>
      </c>
      <c r="K571" s="4" t="s">
        <v>35</v>
      </c>
      <c r="L571" s="6">
        <v>4.2069999999999999</v>
      </c>
      <c r="M571" s="6">
        <v>0.23769999999999999</v>
      </c>
      <c r="N571" s="6">
        <v>4.2110000000000003</v>
      </c>
      <c r="O571" s="6">
        <v>1</v>
      </c>
      <c r="P571" s="5">
        <v>680</v>
      </c>
      <c r="Q571" s="4" t="s">
        <v>1390</v>
      </c>
    </row>
    <row r="572" spans="1:17" x14ac:dyDescent="0.3">
      <c r="A572" s="2" t="s">
        <v>1389</v>
      </c>
      <c r="B572" s="3">
        <v>157077</v>
      </c>
      <c r="C572" s="3">
        <v>217489</v>
      </c>
      <c r="D572" s="4" t="s">
        <v>17</v>
      </c>
      <c r="E572" s="4" t="s">
        <v>910</v>
      </c>
      <c r="F572" s="4" t="s">
        <v>19</v>
      </c>
      <c r="G572" s="4" t="s">
        <v>20</v>
      </c>
      <c r="H572" s="5">
        <v>150000</v>
      </c>
      <c r="I572" s="4" t="s">
        <v>21</v>
      </c>
      <c r="J572" s="5">
        <f t="shared" si="8"/>
        <v>-631050</v>
      </c>
      <c r="K572" s="4" t="s">
        <v>35</v>
      </c>
      <c r="L572" s="6">
        <v>4.2069999999999999</v>
      </c>
      <c r="M572" s="6">
        <v>0.23769999999999999</v>
      </c>
      <c r="N572" s="6">
        <v>4.2110000000000003</v>
      </c>
      <c r="O572" s="6">
        <v>1</v>
      </c>
      <c r="P572" s="5">
        <v>600</v>
      </c>
      <c r="Q572" s="4" t="s">
        <v>1390</v>
      </c>
    </row>
    <row r="573" spans="1:17" x14ac:dyDescent="0.3">
      <c r="A573" s="2" t="s">
        <v>1389</v>
      </c>
      <c r="B573" s="3">
        <v>157078</v>
      </c>
      <c r="C573" s="3">
        <v>899568</v>
      </c>
      <c r="D573" s="4" t="s">
        <v>81</v>
      </c>
      <c r="E573" s="4" t="s">
        <v>734</v>
      </c>
      <c r="F573" s="4" t="s">
        <v>83</v>
      </c>
      <c r="G573" s="4" t="s">
        <v>91</v>
      </c>
      <c r="H573" s="5">
        <v>-250000</v>
      </c>
      <c r="I573" s="4" t="s">
        <v>21</v>
      </c>
      <c r="J573" s="5">
        <f t="shared" si="8"/>
        <v>1213300</v>
      </c>
      <c r="K573" s="4" t="s">
        <v>39</v>
      </c>
      <c r="L573" s="6">
        <v>4.8532000000000002</v>
      </c>
      <c r="M573" s="6">
        <v>0.20599999999999999</v>
      </c>
      <c r="N573" s="6">
        <v>4.8704000000000001</v>
      </c>
      <c r="O573" s="6">
        <v>1</v>
      </c>
      <c r="P573" s="5">
        <v>-4300</v>
      </c>
      <c r="Q573" s="4" t="s">
        <v>1393</v>
      </c>
    </row>
    <row r="574" spans="1:17" x14ac:dyDescent="0.3">
      <c r="A574" s="2" t="s">
        <v>1389</v>
      </c>
      <c r="B574" s="3">
        <v>157079</v>
      </c>
      <c r="C574" s="3">
        <v>217492</v>
      </c>
      <c r="D574" s="4" t="s">
        <v>17</v>
      </c>
      <c r="E574" s="4" t="s">
        <v>895</v>
      </c>
      <c r="F574" s="4" t="s">
        <v>19</v>
      </c>
      <c r="G574" s="4" t="s">
        <v>91</v>
      </c>
      <c r="H574" s="5">
        <v>250000</v>
      </c>
      <c r="I574" s="4" t="s">
        <v>21</v>
      </c>
      <c r="J574" s="5">
        <f t="shared" si="8"/>
        <v>-1212750</v>
      </c>
      <c r="K574" s="4" t="s">
        <v>35</v>
      </c>
      <c r="L574" s="6">
        <v>4.851</v>
      </c>
      <c r="M574" s="6">
        <v>0.20610000000000001</v>
      </c>
      <c r="N574" s="6">
        <v>4.8631000000000002</v>
      </c>
      <c r="O574" s="6">
        <v>1</v>
      </c>
      <c r="P574" s="5">
        <v>3025</v>
      </c>
      <c r="Q574" s="4" t="s">
        <v>1390</v>
      </c>
    </row>
    <row r="575" spans="1:17" x14ac:dyDescent="0.3">
      <c r="A575" s="2" t="s">
        <v>1389</v>
      </c>
      <c r="B575" s="3">
        <v>157080</v>
      </c>
      <c r="C575" s="3">
        <v>217494</v>
      </c>
      <c r="D575" s="4" t="s">
        <v>17</v>
      </c>
      <c r="E575" s="4" t="s">
        <v>782</v>
      </c>
      <c r="F575" s="4" t="s">
        <v>19</v>
      </c>
      <c r="G575" s="4" t="s">
        <v>20</v>
      </c>
      <c r="H575" s="5">
        <v>25000</v>
      </c>
      <c r="I575" s="4" t="s">
        <v>21</v>
      </c>
      <c r="J575" s="5">
        <f t="shared" si="8"/>
        <v>-105075.00000000001</v>
      </c>
      <c r="K575" s="4" t="s">
        <v>35</v>
      </c>
      <c r="L575" s="6">
        <v>4.2030000000000003</v>
      </c>
      <c r="M575" s="6">
        <v>0.2379</v>
      </c>
      <c r="N575" s="6">
        <v>4.2110000000000003</v>
      </c>
      <c r="O575" s="6">
        <v>1</v>
      </c>
      <c r="P575" s="5">
        <v>200</v>
      </c>
      <c r="Q575" s="4" t="s">
        <v>1390</v>
      </c>
    </row>
    <row r="576" spans="1:17" x14ac:dyDescent="0.3">
      <c r="A576" s="2" t="s">
        <v>1389</v>
      </c>
      <c r="B576" s="3">
        <v>157082</v>
      </c>
      <c r="C576" s="3">
        <v>899599</v>
      </c>
      <c r="D576" s="4" t="s">
        <v>81</v>
      </c>
      <c r="E576" s="4" t="s">
        <v>732</v>
      </c>
      <c r="F576" s="4" t="s">
        <v>87</v>
      </c>
      <c r="G576" s="4" t="s">
        <v>34</v>
      </c>
      <c r="H576" s="5">
        <v>1000000</v>
      </c>
      <c r="I576" s="4" t="s">
        <v>21</v>
      </c>
      <c r="J576" s="5">
        <f t="shared" si="8"/>
        <v>-3618500</v>
      </c>
      <c r="K576" s="4" t="s">
        <v>39</v>
      </c>
      <c r="L576" s="6">
        <v>3.6185</v>
      </c>
      <c r="M576" s="6">
        <v>0.27639999999999998</v>
      </c>
      <c r="N576" s="6">
        <v>3.6345999999999998</v>
      </c>
      <c r="O576" s="6">
        <v>1</v>
      </c>
      <c r="P576" s="5">
        <v>16130</v>
      </c>
      <c r="Q576" s="4" t="s">
        <v>1394</v>
      </c>
    </row>
    <row r="577" spans="1:17" x14ac:dyDescent="0.3">
      <c r="A577" s="2" t="s">
        <v>1389</v>
      </c>
      <c r="B577" s="3">
        <v>157091</v>
      </c>
      <c r="C577" s="3">
        <v>217510</v>
      </c>
      <c r="D577" s="4" t="s">
        <v>17</v>
      </c>
      <c r="E577" s="4" t="s">
        <v>1042</v>
      </c>
      <c r="F577" s="4" t="s">
        <v>19</v>
      </c>
      <c r="G577" s="4" t="s">
        <v>20</v>
      </c>
      <c r="H577" s="5">
        <v>103779.42</v>
      </c>
      <c r="I577" s="4" t="s">
        <v>21</v>
      </c>
      <c r="J577" s="5">
        <f t="shared" si="8"/>
        <v>-436143.39049200004</v>
      </c>
      <c r="K577" s="4" t="s">
        <v>35</v>
      </c>
      <c r="L577" s="6">
        <v>4.2026000000000003</v>
      </c>
      <c r="M577" s="6">
        <v>0.2379</v>
      </c>
      <c r="N577" s="6">
        <v>4.2110000000000003</v>
      </c>
      <c r="O577" s="6">
        <v>1</v>
      </c>
      <c r="P577" s="5">
        <v>871.74712800001726</v>
      </c>
      <c r="Q577" s="4" t="s">
        <v>1390</v>
      </c>
    </row>
    <row r="578" spans="1:17" x14ac:dyDescent="0.3">
      <c r="A578" s="2" t="s">
        <v>1389</v>
      </c>
      <c r="B578" s="3">
        <v>157092</v>
      </c>
      <c r="C578" s="3">
        <v>217517</v>
      </c>
      <c r="D578" s="4" t="s">
        <v>17</v>
      </c>
      <c r="E578" s="4" t="s">
        <v>873</v>
      </c>
      <c r="F578" s="4" t="s">
        <v>19</v>
      </c>
      <c r="G578" s="4" t="s">
        <v>34</v>
      </c>
      <c r="H578" s="5">
        <v>15000</v>
      </c>
      <c r="I578" s="4" t="s">
        <v>21</v>
      </c>
      <c r="J578" s="5">
        <f t="shared" si="8"/>
        <v>-54006</v>
      </c>
      <c r="K578" s="4" t="s">
        <v>35</v>
      </c>
      <c r="L578" s="6">
        <v>3.6004</v>
      </c>
      <c r="M578" s="6">
        <v>0.2777</v>
      </c>
      <c r="N578" s="6">
        <v>3.6139999999999999</v>
      </c>
      <c r="O578" s="6">
        <v>1</v>
      </c>
      <c r="P578" s="5">
        <v>204</v>
      </c>
      <c r="Q578" s="4" t="s">
        <v>1390</v>
      </c>
    </row>
    <row r="579" spans="1:17" x14ac:dyDescent="0.3">
      <c r="A579" s="2" t="s">
        <v>1389</v>
      </c>
      <c r="B579" s="3">
        <v>157093</v>
      </c>
      <c r="C579" s="3">
        <v>217522</v>
      </c>
      <c r="D579" s="4" t="s">
        <v>17</v>
      </c>
      <c r="E579" s="4" t="s">
        <v>750</v>
      </c>
      <c r="F579" s="4" t="s">
        <v>19</v>
      </c>
      <c r="G579" s="4" t="s">
        <v>20</v>
      </c>
      <c r="H579" s="5">
        <v>46270</v>
      </c>
      <c r="I579" s="4" t="s">
        <v>21</v>
      </c>
      <c r="J579" s="5">
        <f t="shared" si="8"/>
        <v>-194384.89700000003</v>
      </c>
      <c r="K579" s="4" t="s">
        <v>35</v>
      </c>
      <c r="L579" s="6">
        <v>4.2011000000000003</v>
      </c>
      <c r="M579" s="6">
        <v>0.23799999999999999</v>
      </c>
      <c r="N579" s="6">
        <v>4.2110000000000003</v>
      </c>
      <c r="O579" s="6">
        <v>1</v>
      </c>
      <c r="P579" s="5">
        <v>458.07299999997485</v>
      </c>
      <c r="Q579" s="4" t="s">
        <v>1390</v>
      </c>
    </row>
    <row r="580" spans="1:17" x14ac:dyDescent="0.3">
      <c r="A580" s="2" t="s">
        <v>1389</v>
      </c>
      <c r="B580" s="3">
        <v>157094</v>
      </c>
      <c r="C580" s="3">
        <v>899668</v>
      </c>
      <c r="D580" s="4" t="s">
        <v>81</v>
      </c>
      <c r="E580" s="4" t="s">
        <v>743</v>
      </c>
      <c r="F580" s="4" t="s">
        <v>83</v>
      </c>
      <c r="G580" s="4" t="s">
        <v>20</v>
      </c>
      <c r="H580" s="5">
        <v>-500000</v>
      </c>
      <c r="I580" s="4" t="s">
        <v>21</v>
      </c>
      <c r="J580" s="5">
        <f t="shared" ref="J580:J643" si="9">-H580*L580</f>
        <v>2104400</v>
      </c>
      <c r="K580" s="4" t="s">
        <v>39</v>
      </c>
      <c r="L580" s="6">
        <v>4.2088000000000001</v>
      </c>
      <c r="M580" s="6">
        <v>0.23760000000000001</v>
      </c>
      <c r="N580" s="6">
        <v>4.2230999999999996</v>
      </c>
      <c r="O580" s="6">
        <v>1</v>
      </c>
      <c r="P580" s="5">
        <v>-7135</v>
      </c>
      <c r="Q580" s="4" t="s">
        <v>1395</v>
      </c>
    </row>
    <row r="581" spans="1:17" x14ac:dyDescent="0.3">
      <c r="A581" s="2" t="s">
        <v>1389</v>
      </c>
      <c r="B581" s="3">
        <v>157095</v>
      </c>
      <c r="C581" s="3">
        <v>899672</v>
      </c>
      <c r="D581" s="4" t="s">
        <v>81</v>
      </c>
      <c r="E581" s="4" t="s">
        <v>735</v>
      </c>
      <c r="F581" s="4" t="s">
        <v>83</v>
      </c>
      <c r="G581" s="4" t="s">
        <v>20</v>
      </c>
      <c r="H581" s="5">
        <v>-500000</v>
      </c>
      <c r="I581" s="4" t="s">
        <v>21</v>
      </c>
      <c r="J581" s="5">
        <f t="shared" si="9"/>
        <v>2104350</v>
      </c>
      <c r="K581" s="4" t="s">
        <v>39</v>
      </c>
      <c r="L581" s="6">
        <v>4.2087000000000003</v>
      </c>
      <c r="M581" s="6">
        <v>0.23760000000000001</v>
      </c>
      <c r="N581" s="6">
        <v>4.2230999999999996</v>
      </c>
      <c r="O581" s="6">
        <v>1</v>
      </c>
      <c r="P581" s="5">
        <v>-7200</v>
      </c>
      <c r="Q581" s="4" t="s">
        <v>1394</v>
      </c>
    </row>
    <row r="582" spans="1:17" x14ac:dyDescent="0.3">
      <c r="A582" s="2" t="s">
        <v>1389</v>
      </c>
      <c r="B582" s="3">
        <v>157096</v>
      </c>
      <c r="C582" s="3">
        <v>217524</v>
      </c>
      <c r="D582" s="4" t="s">
        <v>17</v>
      </c>
      <c r="E582" s="4" t="s">
        <v>1029</v>
      </c>
      <c r="F582" s="4" t="s">
        <v>19</v>
      </c>
      <c r="G582" s="4" t="s">
        <v>20</v>
      </c>
      <c r="H582" s="5">
        <v>300000</v>
      </c>
      <c r="I582" s="4" t="s">
        <v>21</v>
      </c>
      <c r="J582" s="5">
        <f t="shared" si="9"/>
        <v>-1260900</v>
      </c>
      <c r="K582" s="4" t="s">
        <v>35</v>
      </c>
      <c r="L582" s="6">
        <v>4.2030000000000003</v>
      </c>
      <c r="M582" s="6">
        <v>0.2379</v>
      </c>
      <c r="N582" s="6">
        <v>4.2110000000000003</v>
      </c>
      <c r="O582" s="6">
        <v>1</v>
      </c>
      <c r="P582" s="5">
        <v>2400</v>
      </c>
      <c r="Q582" s="4" t="s">
        <v>1390</v>
      </c>
    </row>
    <row r="583" spans="1:17" x14ac:dyDescent="0.3">
      <c r="A583" s="2" t="s">
        <v>1389</v>
      </c>
      <c r="B583" s="3">
        <v>157097</v>
      </c>
      <c r="C583" s="3">
        <v>217525</v>
      </c>
      <c r="D583" s="4" t="s">
        <v>17</v>
      </c>
      <c r="E583" s="4" t="s">
        <v>772</v>
      </c>
      <c r="F583" s="4" t="s">
        <v>19</v>
      </c>
      <c r="G583" s="4" t="s">
        <v>34</v>
      </c>
      <c r="H583" s="5">
        <v>1200</v>
      </c>
      <c r="I583" s="4" t="s">
        <v>21</v>
      </c>
      <c r="J583" s="5">
        <f t="shared" si="9"/>
        <v>-4339.68</v>
      </c>
      <c r="K583" s="4" t="s">
        <v>35</v>
      </c>
      <c r="L583" s="6">
        <v>3.6164000000000001</v>
      </c>
      <c r="M583" s="6">
        <v>0.27650000000000002</v>
      </c>
      <c r="N583" s="6">
        <v>3.6139999999999999</v>
      </c>
      <c r="O583" s="6">
        <v>1</v>
      </c>
      <c r="P583" s="5">
        <v>-2.8800000000001091</v>
      </c>
      <c r="Q583" s="4" t="s">
        <v>1390</v>
      </c>
    </row>
    <row r="584" spans="1:17" x14ac:dyDescent="0.3">
      <c r="A584" s="2" t="s">
        <v>1389</v>
      </c>
      <c r="B584" s="3">
        <v>157098</v>
      </c>
      <c r="C584" s="3">
        <v>217527</v>
      </c>
      <c r="D584" s="4" t="s">
        <v>17</v>
      </c>
      <c r="E584" s="4" t="s">
        <v>788</v>
      </c>
      <c r="F584" s="4" t="s">
        <v>19</v>
      </c>
      <c r="G584" s="4" t="s">
        <v>20</v>
      </c>
      <c r="H584" s="5">
        <v>120000</v>
      </c>
      <c r="I584" s="4" t="s">
        <v>21</v>
      </c>
      <c r="J584" s="5">
        <f t="shared" si="9"/>
        <v>-504540.00000000006</v>
      </c>
      <c r="K584" s="4" t="s">
        <v>35</v>
      </c>
      <c r="L584" s="6">
        <v>4.2045000000000003</v>
      </c>
      <c r="M584" s="6">
        <v>0.23780000000000001</v>
      </c>
      <c r="N584" s="6">
        <v>4.2110000000000003</v>
      </c>
      <c r="O584" s="6">
        <v>1</v>
      </c>
      <c r="P584" s="5">
        <v>780</v>
      </c>
      <c r="Q584" s="4" t="s">
        <v>1390</v>
      </c>
    </row>
    <row r="585" spans="1:17" x14ac:dyDescent="0.3">
      <c r="A585" s="2" t="s">
        <v>1389</v>
      </c>
      <c r="B585" s="3">
        <v>157099</v>
      </c>
      <c r="C585" s="3">
        <v>217531</v>
      </c>
      <c r="D585" s="4" t="s">
        <v>17</v>
      </c>
      <c r="E585" s="4" t="s">
        <v>1155</v>
      </c>
      <c r="F585" s="4" t="s">
        <v>19</v>
      </c>
      <c r="G585" s="4" t="s">
        <v>34</v>
      </c>
      <c r="H585" s="5">
        <v>20000</v>
      </c>
      <c r="I585" s="4" t="s">
        <v>21</v>
      </c>
      <c r="J585" s="5">
        <f t="shared" si="9"/>
        <v>-72452</v>
      </c>
      <c r="K585" s="4" t="s">
        <v>22</v>
      </c>
      <c r="L585" s="6">
        <v>3.6225999999999998</v>
      </c>
      <c r="M585" s="6">
        <v>0.27600000000000002</v>
      </c>
      <c r="N585" s="6">
        <v>3.6153</v>
      </c>
      <c r="O585" s="6">
        <v>1</v>
      </c>
      <c r="P585" s="5">
        <v>-146</v>
      </c>
      <c r="Q585" s="4" t="s">
        <v>1390</v>
      </c>
    </row>
    <row r="586" spans="1:17" x14ac:dyDescent="0.3">
      <c r="A586" s="2" t="s">
        <v>1389</v>
      </c>
      <c r="B586" s="3">
        <v>157101</v>
      </c>
      <c r="C586" s="3">
        <v>217534</v>
      </c>
      <c r="D586" s="4" t="s">
        <v>17</v>
      </c>
      <c r="E586" s="4" t="s">
        <v>829</v>
      </c>
      <c r="F586" s="4" t="s">
        <v>32</v>
      </c>
      <c r="G586" s="4" t="s">
        <v>20</v>
      </c>
      <c r="H586" s="5">
        <v>-125000</v>
      </c>
      <c r="I586" s="4" t="s">
        <v>21</v>
      </c>
      <c r="J586" s="5">
        <f t="shared" si="9"/>
        <v>527500</v>
      </c>
      <c r="K586" s="4" t="s">
        <v>35</v>
      </c>
      <c r="L586" s="6">
        <v>4.22</v>
      </c>
      <c r="M586" s="6">
        <v>0.23699999999999999</v>
      </c>
      <c r="N586" s="6">
        <v>4.2110000000000003</v>
      </c>
      <c r="O586" s="6">
        <v>1</v>
      </c>
      <c r="P586" s="5">
        <v>1125</v>
      </c>
      <c r="Q586" s="4" t="s">
        <v>1390</v>
      </c>
    </row>
    <row r="587" spans="1:17" x14ac:dyDescent="0.3">
      <c r="A587" s="2" t="s">
        <v>1389</v>
      </c>
      <c r="B587" s="3">
        <v>157103</v>
      </c>
      <c r="C587" s="3">
        <v>899710</v>
      </c>
      <c r="D587" s="4" t="s">
        <v>81</v>
      </c>
      <c r="E587" s="4" t="s">
        <v>725</v>
      </c>
      <c r="F587" s="4" t="s">
        <v>83</v>
      </c>
      <c r="G587" s="4" t="s">
        <v>34</v>
      </c>
      <c r="H587" s="5">
        <v>-1000000</v>
      </c>
      <c r="I587" s="4" t="s">
        <v>21</v>
      </c>
      <c r="J587" s="5">
        <f t="shared" si="9"/>
        <v>3628100</v>
      </c>
      <c r="K587" s="4" t="s">
        <v>39</v>
      </c>
      <c r="L587" s="6">
        <v>3.6280999999999999</v>
      </c>
      <c r="M587" s="6">
        <v>0.27560000000000001</v>
      </c>
      <c r="N587" s="6">
        <v>3.6345999999999998</v>
      </c>
      <c r="O587" s="6">
        <v>1</v>
      </c>
      <c r="P587" s="5">
        <v>-6510</v>
      </c>
      <c r="Q587" s="4" t="s">
        <v>1392</v>
      </c>
    </row>
    <row r="588" spans="1:17" x14ac:dyDescent="0.3">
      <c r="A588" s="2" t="s">
        <v>1389</v>
      </c>
      <c r="B588" s="3">
        <v>157104</v>
      </c>
      <c r="C588" s="3">
        <v>899711</v>
      </c>
      <c r="D588" s="4" t="s">
        <v>81</v>
      </c>
      <c r="E588" s="4" t="s">
        <v>742</v>
      </c>
      <c r="F588" s="4" t="s">
        <v>83</v>
      </c>
      <c r="G588" s="4" t="s">
        <v>34</v>
      </c>
      <c r="H588" s="5">
        <v>-1000000</v>
      </c>
      <c r="I588" s="4" t="s">
        <v>21</v>
      </c>
      <c r="J588" s="5">
        <f t="shared" si="9"/>
        <v>3628700</v>
      </c>
      <c r="K588" s="4" t="s">
        <v>39</v>
      </c>
      <c r="L588" s="6">
        <v>3.6286999999999998</v>
      </c>
      <c r="M588" s="6">
        <v>0.27560000000000001</v>
      </c>
      <c r="N588" s="6">
        <v>3.6345999999999998</v>
      </c>
      <c r="O588" s="6">
        <v>1</v>
      </c>
      <c r="P588" s="5">
        <v>-5900</v>
      </c>
      <c r="Q588" s="4" t="s">
        <v>1396</v>
      </c>
    </row>
    <row r="589" spans="1:17" x14ac:dyDescent="0.3">
      <c r="A589" s="2" t="s">
        <v>1389</v>
      </c>
      <c r="B589" s="3">
        <v>157105</v>
      </c>
      <c r="C589" s="3">
        <v>899712</v>
      </c>
      <c r="D589" s="4" t="s">
        <v>81</v>
      </c>
      <c r="E589" s="4" t="s">
        <v>734</v>
      </c>
      <c r="F589" s="4" t="s">
        <v>83</v>
      </c>
      <c r="G589" s="4" t="s">
        <v>34</v>
      </c>
      <c r="H589" s="5">
        <v>-500000</v>
      </c>
      <c r="I589" s="4" t="s">
        <v>21</v>
      </c>
      <c r="J589" s="5">
        <f t="shared" si="9"/>
        <v>1814900</v>
      </c>
      <c r="K589" s="4" t="s">
        <v>39</v>
      </c>
      <c r="L589" s="6">
        <v>3.6297999999999999</v>
      </c>
      <c r="M589" s="6">
        <v>0.27550000000000002</v>
      </c>
      <c r="N589" s="6">
        <v>3.6345999999999998</v>
      </c>
      <c r="O589" s="6">
        <v>1</v>
      </c>
      <c r="P589" s="5">
        <v>-2400</v>
      </c>
      <c r="Q589" s="4" t="s">
        <v>1393</v>
      </c>
    </row>
    <row r="590" spans="1:17" x14ac:dyDescent="0.3">
      <c r="A590" s="2" t="s">
        <v>1389</v>
      </c>
      <c r="B590" s="3">
        <v>157106</v>
      </c>
      <c r="C590" s="3">
        <v>217536</v>
      </c>
      <c r="D590" s="4" t="s">
        <v>17</v>
      </c>
      <c r="E590" s="4" t="s">
        <v>1277</v>
      </c>
      <c r="F590" s="4" t="s">
        <v>19</v>
      </c>
      <c r="G590" s="4" t="s">
        <v>20</v>
      </c>
      <c r="H590" s="5">
        <v>30000</v>
      </c>
      <c r="I590" s="4" t="s">
        <v>21</v>
      </c>
      <c r="J590" s="5">
        <f t="shared" si="9"/>
        <v>-126333</v>
      </c>
      <c r="K590" s="4" t="s">
        <v>35</v>
      </c>
      <c r="L590" s="6">
        <v>4.2111000000000001</v>
      </c>
      <c r="M590" s="6">
        <v>0.23749999999999999</v>
      </c>
      <c r="N590" s="6">
        <v>4.2110000000000003</v>
      </c>
      <c r="O590" s="6">
        <v>1</v>
      </c>
      <c r="P590" s="5">
        <v>-2.9999999999854481</v>
      </c>
      <c r="Q590" s="4" t="s">
        <v>1390</v>
      </c>
    </row>
    <row r="591" spans="1:17" x14ac:dyDescent="0.3">
      <c r="A591" s="2" t="s">
        <v>1389</v>
      </c>
      <c r="B591" s="3">
        <v>157109</v>
      </c>
      <c r="C591" s="3">
        <v>217547</v>
      </c>
      <c r="D591" s="4" t="s">
        <v>17</v>
      </c>
      <c r="E591" s="4" t="s">
        <v>1070</v>
      </c>
      <c r="F591" s="4" t="s">
        <v>32</v>
      </c>
      <c r="G591" s="4" t="s">
        <v>34</v>
      </c>
      <c r="H591" s="5">
        <v>-50000</v>
      </c>
      <c r="I591" s="4" t="s">
        <v>21</v>
      </c>
      <c r="J591" s="5">
        <f t="shared" si="9"/>
        <v>181630</v>
      </c>
      <c r="K591" s="4" t="s">
        <v>35</v>
      </c>
      <c r="L591" s="6">
        <v>3.6326000000000001</v>
      </c>
      <c r="M591" s="6">
        <v>0.27529999999999999</v>
      </c>
      <c r="N591" s="6">
        <v>3.6139999999999999</v>
      </c>
      <c r="O591" s="6">
        <v>1</v>
      </c>
      <c r="P591" s="5">
        <v>925</v>
      </c>
      <c r="Q591" s="4" t="s">
        <v>1390</v>
      </c>
    </row>
    <row r="592" spans="1:17" x14ac:dyDescent="0.3">
      <c r="A592" s="2" t="s">
        <v>1389</v>
      </c>
      <c r="B592" s="3">
        <v>157111</v>
      </c>
      <c r="C592" s="3">
        <v>899759</v>
      </c>
      <c r="D592" s="4" t="s">
        <v>81</v>
      </c>
      <c r="E592" s="4" t="s">
        <v>956</v>
      </c>
      <c r="F592" s="4" t="s">
        <v>87</v>
      </c>
      <c r="G592" s="4" t="s">
        <v>34</v>
      </c>
      <c r="H592" s="5">
        <v>9000</v>
      </c>
      <c r="I592" s="4" t="s">
        <v>21</v>
      </c>
      <c r="J592" s="5">
        <f t="shared" si="9"/>
        <v>-32607.000000000004</v>
      </c>
      <c r="K592" s="4" t="s">
        <v>49</v>
      </c>
      <c r="L592" s="6">
        <v>3.6230000000000002</v>
      </c>
      <c r="M592" s="6">
        <v>0.27600000000000002</v>
      </c>
      <c r="N592" s="6">
        <v>3.6345999999999998</v>
      </c>
      <c r="O592" s="6">
        <v>1</v>
      </c>
      <c r="P592" s="5">
        <v>104.4</v>
      </c>
      <c r="Q592" s="4" t="s">
        <v>1390</v>
      </c>
    </row>
    <row r="593" spans="1:17" x14ac:dyDescent="0.3">
      <c r="A593" s="2" t="s">
        <v>1389</v>
      </c>
      <c r="B593" s="3">
        <v>157112</v>
      </c>
      <c r="C593" s="3">
        <v>217554</v>
      </c>
      <c r="D593" s="4" t="s">
        <v>17</v>
      </c>
      <c r="E593" s="4" t="s">
        <v>851</v>
      </c>
      <c r="F593" s="4" t="s">
        <v>19</v>
      </c>
      <c r="G593" s="4" t="s">
        <v>34</v>
      </c>
      <c r="H593" s="5">
        <v>10000</v>
      </c>
      <c r="I593" s="4" t="s">
        <v>21</v>
      </c>
      <c r="J593" s="5">
        <f t="shared" si="9"/>
        <v>-36194</v>
      </c>
      <c r="K593" s="4" t="s">
        <v>35</v>
      </c>
      <c r="L593" s="6">
        <v>3.6194000000000002</v>
      </c>
      <c r="M593" s="6">
        <v>0.27629999999999999</v>
      </c>
      <c r="N593" s="6">
        <v>3.6139999999999999</v>
      </c>
      <c r="O593" s="6">
        <v>1</v>
      </c>
      <c r="P593" s="5">
        <v>-54</v>
      </c>
      <c r="Q593" s="4" t="s">
        <v>1390</v>
      </c>
    </row>
    <row r="594" spans="1:17" x14ac:dyDescent="0.3">
      <c r="A594" s="2" t="s">
        <v>1389</v>
      </c>
      <c r="B594" s="3">
        <v>157113</v>
      </c>
      <c r="C594" s="3">
        <v>899778</v>
      </c>
      <c r="D594" s="4" t="s">
        <v>81</v>
      </c>
      <c r="E594" s="4" t="s">
        <v>734</v>
      </c>
      <c r="F594" s="4" t="s">
        <v>83</v>
      </c>
      <c r="G594" s="4" t="s">
        <v>20</v>
      </c>
      <c r="H594" s="5">
        <v>-500000</v>
      </c>
      <c r="I594" s="4" t="s">
        <v>21</v>
      </c>
      <c r="J594" s="5">
        <f t="shared" si="9"/>
        <v>2106050</v>
      </c>
      <c r="K594" s="4" t="s">
        <v>39</v>
      </c>
      <c r="L594" s="6">
        <v>4.2121000000000004</v>
      </c>
      <c r="M594" s="6">
        <v>0.2374</v>
      </c>
      <c r="N594" s="6">
        <v>4.2230999999999996</v>
      </c>
      <c r="O594" s="6">
        <v>1</v>
      </c>
      <c r="P594" s="5">
        <v>-5500</v>
      </c>
      <c r="Q594" s="4" t="s">
        <v>1393</v>
      </c>
    </row>
    <row r="595" spans="1:17" x14ac:dyDescent="0.3">
      <c r="A595" s="2" t="s">
        <v>1389</v>
      </c>
      <c r="B595" s="3">
        <v>157114</v>
      </c>
      <c r="C595" s="3">
        <v>217557</v>
      </c>
      <c r="D595" s="4" t="s">
        <v>17</v>
      </c>
      <c r="E595" s="4" t="s">
        <v>1184</v>
      </c>
      <c r="F595" s="4" t="s">
        <v>19</v>
      </c>
      <c r="G595" s="4" t="s">
        <v>20</v>
      </c>
      <c r="H595" s="5">
        <v>20000</v>
      </c>
      <c r="I595" s="4" t="s">
        <v>21</v>
      </c>
      <c r="J595" s="5">
        <f t="shared" si="9"/>
        <v>-84040</v>
      </c>
      <c r="K595" s="4" t="s">
        <v>35</v>
      </c>
      <c r="L595" s="6">
        <v>4.202</v>
      </c>
      <c r="M595" s="6">
        <v>0.23799999999999999</v>
      </c>
      <c r="N595" s="6">
        <v>4.2110000000000003</v>
      </c>
      <c r="O595" s="6">
        <v>1</v>
      </c>
      <c r="P595" s="5">
        <v>180</v>
      </c>
      <c r="Q595" s="4" t="s">
        <v>1390</v>
      </c>
    </row>
    <row r="596" spans="1:17" x14ac:dyDescent="0.3">
      <c r="A596" s="2" t="s">
        <v>1389</v>
      </c>
      <c r="B596" s="3">
        <v>157115</v>
      </c>
      <c r="C596" s="3">
        <v>899785</v>
      </c>
      <c r="D596" s="4" t="s">
        <v>81</v>
      </c>
      <c r="E596" s="4" t="s">
        <v>725</v>
      </c>
      <c r="F596" s="4" t="s">
        <v>83</v>
      </c>
      <c r="G596" s="4" t="s">
        <v>20</v>
      </c>
      <c r="H596" s="5">
        <v>-1000000</v>
      </c>
      <c r="I596" s="4" t="s">
        <v>21</v>
      </c>
      <c r="J596" s="5">
        <f t="shared" si="9"/>
        <v>4212700</v>
      </c>
      <c r="K596" s="4" t="s">
        <v>39</v>
      </c>
      <c r="L596" s="6">
        <v>4.2126999999999999</v>
      </c>
      <c r="M596" s="6">
        <v>0.2374</v>
      </c>
      <c r="N596" s="6">
        <v>4.2230999999999996</v>
      </c>
      <c r="O596" s="6">
        <v>1</v>
      </c>
      <c r="P596" s="5">
        <v>-10360</v>
      </c>
      <c r="Q596" s="4" t="s">
        <v>1392</v>
      </c>
    </row>
    <row r="597" spans="1:17" x14ac:dyDescent="0.3">
      <c r="A597" s="2" t="s">
        <v>1389</v>
      </c>
      <c r="B597" s="3">
        <v>157116</v>
      </c>
      <c r="C597" s="3">
        <v>899789</v>
      </c>
      <c r="D597" s="4" t="s">
        <v>81</v>
      </c>
      <c r="E597" s="4" t="s">
        <v>742</v>
      </c>
      <c r="F597" s="4" t="s">
        <v>83</v>
      </c>
      <c r="G597" s="4" t="s">
        <v>34</v>
      </c>
      <c r="H597" s="5">
        <v>-500000</v>
      </c>
      <c r="I597" s="4" t="s">
        <v>21</v>
      </c>
      <c r="J597" s="5">
        <f t="shared" si="9"/>
        <v>1816100</v>
      </c>
      <c r="K597" s="4" t="s">
        <v>39</v>
      </c>
      <c r="L597" s="6">
        <v>3.6322000000000001</v>
      </c>
      <c r="M597" s="6">
        <v>0.27529999999999999</v>
      </c>
      <c r="N597" s="6">
        <v>3.6345999999999998</v>
      </c>
      <c r="O597" s="6">
        <v>1</v>
      </c>
      <c r="P597" s="5">
        <v>-1200</v>
      </c>
      <c r="Q597" s="4" t="s">
        <v>1396</v>
      </c>
    </row>
    <row r="598" spans="1:17" x14ac:dyDescent="0.3">
      <c r="A598" s="2" t="s">
        <v>1389</v>
      </c>
      <c r="B598" s="3">
        <v>157117</v>
      </c>
      <c r="C598" s="3">
        <v>217559</v>
      </c>
      <c r="D598" s="4" t="s">
        <v>17</v>
      </c>
      <c r="E598" s="4" t="s">
        <v>1199</v>
      </c>
      <c r="F598" s="4" t="s">
        <v>32</v>
      </c>
      <c r="G598" s="4" t="s">
        <v>20</v>
      </c>
      <c r="H598" s="5">
        <v>-35000</v>
      </c>
      <c r="I598" s="4" t="s">
        <v>34</v>
      </c>
      <c r="J598" s="5">
        <f t="shared" si="9"/>
        <v>40610.500000000007</v>
      </c>
      <c r="K598" s="4" t="s">
        <v>35</v>
      </c>
      <c r="L598" s="6">
        <v>1.1603000000000001</v>
      </c>
      <c r="M598" s="6">
        <v>0.86180000000000001</v>
      </c>
      <c r="N598" s="6">
        <v>4.2110000000000003</v>
      </c>
      <c r="O598" s="6">
        <v>3.6139999999999999</v>
      </c>
      <c r="P598" s="5">
        <v>-656.6</v>
      </c>
      <c r="Q598" s="4" t="s">
        <v>1390</v>
      </c>
    </row>
    <row r="599" spans="1:17" x14ac:dyDescent="0.3">
      <c r="A599" s="2" t="s">
        <v>1389</v>
      </c>
      <c r="B599" s="3">
        <v>157118</v>
      </c>
      <c r="C599" s="3">
        <v>217560</v>
      </c>
      <c r="D599" s="4" t="s">
        <v>17</v>
      </c>
      <c r="E599" s="4" t="s">
        <v>898</v>
      </c>
      <c r="F599" s="4" t="s">
        <v>19</v>
      </c>
      <c r="G599" s="4" t="s">
        <v>20</v>
      </c>
      <c r="H599" s="5">
        <v>15000</v>
      </c>
      <c r="I599" s="4" t="s">
        <v>21</v>
      </c>
      <c r="J599" s="5">
        <f t="shared" si="9"/>
        <v>-63016.500000000007</v>
      </c>
      <c r="K599" s="4" t="s">
        <v>35</v>
      </c>
      <c r="L599" s="6">
        <v>4.2011000000000003</v>
      </c>
      <c r="M599" s="6">
        <v>0.23799999999999999</v>
      </c>
      <c r="N599" s="6">
        <v>4.2110000000000003</v>
      </c>
      <c r="O599" s="6">
        <v>1</v>
      </c>
      <c r="P599" s="5">
        <v>148.5</v>
      </c>
      <c r="Q599" s="4" t="s">
        <v>1390</v>
      </c>
    </row>
    <row r="600" spans="1:17" x14ac:dyDescent="0.3">
      <c r="A600" s="2" t="s">
        <v>1389</v>
      </c>
      <c r="B600" s="3">
        <v>157120</v>
      </c>
      <c r="C600" s="3">
        <v>217563</v>
      </c>
      <c r="D600" s="4" t="s">
        <v>17</v>
      </c>
      <c r="E600" s="4" t="s">
        <v>1155</v>
      </c>
      <c r="F600" s="4" t="s">
        <v>19</v>
      </c>
      <c r="G600" s="4" t="s">
        <v>34</v>
      </c>
      <c r="H600" s="5">
        <v>40000</v>
      </c>
      <c r="I600" s="4" t="s">
        <v>21</v>
      </c>
      <c r="J600" s="5">
        <f t="shared" si="9"/>
        <v>-145204</v>
      </c>
      <c r="K600" s="4" t="s">
        <v>22</v>
      </c>
      <c r="L600" s="6">
        <v>3.6301000000000001</v>
      </c>
      <c r="M600" s="6">
        <v>0.27550000000000002</v>
      </c>
      <c r="N600" s="6">
        <v>3.6153</v>
      </c>
      <c r="O600" s="6">
        <v>1</v>
      </c>
      <c r="P600" s="5">
        <v>-592</v>
      </c>
      <c r="Q600" s="4" t="s">
        <v>1390</v>
      </c>
    </row>
    <row r="601" spans="1:17" x14ac:dyDescent="0.3">
      <c r="A601" s="2" t="s">
        <v>1389</v>
      </c>
      <c r="B601" s="3">
        <v>157121</v>
      </c>
      <c r="C601" s="3">
        <v>899806</v>
      </c>
      <c r="D601" s="4" t="s">
        <v>81</v>
      </c>
      <c r="E601" s="4" t="s">
        <v>735</v>
      </c>
      <c r="F601" s="4" t="s">
        <v>83</v>
      </c>
      <c r="G601" s="4" t="s">
        <v>20</v>
      </c>
      <c r="H601" s="5">
        <v>-500000</v>
      </c>
      <c r="I601" s="4" t="s">
        <v>21</v>
      </c>
      <c r="J601" s="5">
        <f t="shared" si="9"/>
        <v>2106000</v>
      </c>
      <c r="K601" s="4" t="s">
        <v>39</v>
      </c>
      <c r="L601" s="6">
        <v>4.2119999999999997</v>
      </c>
      <c r="M601" s="6">
        <v>0.2374</v>
      </c>
      <c r="N601" s="6">
        <v>4.2230999999999996</v>
      </c>
      <c r="O601" s="6">
        <v>1</v>
      </c>
      <c r="P601" s="5">
        <v>-5550</v>
      </c>
      <c r="Q601" s="4" t="s">
        <v>1394</v>
      </c>
    </row>
    <row r="602" spans="1:17" x14ac:dyDescent="0.3">
      <c r="A602" s="2" t="s">
        <v>1389</v>
      </c>
      <c r="B602" s="3">
        <v>157122</v>
      </c>
      <c r="C602" s="3">
        <v>217566</v>
      </c>
      <c r="D602" s="4" t="s">
        <v>17</v>
      </c>
      <c r="E602" s="4" t="s">
        <v>900</v>
      </c>
      <c r="F602" s="4" t="s">
        <v>19</v>
      </c>
      <c r="G602" s="4" t="s">
        <v>20</v>
      </c>
      <c r="H602" s="5">
        <v>7000</v>
      </c>
      <c r="I602" s="4" t="s">
        <v>21</v>
      </c>
      <c r="J602" s="5">
        <f t="shared" si="9"/>
        <v>-29407.7</v>
      </c>
      <c r="K602" s="4" t="s">
        <v>35</v>
      </c>
      <c r="L602" s="6">
        <v>4.2011000000000003</v>
      </c>
      <c r="M602" s="6">
        <v>0.23799999999999999</v>
      </c>
      <c r="N602" s="6">
        <v>4.2110000000000003</v>
      </c>
      <c r="O602" s="6">
        <v>1</v>
      </c>
      <c r="P602" s="5">
        <v>69.30000000000291</v>
      </c>
      <c r="Q602" s="4" t="s">
        <v>1390</v>
      </c>
    </row>
    <row r="603" spans="1:17" x14ac:dyDescent="0.3">
      <c r="A603" s="2" t="s">
        <v>1389</v>
      </c>
      <c r="B603" s="3">
        <v>157123</v>
      </c>
      <c r="C603" s="3">
        <v>217568</v>
      </c>
      <c r="D603" s="4" t="s">
        <v>17</v>
      </c>
      <c r="E603" s="4" t="s">
        <v>844</v>
      </c>
      <c r="F603" s="4" t="s">
        <v>32</v>
      </c>
      <c r="G603" s="4" t="s">
        <v>34</v>
      </c>
      <c r="H603" s="5">
        <v>-3000</v>
      </c>
      <c r="I603" s="4" t="s">
        <v>21</v>
      </c>
      <c r="J603" s="5">
        <f t="shared" si="9"/>
        <v>10911</v>
      </c>
      <c r="K603" s="4" t="s">
        <v>35</v>
      </c>
      <c r="L603" s="6">
        <v>3.637</v>
      </c>
      <c r="M603" s="6">
        <v>0.27500000000000002</v>
      </c>
      <c r="N603" s="6">
        <v>3.6139999999999999</v>
      </c>
      <c r="O603" s="6">
        <v>1</v>
      </c>
      <c r="P603" s="5">
        <v>69</v>
      </c>
      <c r="Q603" s="4" t="s">
        <v>1390</v>
      </c>
    </row>
    <row r="604" spans="1:17" x14ac:dyDescent="0.3">
      <c r="A604" s="2" t="s">
        <v>1389</v>
      </c>
      <c r="B604" s="3">
        <v>157124</v>
      </c>
      <c r="C604" s="3">
        <v>899869</v>
      </c>
      <c r="D604" s="4" t="s">
        <v>81</v>
      </c>
      <c r="E604" s="4" t="s">
        <v>733</v>
      </c>
      <c r="F604" s="4" t="s">
        <v>83</v>
      </c>
      <c r="G604" s="4" t="s">
        <v>20</v>
      </c>
      <c r="H604" s="5">
        <v>-1000000</v>
      </c>
      <c r="I604" s="4" t="s">
        <v>21</v>
      </c>
      <c r="J604" s="5">
        <f t="shared" si="9"/>
        <v>4213000</v>
      </c>
      <c r="K604" s="4" t="s">
        <v>39</v>
      </c>
      <c r="L604" s="6">
        <v>4.2130000000000001</v>
      </c>
      <c r="M604" s="6">
        <v>0.2374</v>
      </c>
      <c r="N604" s="6">
        <v>4.2230999999999996</v>
      </c>
      <c r="O604" s="6">
        <v>1</v>
      </c>
      <c r="P604" s="5">
        <v>-10150</v>
      </c>
      <c r="Q604" s="4" t="s">
        <v>1391</v>
      </c>
    </row>
    <row r="605" spans="1:17" x14ac:dyDescent="0.3">
      <c r="A605" s="2" t="s">
        <v>1389</v>
      </c>
      <c r="B605" s="3">
        <v>157125</v>
      </c>
      <c r="C605" s="3">
        <v>899870</v>
      </c>
      <c r="D605" s="4" t="s">
        <v>81</v>
      </c>
      <c r="E605" s="4" t="s">
        <v>733</v>
      </c>
      <c r="F605" s="4" t="s">
        <v>83</v>
      </c>
      <c r="G605" s="4" t="s">
        <v>20</v>
      </c>
      <c r="H605" s="5">
        <v>-1000000</v>
      </c>
      <c r="I605" s="4" t="s">
        <v>21</v>
      </c>
      <c r="J605" s="5">
        <f t="shared" si="9"/>
        <v>4213000</v>
      </c>
      <c r="K605" s="4" t="s">
        <v>39</v>
      </c>
      <c r="L605" s="6">
        <v>4.2130000000000001</v>
      </c>
      <c r="M605" s="6">
        <v>0.2374</v>
      </c>
      <c r="N605" s="6">
        <v>4.2230999999999996</v>
      </c>
      <c r="O605" s="6">
        <v>1</v>
      </c>
      <c r="P605" s="5">
        <v>-10150</v>
      </c>
      <c r="Q605" s="4" t="s">
        <v>1391</v>
      </c>
    </row>
    <row r="606" spans="1:17" x14ac:dyDescent="0.3">
      <c r="A606" s="2" t="s">
        <v>1389</v>
      </c>
      <c r="B606" s="3">
        <v>157126</v>
      </c>
      <c r="C606" s="3">
        <v>899888</v>
      </c>
      <c r="D606" s="4" t="s">
        <v>81</v>
      </c>
      <c r="E606" s="4" t="s">
        <v>734</v>
      </c>
      <c r="F606" s="4" t="s">
        <v>83</v>
      </c>
      <c r="G606" s="4" t="s">
        <v>34</v>
      </c>
      <c r="H606" s="5">
        <v>-100000</v>
      </c>
      <c r="I606" s="4" t="s">
        <v>104</v>
      </c>
      <c r="J606" s="5">
        <f t="shared" si="9"/>
        <v>15874199.999999998</v>
      </c>
      <c r="K606" s="4" t="s">
        <v>39</v>
      </c>
      <c r="L606" s="6">
        <v>158.74199999999999</v>
      </c>
      <c r="M606" s="6">
        <v>6.3E-3</v>
      </c>
      <c r="N606" s="6">
        <v>3.6345999999999998</v>
      </c>
      <c r="O606" s="6">
        <v>2.3004E-2</v>
      </c>
      <c r="P606" s="5">
        <v>1710.0967999999411</v>
      </c>
      <c r="Q606" s="4" t="s">
        <v>1393</v>
      </c>
    </row>
    <row r="607" spans="1:17" x14ac:dyDescent="0.3">
      <c r="A607" s="2" t="s">
        <v>1389</v>
      </c>
      <c r="B607" s="3">
        <v>157127</v>
      </c>
      <c r="C607" s="3">
        <v>899906</v>
      </c>
      <c r="D607" s="4" t="s">
        <v>81</v>
      </c>
      <c r="E607" s="4" t="s">
        <v>730</v>
      </c>
      <c r="F607" s="4" t="s">
        <v>87</v>
      </c>
      <c r="G607" s="4" t="s">
        <v>20</v>
      </c>
      <c r="H607" s="5">
        <v>200000</v>
      </c>
      <c r="I607" s="4" t="s">
        <v>74</v>
      </c>
      <c r="J607" s="5">
        <f t="shared" si="9"/>
        <v>-2343620</v>
      </c>
      <c r="K607" s="4" t="s">
        <v>39</v>
      </c>
      <c r="L607" s="6">
        <v>11.7181</v>
      </c>
      <c r="M607" s="6">
        <v>8.5300000000000001E-2</v>
      </c>
      <c r="N607" s="6">
        <v>4.2230999999999996</v>
      </c>
      <c r="O607" s="6">
        <v>0.36009999999999998</v>
      </c>
      <c r="P607" s="5">
        <v>679.55719999999997</v>
      </c>
      <c r="Q607" s="4" t="s">
        <v>1396</v>
      </c>
    </row>
    <row r="608" spans="1:17" x14ac:dyDescent="0.3">
      <c r="A608" s="2" t="s">
        <v>1389</v>
      </c>
      <c r="B608" s="3">
        <v>157128</v>
      </c>
      <c r="C608" s="3">
        <v>899914</v>
      </c>
      <c r="D608" s="4" t="s">
        <v>81</v>
      </c>
      <c r="E608" s="4" t="s">
        <v>734</v>
      </c>
      <c r="F608" s="4" t="s">
        <v>83</v>
      </c>
      <c r="G608" s="4" t="s">
        <v>20</v>
      </c>
      <c r="H608" s="5">
        <v>-500000</v>
      </c>
      <c r="I608" s="4" t="s">
        <v>34</v>
      </c>
      <c r="J608" s="5">
        <f t="shared" si="9"/>
        <v>580500</v>
      </c>
      <c r="K608" s="4" t="s">
        <v>39</v>
      </c>
      <c r="L608" s="6">
        <v>1.161</v>
      </c>
      <c r="M608" s="6">
        <v>0.86129999999999995</v>
      </c>
      <c r="N608" s="6">
        <v>4.2230999999999996</v>
      </c>
      <c r="O608" s="6">
        <v>3.6345999999999998</v>
      </c>
      <c r="P608" s="5">
        <v>-1719.2190000000001</v>
      </c>
      <c r="Q608" s="4" t="s">
        <v>1393</v>
      </c>
    </row>
    <row r="609" spans="1:17" x14ac:dyDescent="0.3">
      <c r="A609" s="2" t="s">
        <v>1389</v>
      </c>
      <c r="B609" s="3">
        <v>157129</v>
      </c>
      <c r="C609" s="3">
        <v>899922</v>
      </c>
      <c r="D609" s="4" t="s">
        <v>81</v>
      </c>
      <c r="E609" s="4" t="s">
        <v>736</v>
      </c>
      <c r="F609" s="4" t="s">
        <v>87</v>
      </c>
      <c r="G609" s="4" t="s">
        <v>84</v>
      </c>
      <c r="H609" s="5">
        <v>310000</v>
      </c>
      <c r="I609" s="4" t="s">
        <v>21</v>
      </c>
      <c r="J609" s="5">
        <f t="shared" si="9"/>
        <v>-122016</v>
      </c>
      <c r="K609" s="4" t="s">
        <v>39</v>
      </c>
      <c r="L609" s="6">
        <v>0.39360000000000001</v>
      </c>
      <c r="M609" s="6">
        <v>2.5407000000000002</v>
      </c>
      <c r="N609" s="6">
        <v>0.39360000000000001</v>
      </c>
      <c r="O609" s="6">
        <v>1</v>
      </c>
      <c r="P609" s="5">
        <v>0</v>
      </c>
      <c r="Q609" s="4" t="s">
        <v>1390</v>
      </c>
    </row>
    <row r="610" spans="1:17" x14ac:dyDescent="0.3">
      <c r="A610" s="2" t="s">
        <v>1389</v>
      </c>
      <c r="B610" s="3">
        <v>157130</v>
      </c>
      <c r="C610" s="3">
        <v>899926</v>
      </c>
      <c r="D610" s="4" t="s">
        <v>81</v>
      </c>
      <c r="E610" s="4" t="s">
        <v>736</v>
      </c>
      <c r="F610" s="4" t="s">
        <v>87</v>
      </c>
      <c r="G610" s="4" t="s">
        <v>74</v>
      </c>
      <c r="H610" s="5">
        <v>420000</v>
      </c>
      <c r="I610" s="4" t="s">
        <v>21</v>
      </c>
      <c r="J610" s="5">
        <f t="shared" si="9"/>
        <v>-150948</v>
      </c>
      <c r="K610" s="4" t="s">
        <v>39</v>
      </c>
      <c r="L610" s="6">
        <v>0.3594</v>
      </c>
      <c r="M610" s="6">
        <v>2.7824</v>
      </c>
      <c r="N610" s="6">
        <v>0.36009999999999998</v>
      </c>
      <c r="O610" s="6">
        <v>1</v>
      </c>
      <c r="P610" s="5">
        <v>294</v>
      </c>
      <c r="Q610" s="4" t="s">
        <v>1390</v>
      </c>
    </row>
    <row r="611" spans="1:17" x14ac:dyDescent="0.3">
      <c r="A611" s="2" t="s">
        <v>1389</v>
      </c>
      <c r="B611" s="3">
        <v>157132</v>
      </c>
      <c r="C611" s="3">
        <v>899933</v>
      </c>
      <c r="D611" s="4" t="s">
        <v>81</v>
      </c>
      <c r="E611" s="4" t="s">
        <v>736</v>
      </c>
      <c r="F611" s="4" t="s">
        <v>87</v>
      </c>
      <c r="G611" s="4" t="s">
        <v>89</v>
      </c>
      <c r="H611" s="5">
        <v>260000</v>
      </c>
      <c r="I611" s="4" t="s">
        <v>21</v>
      </c>
      <c r="J611" s="5">
        <f t="shared" si="9"/>
        <v>-146588</v>
      </c>
      <c r="K611" s="4" t="s">
        <v>39</v>
      </c>
      <c r="L611" s="6">
        <v>0.56379999999999997</v>
      </c>
      <c r="M611" s="6">
        <v>1.7737000000000001</v>
      </c>
      <c r="N611" s="6">
        <v>0.56520000000000004</v>
      </c>
      <c r="O611" s="6">
        <v>1</v>
      </c>
      <c r="P611" s="5">
        <v>364</v>
      </c>
      <c r="Q611" s="4" t="s">
        <v>1390</v>
      </c>
    </row>
    <row r="612" spans="1:17" x14ac:dyDescent="0.3">
      <c r="A612" s="2" t="s">
        <v>1389</v>
      </c>
      <c r="B612" s="3">
        <v>157133</v>
      </c>
      <c r="C612" s="3">
        <v>217573</v>
      </c>
      <c r="D612" s="4" t="s">
        <v>17</v>
      </c>
      <c r="E612" s="4" t="s">
        <v>980</v>
      </c>
      <c r="F612" s="4" t="s">
        <v>32</v>
      </c>
      <c r="G612" s="4" t="s">
        <v>20</v>
      </c>
      <c r="H612" s="5">
        <v>-50000</v>
      </c>
      <c r="I612" s="4" t="s">
        <v>21</v>
      </c>
      <c r="J612" s="5">
        <f t="shared" si="9"/>
        <v>210800</v>
      </c>
      <c r="K612" s="4" t="s">
        <v>35</v>
      </c>
      <c r="L612" s="6">
        <v>4.2160000000000002</v>
      </c>
      <c r="M612" s="6">
        <v>0.23719999999999999</v>
      </c>
      <c r="N612" s="6">
        <v>4.2110000000000003</v>
      </c>
      <c r="O612" s="6">
        <v>1</v>
      </c>
      <c r="P612" s="5">
        <v>200</v>
      </c>
      <c r="Q612" s="4" t="s">
        <v>1390</v>
      </c>
    </row>
    <row r="613" spans="1:17" x14ac:dyDescent="0.3">
      <c r="A613" s="2" t="s">
        <v>1389</v>
      </c>
      <c r="B613" s="3">
        <v>157134</v>
      </c>
      <c r="C613" s="3">
        <v>217574</v>
      </c>
      <c r="D613" s="4" t="s">
        <v>17</v>
      </c>
      <c r="E613" s="4" t="s">
        <v>754</v>
      </c>
      <c r="F613" s="4" t="s">
        <v>32</v>
      </c>
      <c r="G613" s="4" t="s">
        <v>20</v>
      </c>
      <c r="H613" s="5">
        <v>-40000</v>
      </c>
      <c r="I613" s="4" t="s">
        <v>21</v>
      </c>
      <c r="J613" s="5">
        <f t="shared" si="9"/>
        <v>168964</v>
      </c>
      <c r="K613" s="4" t="s">
        <v>35</v>
      </c>
      <c r="L613" s="6">
        <v>4.2241</v>
      </c>
      <c r="M613" s="6">
        <v>0.23669999999999999</v>
      </c>
      <c r="N613" s="6">
        <v>4.2110000000000003</v>
      </c>
      <c r="O613" s="6">
        <v>1</v>
      </c>
      <c r="P613" s="5">
        <v>480</v>
      </c>
      <c r="Q613" s="4" t="s">
        <v>1390</v>
      </c>
    </row>
    <row r="614" spans="1:17" x14ac:dyDescent="0.3">
      <c r="A614" s="2" t="s">
        <v>1389</v>
      </c>
      <c r="B614" s="3">
        <v>157136</v>
      </c>
      <c r="C614" s="3">
        <v>217579</v>
      </c>
      <c r="D614" s="4" t="s">
        <v>17</v>
      </c>
      <c r="E614" s="4" t="s">
        <v>790</v>
      </c>
      <c r="F614" s="4" t="s">
        <v>32</v>
      </c>
      <c r="G614" s="4" t="s">
        <v>20</v>
      </c>
      <c r="H614" s="5">
        <v>-285848.59999999998</v>
      </c>
      <c r="I614" s="4" t="s">
        <v>21</v>
      </c>
      <c r="J614" s="5">
        <f t="shared" si="9"/>
        <v>1208139.1078999997</v>
      </c>
      <c r="K614" s="4" t="s">
        <v>35</v>
      </c>
      <c r="L614" s="6">
        <v>4.2264999999999997</v>
      </c>
      <c r="M614" s="6">
        <v>0.2366</v>
      </c>
      <c r="N614" s="6">
        <v>4.2110000000000003</v>
      </c>
      <c r="O614" s="6">
        <v>1</v>
      </c>
      <c r="P614" s="5">
        <v>4430.6553999999996</v>
      </c>
      <c r="Q614" s="4" t="s">
        <v>1390</v>
      </c>
    </row>
    <row r="615" spans="1:17" x14ac:dyDescent="0.3">
      <c r="A615" s="2" t="s">
        <v>1389</v>
      </c>
      <c r="B615" s="3">
        <v>157137</v>
      </c>
      <c r="C615" s="3">
        <v>217585</v>
      </c>
      <c r="D615" s="4" t="s">
        <v>17</v>
      </c>
      <c r="E615" s="4" t="s">
        <v>1213</v>
      </c>
      <c r="F615" s="4" t="s">
        <v>19</v>
      </c>
      <c r="G615" s="4" t="s">
        <v>20</v>
      </c>
      <c r="H615" s="5">
        <v>200000</v>
      </c>
      <c r="I615" s="4" t="s">
        <v>21</v>
      </c>
      <c r="J615" s="5">
        <f t="shared" si="9"/>
        <v>-842000</v>
      </c>
      <c r="K615" s="4" t="s">
        <v>35</v>
      </c>
      <c r="L615" s="6">
        <v>4.21</v>
      </c>
      <c r="M615" s="6">
        <v>0.23749999999999999</v>
      </c>
      <c r="N615" s="6">
        <v>4.2110000000000003</v>
      </c>
      <c r="O615" s="6">
        <v>1</v>
      </c>
      <c r="P615" s="5">
        <v>200.00000000011642</v>
      </c>
      <c r="Q615" s="4" t="s">
        <v>1390</v>
      </c>
    </row>
    <row r="616" spans="1:17" x14ac:dyDescent="0.3">
      <c r="A616" s="2" t="s">
        <v>1389</v>
      </c>
      <c r="B616" s="3">
        <v>157138</v>
      </c>
      <c r="C616" s="3">
        <v>217586</v>
      </c>
      <c r="D616" s="4" t="s">
        <v>17</v>
      </c>
      <c r="E616" s="4" t="s">
        <v>1367</v>
      </c>
      <c r="F616" s="4" t="s">
        <v>32</v>
      </c>
      <c r="G616" s="4" t="s">
        <v>20</v>
      </c>
      <c r="H616" s="5">
        <v>-50000</v>
      </c>
      <c r="I616" s="4" t="s">
        <v>21</v>
      </c>
      <c r="J616" s="5">
        <f t="shared" si="9"/>
        <v>211269.99999999997</v>
      </c>
      <c r="K616" s="4" t="s">
        <v>35</v>
      </c>
      <c r="L616" s="6">
        <v>4.2253999999999996</v>
      </c>
      <c r="M616" s="6">
        <v>0.23669999999999999</v>
      </c>
      <c r="N616" s="6">
        <v>4.2110000000000003</v>
      </c>
      <c r="O616" s="6">
        <v>1</v>
      </c>
      <c r="P616" s="5">
        <v>665</v>
      </c>
      <c r="Q616" s="4" t="s">
        <v>1390</v>
      </c>
    </row>
    <row r="617" spans="1:17" x14ac:dyDescent="0.3">
      <c r="A617" s="2" t="s">
        <v>1389</v>
      </c>
      <c r="B617" s="3">
        <v>157139</v>
      </c>
      <c r="C617" s="3">
        <v>217588</v>
      </c>
      <c r="D617" s="4" t="s">
        <v>17</v>
      </c>
      <c r="E617" s="4" t="s">
        <v>1221</v>
      </c>
      <c r="F617" s="4" t="s">
        <v>19</v>
      </c>
      <c r="G617" s="4" t="s">
        <v>34</v>
      </c>
      <c r="H617" s="5">
        <v>100000</v>
      </c>
      <c r="I617" s="4" t="s">
        <v>21</v>
      </c>
      <c r="J617" s="5">
        <f t="shared" si="9"/>
        <v>-363200</v>
      </c>
      <c r="K617" s="4" t="s">
        <v>35</v>
      </c>
      <c r="L617" s="6">
        <v>3.6320000000000001</v>
      </c>
      <c r="M617" s="6">
        <v>0.27529999999999999</v>
      </c>
      <c r="N617" s="6">
        <v>3.6139999999999999</v>
      </c>
      <c r="O617" s="6">
        <v>1</v>
      </c>
      <c r="P617" s="5">
        <v>-1800</v>
      </c>
      <c r="Q617" s="4" t="s">
        <v>1390</v>
      </c>
    </row>
    <row r="618" spans="1:17" x14ac:dyDescent="0.3">
      <c r="A618" s="2" t="s">
        <v>1389</v>
      </c>
      <c r="B618" s="3">
        <v>157140</v>
      </c>
      <c r="C618" s="3">
        <v>217590</v>
      </c>
      <c r="D618" s="4" t="s">
        <v>17</v>
      </c>
      <c r="E618" s="4" t="s">
        <v>1367</v>
      </c>
      <c r="F618" s="4" t="s">
        <v>32</v>
      </c>
      <c r="G618" s="4" t="s">
        <v>34</v>
      </c>
      <c r="H618" s="5">
        <v>-50000</v>
      </c>
      <c r="I618" s="4" t="s">
        <v>21</v>
      </c>
      <c r="J618" s="5">
        <f t="shared" si="9"/>
        <v>182190</v>
      </c>
      <c r="K618" s="4" t="s">
        <v>35</v>
      </c>
      <c r="L618" s="6">
        <v>3.6438000000000001</v>
      </c>
      <c r="M618" s="6">
        <v>0.27439999999999998</v>
      </c>
      <c r="N618" s="6">
        <v>3.6139999999999999</v>
      </c>
      <c r="O618" s="6">
        <v>1</v>
      </c>
      <c r="P618" s="5">
        <v>1465</v>
      </c>
      <c r="Q618" s="4" t="s">
        <v>1390</v>
      </c>
    </row>
    <row r="619" spans="1:17" x14ac:dyDescent="0.3">
      <c r="A619" s="2" t="s">
        <v>1389</v>
      </c>
      <c r="B619" s="3">
        <v>157141</v>
      </c>
      <c r="C619" s="3">
        <v>217591</v>
      </c>
      <c r="D619" s="4" t="s">
        <v>17</v>
      </c>
      <c r="E619" s="4" t="s">
        <v>1143</v>
      </c>
      <c r="F619" s="4" t="s">
        <v>32</v>
      </c>
      <c r="G619" s="4" t="s">
        <v>20</v>
      </c>
      <c r="H619" s="5">
        <v>-10000</v>
      </c>
      <c r="I619" s="4" t="s">
        <v>21</v>
      </c>
      <c r="J619" s="5">
        <f t="shared" si="9"/>
        <v>42200</v>
      </c>
      <c r="K619" s="4" t="s">
        <v>35</v>
      </c>
      <c r="L619" s="6">
        <v>4.22</v>
      </c>
      <c r="M619" s="6">
        <v>0.23699999999999999</v>
      </c>
      <c r="N619" s="6">
        <v>4.2110000000000003</v>
      </c>
      <c r="O619" s="6">
        <v>1</v>
      </c>
      <c r="P619" s="5">
        <v>80</v>
      </c>
      <c r="Q619" s="4" t="s">
        <v>1390</v>
      </c>
    </row>
    <row r="620" spans="1:17" x14ac:dyDescent="0.3">
      <c r="A620" s="2" t="s">
        <v>1389</v>
      </c>
      <c r="B620" s="3">
        <v>157142</v>
      </c>
      <c r="C620" s="3">
        <v>900007</v>
      </c>
      <c r="D620" s="4" t="s">
        <v>81</v>
      </c>
      <c r="E620" s="4" t="s">
        <v>734</v>
      </c>
      <c r="F620" s="4" t="s">
        <v>83</v>
      </c>
      <c r="G620" s="4" t="s">
        <v>20</v>
      </c>
      <c r="H620" s="5">
        <v>-500000</v>
      </c>
      <c r="I620" s="4" t="s">
        <v>21</v>
      </c>
      <c r="J620" s="5">
        <f t="shared" si="9"/>
        <v>2107150</v>
      </c>
      <c r="K620" s="4" t="s">
        <v>39</v>
      </c>
      <c r="L620" s="6">
        <v>4.2142999999999997</v>
      </c>
      <c r="M620" s="6">
        <v>0.23730000000000001</v>
      </c>
      <c r="N620" s="6">
        <v>4.2230999999999996</v>
      </c>
      <c r="O620" s="6">
        <v>1</v>
      </c>
      <c r="P620" s="5">
        <v>-4400</v>
      </c>
      <c r="Q620" s="4" t="s">
        <v>1393</v>
      </c>
    </row>
    <row r="621" spans="1:17" x14ac:dyDescent="0.3">
      <c r="A621" s="2" t="s">
        <v>1389</v>
      </c>
      <c r="B621" s="3">
        <v>157143</v>
      </c>
      <c r="C621" s="3">
        <v>217592</v>
      </c>
      <c r="D621" s="4" t="s">
        <v>17</v>
      </c>
      <c r="E621" s="4" t="s">
        <v>931</v>
      </c>
      <c r="F621" s="4" t="s">
        <v>19</v>
      </c>
      <c r="G621" s="4" t="s">
        <v>20</v>
      </c>
      <c r="H621" s="5">
        <v>1500</v>
      </c>
      <c r="I621" s="4" t="s">
        <v>21</v>
      </c>
      <c r="J621" s="5">
        <f t="shared" si="9"/>
        <v>-6304.5</v>
      </c>
      <c r="K621" s="4" t="s">
        <v>35</v>
      </c>
      <c r="L621" s="6">
        <v>4.2030000000000003</v>
      </c>
      <c r="M621" s="6">
        <v>0.2379</v>
      </c>
      <c r="N621" s="6">
        <v>4.2110000000000003</v>
      </c>
      <c r="O621" s="6">
        <v>1</v>
      </c>
      <c r="P621" s="5">
        <v>12</v>
      </c>
      <c r="Q621" s="4" t="s">
        <v>1390</v>
      </c>
    </row>
    <row r="622" spans="1:17" x14ac:dyDescent="0.3">
      <c r="A622" s="2" t="s">
        <v>1389</v>
      </c>
      <c r="B622" s="3">
        <v>157144</v>
      </c>
      <c r="C622" s="3">
        <v>900012</v>
      </c>
      <c r="D622" s="4" t="s">
        <v>81</v>
      </c>
      <c r="E622" s="4" t="s">
        <v>730</v>
      </c>
      <c r="F622" s="4" t="s">
        <v>87</v>
      </c>
      <c r="G622" s="4" t="s">
        <v>20</v>
      </c>
      <c r="H622" s="5">
        <v>100000</v>
      </c>
      <c r="I622" s="4" t="s">
        <v>89</v>
      </c>
      <c r="J622" s="5">
        <f t="shared" si="9"/>
        <v>-747220</v>
      </c>
      <c r="K622" s="4" t="s">
        <v>39</v>
      </c>
      <c r="L622" s="6">
        <v>7.4722</v>
      </c>
      <c r="M622" s="6">
        <v>0.1338</v>
      </c>
      <c r="N622" s="6">
        <v>4.2230999999999996</v>
      </c>
      <c r="O622" s="6">
        <v>0.56520000000000004</v>
      </c>
      <c r="P622" s="5">
        <v>-18.744</v>
      </c>
      <c r="Q622" s="4" t="s">
        <v>1396</v>
      </c>
    </row>
    <row r="623" spans="1:17" x14ac:dyDescent="0.3">
      <c r="A623" s="2" t="s">
        <v>1389</v>
      </c>
      <c r="B623" s="3">
        <v>157146</v>
      </c>
      <c r="C623" s="3">
        <v>217598</v>
      </c>
      <c r="D623" s="4" t="s">
        <v>17</v>
      </c>
      <c r="E623" s="4" t="s">
        <v>983</v>
      </c>
      <c r="F623" s="4" t="s">
        <v>19</v>
      </c>
      <c r="G623" s="4" t="s">
        <v>20</v>
      </c>
      <c r="H623" s="5">
        <v>12000</v>
      </c>
      <c r="I623" s="4" t="s">
        <v>21</v>
      </c>
      <c r="J623" s="5">
        <f t="shared" si="9"/>
        <v>-50437.2</v>
      </c>
      <c r="K623" s="4" t="s">
        <v>35</v>
      </c>
      <c r="L623" s="6">
        <v>4.2031000000000001</v>
      </c>
      <c r="M623" s="6">
        <v>0.2379</v>
      </c>
      <c r="N623" s="6">
        <v>4.2110000000000003</v>
      </c>
      <c r="O623" s="6">
        <v>1</v>
      </c>
      <c r="P623" s="5">
        <v>94.80000000000291</v>
      </c>
      <c r="Q623" s="4" t="s">
        <v>1390</v>
      </c>
    </row>
    <row r="624" spans="1:17" x14ac:dyDescent="0.3">
      <c r="A624" s="2" t="s">
        <v>1389</v>
      </c>
      <c r="B624" s="3">
        <v>157148</v>
      </c>
      <c r="C624" s="3">
        <v>217602</v>
      </c>
      <c r="D624" s="4" t="s">
        <v>17</v>
      </c>
      <c r="E624" s="4" t="s">
        <v>1285</v>
      </c>
      <c r="F624" s="4" t="s">
        <v>19</v>
      </c>
      <c r="G624" s="4" t="s">
        <v>20</v>
      </c>
      <c r="H624" s="5">
        <v>50000</v>
      </c>
      <c r="I624" s="4" t="s">
        <v>21</v>
      </c>
      <c r="J624" s="5">
        <f t="shared" si="9"/>
        <v>-210000</v>
      </c>
      <c r="K624" s="4" t="s">
        <v>35</v>
      </c>
      <c r="L624" s="6">
        <v>4.2</v>
      </c>
      <c r="M624" s="6">
        <v>0.23810000000000001</v>
      </c>
      <c r="N624" s="6">
        <v>4.2110000000000003</v>
      </c>
      <c r="O624" s="6">
        <v>1</v>
      </c>
      <c r="P624" s="5">
        <v>550.0000000000291</v>
      </c>
      <c r="Q624" s="4" t="s">
        <v>1390</v>
      </c>
    </row>
    <row r="625" spans="1:17" x14ac:dyDescent="0.3">
      <c r="A625" s="2" t="s">
        <v>1389</v>
      </c>
      <c r="B625" s="3">
        <v>157149</v>
      </c>
      <c r="C625" s="3">
        <v>900073</v>
      </c>
      <c r="D625" s="4" t="s">
        <v>81</v>
      </c>
      <c r="E625" s="4" t="s">
        <v>735</v>
      </c>
      <c r="F625" s="4" t="s">
        <v>83</v>
      </c>
      <c r="G625" s="4" t="s">
        <v>20</v>
      </c>
      <c r="H625" s="5">
        <v>-500000</v>
      </c>
      <c r="I625" s="4" t="s">
        <v>21</v>
      </c>
      <c r="J625" s="5">
        <f t="shared" si="9"/>
        <v>2105850</v>
      </c>
      <c r="K625" s="4" t="s">
        <v>39</v>
      </c>
      <c r="L625" s="6">
        <v>4.2117000000000004</v>
      </c>
      <c r="M625" s="6">
        <v>0.2374</v>
      </c>
      <c r="N625" s="6">
        <v>4.2230999999999996</v>
      </c>
      <c r="O625" s="6">
        <v>1</v>
      </c>
      <c r="P625" s="5">
        <v>-5700</v>
      </c>
      <c r="Q625" s="4" t="s">
        <v>1394</v>
      </c>
    </row>
    <row r="626" spans="1:17" x14ac:dyDescent="0.3">
      <c r="A626" s="2" t="s">
        <v>1389</v>
      </c>
      <c r="B626" s="3">
        <v>157150</v>
      </c>
      <c r="C626" s="3">
        <v>900074</v>
      </c>
      <c r="D626" s="4" t="s">
        <v>81</v>
      </c>
      <c r="E626" s="4" t="s">
        <v>734</v>
      </c>
      <c r="F626" s="4" t="s">
        <v>83</v>
      </c>
      <c r="G626" s="4" t="s">
        <v>20</v>
      </c>
      <c r="H626" s="5">
        <v>-107882.52</v>
      </c>
      <c r="I626" s="4" t="s">
        <v>21</v>
      </c>
      <c r="J626" s="5">
        <f t="shared" si="9"/>
        <v>454476.69200400001</v>
      </c>
      <c r="K626" s="4" t="s">
        <v>39</v>
      </c>
      <c r="L626" s="6">
        <v>4.2126999999999999</v>
      </c>
      <c r="M626" s="6">
        <v>0.2374</v>
      </c>
      <c r="N626" s="6">
        <v>4.2230999999999996</v>
      </c>
      <c r="O626" s="6">
        <v>1</v>
      </c>
      <c r="P626" s="5">
        <v>-1119.8202120000001</v>
      </c>
      <c r="Q626" s="4" t="s">
        <v>1393</v>
      </c>
    </row>
    <row r="627" spans="1:17" x14ac:dyDescent="0.3">
      <c r="A627" s="2" t="s">
        <v>1389</v>
      </c>
      <c r="B627" s="3">
        <v>157151</v>
      </c>
      <c r="C627" s="3">
        <v>900076</v>
      </c>
      <c r="D627" s="4" t="s">
        <v>81</v>
      </c>
      <c r="E627" s="4" t="s">
        <v>734</v>
      </c>
      <c r="F627" s="4" t="s">
        <v>87</v>
      </c>
      <c r="G627" s="4" t="s">
        <v>34</v>
      </c>
      <c r="H627" s="5">
        <v>3872.16</v>
      </c>
      <c r="I627" s="4" t="s">
        <v>21</v>
      </c>
      <c r="J627" s="5">
        <f t="shared" si="9"/>
        <v>-14059.812959999999</v>
      </c>
      <c r="K627" s="4" t="s">
        <v>39</v>
      </c>
      <c r="L627" s="6">
        <v>3.6309999999999998</v>
      </c>
      <c r="M627" s="6">
        <v>0.27539999999999998</v>
      </c>
      <c r="N627" s="6">
        <v>3.6345999999999998</v>
      </c>
      <c r="O627" s="6">
        <v>1</v>
      </c>
      <c r="P627" s="5">
        <v>13.902736000000001</v>
      </c>
      <c r="Q627" s="4" t="s">
        <v>1393</v>
      </c>
    </row>
    <row r="628" spans="1:17" x14ac:dyDescent="0.3">
      <c r="A628" s="2" t="s">
        <v>1389</v>
      </c>
      <c r="B628" s="3">
        <v>157152</v>
      </c>
      <c r="C628" s="3">
        <v>900077</v>
      </c>
      <c r="D628" s="4" t="s">
        <v>81</v>
      </c>
      <c r="E628" s="4" t="s">
        <v>735</v>
      </c>
      <c r="F628" s="4" t="s">
        <v>83</v>
      </c>
      <c r="G628" s="4" t="s">
        <v>91</v>
      </c>
      <c r="H628" s="5">
        <v>-22217.82</v>
      </c>
      <c r="I628" s="4" t="s">
        <v>21</v>
      </c>
      <c r="J628" s="5">
        <f t="shared" si="9"/>
        <v>107963.05272600001</v>
      </c>
      <c r="K628" s="4" t="s">
        <v>39</v>
      </c>
      <c r="L628" s="6">
        <v>4.8593000000000002</v>
      </c>
      <c r="M628" s="6">
        <v>0.20580000000000001</v>
      </c>
      <c r="N628" s="6">
        <v>4.8704000000000001</v>
      </c>
      <c r="O628" s="6">
        <v>1</v>
      </c>
      <c r="P628" s="5">
        <v>-246.62052800000001</v>
      </c>
      <c r="Q628" s="4" t="s">
        <v>1394</v>
      </c>
    </row>
    <row r="629" spans="1:17" x14ac:dyDescent="0.3">
      <c r="A629" s="2" t="s">
        <v>1389</v>
      </c>
      <c r="B629" s="3">
        <v>157153</v>
      </c>
      <c r="C629" s="3">
        <v>900078</v>
      </c>
      <c r="D629" s="4" t="s">
        <v>81</v>
      </c>
      <c r="E629" s="4" t="s">
        <v>734</v>
      </c>
      <c r="F629" s="4" t="s">
        <v>87</v>
      </c>
      <c r="G629" s="4" t="s">
        <v>93</v>
      </c>
      <c r="H629" s="5">
        <v>342.36</v>
      </c>
      <c r="I629" s="4" t="s">
        <v>21</v>
      </c>
      <c r="J629" s="5">
        <f t="shared" si="9"/>
        <v>-1548.0149760000002</v>
      </c>
      <c r="K629" s="4" t="s">
        <v>39</v>
      </c>
      <c r="L629" s="6">
        <v>4.5216000000000003</v>
      </c>
      <c r="M629" s="6">
        <v>0.22120000000000001</v>
      </c>
      <c r="N629" s="6">
        <v>4.5476000000000001</v>
      </c>
      <c r="O629" s="6">
        <v>1</v>
      </c>
      <c r="P629" s="5">
        <v>8.886336</v>
      </c>
      <c r="Q629" s="4" t="s">
        <v>1393</v>
      </c>
    </row>
    <row r="630" spans="1:17" x14ac:dyDescent="0.3">
      <c r="A630" s="2" t="s">
        <v>1389</v>
      </c>
      <c r="B630" s="3">
        <v>157154</v>
      </c>
      <c r="C630" s="3">
        <v>900079</v>
      </c>
      <c r="D630" s="4" t="s">
        <v>81</v>
      </c>
      <c r="E630" s="4" t="s">
        <v>734</v>
      </c>
      <c r="F630" s="4" t="s">
        <v>87</v>
      </c>
      <c r="G630" s="4" t="s">
        <v>20</v>
      </c>
      <c r="H630" s="5">
        <v>6026.51</v>
      </c>
      <c r="I630" s="4" t="s">
        <v>21</v>
      </c>
      <c r="J630" s="5">
        <f t="shared" si="9"/>
        <v>-25394.507838000001</v>
      </c>
      <c r="K630" s="4" t="s">
        <v>39</v>
      </c>
      <c r="L630" s="6">
        <v>4.2138</v>
      </c>
      <c r="M630" s="6">
        <v>0.23730000000000001</v>
      </c>
      <c r="N630" s="6">
        <v>4.2230999999999996</v>
      </c>
      <c r="O630" s="6">
        <v>1</v>
      </c>
      <c r="P630" s="5">
        <v>56.224381000000001</v>
      </c>
      <c r="Q630" s="4" t="s">
        <v>1393</v>
      </c>
    </row>
    <row r="631" spans="1:17" x14ac:dyDescent="0.3">
      <c r="A631" s="2" t="s">
        <v>1389</v>
      </c>
      <c r="B631" s="3">
        <v>157155</v>
      </c>
      <c r="C631" s="3">
        <v>900084</v>
      </c>
      <c r="D631" s="4" t="s">
        <v>81</v>
      </c>
      <c r="E631" s="4" t="s">
        <v>730</v>
      </c>
      <c r="F631" s="4" t="s">
        <v>83</v>
      </c>
      <c r="G631" s="4" t="s">
        <v>20</v>
      </c>
      <c r="H631" s="5">
        <v>-141943.57</v>
      </c>
      <c r="I631" s="4" t="s">
        <v>21</v>
      </c>
      <c r="J631" s="5">
        <f t="shared" si="9"/>
        <v>598093.42655199999</v>
      </c>
      <c r="K631" s="4" t="s">
        <v>39</v>
      </c>
      <c r="L631" s="6">
        <v>4.2135999999999996</v>
      </c>
      <c r="M631" s="6">
        <v>0.23730000000000001</v>
      </c>
      <c r="N631" s="6">
        <v>4.2230999999999996</v>
      </c>
      <c r="O631" s="6">
        <v>1</v>
      </c>
      <c r="P631" s="5">
        <v>-1344.2104670000001</v>
      </c>
      <c r="Q631" s="4" t="s">
        <v>1396</v>
      </c>
    </row>
    <row r="632" spans="1:17" x14ac:dyDescent="0.3">
      <c r="A632" s="2" t="s">
        <v>1389</v>
      </c>
      <c r="B632" s="3">
        <v>157156</v>
      </c>
      <c r="C632" s="3">
        <v>900086</v>
      </c>
      <c r="D632" s="4" t="s">
        <v>81</v>
      </c>
      <c r="E632" s="4" t="s">
        <v>734</v>
      </c>
      <c r="F632" s="4" t="s">
        <v>83</v>
      </c>
      <c r="G632" s="4" t="s">
        <v>20</v>
      </c>
      <c r="H632" s="5">
        <v>-100550.3</v>
      </c>
      <c r="I632" s="4" t="s">
        <v>21</v>
      </c>
      <c r="J632" s="5">
        <f t="shared" si="9"/>
        <v>423648.57899000007</v>
      </c>
      <c r="K632" s="4" t="s">
        <v>39</v>
      </c>
      <c r="L632" s="6">
        <v>4.2133000000000003</v>
      </c>
      <c r="M632" s="6">
        <v>0.23730000000000001</v>
      </c>
      <c r="N632" s="6">
        <v>4.2230999999999996</v>
      </c>
      <c r="O632" s="6">
        <v>1</v>
      </c>
      <c r="P632" s="5">
        <v>-990.42192999999997</v>
      </c>
      <c r="Q632" s="4" t="s">
        <v>1393</v>
      </c>
    </row>
    <row r="633" spans="1:17" x14ac:dyDescent="0.3">
      <c r="A633" s="2" t="s">
        <v>1389</v>
      </c>
      <c r="B633" s="3">
        <v>157157</v>
      </c>
      <c r="C633" s="3">
        <v>900088</v>
      </c>
      <c r="D633" s="4" t="s">
        <v>81</v>
      </c>
      <c r="E633" s="4" t="s">
        <v>735</v>
      </c>
      <c r="F633" s="4" t="s">
        <v>87</v>
      </c>
      <c r="G633" s="4" t="s">
        <v>34</v>
      </c>
      <c r="H633" s="5">
        <v>9434.94</v>
      </c>
      <c r="I633" s="4" t="s">
        <v>21</v>
      </c>
      <c r="J633" s="5">
        <f t="shared" si="9"/>
        <v>-34237.510272</v>
      </c>
      <c r="K633" s="4" t="s">
        <v>39</v>
      </c>
      <c r="L633" s="6">
        <v>3.6288</v>
      </c>
      <c r="M633" s="6">
        <v>0.27560000000000001</v>
      </c>
      <c r="N633" s="6">
        <v>3.6345999999999998</v>
      </c>
      <c r="O633" s="6">
        <v>1</v>
      </c>
      <c r="P633" s="5">
        <v>54.722923999999999</v>
      </c>
      <c r="Q633" s="4" t="s">
        <v>1394</v>
      </c>
    </row>
    <row r="634" spans="1:17" x14ac:dyDescent="0.3">
      <c r="A634" s="2" t="s">
        <v>1389</v>
      </c>
      <c r="B634" s="3">
        <v>157158</v>
      </c>
      <c r="C634" s="3">
        <v>900089</v>
      </c>
      <c r="D634" s="4" t="s">
        <v>81</v>
      </c>
      <c r="E634" s="4" t="s">
        <v>734</v>
      </c>
      <c r="F634" s="4" t="s">
        <v>83</v>
      </c>
      <c r="G634" s="4" t="s">
        <v>91</v>
      </c>
      <c r="H634" s="5">
        <v>-53204.27</v>
      </c>
      <c r="I634" s="4" t="s">
        <v>21</v>
      </c>
      <c r="J634" s="5">
        <f t="shared" si="9"/>
        <v>258375.89640099998</v>
      </c>
      <c r="K634" s="4" t="s">
        <v>39</v>
      </c>
      <c r="L634" s="6">
        <v>4.8563000000000001</v>
      </c>
      <c r="M634" s="6">
        <v>0.2059</v>
      </c>
      <c r="N634" s="6">
        <v>4.8704000000000001</v>
      </c>
      <c r="O634" s="6">
        <v>1</v>
      </c>
      <c r="P634" s="5">
        <v>-750.17660799999999</v>
      </c>
      <c r="Q634" s="4" t="s">
        <v>1393</v>
      </c>
    </row>
    <row r="635" spans="1:17" x14ac:dyDescent="0.3">
      <c r="A635" s="2" t="s">
        <v>1389</v>
      </c>
      <c r="B635" s="3">
        <v>157159</v>
      </c>
      <c r="C635" s="3">
        <v>900090</v>
      </c>
      <c r="D635" s="4" t="s">
        <v>81</v>
      </c>
      <c r="E635" s="4" t="s">
        <v>734</v>
      </c>
      <c r="F635" s="4" t="s">
        <v>83</v>
      </c>
      <c r="G635" s="4" t="s">
        <v>93</v>
      </c>
      <c r="H635" s="5">
        <v>-4372.32</v>
      </c>
      <c r="I635" s="4" t="s">
        <v>21</v>
      </c>
      <c r="J635" s="5">
        <f t="shared" si="9"/>
        <v>19755.016223999999</v>
      </c>
      <c r="K635" s="4" t="s">
        <v>39</v>
      </c>
      <c r="L635" s="6">
        <v>4.5182000000000002</v>
      </c>
      <c r="M635" s="6">
        <v>0.2213</v>
      </c>
      <c r="N635" s="6">
        <v>4.5476000000000001</v>
      </c>
      <c r="O635" s="6">
        <v>1</v>
      </c>
      <c r="P635" s="5">
        <v>-128.412432</v>
      </c>
      <c r="Q635" s="4" t="s">
        <v>1393</v>
      </c>
    </row>
    <row r="636" spans="1:17" x14ac:dyDescent="0.3">
      <c r="A636" s="2" t="s">
        <v>1389</v>
      </c>
      <c r="B636" s="3">
        <v>157160</v>
      </c>
      <c r="C636" s="3">
        <v>900091</v>
      </c>
      <c r="D636" s="4" t="s">
        <v>81</v>
      </c>
      <c r="E636" s="4" t="s">
        <v>734</v>
      </c>
      <c r="F636" s="4" t="s">
        <v>83</v>
      </c>
      <c r="G636" s="4" t="s">
        <v>20</v>
      </c>
      <c r="H636" s="5">
        <v>-49339.51</v>
      </c>
      <c r="I636" s="4" t="s">
        <v>21</v>
      </c>
      <c r="J636" s="5">
        <f t="shared" si="9"/>
        <v>207911.76118899998</v>
      </c>
      <c r="K636" s="4" t="s">
        <v>39</v>
      </c>
      <c r="L636" s="6">
        <v>4.2138999999999998</v>
      </c>
      <c r="M636" s="6">
        <v>0.23730000000000001</v>
      </c>
      <c r="N636" s="6">
        <v>4.2230999999999996</v>
      </c>
      <c r="O636" s="6">
        <v>1</v>
      </c>
      <c r="P636" s="5">
        <v>-451.45468099999999</v>
      </c>
      <c r="Q636" s="4" t="s">
        <v>1393</v>
      </c>
    </row>
    <row r="637" spans="1:17" x14ac:dyDescent="0.3">
      <c r="A637" s="2" t="s">
        <v>1389</v>
      </c>
      <c r="B637" s="3">
        <v>157161</v>
      </c>
      <c r="C637" s="3">
        <v>217611</v>
      </c>
      <c r="D637" s="4" t="s">
        <v>17</v>
      </c>
      <c r="E637" s="4" t="s">
        <v>734</v>
      </c>
      <c r="F637" s="4" t="s">
        <v>32</v>
      </c>
      <c r="G637" s="4" t="s">
        <v>20</v>
      </c>
      <c r="H637" s="5">
        <v>-20000</v>
      </c>
      <c r="I637" s="4" t="s">
        <v>21</v>
      </c>
      <c r="J637" s="5">
        <f t="shared" si="9"/>
        <v>84271.999999999985</v>
      </c>
      <c r="K637" s="4" t="s">
        <v>22</v>
      </c>
      <c r="L637" s="6">
        <v>4.2135999999999996</v>
      </c>
      <c r="M637" s="6">
        <v>0.23730000000000001</v>
      </c>
      <c r="N637" s="6">
        <v>4.2068000000000003</v>
      </c>
      <c r="O637" s="6">
        <v>1</v>
      </c>
      <c r="P637" s="5">
        <v>118.16</v>
      </c>
      <c r="Q637" s="4" t="s">
        <v>1393</v>
      </c>
    </row>
    <row r="638" spans="1:17" x14ac:dyDescent="0.3">
      <c r="A638" s="2" t="s">
        <v>1389</v>
      </c>
      <c r="B638" s="3">
        <v>157162</v>
      </c>
      <c r="C638" s="3">
        <v>217612</v>
      </c>
      <c r="D638" s="4" t="s">
        <v>17</v>
      </c>
      <c r="E638" s="4" t="s">
        <v>1317</v>
      </c>
      <c r="F638" s="4" t="s">
        <v>19</v>
      </c>
      <c r="G638" s="4" t="s">
        <v>20</v>
      </c>
      <c r="H638" s="5">
        <v>20000</v>
      </c>
      <c r="I638" s="4" t="s">
        <v>21</v>
      </c>
      <c r="J638" s="5">
        <f t="shared" si="9"/>
        <v>-83772</v>
      </c>
      <c r="K638" s="4" t="s">
        <v>22</v>
      </c>
      <c r="L638" s="6">
        <v>4.1886000000000001</v>
      </c>
      <c r="M638" s="6">
        <v>0.2387</v>
      </c>
      <c r="N638" s="6">
        <v>4.2068000000000003</v>
      </c>
      <c r="O638" s="6">
        <v>1</v>
      </c>
      <c r="P638" s="5">
        <v>364</v>
      </c>
      <c r="Q638" s="4" t="s">
        <v>1390</v>
      </c>
    </row>
    <row r="639" spans="1:17" x14ac:dyDescent="0.3">
      <c r="A639" s="2" t="s">
        <v>1389</v>
      </c>
      <c r="B639" s="3">
        <v>157163</v>
      </c>
      <c r="C639" s="3">
        <v>900100</v>
      </c>
      <c r="D639" s="4" t="s">
        <v>81</v>
      </c>
      <c r="E639" s="4" t="s">
        <v>734</v>
      </c>
      <c r="F639" s="4" t="s">
        <v>87</v>
      </c>
      <c r="G639" s="4" t="s">
        <v>93</v>
      </c>
      <c r="H639" s="5">
        <v>2156.6</v>
      </c>
      <c r="I639" s="4" t="s">
        <v>21</v>
      </c>
      <c r="J639" s="5">
        <f t="shared" si="9"/>
        <v>-9750.85124</v>
      </c>
      <c r="K639" s="4" t="s">
        <v>39</v>
      </c>
      <c r="L639" s="6">
        <v>4.5213999999999999</v>
      </c>
      <c r="M639" s="6">
        <v>0.22120000000000001</v>
      </c>
      <c r="N639" s="6">
        <v>4.5476000000000001</v>
      </c>
      <c r="O639" s="6">
        <v>1</v>
      </c>
      <c r="P639" s="5">
        <v>56.434159999999999</v>
      </c>
      <c r="Q639" s="4" t="s">
        <v>1393</v>
      </c>
    </row>
    <row r="640" spans="1:17" x14ac:dyDescent="0.3">
      <c r="A640" s="2" t="s">
        <v>1389</v>
      </c>
      <c r="B640" s="3">
        <v>157164</v>
      </c>
      <c r="C640" s="3">
        <v>900101</v>
      </c>
      <c r="D640" s="4" t="s">
        <v>81</v>
      </c>
      <c r="E640" s="4" t="s">
        <v>735</v>
      </c>
      <c r="F640" s="4" t="s">
        <v>87</v>
      </c>
      <c r="G640" s="4" t="s">
        <v>34</v>
      </c>
      <c r="H640" s="5">
        <v>4979.28</v>
      </c>
      <c r="I640" s="4" t="s">
        <v>21</v>
      </c>
      <c r="J640" s="5">
        <f t="shared" si="9"/>
        <v>-18069.807119999998</v>
      </c>
      <c r="K640" s="4" t="s">
        <v>39</v>
      </c>
      <c r="L640" s="6">
        <v>3.629</v>
      </c>
      <c r="M640" s="6">
        <v>0.27560000000000001</v>
      </c>
      <c r="N640" s="6">
        <v>3.6345999999999998</v>
      </c>
      <c r="O640" s="6">
        <v>1</v>
      </c>
      <c r="P640" s="5">
        <v>27.881087999999998</v>
      </c>
      <c r="Q640" s="4" t="s">
        <v>1394</v>
      </c>
    </row>
    <row r="641" spans="1:17" x14ac:dyDescent="0.3">
      <c r="A641" s="2" t="s">
        <v>1389</v>
      </c>
      <c r="B641" s="3">
        <v>157165</v>
      </c>
      <c r="C641" s="3">
        <v>900102</v>
      </c>
      <c r="D641" s="4" t="s">
        <v>81</v>
      </c>
      <c r="E641" s="4" t="s">
        <v>735</v>
      </c>
      <c r="F641" s="4" t="s">
        <v>83</v>
      </c>
      <c r="G641" s="4" t="s">
        <v>20</v>
      </c>
      <c r="H641" s="5">
        <v>-10292.59</v>
      </c>
      <c r="I641" s="4" t="s">
        <v>21</v>
      </c>
      <c r="J641" s="5">
        <f t="shared" si="9"/>
        <v>43333.862418000004</v>
      </c>
      <c r="K641" s="4" t="s">
        <v>39</v>
      </c>
      <c r="L641" s="6">
        <v>4.2102000000000004</v>
      </c>
      <c r="M641" s="6">
        <v>0.23749999999999999</v>
      </c>
      <c r="N641" s="6">
        <v>4.2230999999999996</v>
      </c>
      <c r="O641" s="6">
        <v>1</v>
      </c>
      <c r="P641" s="5">
        <v>-132.77682899999999</v>
      </c>
      <c r="Q641" s="4" t="s">
        <v>1394</v>
      </c>
    </row>
    <row r="642" spans="1:17" x14ac:dyDescent="0.3">
      <c r="A642" s="2" t="s">
        <v>1389</v>
      </c>
      <c r="B642" s="3">
        <v>157166</v>
      </c>
      <c r="C642" s="3">
        <v>900103</v>
      </c>
      <c r="D642" s="4" t="s">
        <v>81</v>
      </c>
      <c r="E642" s="4" t="s">
        <v>734</v>
      </c>
      <c r="F642" s="4" t="s">
        <v>83</v>
      </c>
      <c r="G642" s="4" t="s">
        <v>91</v>
      </c>
      <c r="H642" s="5">
        <v>-1130.6500000000001</v>
      </c>
      <c r="I642" s="4" t="s">
        <v>21</v>
      </c>
      <c r="J642" s="5">
        <f t="shared" si="9"/>
        <v>5484.7831500000002</v>
      </c>
      <c r="K642" s="4" t="s">
        <v>39</v>
      </c>
      <c r="L642" s="6">
        <v>4.851</v>
      </c>
      <c r="M642" s="6">
        <v>0.20610000000000001</v>
      </c>
      <c r="N642" s="6">
        <v>4.8704000000000001</v>
      </c>
      <c r="O642" s="6">
        <v>1</v>
      </c>
      <c r="P642" s="5">
        <v>-21.937760000000001</v>
      </c>
      <c r="Q642" s="4" t="s">
        <v>1393</v>
      </c>
    </row>
    <row r="643" spans="1:17" x14ac:dyDescent="0.3">
      <c r="A643" s="2" t="s">
        <v>1389</v>
      </c>
      <c r="B643" s="3">
        <v>157167</v>
      </c>
      <c r="C643" s="3">
        <v>217613</v>
      </c>
      <c r="D643" s="4" t="s">
        <v>17</v>
      </c>
      <c r="E643" s="4" t="s">
        <v>727</v>
      </c>
      <c r="F643" s="4" t="s">
        <v>32</v>
      </c>
      <c r="G643" s="4" t="s">
        <v>20</v>
      </c>
      <c r="H643" s="5">
        <v>-21710</v>
      </c>
      <c r="I643" s="4" t="s">
        <v>21</v>
      </c>
      <c r="J643" s="5">
        <f t="shared" si="9"/>
        <v>91455.546000000002</v>
      </c>
      <c r="K643" s="4" t="s">
        <v>22</v>
      </c>
      <c r="L643" s="6">
        <v>4.2126000000000001</v>
      </c>
      <c r="M643" s="6">
        <v>0.2374</v>
      </c>
      <c r="N643" s="6">
        <v>4.2068000000000003</v>
      </c>
      <c r="O643" s="6">
        <v>1</v>
      </c>
      <c r="P643" s="5">
        <v>107.16200000000001</v>
      </c>
      <c r="Q643" s="4" t="s">
        <v>1397</v>
      </c>
    </row>
    <row r="644" spans="1:17" x14ac:dyDescent="0.3">
      <c r="A644" s="2" t="s">
        <v>1389</v>
      </c>
      <c r="B644" s="3">
        <v>157168</v>
      </c>
      <c r="C644" s="3">
        <v>900147</v>
      </c>
      <c r="D644" s="4" t="s">
        <v>81</v>
      </c>
      <c r="E644" s="4" t="s">
        <v>734</v>
      </c>
      <c r="F644" s="4" t="s">
        <v>83</v>
      </c>
      <c r="G644" s="4" t="s">
        <v>34</v>
      </c>
      <c r="H644" s="5">
        <v>-27101.32</v>
      </c>
      <c r="I644" s="4" t="s">
        <v>21</v>
      </c>
      <c r="J644" s="5">
        <f t="shared" ref="J644:J707" si="10">-H644*L644</f>
        <v>98342.559883999988</v>
      </c>
      <c r="K644" s="4" t="s">
        <v>39</v>
      </c>
      <c r="L644" s="6">
        <v>3.6286999999999998</v>
      </c>
      <c r="M644" s="6">
        <v>0.27560000000000001</v>
      </c>
      <c r="N644" s="6">
        <v>3.6345999999999998</v>
      </c>
      <c r="O644" s="6">
        <v>1</v>
      </c>
      <c r="P644" s="5">
        <v>-159.897672</v>
      </c>
      <c r="Q644" s="4" t="s">
        <v>1393</v>
      </c>
    </row>
    <row r="645" spans="1:17" x14ac:dyDescent="0.3">
      <c r="A645" s="2" t="s">
        <v>1389</v>
      </c>
      <c r="B645" s="3">
        <v>157169</v>
      </c>
      <c r="C645" s="3">
        <v>900148</v>
      </c>
      <c r="D645" s="4" t="s">
        <v>81</v>
      </c>
      <c r="E645" s="4" t="s">
        <v>734</v>
      </c>
      <c r="F645" s="4" t="s">
        <v>83</v>
      </c>
      <c r="G645" s="4" t="s">
        <v>20</v>
      </c>
      <c r="H645" s="5">
        <v>-48504.43</v>
      </c>
      <c r="I645" s="4" t="s">
        <v>21</v>
      </c>
      <c r="J645" s="5">
        <f t="shared" si="10"/>
        <v>204363.71491900002</v>
      </c>
      <c r="K645" s="4" t="s">
        <v>39</v>
      </c>
      <c r="L645" s="6">
        <v>4.2133000000000003</v>
      </c>
      <c r="M645" s="6">
        <v>0.23730000000000001</v>
      </c>
      <c r="N645" s="6">
        <v>4.2230999999999996</v>
      </c>
      <c r="O645" s="6">
        <v>1</v>
      </c>
      <c r="P645" s="5">
        <v>-474.36833300000001</v>
      </c>
      <c r="Q645" s="4" t="s">
        <v>1393</v>
      </c>
    </row>
    <row r="646" spans="1:17" x14ac:dyDescent="0.3">
      <c r="A646" s="2" t="s">
        <v>1389</v>
      </c>
      <c r="B646" s="3">
        <v>157170</v>
      </c>
      <c r="C646" s="3">
        <v>900149</v>
      </c>
      <c r="D646" s="4" t="s">
        <v>81</v>
      </c>
      <c r="E646" s="4" t="s">
        <v>734</v>
      </c>
      <c r="F646" s="4" t="s">
        <v>83</v>
      </c>
      <c r="G646" s="4" t="s">
        <v>93</v>
      </c>
      <c r="H646" s="5">
        <v>-3840.92</v>
      </c>
      <c r="I646" s="4" t="s">
        <v>21</v>
      </c>
      <c r="J646" s="5">
        <f t="shared" si="10"/>
        <v>17370.176608000002</v>
      </c>
      <c r="K646" s="4" t="s">
        <v>39</v>
      </c>
      <c r="L646" s="6">
        <v>4.5224000000000002</v>
      </c>
      <c r="M646" s="6">
        <v>0.22109999999999999</v>
      </c>
      <c r="N646" s="6">
        <v>4.5476000000000001</v>
      </c>
      <c r="O646" s="6">
        <v>1</v>
      </c>
      <c r="P646" s="5">
        <v>-96.947792000000007</v>
      </c>
      <c r="Q646" s="4" t="s">
        <v>1393</v>
      </c>
    </row>
    <row r="647" spans="1:17" x14ac:dyDescent="0.3">
      <c r="A647" s="2" t="s">
        <v>1389</v>
      </c>
      <c r="B647" s="3">
        <v>157171</v>
      </c>
      <c r="C647" s="3">
        <v>900150</v>
      </c>
      <c r="D647" s="4" t="s">
        <v>81</v>
      </c>
      <c r="E647" s="4" t="s">
        <v>734</v>
      </c>
      <c r="F647" s="4" t="s">
        <v>83</v>
      </c>
      <c r="G647" s="4" t="s">
        <v>91</v>
      </c>
      <c r="H647" s="5">
        <v>-424.23</v>
      </c>
      <c r="I647" s="4" t="s">
        <v>21</v>
      </c>
      <c r="J647" s="5">
        <f t="shared" si="10"/>
        <v>2061.0366090000002</v>
      </c>
      <c r="K647" s="4" t="s">
        <v>39</v>
      </c>
      <c r="L647" s="6">
        <v>4.8582999999999998</v>
      </c>
      <c r="M647" s="6">
        <v>0.20580000000000001</v>
      </c>
      <c r="N647" s="6">
        <v>4.8704000000000001</v>
      </c>
      <c r="O647" s="6">
        <v>1</v>
      </c>
      <c r="P647" s="5">
        <v>-5.1297920000000001</v>
      </c>
      <c r="Q647" s="4" t="s">
        <v>1393</v>
      </c>
    </row>
    <row r="648" spans="1:17" x14ac:dyDescent="0.3">
      <c r="A648" s="2" t="s">
        <v>1389</v>
      </c>
      <c r="B648" s="3">
        <v>157172</v>
      </c>
      <c r="C648" s="3">
        <v>217616</v>
      </c>
      <c r="D648" s="4" t="s">
        <v>17</v>
      </c>
      <c r="E648" s="4" t="s">
        <v>734</v>
      </c>
      <c r="F648" s="4" t="s">
        <v>32</v>
      </c>
      <c r="G648" s="4" t="s">
        <v>20</v>
      </c>
      <c r="H648" s="5">
        <v>-10000</v>
      </c>
      <c r="I648" s="4" t="s">
        <v>21</v>
      </c>
      <c r="J648" s="5">
        <f t="shared" si="10"/>
        <v>42131.999999999993</v>
      </c>
      <c r="K648" s="4" t="s">
        <v>22</v>
      </c>
      <c r="L648" s="6">
        <v>4.2131999999999996</v>
      </c>
      <c r="M648" s="6">
        <v>0.2374</v>
      </c>
      <c r="N648" s="6">
        <v>4.2068000000000003</v>
      </c>
      <c r="O648" s="6">
        <v>1</v>
      </c>
      <c r="P648" s="5">
        <v>51.19</v>
      </c>
      <c r="Q648" s="4" t="s">
        <v>1393</v>
      </c>
    </row>
    <row r="649" spans="1:17" x14ac:dyDescent="0.3">
      <c r="A649" s="2" t="s">
        <v>1389</v>
      </c>
      <c r="B649" s="3">
        <v>157173</v>
      </c>
      <c r="C649" s="3">
        <v>217617</v>
      </c>
      <c r="D649" s="4" t="s">
        <v>17</v>
      </c>
      <c r="E649" s="4" t="s">
        <v>735</v>
      </c>
      <c r="F649" s="4" t="s">
        <v>19</v>
      </c>
      <c r="G649" s="4" t="s">
        <v>20</v>
      </c>
      <c r="H649" s="5">
        <v>100000</v>
      </c>
      <c r="I649" s="4" t="s">
        <v>21</v>
      </c>
      <c r="J649" s="5">
        <f t="shared" si="10"/>
        <v>-421469.99999999994</v>
      </c>
      <c r="K649" s="4" t="s">
        <v>22</v>
      </c>
      <c r="L649" s="6">
        <v>4.2146999999999997</v>
      </c>
      <c r="M649" s="6">
        <v>0.23730000000000001</v>
      </c>
      <c r="N649" s="6">
        <v>4.2068000000000003</v>
      </c>
      <c r="O649" s="6">
        <v>1</v>
      </c>
      <c r="P649" s="5">
        <v>-789.99999999988358</v>
      </c>
      <c r="Q649" s="4" t="s">
        <v>1394</v>
      </c>
    </row>
    <row r="650" spans="1:17" x14ac:dyDescent="0.3">
      <c r="A650" s="2" t="s">
        <v>1389</v>
      </c>
      <c r="B650" s="3">
        <v>157174</v>
      </c>
      <c r="C650" s="3">
        <v>217620</v>
      </c>
      <c r="D650" s="4" t="s">
        <v>17</v>
      </c>
      <c r="E650" s="4" t="s">
        <v>727</v>
      </c>
      <c r="F650" s="4" t="s">
        <v>19</v>
      </c>
      <c r="G650" s="4" t="s">
        <v>20</v>
      </c>
      <c r="H650" s="5">
        <v>1500</v>
      </c>
      <c r="I650" s="4" t="s">
        <v>21</v>
      </c>
      <c r="J650" s="5">
        <f t="shared" si="10"/>
        <v>-6321.9</v>
      </c>
      <c r="K650" s="4" t="s">
        <v>22</v>
      </c>
      <c r="L650" s="6">
        <v>4.2145999999999999</v>
      </c>
      <c r="M650" s="6">
        <v>0.23730000000000001</v>
      </c>
      <c r="N650" s="6">
        <v>4.2068000000000003</v>
      </c>
      <c r="O650" s="6">
        <v>1</v>
      </c>
      <c r="P650" s="5">
        <v>-11.699999999998909</v>
      </c>
      <c r="Q650" s="4" t="s">
        <v>1397</v>
      </c>
    </row>
    <row r="651" spans="1:17" x14ac:dyDescent="0.3">
      <c r="A651" s="2" t="s">
        <v>1389</v>
      </c>
      <c r="B651" s="3">
        <v>157175</v>
      </c>
      <c r="C651" s="3">
        <v>217621</v>
      </c>
      <c r="D651" s="4" t="s">
        <v>17</v>
      </c>
      <c r="E651" s="4" t="s">
        <v>727</v>
      </c>
      <c r="F651" s="4" t="s">
        <v>19</v>
      </c>
      <c r="G651" s="4" t="s">
        <v>20</v>
      </c>
      <c r="H651" s="5">
        <v>340000</v>
      </c>
      <c r="I651" s="4" t="s">
        <v>21</v>
      </c>
      <c r="J651" s="5">
        <f t="shared" si="10"/>
        <v>-1432760.0000000002</v>
      </c>
      <c r="K651" s="4" t="s">
        <v>22</v>
      </c>
      <c r="L651" s="6">
        <v>4.2140000000000004</v>
      </c>
      <c r="M651" s="6">
        <v>0.23730000000000001</v>
      </c>
      <c r="N651" s="6">
        <v>4.2068000000000003</v>
      </c>
      <c r="O651" s="6">
        <v>1</v>
      </c>
      <c r="P651" s="5">
        <v>-2448.0000000002328</v>
      </c>
      <c r="Q651" s="4" t="s">
        <v>1397</v>
      </c>
    </row>
    <row r="652" spans="1:17" x14ac:dyDescent="0.3">
      <c r="A652" s="2" t="s">
        <v>1389</v>
      </c>
      <c r="B652" s="3">
        <v>157176</v>
      </c>
      <c r="C652" s="3">
        <v>217623</v>
      </c>
      <c r="D652" s="4" t="s">
        <v>17</v>
      </c>
      <c r="E652" s="4" t="s">
        <v>727</v>
      </c>
      <c r="F652" s="4" t="s">
        <v>19</v>
      </c>
      <c r="G652" s="4" t="s">
        <v>20</v>
      </c>
      <c r="H652" s="5">
        <v>15450</v>
      </c>
      <c r="I652" s="4" t="s">
        <v>21</v>
      </c>
      <c r="J652" s="5">
        <f t="shared" si="10"/>
        <v>-65104.754999999997</v>
      </c>
      <c r="K652" s="4" t="s">
        <v>22</v>
      </c>
      <c r="L652" s="6">
        <v>4.2138999999999998</v>
      </c>
      <c r="M652" s="6">
        <v>0.23730000000000001</v>
      </c>
      <c r="N652" s="6">
        <v>4.2068000000000003</v>
      </c>
      <c r="O652" s="6">
        <v>1</v>
      </c>
      <c r="P652" s="5">
        <v>-109.69499999999243</v>
      </c>
      <c r="Q652" s="4" t="s">
        <v>1397</v>
      </c>
    </row>
    <row r="653" spans="1:17" x14ac:dyDescent="0.3">
      <c r="A653" s="2" t="s">
        <v>1389</v>
      </c>
      <c r="B653" s="3">
        <v>157177</v>
      </c>
      <c r="C653" s="3">
        <v>217626</v>
      </c>
      <c r="D653" s="4" t="s">
        <v>17</v>
      </c>
      <c r="E653" s="4" t="s">
        <v>727</v>
      </c>
      <c r="F653" s="4" t="s">
        <v>19</v>
      </c>
      <c r="G653" s="4" t="s">
        <v>20</v>
      </c>
      <c r="H653" s="5">
        <v>4000</v>
      </c>
      <c r="I653" s="4" t="s">
        <v>21</v>
      </c>
      <c r="J653" s="5">
        <f t="shared" si="10"/>
        <v>-16856.8</v>
      </c>
      <c r="K653" s="4" t="s">
        <v>22</v>
      </c>
      <c r="L653" s="6">
        <v>4.2141999999999999</v>
      </c>
      <c r="M653" s="6">
        <v>0.23730000000000001</v>
      </c>
      <c r="N653" s="6">
        <v>4.2068000000000003</v>
      </c>
      <c r="O653" s="6">
        <v>1</v>
      </c>
      <c r="P653" s="5">
        <v>-29.599999999998545</v>
      </c>
      <c r="Q653" s="4" t="s">
        <v>1397</v>
      </c>
    </row>
    <row r="654" spans="1:17" x14ac:dyDescent="0.3">
      <c r="A654" s="2" t="s">
        <v>1389</v>
      </c>
      <c r="B654" s="3">
        <v>157178</v>
      </c>
      <c r="C654" s="3">
        <v>217627</v>
      </c>
      <c r="D654" s="4" t="s">
        <v>17</v>
      </c>
      <c r="E654" s="4" t="s">
        <v>730</v>
      </c>
      <c r="F654" s="4" t="s">
        <v>32</v>
      </c>
      <c r="G654" s="4" t="s">
        <v>20</v>
      </c>
      <c r="H654" s="5">
        <v>-20000</v>
      </c>
      <c r="I654" s="4" t="s">
        <v>21</v>
      </c>
      <c r="J654" s="5">
        <f t="shared" si="10"/>
        <v>84270</v>
      </c>
      <c r="K654" s="4" t="s">
        <v>22</v>
      </c>
      <c r="L654" s="6">
        <v>4.2134999999999998</v>
      </c>
      <c r="M654" s="6">
        <v>0.23730000000000001</v>
      </c>
      <c r="N654" s="6">
        <v>4.2068000000000003</v>
      </c>
      <c r="O654" s="6">
        <v>1</v>
      </c>
      <c r="P654" s="5">
        <v>115.53</v>
      </c>
      <c r="Q654" s="4" t="s">
        <v>1396</v>
      </c>
    </row>
    <row r="655" spans="1:17" x14ac:dyDescent="0.3">
      <c r="A655" s="2" t="s">
        <v>1389</v>
      </c>
      <c r="B655" s="3">
        <v>157179</v>
      </c>
      <c r="C655" s="3">
        <v>217630</v>
      </c>
      <c r="D655" s="4" t="s">
        <v>17</v>
      </c>
      <c r="E655" s="4" t="s">
        <v>735</v>
      </c>
      <c r="F655" s="4" t="s">
        <v>19</v>
      </c>
      <c r="G655" s="4" t="s">
        <v>20</v>
      </c>
      <c r="H655" s="5">
        <v>4573</v>
      </c>
      <c r="I655" s="4" t="s">
        <v>21</v>
      </c>
      <c r="J655" s="5">
        <f t="shared" si="10"/>
        <v>-19270.622000000003</v>
      </c>
      <c r="K655" s="4" t="s">
        <v>22</v>
      </c>
      <c r="L655" s="6">
        <v>4.2140000000000004</v>
      </c>
      <c r="M655" s="6">
        <v>0.23730000000000001</v>
      </c>
      <c r="N655" s="6">
        <v>4.2068000000000003</v>
      </c>
      <c r="O655" s="6">
        <v>1</v>
      </c>
      <c r="P655" s="5">
        <v>-32.925600000002305</v>
      </c>
      <c r="Q655" s="4" t="s">
        <v>1394</v>
      </c>
    </row>
    <row r="656" spans="1:17" x14ac:dyDescent="0.3">
      <c r="A656" s="2" t="s">
        <v>1389</v>
      </c>
      <c r="B656" s="3">
        <v>157180</v>
      </c>
      <c r="C656" s="3">
        <v>217631</v>
      </c>
      <c r="D656" s="4" t="s">
        <v>17</v>
      </c>
      <c r="E656" s="4" t="s">
        <v>730</v>
      </c>
      <c r="F656" s="4" t="s">
        <v>32</v>
      </c>
      <c r="G656" s="4" t="s">
        <v>20</v>
      </c>
      <c r="H656" s="5">
        <v>-10000</v>
      </c>
      <c r="I656" s="4" t="s">
        <v>21</v>
      </c>
      <c r="J656" s="5">
        <f t="shared" si="10"/>
        <v>42127</v>
      </c>
      <c r="K656" s="4" t="s">
        <v>22</v>
      </c>
      <c r="L656" s="6">
        <v>4.2126999999999999</v>
      </c>
      <c r="M656" s="6">
        <v>0.2374</v>
      </c>
      <c r="N656" s="6">
        <v>4.2068000000000003</v>
      </c>
      <c r="O656" s="6">
        <v>1</v>
      </c>
      <c r="P656" s="5">
        <v>50.27</v>
      </c>
      <c r="Q656" s="4" t="s">
        <v>1396</v>
      </c>
    </row>
    <row r="657" spans="1:17" x14ac:dyDescent="0.3">
      <c r="A657" s="2" t="s">
        <v>1389</v>
      </c>
      <c r="B657" s="3">
        <v>157181</v>
      </c>
      <c r="C657" s="3">
        <v>900187</v>
      </c>
      <c r="D657" s="4" t="s">
        <v>81</v>
      </c>
      <c r="E657" s="4" t="s">
        <v>743</v>
      </c>
      <c r="F657" s="4" t="s">
        <v>83</v>
      </c>
      <c r="G657" s="4" t="s">
        <v>20</v>
      </c>
      <c r="H657" s="5">
        <v>-126675.51</v>
      </c>
      <c r="I657" s="4" t="s">
        <v>21</v>
      </c>
      <c r="J657" s="5">
        <f t="shared" si="10"/>
        <v>533759.92893599987</v>
      </c>
      <c r="K657" s="4" t="s">
        <v>39</v>
      </c>
      <c r="L657" s="6">
        <v>4.2135999999999996</v>
      </c>
      <c r="M657" s="6">
        <v>0.23730000000000001</v>
      </c>
      <c r="N657" s="6">
        <v>4.2230999999999996</v>
      </c>
      <c r="O657" s="6">
        <v>1</v>
      </c>
      <c r="P657" s="5">
        <v>-1204.686281</v>
      </c>
      <c r="Q657" s="4" t="s">
        <v>1395</v>
      </c>
    </row>
    <row r="658" spans="1:17" x14ac:dyDescent="0.3">
      <c r="A658" s="2" t="s">
        <v>1389</v>
      </c>
      <c r="B658" s="3">
        <v>157182</v>
      </c>
      <c r="C658" s="3">
        <v>217633</v>
      </c>
      <c r="D658" s="4" t="s">
        <v>17</v>
      </c>
      <c r="E658" s="4" t="s">
        <v>735</v>
      </c>
      <c r="F658" s="4" t="s">
        <v>19</v>
      </c>
      <c r="G658" s="4" t="s">
        <v>20</v>
      </c>
      <c r="H658" s="5">
        <v>1000</v>
      </c>
      <c r="I658" s="4" t="s">
        <v>21</v>
      </c>
      <c r="J658" s="5">
        <f t="shared" si="10"/>
        <v>-4214.2</v>
      </c>
      <c r="K658" s="4" t="s">
        <v>22</v>
      </c>
      <c r="L658" s="6">
        <v>4.2141999999999999</v>
      </c>
      <c r="M658" s="6">
        <v>0.23730000000000001</v>
      </c>
      <c r="N658" s="6">
        <v>4.2068000000000003</v>
      </c>
      <c r="O658" s="6">
        <v>1</v>
      </c>
      <c r="P658" s="5">
        <v>-7.3999999999996362</v>
      </c>
      <c r="Q658" s="4" t="s">
        <v>1394</v>
      </c>
    </row>
    <row r="659" spans="1:17" x14ac:dyDescent="0.3">
      <c r="A659" s="2" t="s">
        <v>1389</v>
      </c>
      <c r="B659" s="3">
        <v>157183</v>
      </c>
      <c r="C659" s="3">
        <v>217635</v>
      </c>
      <c r="D659" s="4" t="s">
        <v>17</v>
      </c>
      <c r="E659" s="4" t="s">
        <v>730</v>
      </c>
      <c r="F659" s="4" t="s">
        <v>32</v>
      </c>
      <c r="G659" s="4" t="s">
        <v>20</v>
      </c>
      <c r="H659" s="5">
        <v>-1000</v>
      </c>
      <c r="I659" s="4" t="s">
        <v>21</v>
      </c>
      <c r="J659" s="5">
        <f t="shared" si="10"/>
        <v>4213.5999999999995</v>
      </c>
      <c r="K659" s="4" t="s">
        <v>22</v>
      </c>
      <c r="L659" s="6">
        <v>4.2135999999999996</v>
      </c>
      <c r="M659" s="6">
        <v>0.23730000000000001</v>
      </c>
      <c r="N659" s="6">
        <v>4.2068000000000003</v>
      </c>
      <c r="O659" s="6">
        <v>1</v>
      </c>
      <c r="P659" s="5">
        <v>5.92</v>
      </c>
      <c r="Q659" s="4" t="s">
        <v>1396</v>
      </c>
    </row>
    <row r="660" spans="1:17" x14ac:dyDescent="0.3">
      <c r="A660" s="2" t="s">
        <v>1389</v>
      </c>
      <c r="B660" s="3">
        <v>157184</v>
      </c>
      <c r="C660" s="3">
        <v>217637</v>
      </c>
      <c r="D660" s="4" t="s">
        <v>17</v>
      </c>
      <c r="E660" s="4" t="s">
        <v>735</v>
      </c>
      <c r="F660" s="4" t="s">
        <v>19</v>
      </c>
      <c r="G660" s="4" t="s">
        <v>20</v>
      </c>
      <c r="H660" s="5">
        <v>1000</v>
      </c>
      <c r="I660" s="4" t="s">
        <v>21</v>
      </c>
      <c r="J660" s="5">
        <f t="shared" si="10"/>
        <v>-4214.2999999999993</v>
      </c>
      <c r="K660" s="4" t="s">
        <v>22</v>
      </c>
      <c r="L660" s="6">
        <v>4.2142999999999997</v>
      </c>
      <c r="M660" s="6">
        <v>0.23730000000000001</v>
      </c>
      <c r="N660" s="6">
        <v>4.2068000000000003</v>
      </c>
      <c r="O660" s="6">
        <v>1</v>
      </c>
      <c r="P660" s="5">
        <v>-7.4999999999990905</v>
      </c>
      <c r="Q660" s="4" t="s">
        <v>1394</v>
      </c>
    </row>
    <row r="661" spans="1:17" x14ac:dyDescent="0.3">
      <c r="A661" s="2" t="s">
        <v>1389</v>
      </c>
      <c r="B661" s="3">
        <v>157185</v>
      </c>
      <c r="C661" s="3">
        <v>217639</v>
      </c>
      <c r="D661" s="4" t="s">
        <v>17</v>
      </c>
      <c r="E661" s="4" t="s">
        <v>735</v>
      </c>
      <c r="F661" s="4" t="s">
        <v>32</v>
      </c>
      <c r="G661" s="4" t="s">
        <v>20</v>
      </c>
      <c r="H661" s="5">
        <v>-10000</v>
      </c>
      <c r="I661" s="4" t="s">
        <v>34</v>
      </c>
      <c r="J661" s="5">
        <f t="shared" si="10"/>
        <v>11612</v>
      </c>
      <c r="K661" s="4" t="s">
        <v>22</v>
      </c>
      <c r="L661" s="6">
        <v>1.1612</v>
      </c>
      <c r="M661" s="6">
        <v>0.86119999999999997</v>
      </c>
      <c r="N661" s="6">
        <v>4.2068000000000003</v>
      </c>
      <c r="O661" s="6">
        <v>3.6153</v>
      </c>
      <c r="P661" s="5">
        <v>-95.921578999999994</v>
      </c>
      <c r="Q661" s="4" t="s">
        <v>1394</v>
      </c>
    </row>
    <row r="662" spans="1:17" x14ac:dyDescent="0.3">
      <c r="A662" s="2" t="s">
        <v>1389</v>
      </c>
      <c r="B662" s="3">
        <v>157186</v>
      </c>
      <c r="C662" s="3">
        <v>217641</v>
      </c>
      <c r="D662" s="4" t="s">
        <v>17</v>
      </c>
      <c r="E662" s="4" t="s">
        <v>735</v>
      </c>
      <c r="F662" s="4" t="s">
        <v>19</v>
      </c>
      <c r="G662" s="4" t="s">
        <v>20</v>
      </c>
      <c r="H662" s="5">
        <v>4000</v>
      </c>
      <c r="I662" s="4" t="s">
        <v>21</v>
      </c>
      <c r="J662" s="5">
        <f t="shared" si="10"/>
        <v>-16857.600000000002</v>
      </c>
      <c r="K662" s="4" t="s">
        <v>22</v>
      </c>
      <c r="L662" s="6">
        <v>4.2144000000000004</v>
      </c>
      <c r="M662" s="6">
        <v>0.23730000000000001</v>
      </c>
      <c r="N662" s="6">
        <v>4.2068000000000003</v>
      </c>
      <c r="O662" s="6">
        <v>1</v>
      </c>
      <c r="P662" s="5">
        <v>-30.400000000001455</v>
      </c>
      <c r="Q662" s="4" t="s">
        <v>1394</v>
      </c>
    </row>
    <row r="663" spans="1:17" x14ac:dyDescent="0.3">
      <c r="A663" s="2" t="s">
        <v>1389</v>
      </c>
      <c r="B663" s="3">
        <v>157187</v>
      </c>
      <c r="C663" s="3">
        <v>900209</v>
      </c>
      <c r="D663" s="4" t="s">
        <v>81</v>
      </c>
      <c r="E663" s="4" t="s">
        <v>743</v>
      </c>
      <c r="F663" s="4" t="s">
        <v>83</v>
      </c>
      <c r="G663" s="4" t="s">
        <v>34</v>
      </c>
      <c r="H663" s="5">
        <v>-16186.58</v>
      </c>
      <c r="I663" s="4" t="s">
        <v>21</v>
      </c>
      <c r="J663" s="5">
        <f t="shared" si="10"/>
        <v>58729.768213999996</v>
      </c>
      <c r="K663" s="4" t="s">
        <v>39</v>
      </c>
      <c r="L663" s="6">
        <v>3.6282999999999999</v>
      </c>
      <c r="M663" s="6">
        <v>0.27560000000000001</v>
      </c>
      <c r="N663" s="6">
        <v>3.6345999999999998</v>
      </c>
      <c r="O663" s="6">
        <v>1</v>
      </c>
      <c r="P663" s="5">
        <v>-101.653668</v>
      </c>
      <c r="Q663" s="4" t="s">
        <v>1395</v>
      </c>
    </row>
    <row r="664" spans="1:17" x14ac:dyDescent="0.3">
      <c r="A664" s="2" t="s">
        <v>1389</v>
      </c>
      <c r="B664" s="3">
        <v>157188</v>
      </c>
      <c r="C664" s="3">
        <v>900210</v>
      </c>
      <c r="D664" s="4" t="s">
        <v>81</v>
      </c>
      <c r="E664" s="4" t="s">
        <v>735</v>
      </c>
      <c r="F664" s="4" t="s">
        <v>87</v>
      </c>
      <c r="G664" s="4" t="s">
        <v>91</v>
      </c>
      <c r="H664" s="5">
        <v>248</v>
      </c>
      <c r="I664" s="4" t="s">
        <v>21</v>
      </c>
      <c r="J664" s="5">
        <f t="shared" si="10"/>
        <v>-1204.6351999999999</v>
      </c>
      <c r="K664" s="4" t="s">
        <v>39</v>
      </c>
      <c r="L664" s="6">
        <v>4.8574000000000002</v>
      </c>
      <c r="M664" s="6">
        <v>0.2059</v>
      </c>
      <c r="N664" s="6">
        <v>4.8704000000000001</v>
      </c>
      <c r="O664" s="6">
        <v>1</v>
      </c>
      <c r="P664" s="5">
        <v>3.2191999999999998</v>
      </c>
      <c r="Q664" s="4" t="s">
        <v>1394</v>
      </c>
    </row>
    <row r="665" spans="1:17" x14ac:dyDescent="0.3">
      <c r="A665" s="2" t="s">
        <v>1389</v>
      </c>
      <c r="B665" s="3">
        <v>157189</v>
      </c>
      <c r="C665" s="3">
        <v>900211</v>
      </c>
      <c r="D665" s="4" t="s">
        <v>81</v>
      </c>
      <c r="E665" s="4" t="s">
        <v>743</v>
      </c>
      <c r="F665" s="4" t="s">
        <v>83</v>
      </c>
      <c r="G665" s="4" t="s">
        <v>20</v>
      </c>
      <c r="H665" s="5">
        <v>-16184.56</v>
      </c>
      <c r="I665" s="4" t="s">
        <v>21</v>
      </c>
      <c r="J665" s="5">
        <f t="shared" si="10"/>
        <v>68201.735840000008</v>
      </c>
      <c r="K665" s="4" t="s">
        <v>39</v>
      </c>
      <c r="L665" s="6">
        <v>4.2140000000000004</v>
      </c>
      <c r="M665" s="6">
        <v>0.23730000000000001</v>
      </c>
      <c r="N665" s="6">
        <v>4.2230999999999996</v>
      </c>
      <c r="O665" s="6">
        <v>1</v>
      </c>
      <c r="P665" s="5">
        <v>-146.95533599999999</v>
      </c>
      <c r="Q665" s="4" t="s">
        <v>1395</v>
      </c>
    </row>
    <row r="666" spans="1:17" x14ac:dyDescent="0.3">
      <c r="A666" s="2" t="s">
        <v>1389</v>
      </c>
      <c r="B666" s="3">
        <v>157190</v>
      </c>
      <c r="C666" s="3">
        <v>900212</v>
      </c>
      <c r="D666" s="4" t="s">
        <v>81</v>
      </c>
      <c r="E666" s="4" t="s">
        <v>743</v>
      </c>
      <c r="F666" s="4" t="s">
        <v>83</v>
      </c>
      <c r="G666" s="4" t="s">
        <v>93</v>
      </c>
      <c r="H666" s="5">
        <v>-3283</v>
      </c>
      <c r="I666" s="4" t="s">
        <v>21</v>
      </c>
      <c r="J666" s="5">
        <f t="shared" si="10"/>
        <v>14846.382599999999</v>
      </c>
      <c r="K666" s="4" t="s">
        <v>39</v>
      </c>
      <c r="L666" s="6">
        <v>4.5221999999999998</v>
      </c>
      <c r="M666" s="6">
        <v>0.22109999999999999</v>
      </c>
      <c r="N666" s="6">
        <v>4.5476000000000001</v>
      </c>
      <c r="O666" s="6">
        <v>1</v>
      </c>
      <c r="P666" s="5">
        <v>-83.290800000000004</v>
      </c>
      <c r="Q666" s="4" t="s">
        <v>1395</v>
      </c>
    </row>
    <row r="667" spans="1:17" x14ac:dyDescent="0.3">
      <c r="A667" s="2" t="s">
        <v>1389</v>
      </c>
      <c r="B667" s="3">
        <v>157191</v>
      </c>
      <c r="C667" s="3">
        <v>217643</v>
      </c>
      <c r="D667" s="4" t="s">
        <v>17</v>
      </c>
      <c r="E667" s="4" t="s">
        <v>730</v>
      </c>
      <c r="F667" s="4" t="s">
        <v>32</v>
      </c>
      <c r="G667" s="4" t="s">
        <v>20</v>
      </c>
      <c r="H667" s="5">
        <v>-50000</v>
      </c>
      <c r="I667" s="4" t="s">
        <v>21</v>
      </c>
      <c r="J667" s="5">
        <f t="shared" si="10"/>
        <v>210690</v>
      </c>
      <c r="K667" s="4" t="s">
        <v>22</v>
      </c>
      <c r="L667" s="6">
        <v>4.2138</v>
      </c>
      <c r="M667" s="6">
        <v>0.23730000000000001</v>
      </c>
      <c r="N667" s="6">
        <v>4.2068000000000003</v>
      </c>
      <c r="O667" s="6">
        <v>1</v>
      </c>
      <c r="P667" s="5">
        <v>295.14999999999998</v>
      </c>
      <c r="Q667" s="4" t="s">
        <v>1396</v>
      </c>
    </row>
    <row r="668" spans="1:17" x14ac:dyDescent="0.3">
      <c r="A668" s="2" t="s">
        <v>1389</v>
      </c>
      <c r="B668" s="3">
        <v>157192</v>
      </c>
      <c r="C668" s="3">
        <v>217644</v>
      </c>
      <c r="D668" s="4" t="s">
        <v>17</v>
      </c>
      <c r="E668" s="4" t="s">
        <v>1096</v>
      </c>
      <c r="F668" s="4" t="s">
        <v>19</v>
      </c>
      <c r="G668" s="4" t="s">
        <v>20</v>
      </c>
      <c r="H668" s="5">
        <v>50000</v>
      </c>
      <c r="I668" s="4" t="s">
        <v>21</v>
      </c>
      <c r="J668" s="5">
        <f t="shared" si="10"/>
        <v>-210390</v>
      </c>
      <c r="K668" s="4" t="s">
        <v>22</v>
      </c>
      <c r="L668" s="6">
        <v>4.2077999999999998</v>
      </c>
      <c r="M668" s="6">
        <v>0.23769999999999999</v>
      </c>
      <c r="N668" s="6">
        <v>4.2068000000000003</v>
      </c>
      <c r="O668" s="6">
        <v>1</v>
      </c>
      <c r="P668" s="5">
        <v>-49.999999999970896</v>
      </c>
      <c r="Q668" s="4" t="s">
        <v>1390</v>
      </c>
    </row>
    <row r="669" spans="1:17" x14ac:dyDescent="0.3">
      <c r="A669" s="2" t="s">
        <v>1389</v>
      </c>
      <c r="B669" s="3">
        <v>157193</v>
      </c>
      <c r="C669" s="3">
        <v>217645</v>
      </c>
      <c r="D669" s="4" t="s">
        <v>17</v>
      </c>
      <c r="E669" s="4" t="s">
        <v>735</v>
      </c>
      <c r="F669" s="4" t="s">
        <v>19</v>
      </c>
      <c r="G669" s="4" t="s">
        <v>20</v>
      </c>
      <c r="H669" s="5">
        <v>5700</v>
      </c>
      <c r="I669" s="4" t="s">
        <v>21</v>
      </c>
      <c r="J669" s="5">
        <f t="shared" si="10"/>
        <v>-24024.36</v>
      </c>
      <c r="K669" s="4" t="s">
        <v>22</v>
      </c>
      <c r="L669" s="6">
        <v>4.2148000000000003</v>
      </c>
      <c r="M669" s="6">
        <v>0.23730000000000001</v>
      </c>
      <c r="N669" s="6">
        <v>4.2068000000000003</v>
      </c>
      <c r="O669" s="6">
        <v>1</v>
      </c>
      <c r="P669" s="5">
        <v>-45.599999999998545</v>
      </c>
      <c r="Q669" s="4" t="s">
        <v>1394</v>
      </c>
    </row>
    <row r="670" spans="1:17" x14ac:dyDescent="0.3">
      <c r="A670" s="2" t="s">
        <v>1389</v>
      </c>
      <c r="B670" s="3">
        <v>157194</v>
      </c>
      <c r="C670" s="3">
        <v>900232</v>
      </c>
      <c r="D670" s="4" t="s">
        <v>81</v>
      </c>
      <c r="E670" s="4" t="s">
        <v>732</v>
      </c>
      <c r="F670" s="4" t="s">
        <v>87</v>
      </c>
      <c r="G670" s="4" t="s">
        <v>20</v>
      </c>
      <c r="H670" s="5">
        <v>1000000</v>
      </c>
      <c r="I670" s="4" t="s">
        <v>21</v>
      </c>
      <c r="J670" s="5">
        <f t="shared" si="10"/>
        <v>-4214100</v>
      </c>
      <c r="K670" s="4" t="s">
        <v>39</v>
      </c>
      <c r="L670" s="6">
        <v>4.2141000000000002</v>
      </c>
      <c r="M670" s="6">
        <v>0.23730000000000001</v>
      </c>
      <c r="N670" s="6">
        <v>4.2230999999999996</v>
      </c>
      <c r="O670" s="6">
        <v>1</v>
      </c>
      <c r="P670" s="5">
        <v>8980</v>
      </c>
      <c r="Q670" s="4" t="s">
        <v>1394</v>
      </c>
    </row>
    <row r="671" spans="1:17" x14ac:dyDescent="0.3">
      <c r="A671" s="2" t="s">
        <v>1389</v>
      </c>
      <c r="B671" s="3">
        <v>157195</v>
      </c>
      <c r="C671" s="3">
        <v>900256</v>
      </c>
      <c r="D671" s="4" t="s">
        <v>81</v>
      </c>
      <c r="E671" s="4" t="s">
        <v>742</v>
      </c>
      <c r="F671" s="4" t="s">
        <v>83</v>
      </c>
      <c r="G671" s="4" t="s">
        <v>34</v>
      </c>
      <c r="H671" s="5">
        <v>-500000</v>
      </c>
      <c r="I671" s="4" t="s">
        <v>21</v>
      </c>
      <c r="J671" s="5">
        <f t="shared" si="10"/>
        <v>1815250</v>
      </c>
      <c r="K671" s="4" t="s">
        <v>39</v>
      </c>
      <c r="L671" s="6">
        <v>3.6305000000000001</v>
      </c>
      <c r="M671" s="6">
        <v>0.27539999999999998</v>
      </c>
      <c r="N671" s="6">
        <v>3.6345999999999998</v>
      </c>
      <c r="O671" s="6">
        <v>1</v>
      </c>
      <c r="P671" s="5">
        <v>-2050</v>
      </c>
      <c r="Q671" s="4" t="s">
        <v>1396</v>
      </c>
    </row>
    <row r="672" spans="1:17" x14ac:dyDescent="0.3">
      <c r="A672" s="2" t="s">
        <v>1389</v>
      </c>
      <c r="B672" s="3">
        <v>157196</v>
      </c>
      <c r="C672" s="3">
        <v>900263</v>
      </c>
      <c r="D672" s="4" t="s">
        <v>81</v>
      </c>
      <c r="E672" s="4" t="s">
        <v>742</v>
      </c>
      <c r="F672" s="4" t="s">
        <v>83</v>
      </c>
      <c r="G672" s="4" t="s">
        <v>20</v>
      </c>
      <c r="H672" s="5">
        <v>-1000000</v>
      </c>
      <c r="I672" s="4" t="s">
        <v>21</v>
      </c>
      <c r="J672" s="5">
        <f t="shared" si="10"/>
        <v>4216300</v>
      </c>
      <c r="K672" s="4" t="s">
        <v>39</v>
      </c>
      <c r="L672" s="6">
        <v>4.2163000000000004</v>
      </c>
      <c r="M672" s="6">
        <v>0.23719999999999999</v>
      </c>
      <c r="N672" s="6">
        <v>4.2230999999999996</v>
      </c>
      <c r="O672" s="6">
        <v>1</v>
      </c>
      <c r="P672" s="5">
        <v>-6800</v>
      </c>
      <c r="Q672" s="4" t="s">
        <v>1396</v>
      </c>
    </row>
    <row r="673" spans="1:17" x14ac:dyDescent="0.3">
      <c r="A673" s="2" t="s">
        <v>1389</v>
      </c>
      <c r="B673" s="3">
        <v>157197</v>
      </c>
      <c r="C673" s="3">
        <v>217660</v>
      </c>
      <c r="D673" s="4" t="s">
        <v>17</v>
      </c>
      <c r="E673" s="4" t="s">
        <v>1180</v>
      </c>
      <c r="F673" s="4" t="s">
        <v>19</v>
      </c>
      <c r="G673" s="4" t="s">
        <v>20</v>
      </c>
      <c r="H673" s="5">
        <v>69712.36</v>
      </c>
      <c r="I673" s="4" t="s">
        <v>21</v>
      </c>
      <c r="J673" s="5">
        <f t="shared" si="10"/>
        <v>-293489.0356</v>
      </c>
      <c r="K673" s="4" t="s">
        <v>22</v>
      </c>
      <c r="L673" s="6">
        <v>4.21</v>
      </c>
      <c r="M673" s="6">
        <v>0.23749999999999999</v>
      </c>
      <c r="N673" s="6">
        <v>4.2068000000000003</v>
      </c>
      <c r="O673" s="6">
        <v>1</v>
      </c>
      <c r="P673" s="5">
        <v>-223.07955199998105</v>
      </c>
      <c r="Q673" s="4" t="s">
        <v>1390</v>
      </c>
    </row>
    <row r="674" spans="1:17" x14ac:dyDescent="0.3">
      <c r="A674" s="2" t="s">
        <v>1389</v>
      </c>
      <c r="B674" s="3">
        <v>157198</v>
      </c>
      <c r="C674" s="3">
        <v>217661</v>
      </c>
      <c r="D674" s="4" t="s">
        <v>17</v>
      </c>
      <c r="E674" s="4" t="s">
        <v>1019</v>
      </c>
      <c r="F674" s="4" t="s">
        <v>32</v>
      </c>
      <c r="G674" s="4" t="s">
        <v>34</v>
      </c>
      <c r="H674" s="5">
        <v>-38000</v>
      </c>
      <c r="I674" s="4" t="s">
        <v>21</v>
      </c>
      <c r="J674" s="5">
        <f t="shared" si="10"/>
        <v>138320</v>
      </c>
      <c r="K674" s="4" t="s">
        <v>22</v>
      </c>
      <c r="L674" s="6">
        <v>3.64</v>
      </c>
      <c r="M674" s="6">
        <v>0.2747</v>
      </c>
      <c r="N674" s="6">
        <v>3.6153</v>
      </c>
      <c r="O674" s="6">
        <v>1</v>
      </c>
      <c r="P674" s="5">
        <v>938.6</v>
      </c>
      <c r="Q674" s="4" t="s">
        <v>1390</v>
      </c>
    </row>
    <row r="675" spans="1:17" x14ac:dyDescent="0.3">
      <c r="A675" s="2" t="s">
        <v>1389</v>
      </c>
      <c r="B675" s="3">
        <v>157199</v>
      </c>
      <c r="C675" s="3">
        <v>217662</v>
      </c>
      <c r="D675" s="4" t="s">
        <v>17</v>
      </c>
      <c r="E675" s="4" t="s">
        <v>1120</v>
      </c>
      <c r="F675" s="4" t="s">
        <v>19</v>
      </c>
      <c r="G675" s="4" t="s">
        <v>20</v>
      </c>
      <c r="H675" s="5">
        <v>20000</v>
      </c>
      <c r="I675" s="4" t="s">
        <v>21</v>
      </c>
      <c r="J675" s="5">
        <f t="shared" si="10"/>
        <v>-84019.999999999985</v>
      </c>
      <c r="K675" s="4" t="s">
        <v>22</v>
      </c>
      <c r="L675" s="6">
        <v>4.2009999999999996</v>
      </c>
      <c r="M675" s="6">
        <v>0.23799999999999999</v>
      </c>
      <c r="N675" s="6">
        <v>4.2068000000000003</v>
      </c>
      <c r="O675" s="6">
        <v>1</v>
      </c>
      <c r="P675" s="5">
        <v>116.00000000001455</v>
      </c>
      <c r="Q675" s="4" t="s">
        <v>1390</v>
      </c>
    </row>
    <row r="676" spans="1:17" x14ac:dyDescent="0.3">
      <c r="A676" s="2" t="s">
        <v>1389</v>
      </c>
      <c r="B676" s="3">
        <v>157200</v>
      </c>
      <c r="C676" s="3">
        <v>217666</v>
      </c>
      <c r="D676" s="4" t="s">
        <v>17</v>
      </c>
      <c r="E676" s="4" t="s">
        <v>1284</v>
      </c>
      <c r="F676" s="4" t="s">
        <v>19</v>
      </c>
      <c r="G676" s="4" t="s">
        <v>20</v>
      </c>
      <c r="H676" s="5">
        <v>95000</v>
      </c>
      <c r="I676" s="4" t="s">
        <v>21</v>
      </c>
      <c r="J676" s="5">
        <f t="shared" si="10"/>
        <v>-399551</v>
      </c>
      <c r="K676" s="4" t="s">
        <v>22</v>
      </c>
      <c r="L676" s="6">
        <v>4.2058</v>
      </c>
      <c r="M676" s="6">
        <v>0.23780000000000001</v>
      </c>
      <c r="N676" s="6">
        <v>4.2068000000000003</v>
      </c>
      <c r="O676" s="6">
        <v>1</v>
      </c>
      <c r="P676" s="5">
        <v>95.000000000058208</v>
      </c>
      <c r="Q676" s="4" t="s">
        <v>1390</v>
      </c>
    </row>
    <row r="677" spans="1:17" x14ac:dyDescent="0.3">
      <c r="A677" s="2" t="s">
        <v>1389</v>
      </c>
      <c r="B677" s="3">
        <v>157201</v>
      </c>
      <c r="C677" s="3">
        <v>217667</v>
      </c>
      <c r="D677" s="4" t="s">
        <v>17</v>
      </c>
      <c r="E677" s="4" t="s">
        <v>1096</v>
      </c>
      <c r="F677" s="4" t="s">
        <v>19</v>
      </c>
      <c r="G677" s="4" t="s">
        <v>20</v>
      </c>
      <c r="H677" s="5">
        <v>5400</v>
      </c>
      <c r="I677" s="4" t="s">
        <v>21</v>
      </c>
      <c r="J677" s="5">
        <f t="shared" si="10"/>
        <v>-22744.26</v>
      </c>
      <c r="K677" s="4" t="s">
        <v>22</v>
      </c>
      <c r="L677" s="6">
        <v>4.2119</v>
      </c>
      <c r="M677" s="6">
        <v>0.2374</v>
      </c>
      <c r="N677" s="6">
        <v>4.2068000000000003</v>
      </c>
      <c r="O677" s="6">
        <v>1</v>
      </c>
      <c r="P677" s="5">
        <v>-27.539999999997235</v>
      </c>
      <c r="Q677" s="4" t="s">
        <v>1390</v>
      </c>
    </row>
    <row r="678" spans="1:17" x14ac:dyDescent="0.3">
      <c r="A678" s="2" t="s">
        <v>1389</v>
      </c>
      <c r="B678" s="3">
        <v>157202</v>
      </c>
      <c r="C678" s="3">
        <v>217672</v>
      </c>
      <c r="D678" s="4" t="s">
        <v>17</v>
      </c>
      <c r="E678" s="4" t="s">
        <v>1060</v>
      </c>
      <c r="F678" s="4" t="s">
        <v>32</v>
      </c>
      <c r="G678" s="4" t="s">
        <v>34</v>
      </c>
      <c r="H678" s="5">
        <v>-5000</v>
      </c>
      <c r="I678" s="4" t="s">
        <v>21</v>
      </c>
      <c r="J678" s="5">
        <f t="shared" si="10"/>
        <v>18225</v>
      </c>
      <c r="K678" s="4" t="s">
        <v>22</v>
      </c>
      <c r="L678" s="6">
        <v>3.645</v>
      </c>
      <c r="M678" s="6">
        <v>0.27429999999999999</v>
      </c>
      <c r="N678" s="6">
        <v>3.6153</v>
      </c>
      <c r="O678" s="6">
        <v>1</v>
      </c>
      <c r="P678" s="5">
        <v>148.5</v>
      </c>
      <c r="Q678" s="4" t="s">
        <v>1390</v>
      </c>
    </row>
    <row r="679" spans="1:17" x14ac:dyDescent="0.3">
      <c r="A679" s="2" t="s">
        <v>1389</v>
      </c>
      <c r="B679" s="3">
        <v>157203</v>
      </c>
      <c r="C679" s="3">
        <v>900336</v>
      </c>
      <c r="D679" s="4" t="s">
        <v>81</v>
      </c>
      <c r="E679" s="4" t="s">
        <v>730</v>
      </c>
      <c r="F679" s="4" t="s">
        <v>83</v>
      </c>
      <c r="G679" s="4" t="s">
        <v>34</v>
      </c>
      <c r="H679" s="5">
        <v>-5000000</v>
      </c>
      <c r="I679" s="4" t="s">
        <v>21</v>
      </c>
      <c r="J679" s="5">
        <f t="shared" si="10"/>
        <v>18160500</v>
      </c>
      <c r="K679" s="4" t="s">
        <v>39</v>
      </c>
      <c r="L679" s="6">
        <v>3.6320999999999999</v>
      </c>
      <c r="M679" s="6">
        <v>0.27529999999999999</v>
      </c>
      <c r="N679" s="6">
        <v>3.6345999999999998</v>
      </c>
      <c r="O679" s="6">
        <v>1</v>
      </c>
      <c r="P679" s="5">
        <v>-12350</v>
      </c>
      <c r="Q679" s="4" t="s">
        <v>1396</v>
      </c>
    </row>
    <row r="680" spans="1:17" x14ac:dyDescent="0.3">
      <c r="A680" s="2" t="s">
        <v>1389</v>
      </c>
      <c r="B680" s="3">
        <v>157204</v>
      </c>
      <c r="C680" s="3">
        <v>900337</v>
      </c>
      <c r="D680" s="4" t="s">
        <v>81</v>
      </c>
      <c r="E680" s="4" t="s">
        <v>734</v>
      </c>
      <c r="F680" s="4" t="s">
        <v>83</v>
      </c>
      <c r="G680" s="4" t="s">
        <v>34</v>
      </c>
      <c r="H680" s="5">
        <v>-5000000</v>
      </c>
      <c r="I680" s="4" t="s">
        <v>21</v>
      </c>
      <c r="J680" s="5">
        <f t="shared" si="10"/>
        <v>18161000</v>
      </c>
      <c r="K680" s="4" t="s">
        <v>39</v>
      </c>
      <c r="L680" s="6">
        <v>3.6322000000000001</v>
      </c>
      <c r="M680" s="6">
        <v>0.27529999999999999</v>
      </c>
      <c r="N680" s="6">
        <v>3.6345999999999998</v>
      </c>
      <c r="O680" s="6">
        <v>1</v>
      </c>
      <c r="P680" s="5">
        <v>-12000</v>
      </c>
      <c r="Q680" s="4" t="s">
        <v>1393</v>
      </c>
    </row>
    <row r="681" spans="1:17" x14ac:dyDescent="0.3">
      <c r="A681" s="2" t="s">
        <v>1389</v>
      </c>
      <c r="B681" s="3">
        <v>157205</v>
      </c>
      <c r="C681" s="3">
        <v>900338</v>
      </c>
      <c r="D681" s="4" t="s">
        <v>81</v>
      </c>
      <c r="E681" s="4" t="s">
        <v>742</v>
      </c>
      <c r="F681" s="4" t="s">
        <v>83</v>
      </c>
      <c r="G681" s="4" t="s">
        <v>34</v>
      </c>
      <c r="H681" s="5">
        <v>-5000000</v>
      </c>
      <c r="I681" s="4" t="s">
        <v>21</v>
      </c>
      <c r="J681" s="5">
        <f t="shared" si="10"/>
        <v>18161500</v>
      </c>
      <c r="K681" s="4" t="s">
        <v>39</v>
      </c>
      <c r="L681" s="6">
        <v>3.6322999999999999</v>
      </c>
      <c r="M681" s="6">
        <v>0.27529999999999999</v>
      </c>
      <c r="N681" s="6">
        <v>3.6345999999999998</v>
      </c>
      <c r="O681" s="6">
        <v>1</v>
      </c>
      <c r="P681" s="5">
        <v>-11500</v>
      </c>
      <c r="Q681" s="4" t="s">
        <v>1396</v>
      </c>
    </row>
    <row r="682" spans="1:17" x14ac:dyDescent="0.3">
      <c r="A682" s="2" t="s">
        <v>1389</v>
      </c>
      <c r="B682" s="3">
        <v>157206</v>
      </c>
      <c r="C682" s="3">
        <v>900339</v>
      </c>
      <c r="D682" s="4" t="s">
        <v>81</v>
      </c>
      <c r="E682" s="4" t="s">
        <v>735</v>
      </c>
      <c r="F682" s="4" t="s">
        <v>83</v>
      </c>
      <c r="G682" s="4" t="s">
        <v>34</v>
      </c>
      <c r="H682" s="5">
        <v>-5000000</v>
      </c>
      <c r="I682" s="4" t="s">
        <v>21</v>
      </c>
      <c r="J682" s="5">
        <f t="shared" si="10"/>
        <v>18161000</v>
      </c>
      <c r="K682" s="4" t="s">
        <v>39</v>
      </c>
      <c r="L682" s="6">
        <v>3.6322000000000001</v>
      </c>
      <c r="M682" s="6">
        <v>0.27529999999999999</v>
      </c>
      <c r="N682" s="6">
        <v>3.6345999999999998</v>
      </c>
      <c r="O682" s="6">
        <v>1</v>
      </c>
      <c r="P682" s="5">
        <v>-12000</v>
      </c>
      <c r="Q682" s="4" t="s">
        <v>1394</v>
      </c>
    </row>
    <row r="683" spans="1:17" x14ac:dyDescent="0.3">
      <c r="A683" s="2" t="s">
        <v>1389</v>
      </c>
      <c r="B683" s="3">
        <v>157207</v>
      </c>
      <c r="C683" s="3">
        <v>900341</v>
      </c>
      <c r="D683" s="4" t="s">
        <v>81</v>
      </c>
      <c r="E683" s="4" t="s">
        <v>730</v>
      </c>
      <c r="F683" s="4" t="s">
        <v>83</v>
      </c>
      <c r="G683" s="4" t="s">
        <v>34</v>
      </c>
      <c r="H683" s="5">
        <v>-5000000</v>
      </c>
      <c r="I683" s="4" t="s">
        <v>21</v>
      </c>
      <c r="J683" s="5">
        <f t="shared" si="10"/>
        <v>18162000</v>
      </c>
      <c r="K683" s="4" t="s">
        <v>39</v>
      </c>
      <c r="L683" s="6">
        <v>3.6324000000000001</v>
      </c>
      <c r="M683" s="6">
        <v>0.27529999999999999</v>
      </c>
      <c r="N683" s="6">
        <v>3.6345999999999998</v>
      </c>
      <c r="O683" s="6">
        <v>1</v>
      </c>
      <c r="P683" s="5">
        <v>-10950</v>
      </c>
      <c r="Q683" s="4" t="s">
        <v>1396</v>
      </c>
    </row>
    <row r="684" spans="1:17" x14ac:dyDescent="0.3">
      <c r="A684" s="2" t="s">
        <v>1389</v>
      </c>
      <c r="B684" s="3">
        <v>157208</v>
      </c>
      <c r="C684" s="3">
        <v>900342</v>
      </c>
      <c r="D684" s="4" t="s">
        <v>81</v>
      </c>
      <c r="E684" s="4" t="s">
        <v>734</v>
      </c>
      <c r="F684" s="4" t="s">
        <v>83</v>
      </c>
      <c r="G684" s="4" t="s">
        <v>34</v>
      </c>
      <c r="H684" s="5">
        <v>-5000000</v>
      </c>
      <c r="I684" s="4" t="s">
        <v>21</v>
      </c>
      <c r="J684" s="5">
        <f t="shared" si="10"/>
        <v>18164000</v>
      </c>
      <c r="K684" s="4" t="s">
        <v>39</v>
      </c>
      <c r="L684" s="6">
        <v>3.6328</v>
      </c>
      <c r="M684" s="6">
        <v>0.27529999999999999</v>
      </c>
      <c r="N684" s="6">
        <v>3.6345999999999998</v>
      </c>
      <c r="O684" s="6">
        <v>1</v>
      </c>
      <c r="P684" s="5">
        <v>-9000</v>
      </c>
      <c r="Q684" s="4" t="s">
        <v>1393</v>
      </c>
    </row>
    <row r="685" spans="1:17" x14ac:dyDescent="0.3">
      <c r="A685" s="2" t="s">
        <v>1389</v>
      </c>
      <c r="B685" s="3">
        <v>157209</v>
      </c>
      <c r="C685" s="3">
        <v>900343</v>
      </c>
      <c r="D685" s="4" t="s">
        <v>81</v>
      </c>
      <c r="E685" s="4" t="s">
        <v>742</v>
      </c>
      <c r="F685" s="4" t="s">
        <v>83</v>
      </c>
      <c r="G685" s="4" t="s">
        <v>34</v>
      </c>
      <c r="H685" s="5">
        <v>-5000000</v>
      </c>
      <c r="I685" s="4" t="s">
        <v>21</v>
      </c>
      <c r="J685" s="5">
        <f t="shared" si="10"/>
        <v>18163500</v>
      </c>
      <c r="K685" s="4" t="s">
        <v>39</v>
      </c>
      <c r="L685" s="6">
        <v>3.6326999999999998</v>
      </c>
      <c r="M685" s="6">
        <v>0.27529999999999999</v>
      </c>
      <c r="N685" s="6">
        <v>3.6345999999999998</v>
      </c>
      <c r="O685" s="6">
        <v>1</v>
      </c>
      <c r="P685" s="5">
        <v>-9500</v>
      </c>
      <c r="Q685" s="4" t="s">
        <v>1396</v>
      </c>
    </row>
    <row r="686" spans="1:17" x14ac:dyDescent="0.3">
      <c r="A686" s="2" t="s">
        <v>1389</v>
      </c>
      <c r="B686" s="3">
        <v>157210</v>
      </c>
      <c r="C686" s="3">
        <v>900345</v>
      </c>
      <c r="D686" s="4" t="s">
        <v>81</v>
      </c>
      <c r="E686" s="4" t="s">
        <v>725</v>
      </c>
      <c r="F686" s="4" t="s">
        <v>83</v>
      </c>
      <c r="G686" s="4" t="s">
        <v>34</v>
      </c>
      <c r="H686" s="5">
        <v>-5000000</v>
      </c>
      <c r="I686" s="4" t="s">
        <v>21</v>
      </c>
      <c r="J686" s="5">
        <f t="shared" si="10"/>
        <v>18163000</v>
      </c>
      <c r="K686" s="4" t="s">
        <v>39</v>
      </c>
      <c r="L686" s="6">
        <v>3.6326000000000001</v>
      </c>
      <c r="M686" s="6">
        <v>0.27529999999999999</v>
      </c>
      <c r="N686" s="6">
        <v>3.6345999999999998</v>
      </c>
      <c r="O686" s="6">
        <v>1</v>
      </c>
      <c r="P686" s="5">
        <v>-9750</v>
      </c>
      <c r="Q686" s="4" t="s">
        <v>1392</v>
      </c>
    </row>
    <row r="687" spans="1:17" x14ac:dyDescent="0.3">
      <c r="A687" s="2" t="s">
        <v>1389</v>
      </c>
      <c r="B687" s="3">
        <v>157211</v>
      </c>
      <c r="C687" s="3">
        <v>900346</v>
      </c>
      <c r="D687" s="4" t="s">
        <v>81</v>
      </c>
      <c r="E687" s="4" t="s">
        <v>730</v>
      </c>
      <c r="F687" s="4" t="s">
        <v>83</v>
      </c>
      <c r="G687" s="4" t="s">
        <v>34</v>
      </c>
      <c r="H687" s="5">
        <v>-1000000</v>
      </c>
      <c r="I687" s="4" t="s">
        <v>21</v>
      </c>
      <c r="J687" s="5">
        <f t="shared" si="10"/>
        <v>3632000</v>
      </c>
      <c r="K687" s="4" t="s">
        <v>39</v>
      </c>
      <c r="L687" s="6">
        <v>3.6320000000000001</v>
      </c>
      <c r="M687" s="6">
        <v>0.27529999999999999</v>
      </c>
      <c r="N687" s="6">
        <v>3.6345999999999998</v>
      </c>
      <c r="O687" s="6">
        <v>1</v>
      </c>
      <c r="P687" s="5">
        <v>-2580</v>
      </c>
      <c r="Q687" s="4" t="s">
        <v>1396</v>
      </c>
    </row>
    <row r="688" spans="1:17" x14ac:dyDescent="0.3">
      <c r="A688" s="2" t="s">
        <v>1389</v>
      </c>
      <c r="B688" s="3">
        <v>157212</v>
      </c>
      <c r="C688" s="3">
        <v>900347</v>
      </c>
      <c r="D688" s="4" t="s">
        <v>81</v>
      </c>
      <c r="E688" s="4" t="s">
        <v>734</v>
      </c>
      <c r="F688" s="4" t="s">
        <v>83</v>
      </c>
      <c r="G688" s="4" t="s">
        <v>34</v>
      </c>
      <c r="H688" s="5">
        <v>-5000000</v>
      </c>
      <c r="I688" s="4" t="s">
        <v>21</v>
      </c>
      <c r="J688" s="5">
        <f t="shared" si="10"/>
        <v>18160500</v>
      </c>
      <c r="K688" s="4" t="s">
        <v>39</v>
      </c>
      <c r="L688" s="6">
        <v>3.6320999999999999</v>
      </c>
      <c r="M688" s="6">
        <v>0.27529999999999999</v>
      </c>
      <c r="N688" s="6">
        <v>3.6345999999999998</v>
      </c>
      <c r="O688" s="6">
        <v>1</v>
      </c>
      <c r="P688" s="5">
        <v>-12500</v>
      </c>
      <c r="Q688" s="4" t="s">
        <v>1393</v>
      </c>
    </row>
    <row r="689" spans="1:17" x14ac:dyDescent="0.3">
      <c r="A689" s="2" t="s">
        <v>1389</v>
      </c>
      <c r="B689" s="3">
        <v>157213</v>
      </c>
      <c r="C689" s="3">
        <v>900348</v>
      </c>
      <c r="D689" s="4" t="s">
        <v>81</v>
      </c>
      <c r="E689" s="4" t="s">
        <v>730</v>
      </c>
      <c r="F689" s="4" t="s">
        <v>83</v>
      </c>
      <c r="G689" s="4" t="s">
        <v>34</v>
      </c>
      <c r="H689" s="5">
        <v>-1000000</v>
      </c>
      <c r="I689" s="4" t="s">
        <v>21</v>
      </c>
      <c r="J689" s="5">
        <f t="shared" si="10"/>
        <v>3632500</v>
      </c>
      <c r="K689" s="4" t="s">
        <v>39</v>
      </c>
      <c r="L689" s="6">
        <v>3.6324999999999998</v>
      </c>
      <c r="M689" s="6">
        <v>0.27529999999999999</v>
      </c>
      <c r="N689" s="6">
        <v>3.6345999999999998</v>
      </c>
      <c r="O689" s="6">
        <v>1</v>
      </c>
      <c r="P689" s="5">
        <v>-2110</v>
      </c>
      <c r="Q689" s="4" t="s">
        <v>1396</v>
      </c>
    </row>
    <row r="690" spans="1:17" x14ac:dyDescent="0.3">
      <c r="A690" s="2" t="s">
        <v>1389</v>
      </c>
      <c r="B690" s="3">
        <v>157214</v>
      </c>
      <c r="C690" s="3">
        <v>900369</v>
      </c>
      <c r="D690" s="4" t="s">
        <v>81</v>
      </c>
      <c r="E690" s="4" t="s">
        <v>734</v>
      </c>
      <c r="F690" s="4" t="s">
        <v>83</v>
      </c>
      <c r="G690" s="4" t="s">
        <v>34</v>
      </c>
      <c r="H690" s="5">
        <v>-5000000</v>
      </c>
      <c r="I690" s="4" t="s">
        <v>21</v>
      </c>
      <c r="J690" s="5">
        <f t="shared" si="10"/>
        <v>18157500</v>
      </c>
      <c r="K690" s="4" t="s">
        <v>39</v>
      </c>
      <c r="L690" s="6">
        <v>3.6315</v>
      </c>
      <c r="M690" s="6">
        <v>0.27539999999999998</v>
      </c>
      <c r="N690" s="6">
        <v>3.6345999999999998</v>
      </c>
      <c r="O690" s="6">
        <v>1</v>
      </c>
      <c r="P690" s="5">
        <v>-15500</v>
      </c>
      <c r="Q690" s="4" t="s">
        <v>1393</v>
      </c>
    </row>
    <row r="691" spans="1:17" x14ac:dyDescent="0.3">
      <c r="A691" s="2" t="s">
        <v>1389</v>
      </c>
      <c r="B691" s="3">
        <v>157215</v>
      </c>
      <c r="C691" s="3">
        <v>900370</v>
      </c>
      <c r="D691" s="4" t="s">
        <v>81</v>
      </c>
      <c r="E691" s="4" t="s">
        <v>735</v>
      </c>
      <c r="F691" s="4" t="s">
        <v>83</v>
      </c>
      <c r="G691" s="4" t="s">
        <v>34</v>
      </c>
      <c r="H691" s="5">
        <v>-5000000</v>
      </c>
      <c r="I691" s="4" t="s">
        <v>21</v>
      </c>
      <c r="J691" s="5">
        <f t="shared" si="10"/>
        <v>18159000</v>
      </c>
      <c r="K691" s="4" t="s">
        <v>39</v>
      </c>
      <c r="L691" s="6">
        <v>3.6318000000000001</v>
      </c>
      <c r="M691" s="6">
        <v>0.27529999999999999</v>
      </c>
      <c r="N691" s="6">
        <v>3.6345999999999998</v>
      </c>
      <c r="O691" s="6">
        <v>1</v>
      </c>
      <c r="P691" s="5">
        <v>-14000</v>
      </c>
      <c r="Q691" s="4" t="s">
        <v>1394</v>
      </c>
    </row>
    <row r="692" spans="1:17" x14ac:dyDescent="0.3">
      <c r="A692" s="2" t="s">
        <v>1389</v>
      </c>
      <c r="B692" s="3">
        <v>157216</v>
      </c>
      <c r="C692" s="3">
        <v>900371</v>
      </c>
      <c r="D692" s="4" t="s">
        <v>81</v>
      </c>
      <c r="E692" s="4" t="s">
        <v>742</v>
      </c>
      <c r="F692" s="4" t="s">
        <v>83</v>
      </c>
      <c r="G692" s="4" t="s">
        <v>34</v>
      </c>
      <c r="H692" s="5">
        <v>-5000000</v>
      </c>
      <c r="I692" s="4" t="s">
        <v>21</v>
      </c>
      <c r="J692" s="5">
        <f t="shared" si="10"/>
        <v>18159000</v>
      </c>
      <c r="K692" s="4" t="s">
        <v>39</v>
      </c>
      <c r="L692" s="6">
        <v>3.6318000000000001</v>
      </c>
      <c r="M692" s="6">
        <v>0.27529999999999999</v>
      </c>
      <c r="N692" s="6">
        <v>3.6345999999999998</v>
      </c>
      <c r="O692" s="6">
        <v>1</v>
      </c>
      <c r="P692" s="5">
        <v>-14000</v>
      </c>
      <c r="Q692" s="4" t="s">
        <v>1396</v>
      </c>
    </row>
    <row r="693" spans="1:17" x14ac:dyDescent="0.3">
      <c r="A693" s="2" t="s">
        <v>1389</v>
      </c>
      <c r="B693" s="3">
        <v>157217</v>
      </c>
      <c r="C693" s="3">
        <v>900372</v>
      </c>
      <c r="D693" s="4" t="s">
        <v>81</v>
      </c>
      <c r="E693" s="4" t="s">
        <v>735</v>
      </c>
      <c r="F693" s="4" t="s">
        <v>83</v>
      </c>
      <c r="G693" s="4" t="s">
        <v>34</v>
      </c>
      <c r="H693" s="5">
        <v>-1000000</v>
      </c>
      <c r="I693" s="4" t="s">
        <v>21</v>
      </c>
      <c r="J693" s="5">
        <f t="shared" si="10"/>
        <v>3632000</v>
      </c>
      <c r="K693" s="4" t="s">
        <v>39</v>
      </c>
      <c r="L693" s="6">
        <v>3.6320000000000001</v>
      </c>
      <c r="M693" s="6">
        <v>0.27529999999999999</v>
      </c>
      <c r="N693" s="6">
        <v>3.6345999999999998</v>
      </c>
      <c r="O693" s="6">
        <v>1</v>
      </c>
      <c r="P693" s="5">
        <v>-2600</v>
      </c>
      <c r="Q693" s="4" t="s">
        <v>1394</v>
      </c>
    </row>
    <row r="694" spans="1:17" x14ac:dyDescent="0.3">
      <c r="A694" s="2" t="s">
        <v>1389</v>
      </c>
      <c r="B694" s="3">
        <v>157218</v>
      </c>
      <c r="C694" s="3">
        <v>900373</v>
      </c>
      <c r="D694" s="4" t="s">
        <v>81</v>
      </c>
      <c r="E694" s="4" t="s">
        <v>735</v>
      </c>
      <c r="F694" s="4" t="s">
        <v>83</v>
      </c>
      <c r="G694" s="4" t="s">
        <v>34</v>
      </c>
      <c r="H694" s="5">
        <v>-1000000</v>
      </c>
      <c r="I694" s="4" t="s">
        <v>21</v>
      </c>
      <c r="J694" s="5">
        <f t="shared" si="10"/>
        <v>3631700</v>
      </c>
      <c r="K694" s="4" t="s">
        <v>39</v>
      </c>
      <c r="L694" s="6">
        <v>3.6316999999999999</v>
      </c>
      <c r="M694" s="6">
        <v>0.27539999999999998</v>
      </c>
      <c r="N694" s="6">
        <v>3.6345999999999998</v>
      </c>
      <c r="O694" s="6">
        <v>1</v>
      </c>
      <c r="P694" s="5">
        <v>-2900</v>
      </c>
      <c r="Q694" s="4" t="s">
        <v>1394</v>
      </c>
    </row>
    <row r="695" spans="1:17" x14ac:dyDescent="0.3">
      <c r="A695" s="2" t="s">
        <v>1389</v>
      </c>
      <c r="B695" s="3">
        <v>157219</v>
      </c>
      <c r="C695" s="3">
        <v>900374</v>
      </c>
      <c r="D695" s="4" t="s">
        <v>81</v>
      </c>
      <c r="E695" s="4" t="s">
        <v>742</v>
      </c>
      <c r="F695" s="4" t="s">
        <v>83</v>
      </c>
      <c r="G695" s="4" t="s">
        <v>34</v>
      </c>
      <c r="H695" s="5">
        <v>-500000</v>
      </c>
      <c r="I695" s="4" t="s">
        <v>21</v>
      </c>
      <c r="J695" s="5">
        <f t="shared" si="10"/>
        <v>1815850</v>
      </c>
      <c r="K695" s="4" t="s">
        <v>39</v>
      </c>
      <c r="L695" s="6">
        <v>3.6316999999999999</v>
      </c>
      <c r="M695" s="6">
        <v>0.27539999999999998</v>
      </c>
      <c r="N695" s="6">
        <v>3.6345999999999998</v>
      </c>
      <c r="O695" s="6">
        <v>1</v>
      </c>
      <c r="P695" s="5">
        <v>-1460</v>
      </c>
      <c r="Q695" s="4" t="s">
        <v>1396</v>
      </c>
    </row>
    <row r="696" spans="1:17" x14ac:dyDescent="0.3">
      <c r="A696" s="2" t="s">
        <v>1389</v>
      </c>
      <c r="B696" s="3">
        <v>157220</v>
      </c>
      <c r="C696" s="3">
        <v>900376</v>
      </c>
      <c r="D696" s="4" t="s">
        <v>81</v>
      </c>
      <c r="E696" s="4" t="s">
        <v>730</v>
      </c>
      <c r="F696" s="4" t="s">
        <v>83</v>
      </c>
      <c r="G696" s="4" t="s">
        <v>34</v>
      </c>
      <c r="H696" s="5">
        <v>-500000</v>
      </c>
      <c r="I696" s="4" t="s">
        <v>21</v>
      </c>
      <c r="J696" s="5">
        <f t="shared" si="10"/>
        <v>1815900</v>
      </c>
      <c r="K696" s="4" t="s">
        <v>39</v>
      </c>
      <c r="L696" s="6">
        <v>3.6318000000000001</v>
      </c>
      <c r="M696" s="6">
        <v>0.27529999999999999</v>
      </c>
      <c r="N696" s="6">
        <v>3.6345999999999998</v>
      </c>
      <c r="O696" s="6">
        <v>1</v>
      </c>
      <c r="P696" s="5">
        <v>-1410</v>
      </c>
      <c r="Q696" s="4" t="s">
        <v>1396</v>
      </c>
    </row>
    <row r="697" spans="1:17" x14ac:dyDescent="0.3">
      <c r="A697" s="2" t="s">
        <v>1389</v>
      </c>
      <c r="B697" s="3">
        <v>157221</v>
      </c>
      <c r="C697" s="3">
        <v>900377</v>
      </c>
      <c r="D697" s="4" t="s">
        <v>81</v>
      </c>
      <c r="E697" s="4" t="s">
        <v>735</v>
      </c>
      <c r="F697" s="4" t="s">
        <v>83</v>
      </c>
      <c r="G697" s="4" t="s">
        <v>34</v>
      </c>
      <c r="H697" s="5">
        <v>-500000</v>
      </c>
      <c r="I697" s="4" t="s">
        <v>21</v>
      </c>
      <c r="J697" s="5">
        <f t="shared" si="10"/>
        <v>1815700</v>
      </c>
      <c r="K697" s="4" t="s">
        <v>39</v>
      </c>
      <c r="L697" s="6">
        <v>3.6314000000000002</v>
      </c>
      <c r="M697" s="6">
        <v>0.27539999999999998</v>
      </c>
      <c r="N697" s="6">
        <v>3.6345999999999998</v>
      </c>
      <c r="O697" s="6">
        <v>1</v>
      </c>
      <c r="P697" s="5">
        <v>-1600</v>
      </c>
      <c r="Q697" s="4" t="s">
        <v>1394</v>
      </c>
    </row>
    <row r="698" spans="1:17" x14ac:dyDescent="0.3">
      <c r="A698" s="2" t="s">
        <v>1389</v>
      </c>
      <c r="B698" s="3">
        <v>157222</v>
      </c>
      <c r="C698" s="3">
        <v>900381</v>
      </c>
      <c r="D698" s="4" t="s">
        <v>81</v>
      </c>
      <c r="E698" s="4" t="s">
        <v>730</v>
      </c>
      <c r="F698" s="4" t="s">
        <v>83</v>
      </c>
      <c r="G698" s="4" t="s">
        <v>34</v>
      </c>
      <c r="H698" s="5">
        <v>-5000000</v>
      </c>
      <c r="I698" s="4" t="s">
        <v>21</v>
      </c>
      <c r="J698" s="5">
        <f t="shared" si="10"/>
        <v>18159000</v>
      </c>
      <c r="K698" s="4" t="s">
        <v>39</v>
      </c>
      <c r="L698" s="6">
        <v>3.6318000000000001</v>
      </c>
      <c r="M698" s="6">
        <v>0.27529999999999999</v>
      </c>
      <c r="N698" s="6">
        <v>3.6345999999999998</v>
      </c>
      <c r="O698" s="6">
        <v>1</v>
      </c>
      <c r="P698" s="5">
        <v>-13800</v>
      </c>
      <c r="Q698" s="4" t="s">
        <v>1396</v>
      </c>
    </row>
    <row r="699" spans="1:17" x14ac:dyDescent="0.3">
      <c r="A699" s="2" t="s">
        <v>1389</v>
      </c>
      <c r="B699" s="3">
        <v>157223</v>
      </c>
      <c r="C699" s="3">
        <v>900383</v>
      </c>
      <c r="D699" s="4" t="s">
        <v>81</v>
      </c>
      <c r="E699" s="4" t="s">
        <v>734</v>
      </c>
      <c r="F699" s="4" t="s">
        <v>83</v>
      </c>
      <c r="G699" s="4" t="s">
        <v>34</v>
      </c>
      <c r="H699" s="5">
        <v>-5000000</v>
      </c>
      <c r="I699" s="4" t="s">
        <v>21</v>
      </c>
      <c r="J699" s="5">
        <f t="shared" si="10"/>
        <v>18159500</v>
      </c>
      <c r="K699" s="4" t="s">
        <v>39</v>
      </c>
      <c r="L699" s="6">
        <v>3.6318999999999999</v>
      </c>
      <c r="M699" s="6">
        <v>0.27529999999999999</v>
      </c>
      <c r="N699" s="6">
        <v>3.6345999999999998</v>
      </c>
      <c r="O699" s="6">
        <v>1</v>
      </c>
      <c r="P699" s="5">
        <v>-13500</v>
      </c>
      <c r="Q699" s="4" t="s">
        <v>1393</v>
      </c>
    </row>
    <row r="700" spans="1:17" x14ac:dyDescent="0.3">
      <c r="A700" s="2" t="s">
        <v>1389</v>
      </c>
      <c r="B700" s="3">
        <v>157224</v>
      </c>
      <c r="C700" s="3">
        <v>900384</v>
      </c>
      <c r="D700" s="4" t="s">
        <v>81</v>
      </c>
      <c r="E700" s="4" t="s">
        <v>742</v>
      </c>
      <c r="F700" s="4" t="s">
        <v>83</v>
      </c>
      <c r="G700" s="4" t="s">
        <v>34</v>
      </c>
      <c r="H700" s="5">
        <v>-5000000</v>
      </c>
      <c r="I700" s="4" t="s">
        <v>21</v>
      </c>
      <c r="J700" s="5">
        <f t="shared" si="10"/>
        <v>18159500</v>
      </c>
      <c r="K700" s="4" t="s">
        <v>39</v>
      </c>
      <c r="L700" s="6">
        <v>3.6318999999999999</v>
      </c>
      <c r="M700" s="6">
        <v>0.27529999999999999</v>
      </c>
      <c r="N700" s="6">
        <v>3.6345999999999998</v>
      </c>
      <c r="O700" s="6">
        <v>1</v>
      </c>
      <c r="P700" s="5">
        <v>-13500</v>
      </c>
      <c r="Q700" s="4" t="s">
        <v>1396</v>
      </c>
    </row>
    <row r="701" spans="1:17" x14ac:dyDescent="0.3">
      <c r="A701" s="2" t="s">
        <v>1389</v>
      </c>
      <c r="B701" s="3">
        <v>157225</v>
      </c>
      <c r="C701" s="3">
        <v>900385</v>
      </c>
      <c r="D701" s="4" t="s">
        <v>81</v>
      </c>
      <c r="E701" s="4" t="s">
        <v>735</v>
      </c>
      <c r="F701" s="4" t="s">
        <v>83</v>
      </c>
      <c r="G701" s="4" t="s">
        <v>34</v>
      </c>
      <c r="H701" s="5">
        <v>-5000000</v>
      </c>
      <c r="I701" s="4" t="s">
        <v>21</v>
      </c>
      <c r="J701" s="5">
        <f t="shared" si="10"/>
        <v>18159000</v>
      </c>
      <c r="K701" s="4" t="s">
        <v>39</v>
      </c>
      <c r="L701" s="6">
        <v>3.6318000000000001</v>
      </c>
      <c r="M701" s="6">
        <v>0.27529999999999999</v>
      </c>
      <c r="N701" s="6">
        <v>3.6345999999999998</v>
      </c>
      <c r="O701" s="6">
        <v>1</v>
      </c>
      <c r="P701" s="5">
        <v>-14000</v>
      </c>
      <c r="Q701" s="4" t="s">
        <v>1394</v>
      </c>
    </row>
    <row r="702" spans="1:17" x14ac:dyDescent="0.3">
      <c r="A702" s="2" t="s">
        <v>1389</v>
      </c>
      <c r="B702" s="3">
        <v>157227</v>
      </c>
      <c r="C702" s="3">
        <v>900389</v>
      </c>
      <c r="D702" s="4" t="s">
        <v>81</v>
      </c>
      <c r="E702" s="4" t="s">
        <v>730</v>
      </c>
      <c r="F702" s="4" t="s">
        <v>83</v>
      </c>
      <c r="G702" s="4" t="s">
        <v>34</v>
      </c>
      <c r="H702" s="5">
        <v>-5000000</v>
      </c>
      <c r="I702" s="4" t="s">
        <v>21</v>
      </c>
      <c r="J702" s="5">
        <f t="shared" si="10"/>
        <v>18156000</v>
      </c>
      <c r="K702" s="4" t="s">
        <v>39</v>
      </c>
      <c r="L702" s="6">
        <v>3.6312000000000002</v>
      </c>
      <c r="M702" s="6">
        <v>0.27539999999999998</v>
      </c>
      <c r="N702" s="6">
        <v>3.6345999999999998</v>
      </c>
      <c r="O702" s="6">
        <v>1</v>
      </c>
      <c r="P702" s="5">
        <v>-17100</v>
      </c>
      <c r="Q702" s="4" t="s">
        <v>1396</v>
      </c>
    </row>
    <row r="703" spans="1:17" x14ac:dyDescent="0.3">
      <c r="A703" s="2" t="s">
        <v>1389</v>
      </c>
      <c r="B703" s="3">
        <v>157228</v>
      </c>
      <c r="C703" s="3">
        <v>900390</v>
      </c>
      <c r="D703" s="4" t="s">
        <v>81</v>
      </c>
      <c r="E703" s="4" t="s">
        <v>730</v>
      </c>
      <c r="F703" s="4" t="s">
        <v>83</v>
      </c>
      <c r="G703" s="4" t="s">
        <v>34</v>
      </c>
      <c r="H703" s="5">
        <v>-5000000</v>
      </c>
      <c r="I703" s="4" t="s">
        <v>21</v>
      </c>
      <c r="J703" s="5">
        <f t="shared" si="10"/>
        <v>18156500</v>
      </c>
      <c r="K703" s="4" t="s">
        <v>39</v>
      </c>
      <c r="L703" s="6">
        <v>3.6313</v>
      </c>
      <c r="M703" s="6">
        <v>0.27539999999999998</v>
      </c>
      <c r="N703" s="6">
        <v>3.6345999999999998</v>
      </c>
      <c r="O703" s="6">
        <v>1</v>
      </c>
      <c r="P703" s="5">
        <v>-16700</v>
      </c>
      <c r="Q703" s="4" t="s">
        <v>1396</v>
      </c>
    </row>
    <row r="704" spans="1:17" x14ac:dyDescent="0.3">
      <c r="A704" s="2" t="s">
        <v>1389</v>
      </c>
      <c r="B704" s="3">
        <v>157229</v>
      </c>
      <c r="C704" s="3">
        <v>900395</v>
      </c>
      <c r="D704" s="4" t="s">
        <v>81</v>
      </c>
      <c r="E704" s="4" t="s">
        <v>734</v>
      </c>
      <c r="F704" s="4" t="s">
        <v>83</v>
      </c>
      <c r="G704" s="4" t="s">
        <v>20</v>
      </c>
      <c r="H704" s="5">
        <v>-500000</v>
      </c>
      <c r="I704" s="4" t="s">
        <v>21</v>
      </c>
      <c r="J704" s="5">
        <f t="shared" si="10"/>
        <v>2108100</v>
      </c>
      <c r="K704" s="4" t="s">
        <v>39</v>
      </c>
      <c r="L704" s="6">
        <v>4.2161999999999997</v>
      </c>
      <c r="M704" s="6">
        <v>0.23719999999999999</v>
      </c>
      <c r="N704" s="6">
        <v>4.2230999999999996</v>
      </c>
      <c r="O704" s="6">
        <v>1</v>
      </c>
      <c r="P704" s="5">
        <v>-3450</v>
      </c>
      <c r="Q704" s="4" t="s">
        <v>1393</v>
      </c>
    </row>
    <row r="705" spans="1:17" x14ac:dyDescent="0.3">
      <c r="A705" s="2" t="s">
        <v>1389</v>
      </c>
      <c r="B705" s="3">
        <v>157230</v>
      </c>
      <c r="C705" s="3">
        <v>217687</v>
      </c>
      <c r="D705" s="4" t="s">
        <v>17</v>
      </c>
      <c r="E705" s="4" t="s">
        <v>813</v>
      </c>
      <c r="F705" s="4" t="s">
        <v>19</v>
      </c>
      <c r="G705" s="4" t="s">
        <v>34</v>
      </c>
      <c r="H705" s="5">
        <v>50000</v>
      </c>
      <c r="I705" s="4" t="s">
        <v>21</v>
      </c>
      <c r="J705" s="5">
        <f t="shared" si="10"/>
        <v>-181405</v>
      </c>
      <c r="K705" s="4" t="s">
        <v>22</v>
      </c>
      <c r="L705" s="6">
        <v>3.6280999999999999</v>
      </c>
      <c r="M705" s="6">
        <v>0.27560000000000001</v>
      </c>
      <c r="N705" s="6">
        <v>3.6153</v>
      </c>
      <c r="O705" s="6">
        <v>1</v>
      </c>
      <c r="P705" s="5">
        <v>-640</v>
      </c>
      <c r="Q705" s="4" t="s">
        <v>1390</v>
      </c>
    </row>
    <row r="706" spans="1:17" x14ac:dyDescent="0.3">
      <c r="A706" s="2" t="s">
        <v>1389</v>
      </c>
      <c r="B706" s="3">
        <v>157231</v>
      </c>
      <c r="C706" s="3">
        <v>217689</v>
      </c>
      <c r="D706" s="4" t="s">
        <v>17</v>
      </c>
      <c r="E706" s="4" t="s">
        <v>950</v>
      </c>
      <c r="F706" s="4" t="s">
        <v>32</v>
      </c>
      <c r="G706" s="4" t="s">
        <v>34</v>
      </c>
      <c r="H706" s="5">
        <v>-130000</v>
      </c>
      <c r="I706" s="4" t="s">
        <v>21</v>
      </c>
      <c r="J706" s="5">
        <f t="shared" si="10"/>
        <v>472511</v>
      </c>
      <c r="K706" s="4" t="s">
        <v>22</v>
      </c>
      <c r="L706" s="6">
        <v>3.6347</v>
      </c>
      <c r="M706" s="6">
        <v>0.27510000000000001</v>
      </c>
      <c r="N706" s="6">
        <v>3.6153</v>
      </c>
      <c r="O706" s="6">
        <v>1</v>
      </c>
      <c r="P706" s="5">
        <v>2509</v>
      </c>
      <c r="Q706" s="4" t="s">
        <v>1390</v>
      </c>
    </row>
    <row r="707" spans="1:17" x14ac:dyDescent="0.3">
      <c r="A707" s="2" t="s">
        <v>1389</v>
      </c>
      <c r="B707" s="3">
        <v>157233</v>
      </c>
      <c r="C707" s="3">
        <v>217690</v>
      </c>
      <c r="D707" s="4" t="s">
        <v>17</v>
      </c>
      <c r="E707" s="4" t="s">
        <v>1319</v>
      </c>
      <c r="F707" s="4" t="s">
        <v>19</v>
      </c>
      <c r="G707" s="4" t="s">
        <v>34</v>
      </c>
      <c r="H707" s="5">
        <v>20000000</v>
      </c>
      <c r="I707" s="4" t="s">
        <v>21</v>
      </c>
      <c r="J707" s="5">
        <f t="shared" si="10"/>
        <v>-72600000</v>
      </c>
      <c r="K707" s="4" t="s">
        <v>22</v>
      </c>
      <c r="L707" s="6">
        <v>3.63</v>
      </c>
      <c r="M707" s="6">
        <v>0.27550000000000002</v>
      </c>
      <c r="N707" s="6">
        <v>3.6153</v>
      </c>
      <c r="O707" s="6">
        <v>1</v>
      </c>
      <c r="P707" s="5">
        <v>-294000</v>
      </c>
      <c r="Q707" s="4" t="s">
        <v>1390</v>
      </c>
    </row>
    <row r="708" spans="1:17" x14ac:dyDescent="0.3">
      <c r="A708" s="2" t="s">
        <v>1389</v>
      </c>
      <c r="B708" s="3">
        <v>157235</v>
      </c>
      <c r="C708" s="3">
        <v>217692</v>
      </c>
      <c r="D708" s="4" t="s">
        <v>17</v>
      </c>
      <c r="E708" s="4" t="s">
        <v>1319</v>
      </c>
      <c r="F708" s="4" t="s">
        <v>19</v>
      </c>
      <c r="G708" s="4" t="s">
        <v>34</v>
      </c>
      <c r="H708" s="5">
        <v>20000000</v>
      </c>
      <c r="I708" s="4" t="s">
        <v>21</v>
      </c>
      <c r="J708" s="5">
        <f t="shared" ref="J708:J771" si="11">-H708*L708</f>
        <v>-72600000</v>
      </c>
      <c r="K708" s="4" t="s">
        <v>22</v>
      </c>
      <c r="L708" s="6">
        <v>3.63</v>
      </c>
      <c r="M708" s="6">
        <v>0.27550000000000002</v>
      </c>
      <c r="N708" s="6">
        <v>3.6153</v>
      </c>
      <c r="O708" s="6">
        <v>1</v>
      </c>
      <c r="P708" s="5">
        <v>-294000</v>
      </c>
      <c r="Q708" s="4" t="s">
        <v>1390</v>
      </c>
    </row>
    <row r="709" spans="1:17" x14ac:dyDescent="0.3">
      <c r="A709" s="2" t="s">
        <v>1389</v>
      </c>
      <c r="B709" s="3">
        <v>157236</v>
      </c>
      <c r="C709" s="3">
        <v>217693</v>
      </c>
      <c r="D709" s="4" t="s">
        <v>17</v>
      </c>
      <c r="E709" s="4" t="s">
        <v>833</v>
      </c>
      <c r="F709" s="4" t="s">
        <v>32</v>
      </c>
      <c r="G709" s="4" t="s">
        <v>20</v>
      </c>
      <c r="H709" s="5">
        <v>-100000</v>
      </c>
      <c r="I709" s="4" t="s">
        <v>21</v>
      </c>
      <c r="J709" s="5">
        <f t="shared" si="11"/>
        <v>422810.00000000006</v>
      </c>
      <c r="K709" s="4" t="s">
        <v>22</v>
      </c>
      <c r="L709" s="6">
        <v>4.2281000000000004</v>
      </c>
      <c r="M709" s="6">
        <v>0.23649999999999999</v>
      </c>
      <c r="N709" s="6">
        <v>4.2068000000000003</v>
      </c>
      <c r="O709" s="6">
        <v>1</v>
      </c>
      <c r="P709" s="5">
        <v>2020</v>
      </c>
      <c r="Q709" s="4" t="s">
        <v>1390</v>
      </c>
    </row>
    <row r="710" spans="1:17" x14ac:dyDescent="0.3">
      <c r="A710" s="2" t="s">
        <v>1389</v>
      </c>
      <c r="B710" s="3">
        <v>157237</v>
      </c>
      <c r="C710" s="3">
        <v>217694</v>
      </c>
      <c r="D710" s="4" t="s">
        <v>17</v>
      </c>
      <c r="E710" s="4" t="s">
        <v>1202</v>
      </c>
      <c r="F710" s="4" t="s">
        <v>19</v>
      </c>
      <c r="G710" s="4" t="s">
        <v>20</v>
      </c>
      <c r="H710" s="5">
        <v>50000</v>
      </c>
      <c r="I710" s="4" t="s">
        <v>21</v>
      </c>
      <c r="J710" s="5">
        <f t="shared" si="11"/>
        <v>-210000</v>
      </c>
      <c r="K710" s="4" t="s">
        <v>22</v>
      </c>
      <c r="L710" s="6">
        <v>4.2</v>
      </c>
      <c r="M710" s="6">
        <v>0.23810000000000001</v>
      </c>
      <c r="N710" s="6">
        <v>4.2068000000000003</v>
      </c>
      <c r="O710" s="6">
        <v>1</v>
      </c>
      <c r="P710" s="5">
        <v>340.0000000000291</v>
      </c>
      <c r="Q710" s="4" t="s">
        <v>1390</v>
      </c>
    </row>
    <row r="711" spans="1:17" x14ac:dyDescent="0.3">
      <c r="A711" s="2" t="s">
        <v>1389</v>
      </c>
      <c r="B711" s="3">
        <v>157238</v>
      </c>
      <c r="C711" s="3">
        <v>217695</v>
      </c>
      <c r="D711" s="4" t="s">
        <v>17</v>
      </c>
      <c r="E711" s="4" t="s">
        <v>1319</v>
      </c>
      <c r="F711" s="4" t="s">
        <v>19</v>
      </c>
      <c r="G711" s="4" t="s">
        <v>34</v>
      </c>
      <c r="H711" s="5">
        <v>7000000</v>
      </c>
      <c r="I711" s="4" t="s">
        <v>21</v>
      </c>
      <c r="J711" s="5">
        <f t="shared" si="11"/>
        <v>-25413500</v>
      </c>
      <c r="K711" s="4" t="s">
        <v>22</v>
      </c>
      <c r="L711" s="6">
        <v>3.6305000000000001</v>
      </c>
      <c r="M711" s="6">
        <v>0.27539999999999998</v>
      </c>
      <c r="N711" s="6">
        <v>3.6153</v>
      </c>
      <c r="O711" s="6">
        <v>1</v>
      </c>
      <c r="P711" s="5">
        <v>-106400</v>
      </c>
      <c r="Q711" s="4" t="s">
        <v>1390</v>
      </c>
    </row>
    <row r="712" spans="1:17" x14ac:dyDescent="0.3">
      <c r="A712" s="2" t="s">
        <v>1389</v>
      </c>
      <c r="B712" s="3">
        <v>157239</v>
      </c>
      <c r="C712" s="3">
        <v>217696</v>
      </c>
      <c r="D712" s="4" t="s">
        <v>17</v>
      </c>
      <c r="E712" s="4" t="s">
        <v>1319</v>
      </c>
      <c r="F712" s="4" t="s">
        <v>19</v>
      </c>
      <c r="G712" s="4" t="s">
        <v>34</v>
      </c>
      <c r="H712" s="5">
        <v>350000</v>
      </c>
      <c r="I712" s="4" t="s">
        <v>21</v>
      </c>
      <c r="J712" s="5">
        <f t="shared" si="11"/>
        <v>-1270675</v>
      </c>
      <c r="K712" s="4" t="s">
        <v>22</v>
      </c>
      <c r="L712" s="6">
        <v>3.6305000000000001</v>
      </c>
      <c r="M712" s="6">
        <v>0.27539999999999998</v>
      </c>
      <c r="N712" s="6">
        <v>3.6153</v>
      </c>
      <c r="O712" s="6">
        <v>1</v>
      </c>
      <c r="P712" s="5">
        <v>-5320</v>
      </c>
      <c r="Q712" s="4" t="s">
        <v>1390</v>
      </c>
    </row>
    <row r="713" spans="1:17" x14ac:dyDescent="0.3">
      <c r="A713" s="2" t="s">
        <v>1389</v>
      </c>
      <c r="B713" s="3">
        <v>157240</v>
      </c>
      <c r="C713" s="3">
        <v>217698</v>
      </c>
      <c r="D713" s="4" t="s">
        <v>17</v>
      </c>
      <c r="E713" s="4" t="s">
        <v>1319</v>
      </c>
      <c r="F713" s="4" t="s">
        <v>19</v>
      </c>
      <c r="G713" s="4" t="s">
        <v>34</v>
      </c>
      <c r="H713" s="5">
        <v>18440000</v>
      </c>
      <c r="I713" s="4" t="s">
        <v>21</v>
      </c>
      <c r="J713" s="5">
        <f t="shared" si="11"/>
        <v>-66937200</v>
      </c>
      <c r="K713" s="4" t="s">
        <v>22</v>
      </c>
      <c r="L713" s="6">
        <v>3.63</v>
      </c>
      <c r="M713" s="6">
        <v>0.27550000000000002</v>
      </c>
      <c r="N713" s="6">
        <v>3.6153</v>
      </c>
      <c r="O713" s="6">
        <v>1</v>
      </c>
      <c r="P713" s="5">
        <v>-271068</v>
      </c>
      <c r="Q713" s="4" t="s">
        <v>1390</v>
      </c>
    </row>
    <row r="714" spans="1:17" x14ac:dyDescent="0.3">
      <c r="A714" s="2" t="s">
        <v>1389</v>
      </c>
      <c r="B714" s="3">
        <v>157242</v>
      </c>
      <c r="C714" s="3">
        <v>217700</v>
      </c>
      <c r="D714" s="4" t="s">
        <v>17</v>
      </c>
      <c r="E714" s="4" t="s">
        <v>1188</v>
      </c>
      <c r="F714" s="4" t="s">
        <v>19</v>
      </c>
      <c r="G714" s="4" t="s">
        <v>20</v>
      </c>
      <c r="H714" s="5">
        <v>30000</v>
      </c>
      <c r="I714" s="4" t="s">
        <v>21</v>
      </c>
      <c r="J714" s="5">
        <f t="shared" si="11"/>
        <v>-126348</v>
      </c>
      <c r="K714" s="4" t="s">
        <v>22</v>
      </c>
      <c r="L714" s="6">
        <v>4.2115999999999998</v>
      </c>
      <c r="M714" s="6">
        <v>0.2374</v>
      </c>
      <c r="N714" s="6">
        <v>4.2068000000000003</v>
      </c>
      <c r="O714" s="6">
        <v>1</v>
      </c>
      <c r="P714" s="5">
        <v>-143.99999999998545</v>
      </c>
      <c r="Q714" s="4" t="s">
        <v>1390</v>
      </c>
    </row>
    <row r="715" spans="1:17" x14ac:dyDescent="0.3">
      <c r="A715" s="2" t="s">
        <v>1389</v>
      </c>
      <c r="B715" s="3">
        <v>157245</v>
      </c>
      <c r="C715" s="3">
        <v>217704</v>
      </c>
      <c r="D715" s="4" t="s">
        <v>17</v>
      </c>
      <c r="E715" s="4" t="s">
        <v>1351</v>
      </c>
      <c r="F715" s="4" t="s">
        <v>19</v>
      </c>
      <c r="G715" s="4" t="s">
        <v>20</v>
      </c>
      <c r="H715" s="5">
        <v>24000</v>
      </c>
      <c r="I715" s="4" t="s">
        <v>21</v>
      </c>
      <c r="J715" s="5">
        <f t="shared" si="11"/>
        <v>-100692</v>
      </c>
      <c r="K715" s="4" t="s">
        <v>22</v>
      </c>
      <c r="L715" s="6">
        <v>4.1955</v>
      </c>
      <c r="M715" s="6">
        <v>0.2384</v>
      </c>
      <c r="N715" s="6">
        <v>4.2068000000000003</v>
      </c>
      <c r="O715" s="6">
        <v>1</v>
      </c>
      <c r="P715" s="5">
        <v>271.20000000001164</v>
      </c>
      <c r="Q715" s="4" t="s">
        <v>1390</v>
      </c>
    </row>
    <row r="716" spans="1:17" x14ac:dyDescent="0.3">
      <c r="A716" s="2" t="s">
        <v>1389</v>
      </c>
      <c r="B716" s="3">
        <v>157247</v>
      </c>
      <c r="C716" s="3">
        <v>217705</v>
      </c>
      <c r="D716" s="4" t="s">
        <v>17</v>
      </c>
      <c r="E716" s="4" t="s">
        <v>993</v>
      </c>
      <c r="F716" s="4" t="s">
        <v>32</v>
      </c>
      <c r="G716" s="4" t="s">
        <v>20</v>
      </c>
      <c r="H716" s="5">
        <v>-9461</v>
      </c>
      <c r="I716" s="4" t="s">
        <v>21</v>
      </c>
      <c r="J716" s="5">
        <f t="shared" si="11"/>
        <v>40030.437099999996</v>
      </c>
      <c r="K716" s="4" t="s">
        <v>22</v>
      </c>
      <c r="L716" s="6">
        <v>4.2310999999999996</v>
      </c>
      <c r="M716" s="6">
        <v>0.23630000000000001</v>
      </c>
      <c r="N716" s="6">
        <v>4.2068000000000003</v>
      </c>
      <c r="O716" s="6">
        <v>1</v>
      </c>
      <c r="P716" s="5">
        <v>219.49520000000001</v>
      </c>
      <c r="Q716" s="4" t="s">
        <v>1390</v>
      </c>
    </row>
    <row r="717" spans="1:17" x14ac:dyDescent="0.3">
      <c r="A717" s="2" t="s">
        <v>1389</v>
      </c>
      <c r="B717" s="3">
        <v>157248</v>
      </c>
      <c r="C717" s="3">
        <v>900461</v>
      </c>
      <c r="D717" s="4" t="s">
        <v>81</v>
      </c>
      <c r="E717" s="4" t="s">
        <v>730</v>
      </c>
      <c r="F717" s="4" t="s">
        <v>83</v>
      </c>
      <c r="G717" s="4" t="s">
        <v>20</v>
      </c>
      <c r="H717" s="5">
        <v>-200000</v>
      </c>
      <c r="I717" s="4" t="s">
        <v>34</v>
      </c>
      <c r="J717" s="5">
        <f t="shared" si="11"/>
        <v>232160</v>
      </c>
      <c r="K717" s="4" t="s">
        <v>39</v>
      </c>
      <c r="L717" s="6">
        <v>1.1608000000000001</v>
      </c>
      <c r="M717" s="6">
        <v>0.86150000000000004</v>
      </c>
      <c r="N717" s="6">
        <v>4.2230999999999996</v>
      </c>
      <c r="O717" s="6">
        <v>3.6345999999999998</v>
      </c>
      <c r="P717" s="5">
        <v>-796.72559999999999</v>
      </c>
      <c r="Q717" s="4" t="s">
        <v>1396</v>
      </c>
    </row>
    <row r="718" spans="1:17" x14ac:dyDescent="0.3">
      <c r="A718" s="2" t="s">
        <v>1389</v>
      </c>
      <c r="B718" s="3">
        <v>157249</v>
      </c>
      <c r="C718" s="3">
        <v>900462</v>
      </c>
      <c r="D718" s="4" t="s">
        <v>81</v>
      </c>
      <c r="E718" s="4" t="s">
        <v>730</v>
      </c>
      <c r="F718" s="4" t="s">
        <v>83</v>
      </c>
      <c r="G718" s="4" t="s">
        <v>20</v>
      </c>
      <c r="H718" s="5">
        <v>-200000</v>
      </c>
      <c r="I718" s="4" t="s">
        <v>34</v>
      </c>
      <c r="J718" s="5">
        <f t="shared" si="11"/>
        <v>232160</v>
      </c>
      <c r="K718" s="4" t="s">
        <v>39</v>
      </c>
      <c r="L718" s="6">
        <v>1.1608000000000001</v>
      </c>
      <c r="M718" s="6">
        <v>0.86150000000000004</v>
      </c>
      <c r="N718" s="6">
        <v>4.2230999999999996</v>
      </c>
      <c r="O718" s="6">
        <v>3.6345999999999998</v>
      </c>
      <c r="P718" s="5">
        <v>-796.72559999999999</v>
      </c>
      <c r="Q718" s="4" t="s">
        <v>1396</v>
      </c>
    </row>
    <row r="719" spans="1:17" x14ac:dyDescent="0.3">
      <c r="A719" s="2" t="s">
        <v>1389</v>
      </c>
      <c r="B719" s="3">
        <v>157251</v>
      </c>
      <c r="C719" s="3">
        <v>900469</v>
      </c>
      <c r="D719" s="4" t="s">
        <v>81</v>
      </c>
      <c r="E719" s="4" t="s">
        <v>742</v>
      </c>
      <c r="F719" s="4" t="s">
        <v>83</v>
      </c>
      <c r="G719" s="4" t="s">
        <v>34</v>
      </c>
      <c r="H719" s="5">
        <v>-5000000</v>
      </c>
      <c r="I719" s="4" t="s">
        <v>21</v>
      </c>
      <c r="J719" s="5">
        <f t="shared" si="11"/>
        <v>18159000</v>
      </c>
      <c r="K719" s="4" t="s">
        <v>39</v>
      </c>
      <c r="L719" s="6">
        <v>3.6318000000000001</v>
      </c>
      <c r="M719" s="6">
        <v>0.27529999999999999</v>
      </c>
      <c r="N719" s="6">
        <v>3.6345999999999998</v>
      </c>
      <c r="O719" s="6">
        <v>1</v>
      </c>
      <c r="P719" s="5">
        <v>-14000</v>
      </c>
      <c r="Q719" s="4" t="s">
        <v>1396</v>
      </c>
    </row>
    <row r="720" spans="1:17" x14ac:dyDescent="0.3">
      <c r="A720" s="2" t="s">
        <v>1389</v>
      </c>
      <c r="B720" s="3">
        <v>157252</v>
      </c>
      <c r="C720" s="3">
        <v>900470</v>
      </c>
      <c r="D720" s="4" t="s">
        <v>81</v>
      </c>
      <c r="E720" s="4" t="s">
        <v>734</v>
      </c>
      <c r="F720" s="4" t="s">
        <v>83</v>
      </c>
      <c r="G720" s="4" t="s">
        <v>34</v>
      </c>
      <c r="H720" s="5">
        <v>-5000000</v>
      </c>
      <c r="I720" s="4" t="s">
        <v>21</v>
      </c>
      <c r="J720" s="5">
        <f t="shared" si="11"/>
        <v>18158000</v>
      </c>
      <c r="K720" s="4" t="s">
        <v>39</v>
      </c>
      <c r="L720" s="6">
        <v>3.6316000000000002</v>
      </c>
      <c r="M720" s="6">
        <v>0.27539999999999998</v>
      </c>
      <c r="N720" s="6">
        <v>3.6345999999999998</v>
      </c>
      <c r="O720" s="6">
        <v>1</v>
      </c>
      <c r="P720" s="5">
        <v>-15000</v>
      </c>
      <c r="Q720" s="4" t="s">
        <v>1393</v>
      </c>
    </row>
    <row r="721" spans="1:17" x14ac:dyDescent="0.3">
      <c r="A721" s="2" t="s">
        <v>1389</v>
      </c>
      <c r="B721" s="3">
        <v>157253</v>
      </c>
      <c r="C721" s="3">
        <v>900471</v>
      </c>
      <c r="D721" s="4" t="s">
        <v>81</v>
      </c>
      <c r="E721" s="4" t="s">
        <v>730</v>
      </c>
      <c r="F721" s="4" t="s">
        <v>83</v>
      </c>
      <c r="G721" s="4" t="s">
        <v>34</v>
      </c>
      <c r="H721" s="5">
        <v>-5000000</v>
      </c>
      <c r="I721" s="4" t="s">
        <v>21</v>
      </c>
      <c r="J721" s="5">
        <f t="shared" si="11"/>
        <v>18158000</v>
      </c>
      <c r="K721" s="4" t="s">
        <v>39</v>
      </c>
      <c r="L721" s="6">
        <v>3.6316000000000002</v>
      </c>
      <c r="M721" s="6">
        <v>0.27539999999999998</v>
      </c>
      <c r="N721" s="6">
        <v>3.6345999999999998</v>
      </c>
      <c r="O721" s="6">
        <v>1</v>
      </c>
      <c r="P721" s="5">
        <v>-15050</v>
      </c>
      <c r="Q721" s="4" t="s">
        <v>1396</v>
      </c>
    </row>
    <row r="722" spans="1:17" x14ac:dyDescent="0.3">
      <c r="A722" s="2" t="s">
        <v>1389</v>
      </c>
      <c r="B722" s="3">
        <v>157254</v>
      </c>
      <c r="C722" s="3">
        <v>900472</v>
      </c>
      <c r="D722" s="4" t="s">
        <v>81</v>
      </c>
      <c r="E722" s="4" t="s">
        <v>730</v>
      </c>
      <c r="F722" s="4" t="s">
        <v>83</v>
      </c>
      <c r="G722" s="4" t="s">
        <v>34</v>
      </c>
      <c r="H722" s="5">
        <v>-5000000</v>
      </c>
      <c r="I722" s="4" t="s">
        <v>21</v>
      </c>
      <c r="J722" s="5">
        <f t="shared" si="11"/>
        <v>18157500</v>
      </c>
      <c r="K722" s="4" t="s">
        <v>39</v>
      </c>
      <c r="L722" s="6">
        <v>3.6315</v>
      </c>
      <c r="M722" s="6">
        <v>0.27539999999999998</v>
      </c>
      <c r="N722" s="6">
        <v>3.6345999999999998</v>
      </c>
      <c r="O722" s="6">
        <v>1</v>
      </c>
      <c r="P722" s="5">
        <v>-15250</v>
      </c>
      <c r="Q722" s="4" t="s">
        <v>1396</v>
      </c>
    </row>
    <row r="723" spans="1:17" x14ac:dyDescent="0.3">
      <c r="A723" s="2" t="s">
        <v>1389</v>
      </c>
      <c r="B723" s="3">
        <v>157255</v>
      </c>
      <c r="C723" s="3">
        <v>900485</v>
      </c>
      <c r="D723" s="4" t="s">
        <v>81</v>
      </c>
      <c r="E723" s="4" t="s">
        <v>732</v>
      </c>
      <c r="F723" s="4" t="s">
        <v>87</v>
      </c>
      <c r="G723" s="4" t="s">
        <v>20</v>
      </c>
      <c r="H723" s="5">
        <v>500000</v>
      </c>
      <c r="I723" s="4" t="s">
        <v>21</v>
      </c>
      <c r="J723" s="5">
        <f t="shared" si="11"/>
        <v>-2108450</v>
      </c>
      <c r="K723" s="4" t="s">
        <v>39</v>
      </c>
      <c r="L723" s="6">
        <v>4.2168999999999999</v>
      </c>
      <c r="M723" s="6">
        <v>0.23710000000000001</v>
      </c>
      <c r="N723" s="6">
        <v>4.2230999999999996</v>
      </c>
      <c r="O723" s="6">
        <v>1</v>
      </c>
      <c r="P723" s="5">
        <v>3085</v>
      </c>
      <c r="Q723" s="4" t="s">
        <v>1394</v>
      </c>
    </row>
    <row r="724" spans="1:17" x14ac:dyDescent="0.3">
      <c r="A724" s="2" t="s">
        <v>1389</v>
      </c>
      <c r="B724" s="3">
        <v>157256</v>
      </c>
      <c r="C724" s="3">
        <v>217709</v>
      </c>
      <c r="D724" s="4" t="s">
        <v>17</v>
      </c>
      <c r="E724" s="4" t="s">
        <v>954</v>
      </c>
      <c r="F724" s="4" t="s">
        <v>32</v>
      </c>
      <c r="G724" s="4" t="s">
        <v>20</v>
      </c>
      <c r="H724" s="5">
        <v>-400000</v>
      </c>
      <c r="I724" s="4" t="s">
        <v>21</v>
      </c>
      <c r="J724" s="5">
        <f t="shared" si="11"/>
        <v>1687360</v>
      </c>
      <c r="K724" s="4" t="s">
        <v>22</v>
      </c>
      <c r="L724" s="6">
        <v>4.2183999999999999</v>
      </c>
      <c r="M724" s="6">
        <v>0.23710000000000001</v>
      </c>
      <c r="N724" s="6">
        <v>4.2068000000000003</v>
      </c>
      <c r="O724" s="6">
        <v>1</v>
      </c>
      <c r="P724" s="5">
        <v>4360</v>
      </c>
      <c r="Q724" s="4" t="s">
        <v>1390</v>
      </c>
    </row>
    <row r="725" spans="1:17" x14ac:dyDescent="0.3">
      <c r="A725" s="2" t="s">
        <v>1389</v>
      </c>
      <c r="B725" s="3">
        <v>157257</v>
      </c>
      <c r="C725" s="3">
        <v>217712</v>
      </c>
      <c r="D725" s="4" t="s">
        <v>17</v>
      </c>
      <c r="E725" s="4" t="s">
        <v>851</v>
      </c>
      <c r="F725" s="4" t="s">
        <v>19</v>
      </c>
      <c r="G725" s="4" t="s">
        <v>34</v>
      </c>
      <c r="H725" s="5">
        <v>10000</v>
      </c>
      <c r="I725" s="4" t="s">
        <v>21</v>
      </c>
      <c r="J725" s="5">
        <f t="shared" si="11"/>
        <v>-36205</v>
      </c>
      <c r="K725" s="4" t="s">
        <v>22</v>
      </c>
      <c r="L725" s="6">
        <v>3.6204999999999998</v>
      </c>
      <c r="M725" s="6">
        <v>0.2762</v>
      </c>
      <c r="N725" s="6">
        <v>3.6153</v>
      </c>
      <c r="O725" s="6">
        <v>1</v>
      </c>
      <c r="P725" s="5">
        <v>-52</v>
      </c>
      <c r="Q725" s="4" t="s">
        <v>1390</v>
      </c>
    </row>
    <row r="726" spans="1:17" x14ac:dyDescent="0.3">
      <c r="A726" s="2" t="s">
        <v>1389</v>
      </c>
      <c r="B726" s="3">
        <v>157258</v>
      </c>
      <c r="C726" s="3">
        <v>217713</v>
      </c>
      <c r="D726" s="4" t="s">
        <v>17</v>
      </c>
      <c r="E726" s="4" t="s">
        <v>828</v>
      </c>
      <c r="F726" s="4" t="s">
        <v>19</v>
      </c>
      <c r="G726" s="4" t="s">
        <v>20</v>
      </c>
      <c r="H726" s="5">
        <v>100000</v>
      </c>
      <c r="I726" s="4" t="s">
        <v>21</v>
      </c>
      <c r="J726" s="5">
        <f t="shared" si="11"/>
        <v>-421380</v>
      </c>
      <c r="K726" s="4" t="s">
        <v>49</v>
      </c>
      <c r="L726" s="6">
        <v>4.2138</v>
      </c>
      <c r="M726" s="6">
        <v>0.23730000000000001</v>
      </c>
      <c r="N726" s="6">
        <v>4.2191999999999998</v>
      </c>
      <c r="O726" s="6">
        <v>1</v>
      </c>
      <c r="P726" s="5">
        <v>540</v>
      </c>
      <c r="Q726" s="4" t="s">
        <v>1390</v>
      </c>
    </row>
    <row r="727" spans="1:17" x14ac:dyDescent="0.3">
      <c r="A727" s="2" t="s">
        <v>1389</v>
      </c>
      <c r="B727" s="3">
        <v>157259</v>
      </c>
      <c r="C727" s="3">
        <v>217715</v>
      </c>
      <c r="D727" s="4" t="s">
        <v>17</v>
      </c>
      <c r="E727" s="4" t="s">
        <v>921</v>
      </c>
      <c r="F727" s="4" t="s">
        <v>19</v>
      </c>
      <c r="G727" s="4" t="s">
        <v>20</v>
      </c>
      <c r="H727" s="5">
        <v>70000</v>
      </c>
      <c r="I727" s="4" t="s">
        <v>21</v>
      </c>
      <c r="J727" s="5">
        <f t="shared" si="11"/>
        <v>-294833</v>
      </c>
      <c r="K727" s="4" t="s">
        <v>22</v>
      </c>
      <c r="L727" s="6">
        <v>4.2119</v>
      </c>
      <c r="M727" s="6">
        <v>0.2374</v>
      </c>
      <c r="N727" s="6">
        <v>4.2068000000000003</v>
      </c>
      <c r="O727" s="6">
        <v>1</v>
      </c>
      <c r="P727" s="5">
        <v>-357</v>
      </c>
      <c r="Q727" s="4" t="s">
        <v>1390</v>
      </c>
    </row>
    <row r="728" spans="1:17" x14ac:dyDescent="0.3">
      <c r="A728" s="2" t="s">
        <v>1389</v>
      </c>
      <c r="B728" s="3">
        <v>157260</v>
      </c>
      <c r="C728" s="3">
        <v>900520</v>
      </c>
      <c r="D728" s="4" t="s">
        <v>81</v>
      </c>
      <c r="E728" s="4" t="s">
        <v>734</v>
      </c>
      <c r="F728" s="4" t="s">
        <v>83</v>
      </c>
      <c r="G728" s="4" t="s">
        <v>20</v>
      </c>
      <c r="H728" s="5">
        <v>-500000</v>
      </c>
      <c r="I728" s="4" t="s">
        <v>21</v>
      </c>
      <c r="J728" s="5">
        <f t="shared" si="11"/>
        <v>2108650</v>
      </c>
      <c r="K728" s="4" t="s">
        <v>39</v>
      </c>
      <c r="L728" s="6">
        <v>4.2172999999999998</v>
      </c>
      <c r="M728" s="6">
        <v>0.23710000000000001</v>
      </c>
      <c r="N728" s="6">
        <v>4.2230999999999996</v>
      </c>
      <c r="O728" s="6">
        <v>1</v>
      </c>
      <c r="P728" s="5">
        <v>-2900</v>
      </c>
      <c r="Q728" s="4" t="s">
        <v>1393</v>
      </c>
    </row>
    <row r="729" spans="1:17" x14ac:dyDescent="0.3">
      <c r="A729" s="2" t="s">
        <v>1389</v>
      </c>
      <c r="B729" s="3">
        <v>157261</v>
      </c>
      <c r="C729" s="3">
        <v>217719</v>
      </c>
      <c r="D729" s="4" t="s">
        <v>17</v>
      </c>
      <c r="E729" s="4" t="s">
        <v>1057</v>
      </c>
      <c r="F729" s="4" t="s">
        <v>19</v>
      </c>
      <c r="G729" s="4" t="s">
        <v>91</v>
      </c>
      <c r="H729" s="5">
        <v>10000</v>
      </c>
      <c r="I729" s="4" t="s">
        <v>21</v>
      </c>
      <c r="J729" s="5">
        <f t="shared" si="11"/>
        <v>-48613</v>
      </c>
      <c r="K729" s="4" t="s">
        <v>22</v>
      </c>
      <c r="L729" s="6">
        <v>4.8613</v>
      </c>
      <c r="M729" s="6">
        <v>0.20569999999999999</v>
      </c>
      <c r="N729" s="6">
        <v>4.8579999999999997</v>
      </c>
      <c r="O729" s="6">
        <v>1</v>
      </c>
      <c r="P729" s="5">
        <v>-33</v>
      </c>
      <c r="Q729" s="4" t="s">
        <v>1390</v>
      </c>
    </row>
    <row r="730" spans="1:17" x14ac:dyDescent="0.3">
      <c r="A730" s="2" t="s">
        <v>1389</v>
      </c>
      <c r="B730" s="3">
        <v>157262</v>
      </c>
      <c r="C730" s="3">
        <v>217720</v>
      </c>
      <c r="D730" s="4" t="s">
        <v>17</v>
      </c>
      <c r="E730" s="4" t="s">
        <v>1057</v>
      </c>
      <c r="F730" s="4" t="s">
        <v>19</v>
      </c>
      <c r="G730" s="4" t="s">
        <v>20</v>
      </c>
      <c r="H730" s="5">
        <v>20000</v>
      </c>
      <c r="I730" s="4" t="s">
        <v>21</v>
      </c>
      <c r="J730" s="5">
        <f t="shared" si="11"/>
        <v>-84288.000000000015</v>
      </c>
      <c r="K730" s="4" t="s">
        <v>22</v>
      </c>
      <c r="L730" s="6">
        <v>4.2144000000000004</v>
      </c>
      <c r="M730" s="6">
        <v>0.23730000000000001</v>
      </c>
      <c r="N730" s="6">
        <v>4.2068000000000003</v>
      </c>
      <c r="O730" s="6">
        <v>1</v>
      </c>
      <c r="P730" s="5">
        <v>-152.00000000001455</v>
      </c>
      <c r="Q730" s="4" t="s">
        <v>1390</v>
      </c>
    </row>
    <row r="731" spans="1:17" x14ac:dyDescent="0.3">
      <c r="A731" s="2" t="s">
        <v>1389</v>
      </c>
      <c r="B731" s="3">
        <v>157263</v>
      </c>
      <c r="C731" s="3">
        <v>217722</v>
      </c>
      <c r="D731" s="4" t="s">
        <v>17</v>
      </c>
      <c r="E731" s="4" t="s">
        <v>889</v>
      </c>
      <c r="F731" s="4" t="s">
        <v>32</v>
      </c>
      <c r="G731" s="4" t="s">
        <v>34</v>
      </c>
      <c r="H731" s="5">
        <v>-26000</v>
      </c>
      <c r="I731" s="4" t="s">
        <v>21</v>
      </c>
      <c r="J731" s="5">
        <f t="shared" si="11"/>
        <v>94718</v>
      </c>
      <c r="K731" s="4" t="s">
        <v>22</v>
      </c>
      <c r="L731" s="6">
        <v>3.6429999999999998</v>
      </c>
      <c r="M731" s="6">
        <v>0.27450000000000002</v>
      </c>
      <c r="N731" s="6">
        <v>3.6153</v>
      </c>
      <c r="O731" s="6">
        <v>1</v>
      </c>
      <c r="P731" s="5">
        <v>720.2</v>
      </c>
      <c r="Q731" s="4" t="s">
        <v>1390</v>
      </c>
    </row>
    <row r="732" spans="1:17" x14ac:dyDescent="0.3">
      <c r="A732" s="2" t="s">
        <v>1389</v>
      </c>
      <c r="B732" s="3">
        <v>157264</v>
      </c>
      <c r="C732" s="3">
        <v>217724</v>
      </c>
      <c r="D732" s="4" t="s">
        <v>17</v>
      </c>
      <c r="E732" s="4" t="s">
        <v>889</v>
      </c>
      <c r="F732" s="4" t="s">
        <v>32</v>
      </c>
      <c r="G732" s="4" t="s">
        <v>20</v>
      </c>
      <c r="H732" s="5">
        <v>-4000</v>
      </c>
      <c r="I732" s="4" t="s">
        <v>21</v>
      </c>
      <c r="J732" s="5">
        <f t="shared" si="11"/>
        <v>16916</v>
      </c>
      <c r="K732" s="4" t="s">
        <v>22</v>
      </c>
      <c r="L732" s="6">
        <v>4.2290000000000001</v>
      </c>
      <c r="M732" s="6">
        <v>0.23649999999999999</v>
      </c>
      <c r="N732" s="6">
        <v>4.2068000000000003</v>
      </c>
      <c r="O732" s="6">
        <v>1</v>
      </c>
      <c r="P732" s="5">
        <v>88.8</v>
      </c>
      <c r="Q732" s="4" t="s">
        <v>1390</v>
      </c>
    </row>
    <row r="733" spans="1:17" x14ac:dyDescent="0.3">
      <c r="A733" s="2" t="s">
        <v>1389</v>
      </c>
      <c r="B733" s="3">
        <v>157265</v>
      </c>
      <c r="C733" s="3">
        <v>217726</v>
      </c>
      <c r="D733" s="4" t="s">
        <v>17</v>
      </c>
      <c r="E733" s="4" t="s">
        <v>1277</v>
      </c>
      <c r="F733" s="4" t="s">
        <v>19</v>
      </c>
      <c r="G733" s="4" t="s">
        <v>20</v>
      </c>
      <c r="H733" s="5">
        <v>30000</v>
      </c>
      <c r="I733" s="4" t="s">
        <v>21</v>
      </c>
      <c r="J733" s="5">
        <f t="shared" si="11"/>
        <v>-126477.00000000001</v>
      </c>
      <c r="K733" s="4" t="s">
        <v>22</v>
      </c>
      <c r="L733" s="6">
        <v>4.2159000000000004</v>
      </c>
      <c r="M733" s="6">
        <v>0.23719999999999999</v>
      </c>
      <c r="N733" s="6">
        <v>4.2068000000000003</v>
      </c>
      <c r="O733" s="6">
        <v>1</v>
      </c>
      <c r="P733" s="5">
        <v>-273</v>
      </c>
      <c r="Q733" s="4" t="s">
        <v>1390</v>
      </c>
    </row>
    <row r="734" spans="1:17" x14ac:dyDescent="0.3">
      <c r="A734" s="2" t="s">
        <v>1389</v>
      </c>
      <c r="B734" s="3">
        <v>157266</v>
      </c>
      <c r="C734" s="3">
        <v>217727</v>
      </c>
      <c r="D734" s="4" t="s">
        <v>17</v>
      </c>
      <c r="E734" s="4" t="s">
        <v>755</v>
      </c>
      <c r="F734" s="4" t="s">
        <v>32</v>
      </c>
      <c r="G734" s="4" t="s">
        <v>20</v>
      </c>
      <c r="H734" s="5">
        <v>-62337.05</v>
      </c>
      <c r="I734" s="4" t="s">
        <v>21</v>
      </c>
      <c r="J734" s="5">
        <f t="shared" si="11"/>
        <v>263374.03625</v>
      </c>
      <c r="K734" s="4" t="s">
        <v>22</v>
      </c>
      <c r="L734" s="6">
        <v>4.2249999999999996</v>
      </c>
      <c r="M734" s="6">
        <v>0.23669999999999999</v>
      </c>
      <c r="N734" s="6">
        <v>4.2068000000000003</v>
      </c>
      <c r="O734" s="6">
        <v>1</v>
      </c>
      <c r="P734" s="5">
        <v>760.49806000000001</v>
      </c>
      <c r="Q734" s="4" t="s">
        <v>1390</v>
      </c>
    </row>
    <row r="735" spans="1:17" x14ac:dyDescent="0.3">
      <c r="A735" s="2" t="s">
        <v>1389</v>
      </c>
      <c r="B735" s="3">
        <v>157269</v>
      </c>
      <c r="C735" s="3">
        <v>900561</v>
      </c>
      <c r="D735" s="4" t="s">
        <v>81</v>
      </c>
      <c r="E735" s="4" t="s">
        <v>730</v>
      </c>
      <c r="F735" s="4" t="s">
        <v>83</v>
      </c>
      <c r="G735" s="4" t="s">
        <v>20</v>
      </c>
      <c r="H735" s="5">
        <v>-500000</v>
      </c>
      <c r="I735" s="4" t="s">
        <v>21</v>
      </c>
      <c r="J735" s="5">
        <f t="shared" si="11"/>
        <v>2109500</v>
      </c>
      <c r="K735" s="4" t="s">
        <v>39</v>
      </c>
      <c r="L735" s="6">
        <v>4.2190000000000003</v>
      </c>
      <c r="M735" s="6">
        <v>0.23699999999999999</v>
      </c>
      <c r="N735" s="6">
        <v>4.2230999999999996</v>
      </c>
      <c r="O735" s="6">
        <v>1</v>
      </c>
      <c r="P735" s="5">
        <v>-2050</v>
      </c>
      <c r="Q735" s="4" t="s">
        <v>1396</v>
      </c>
    </row>
    <row r="736" spans="1:17" x14ac:dyDescent="0.3">
      <c r="A736" s="2" t="s">
        <v>1389</v>
      </c>
      <c r="B736" s="3">
        <v>157270</v>
      </c>
      <c r="C736" s="3">
        <v>217733</v>
      </c>
      <c r="D736" s="4" t="s">
        <v>17</v>
      </c>
      <c r="E736" s="4" t="s">
        <v>1181</v>
      </c>
      <c r="F736" s="4" t="s">
        <v>32</v>
      </c>
      <c r="G736" s="4" t="s">
        <v>20</v>
      </c>
      <c r="H736" s="5">
        <v>-423896</v>
      </c>
      <c r="I736" s="4" t="s">
        <v>21</v>
      </c>
      <c r="J736" s="5">
        <f t="shared" si="11"/>
        <v>1790960.5999999999</v>
      </c>
      <c r="K736" s="4" t="s">
        <v>22</v>
      </c>
      <c r="L736" s="6">
        <v>4.2249999999999996</v>
      </c>
      <c r="M736" s="6">
        <v>0.23669999999999999</v>
      </c>
      <c r="N736" s="6">
        <v>4.2068000000000003</v>
      </c>
      <c r="O736" s="6">
        <v>1</v>
      </c>
      <c r="P736" s="5">
        <v>7714.9071999999996</v>
      </c>
      <c r="Q736" s="4" t="s">
        <v>1390</v>
      </c>
    </row>
    <row r="737" spans="1:17" x14ac:dyDescent="0.3">
      <c r="A737" s="2" t="s">
        <v>1389</v>
      </c>
      <c r="B737" s="3">
        <v>157271</v>
      </c>
      <c r="C737" s="3">
        <v>217735</v>
      </c>
      <c r="D737" s="4" t="s">
        <v>17</v>
      </c>
      <c r="E737" s="4" t="s">
        <v>905</v>
      </c>
      <c r="F737" s="4" t="s">
        <v>32</v>
      </c>
      <c r="G737" s="4" t="s">
        <v>20</v>
      </c>
      <c r="H737" s="5">
        <v>-75000</v>
      </c>
      <c r="I737" s="4" t="s">
        <v>21</v>
      </c>
      <c r="J737" s="5">
        <f t="shared" si="11"/>
        <v>316875</v>
      </c>
      <c r="K737" s="4" t="s">
        <v>22</v>
      </c>
      <c r="L737" s="6">
        <v>4.2249999999999996</v>
      </c>
      <c r="M737" s="6">
        <v>0.23669999999999999</v>
      </c>
      <c r="N737" s="6">
        <v>4.2068000000000003</v>
      </c>
      <c r="O737" s="6">
        <v>1</v>
      </c>
      <c r="P737" s="5">
        <v>1365</v>
      </c>
      <c r="Q737" s="4" t="s">
        <v>1390</v>
      </c>
    </row>
    <row r="738" spans="1:17" x14ac:dyDescent="0.3">
      <c r="A738" s="2" t="s">
        <v>1389</v>
      </c>
      <c r="B738" s="3">
        <v>157272</v>
      </c>
      <c r="C738" s="3">
        <v>217736</v>
      </c>
      <c r="D738" s="4" t="s">
        <v>17</v>
      </c>
      <c r="E738" s="4" t="s">
        <v>1081</v>
      </c>
      <c r="F738" s="4" t="s">
        <v>32</v>
      </c>
      <c r="G738" s="4" t="s">
        <v>20</v>
      </c>
      <c r="H738" s="5">
        <v>-50000</v>
      </c>
      <c r="I738" s="4" t="s">
        <v>21</v>
      </c>
      <c r="J738" s="5">
        <f t="shared" si="11"/>
        <v>211025.00000000003</v>
      </c>
      <c r="K738" s="4" t="s">
        <v>22</v>
      </c>
      <c r="L738" s="6">
        <v>4.2205000000000004</v>
      </c>
      <c r="M738" s="6">
        <v>0.2369</v>
      </c>
      <c r="N738" s="6">
        <v>4.2068000000000003</v>
      </c>
      <c r="O738" s="6">
        <v>1</v>
      </c>
      <c r="P738" s="5">
        <v>685</v>
      </c>
      <c r="Q738" s="4" t="s">
        <v>1390</v>
      </c>
    </row>
    <row r="739" spans="1:17" x14ac:dyDescent="0.3">
      <c r="A739" s="2" t="s">
        <v>1389</v>
      </c>
      <c r="B739" s="3">
        <v>157276</v>
      </c>
      <c r="C739" s="3">
        <v>217739</v>
      </c>
      <c r="D739" s="4" t="s">
        <v>17</v>
      </c>
      <c r="E739" s="4" t="s">
        <v>1042</v>
      </c>
      <c r="F739" s="4" t="s">
        <v>19</v>
      </c>
      <c r="G739" s="4" t="s">
        <v>20</v>
      </c>
      <c r="H739" s="5">
        <v>128348.24</v>
      </c>
      <c r="I739" s="4" t="s">
        <v>21</v>
      </c>
      <c r="J739" s="5">
        <f t="shared" si="11"/>
        <v>-540718.30029600009</v>
      </c>
      <c r="K739" s="4" t="s">
        <v>22</v>
      </c>
      <c r="L739" s="6">
        <v>4.2129000000000003</v>
      </c>
      <c r="M739" s="6">
        <v>0.2374</v>
      </c>
      <c r="N739" s="6">
        <v>4.2068000000000003</v>
      </c>
      <c r="O739" s="6">
        <v>1</v>
      </c>
      <c r="P739" s="5">
        <v>-782.92426400003023</v>
      </c>
      <c r="Q739" s="4" t="s">
        <v>1390</v>
      </c>
    </row>
    <row r="740" spans="1:17" x14ac:dyDescent="0.3">
      <c r="A740" s="2" t="s">
        <v>1389</v>
      </c>
      <c r="B740" s="3">
        <v>157279</v>
      </c>
      <c r="C740" s="3">
        <v>217746</v>
      </c>
      <c r="D740" s="4" t="s">
        <v>17</v>
      </c>
      <c r="E740" s="4" t="s">
        <v>1269</v>
      </c>
      <c r="F740" s="4" t="s">
        <v>19</v>
      </c>
      <c r="G740" s="4" t="s">
        <v>20</v>
      </c>
      <c r="H740" s="5">
        <v>50000</v>
      </c>
      <c r="I740" s="4" t="s">
        <v>21</v>
      </c>
      <c r="J740" s="5">
        <f t="shared" si="11"/>
        <v>-210500</v>
      </c>
      <c r="K740" s="4" t="s">
        <v>22</v>
      </c>
      <c r="L740" s="6">
        <v>4.21</v>
      </c>
      <c r="M740" s="6">
        <v>0.23749999999999999</v>
      </c>
      <c r="N740" s="6">
        <v>4.2068000000000003</v>
      </c>
      <c r="O740" s="6">
        <v>1</v>
      </c>
      <c r="P740" s="5">
        <v>-159.9999999999709</v>
      </c>
      <c r="Q740" s="4" t="s">
        <v>1390</v>
      </c>
    </row>
    <row r="741" spans="1:17" x14ac:dyDescent="0.3">
      <c r="A741" s="2" t="s">
        <v>1389</v>
      </c>
      <c r="B741" s="3">
        <v>157280</v>
      </c>
      <c r="C741" s="3">
        <v>217748</v>
      </c>
      <c r="D741" s="4" t="s">
        <v>17</v>
      </c>
      <c r="E741" s="4" t="s">
        <v>875</v>
      </c>
      <c r="F741" s="4" t="s">
        <v>19</v>
      </c>
      <c r="G741" s="4" t="s">
        <v>20</v>
      </c>
      <c r="H741" s="5">
        <v>12000</v>
      </c>
      <c r="I741" s="4" t="s">
        <v>21</v>
      </c>
      <c r="J741" s="5">
        <f t="shared" si="11"/>
        <v>-50436</v>
      </c>
      <c r="K741" s="4" t="s">
        <v>22</v>
      </c>
      <c r="L741" s="6">
        <v>4.2030000000000003</v>
      </c>
      <c r="M741" s="6">
        <v>0.2379</v>
      </c>
      <c r="N741" s="6">
        <v>4.2068000000000003</v>
      </c>
      <c r="O741" s="6">
        <v>1</v>
      </c>
      <c r="P741" s="5">
        <v>45.600000000005821</v>
      </c>
      <c r="Q741" s="4" t="s">
        <v>1390</v>
      </c>
    </row>
    <row r="742" spans="1:17" x14ac:dyDescent="0.3">
      <c r="A742" s="2" t="s">
        <v>1389</v>
      </c>
      <c r="B742" s="3">
        <v>157281</v>
      </c>
      <c r="C742" s="3">
        <v>900627</v>
      </c>
      <c r="D742" s="4" t="s">
        <v>81</v>
      </c>
      <c r="E742" s="4" t="s">
        <v>733</v>
      </c>
      <c r="F742" s="4" t="s">
        <v>87</v>
      </c>
      <c r="G742" s="4" t="s">
        <v>20</v>
      </c>
      <c r="H742" s="5">
        <v>1000000</v>
      </c>
      <c r="I742" s="4" t="s">
        <v>21</v>
      </c>
      <c r="J742" s="5">
        <f t="shared" si="11"/>
        <v>-4219600</v>
      </c>
      <c r="K742" s="4" t="s">
        <v>39</v>
      </c>
      <c r="L742" s="6">
        <v>4.2195999999999998</v>
      </c>
      <c r="M742" s="6">
        <v>0.23699999999999999</v>
      </c>
      <c r="N742" s="6">
        <v>4.2230999999999996</v>
      </c>
      <c r="O742" s="6">
        <v>1</v>
      </c>
      <c r="P742" s="5">
        <v>3490</v>
      </c>
      <c r="Q742" s="4" t="s">
        <v>1391</v>
      </c>
    </row>
    <row r="743" spans="1:17" x14ac:dyDescent="0.3">
      <c r="A743" s="2" t="s">
        <v>1389</v>
      </c>
      <c r="B743" s="3">
        <v>157282</v>
      </c>
      <c r="C743" s="3">
        <v>217752</v>
      </c>
      <c r="D743" s="4" t="s">
        <v>17</v>
      </c>
      <c r="E743" s="4" t="s">
        <v>1328</v>
      </c>
      <c r="F743" s="4" t="s">
        <v>19</v>
      </c>
      <c r="G743" s="4" t="s">
        <v>20</v>
      </c>
      <c r="H743" s="5">
        <v>300000</v>
      </c>
      <c r="I743" s="4" t="s">
        <v>21</v>
      </c>
      <c r="J743" s="5">
        <f t="shared" si="11"/>
        <v>-1264920</v>
      </c>
      <c r="K743" s="4" t="s">
        <v>22</v>
      </c>
      <c r="L743" s="6">
        <v>4.2164000000000001</v>
      </c>
      <c r="M743" s="6">
        <v>0.23719999999999999</v>
      </c>
      <c r="N743" s="6">
        <v>4.2068000000000003</v>
      </c>
      <c r="O743" s="6">
        <v>1</v>
      </c>
      <c r="P743" s="5">
        <v>-2880</v>
      </c>
      <c r="Q743" s="4" t="s">
        <v>1390</v>
      </c>
    </row>
    <row r="744" spans="1:17" x14ac:dyDescent="0.3">
      <c r="A744" s="2" t="s">
        <v>1389</v>
      </c>
      <c r="B744" s="3">
        <v>157283</v>
      </c>
      <c r="C744" s="3">
        <v>900636</v>
      </c>
      <c r="D744" s="4" t="s">
        <v>81</v>
      </c>
      <c r="E744" s="4" t="s">
        <v>1091</v>
      </c>
      <c r="F744" s="4" t="s">
        <v>87</v>
      </c>
      <c r="G744" s="4" t="s">
        <v>20</v>
      </c>
      <c r="H744" s="5">
        <v>44000</v>
      </c>
      <c r="I744" s="4" t="s">
        <v>34</v>
      </c>
      <c r="J744" s="5">
        <f t="shared" si="11"/>
        <v>-51026.799999999996</v>
      </c>
      <c r="K744" s="4" t="s">
        <v>39</v>
      </c>
      <c r="L744" s="6">
        <v>1.1597</v>
      </c>
      <c r="M744" s="6">
        <v>0.86229999999999996</v>
      </c>
      <c r="N744" s="6">
        <v>4.2230999999999996</v>
      </c>
      <c r="O744" s="6">
        <v>3.6345999999999998</v>
      </c>
      <c r="P744" s="5">
        <v>354.39272</v>
      </c>
      <c r="Q744" s="4" t="s">
        <v>1390</v>
      </c>
    </row>
    <row r="745" spans="1:17" x14ac:dyDescent="0.3">
      <c r="A745" s="2" t="s">
        <v>1389</v>
      </c>
      <c r="B745" s="3">
        <v>157284</v>
      </c>
      <c r="C745" s="3">
        <v>900644</v>
      </c>
      <c r="D745" s="4" t="s">
        <v>81</v>
      </c>
      <c r="E745" s="4" t="s">
        <v>732</v>
      </c>
      <c r="F745" s="4" t="s">
        <v>83</v>
      </c>
      <c r="G745" s="4" t="s">
        <v>20</v>
      </c>
      <c r="H745" s="5">
        <v>-500000</v>
      </c>
      <c r="I745" s="4" t="s">
        <v>21</v>
      </c>
      <c r="J745" s="5">
        <f t="shared" si="11"/>
        <v>2109700</v>
      </c>
      <c r="K745" s="4" t="s">
        <v>39</v>
      </c>
      <c r="L745" s="6">
        <v>4.2194000000000003</v>
      </c>
      <c r="M745" s="6">
        <v>0.23699999999999999</v>
      </c>
      <c r="N745" s="6">
        <v>4.2230999999999996</v>
      </c>
      <c r="O745" s="6">
        <v>1</v>
      </c>
      <c r="P745" s="5">
        <v>-1850</v>
      </c>
      <c r="Q745" s="4" t="s">
        <v>1394</v>
      </c>
    </row>
    <row r="746" spans="1:17" x14ac:dyDescent="0.3">
      <c r="A746" s="2" t="s">
        <v>1389</v>
      </c>
      <c r="B746" s="3">
        <v>157285</v>
      </c>
      <c r="C746" s="3">
        <v>900655</v>
      </c>
      <c r="D746" s="4" t="s">
        <v>81</v>
      </c>
      <c r="E746" s="4" t="s">
        <v>742</v>
      </c>
      <c r="F746" s="4" t="s">
        <v>83</v>
      </c>
      <c r="G746" s="4" t="s">
        <v>34</v>
      </c>
      <c r="H746" s="5">
        <v>-5000000</v>
      </c>
      <c r="I746" s="4" t="s">
        <v>21</v>
      </c>
      <c r="J746" s="5">
        <f t="shared" si="11"/>
        <v>18170500</v>
      </c>
      <c r="K746" s="4" t="s">
        <v>39</v>
      </c>
      <c r="L746" s="6">
        <v>3.6341000000000001</v>
      </c>
      <c r="M746" s="6">
        <v>0.2752</v>
      </c>
      <c r="N746" s="6">
        <v>3.6345999999999998</v>
      </c>
      <c r="O746" s="6">
        <v>1</v>
      </c>
      <c r="P746" s="5">
        <v>-2500</v>
      </c>
      <c r="Q746" s="4" t="s">
        <v>1396</v>
      </c>
    </row>
    <row r="747" spans="1:17" x14ac:dyDescent="0.3">
      <c r="A747" s="2" t="s">
        <v>1389</v>
      </c>
      <c r="B747" s="3">
        <v>157286</v>
      </c>
      <c r="C747" s="3">
        <v>900656</v>
      </c>
      <c r="D747" s="4" t="s">
        <v>81</v>
      </c>
      <c r="E747" s="4" t="s">
        <v>734</v>
      </c>
      <c r="F747" s="4" t="s">
        <v>83</v>
      </c>
      <c r="G747" s="4" t="s">
        <v>34</v>
      </c>
      <c r="H747" s="5">
        <v>-5000000</v>
      </c>
      <c r="I747" s="4" t="s">
        <v>21</v>
      </c>
      <c r="J747" s="5">
        <f t="shared" si="11"/>
        <v>18169500</v>
      </c>
      <c r="K747" s="4" t="s">
        <v>39</v>
      </c>
      <c r="L747" s="6">
        <v>3.6339000000000001</v>
      </c>
      <c r="M747" s="6">
        <v>0.2752</v>
      </c>
      <c r="N747" s="6">
        <v>3.6345999999999998</v>
      </c>
      <c r="O747" s="6">
        <v>1</v>
      </c>
      <c r="P747" s="5">
        <v>-3500</v>
      </c>
      <c r="Q747" s="4" t="s">
        <v>1393</v>
      </c>
    </row>
    <row r="748" spans="1:17" x14ac:dyDescent="0.3">
      <c r="A748" s="2" t="s">
        <v>1389</v>
      </c>
      <c r="B748" s="3">
        <v>157287</v>
      </c>
      <c r="C748" s="3">
        <v>900657</v>
      </c>
      <c r="D748" s="4" t="s">
        <v>81</v>
      </c>
      <c r="E748" s="4" t="s">
        <v>735</v>
      </c>
      <c r="F748" s="4" t="s">
        <v>83</v>
      </c>
      <c r="G748" s="4" t="s">
        <v>34</v>
      </c>
      <c r="H748" s="5">
        <v>-5000000</v>
      </c>
      <c r="I748" s="4" t="s">
        <v>21</v>
      </c>
      <c r="J748" s="5">
        <f t="shared" si="11"/>
        <v>18170000</v>
      </c>
      <c r="K748" s="4" t="s">
        <v>39</v>
      </c>
      <c r="L748" s="6">
        <v>3.6339999999999999</v>
      </c>
      <c r="M748" s="6">
        <v>0.2752</v>
      </c>
      <c r="N748" s="6">
        <v>3.6345999999999998</v>
      </c>
      <c r="O748" s="6">
        <v>1</v>
      </c>
      <c r="P748" s="5">
        <v>-3000</v>
      </c>
      <c r="Q748" s="4" t="s">
        <v>1394</v>
      </c>
    </row>
    <row r="749" spans="1:17" x14ac:dyDescent="0.3">
      <c r="A749" s="2" t="s">
        <v>1389</v>
      </c>
      <c r="B749" s="3">
        <v>157288</v>
      </c>
      <c r="C749" s="3">
        <v>217758</v>
      </c>
      <c r="D749" s="4" t="s">
        <v>17</v>
      </c>
      <c r="E749" s="4" t="s">
        <v>1367</v>
      </c>
      <c r="F749" s="4" t="s">
        <v>32</v>
      </c>
      <c r="G749" s="4" t="s">
        <v>20</v>
      </c>
      <c r="H749" s="5">
        <v>-50000</v>
      </c>
      <c r="I749" s="4" t="s">
        <v>21</v>
      </c>
      <c r="J749" s="5">
        <f t="shared" si="11"/>
        <v>211640</v>
      </c>
      <c r="K749" s="4" t="s">
        <v>22</v>
      </c>
      <c r="L749" s="6">
        <v>4.2328000000000001</v>
      </c>
      <c r="M749" s="6">
        <v>0.23630000000000001</v>
      </c>
      <c r="N749" s="6">
        <v>4.2068000000000003</v>
      </c>
      <c r="O749" s="6">
        <v>1</v>
      </c>
      <c r="P749" s="5">
        <v>1260</v>
      </c>
      <c r="Q749" s="4" t="s">
        <v>1390</v>
      </c>
    </row>
    <row r="750" spans="1:17" x14ac:dyDescent="0.3">
      <c r="A750" s="2" t="s">
        <v>1389</v>
      </c>
      <c r="B750" s="3">
        <v>157289</v>
      </c>
      <c r="C750" s="3">
        <v>900661</v>
      </c>
      <c r="D750" s="4" t="s">
        <v>81</v>
      </c>
      <c r="E750" s="4" t="s">
        <v>735</v>
      </c>
      <c r="F750" s="4" t="s">
        <v>83</v>
      </c>
      <c r="G750" s="4" t="s">
        <v>34</v>
      </c>
      <c r="H750" s="5">
        <v>-5000000</v>
      </c>
      <c r="I750" s="4" t="s">
        <v>21</v>
      </c>
      <c r="J750" s="5">
        <f t="shared" si="11"/>
        <v>18169500</v>
      </c>
      <c r="K750" s="4" t="s">
        <v>39</v>
      </c>
      <c r="L750" s="6">
        <v>3.6339000000000001</v>
      </c>
      <c r="M750" s="6">
        <v>0.2752</v>
      </c>
      <c r="N750" s="6">
        <v>3.6345999999999998</v>
      </c>
      <c r="O750" s="6">
        <v>1</v>
      </c>
      <c r="P750" s="5">
        <v>-3500</v>
      </c>
      <c r="Q750" s="4" t="s">
        <v>1394</v>
      </c>
    </row>
    <row r="751" spans="1:17" x14ac:dyDescent="0.3">
      <c r="A751" s="2" t="s">
        <v>1389</v>
      </c>
      <c r="B751" s="3">
        <v>157290</v>
      </c>
      <c r="C751" s="3">
        <v>217761</v>
      </c>
      <c r="D751" s="4" t="s">
        <v>17</v>
      </c>
      <c r="E751" s="4" t="s">
        <v>1367</v>
      </c>
      <c r="F751" s="4" t="s">
        <v>32</v>
      </c>
      <c r="G751" s="4" t="s">
        <v>34</v>
      </c>
      <c r="H751" s="5">
        <v>-50000</v>
      </c>
      <c r="I751" s="4" t="s">
        <v>21</v>
      </c>
      <c r="J751" s="5">
        <f t="shared" si="11"/>
        <v>182275</v>
      </c>
      <c r="K751" s="4" t="s">
        <v>22</v>
      </c>
      <c r="L751" s="6">
        <v>3.6455000000000002</v>
      </c>
      <c r="M751" s="6">
        <v>0.27429999999999999</v>
      </c>
      <c r="N751" s="6">
        <v>3.6153</v>
      </c>
      <c r="O751" s="6">
        <v>1</v>
      </c>
      <c r="P751" s="5">
        <v>1485</v>
      </c>
      <c r="Q751" s="4" t="s">
        <v>1390</v>
      </c>
    </row>
    <row r="752" spans="1:17" x14ac:dyDescent="0.3">
      <c r="A752" s="2" t="s">
        <v>1389</v>
      </c>
      <c r="B752" s="3">
        <v>157291</v>
      </c>
      <c r="C752" s="3">
        <v>900672</v>
      </c>
      <c r="D752" s="4" t="s">
        <v>81</v>
      </c>
      <c r="E752" s="4" t="s">
        <v>735</v>
      </c>
      <c r="F752" s="4" t="s">
        <v>83</v>
      </c>
      <c r="G752" s="4" t="s">
        <v>20</v>
      </c>
      <c r="H752" s="5">
        <v>-500000</v>
      </c>
      <c r="I752" s="4" t="s">
        <v>21</v>
      </c>
      <c r="J752" s="5">
        <f t="shared" si="11"/>
        <v>2109550</v>
      </c>
      <c r="K752" s="4" t="s">
        <v>39</v>
      </c>
      <c r="L752" s="6">
        <v>4.2191000000000001</v>
      </c>
      <c r="M752" s="6">
        <v>0.23699999999999999</v>
      </c>
      <c r="N752" s="6">
        <v>4.2230999999999996</v>
      </c>
      <c r="O752" s="6">
        <v>1</v>
      </c>
      <c r="P752" s="5">
        <v>-2000</v>
      </c>
      <c r="Q752" s="4" t="s">
        <v>1394</v>
      </c>
    </row>
    <row r="753" spans="1:17" x14ac:dyDescent="0.3">
      <c r="A753" s="2" t="s">
        <v>1389</v>
      </c>
      <c r="B753" s="3">
        <v>157292</v>
      </c>
      <c r="C753" s="3">
        <v>900673</v>
      </c>
      <c r="D753" s="4" t="s">
        <v>81</v>
      </c>
      <c r="E753" s="4" t="s">
        <v>730</v>
      </c>
      <c r="F753" s="4" t="s">
        <v>83</v>
      </c>
      <c r="G753" s="4" t="s">
        <v>91</v>
      </c>
      <c r="H753" s="5">
        <v>-100000</v>
      </c>
      <c r="I753" s="4" t="s">
        <v>21</v>
      </c>
      <c r="J753" s="5">
        <f t="shared" si="11"/>
        <v>486940</v>
      </c>
      <c r="K753" s="4" t="s">
        <v>39</v>
      </c>
      <c r="L753" s="6">
        <v>4.8693999999999997</v>
      </c>
      <c r="M753" s="6">
        <v>0.2054</v>
      </c>
      <c r="N753" s="6">
        <v>4.8704000000000001</v>
      </c>
      <c r="O753" s="6">
        <v>1</v>
      </c>
      <c r="P753" s="5">
        <v>-100</v>
      </c>
      <c r="Q753" s="4" t="s">
        <v>1396</v>
      </c>
    </row>
    <row r="754" spans="1:17" x14ac:dyDescent="0.3">
      <c r="A754" s="2" t="s">
        <v>1389</v>
      </c>
      <c r="B754" s="3">
        <v>157293</v>
      </c>
      <c r="C754" s="3">
        <v>900677</v>
      </c>
      <c r="D754" s="4" t="s">
        <v>81</v>
      </c>
      <c r="E754" s="4" t="s">
        <v>735</v>
      </c>
      <c r="F754" s="4" t="s">
        <v>83</v>
      </c>
      <c r="G754" s="4" t="s">
        <v>20</v>
      </c>
      <c r="H754" s="5">
        <v>-500000</v>
      </c>
      <c r="I754" s="4" t="s">
        <v>21</v>
      </c>
      <c r="J754" s="5">
        <f t="shared" si="11"/>
        <v>2109550</v>
      </c>
      <c r="K754" s="4" t="s">
        <v>39</v>
      </c>
      <c r="L754" s="6">
        <v>4.2191000000000001</v>
      </c>
      <c r="M754" s="6">
        <v>0.23699999999999999</v>
      </c>
      <c r="N754" s="6">
        <v>4.2230999999999996</v>
      </c>
      <c r="O754" s="6">
        <v>1</v>
      </c>
      <c r="P754" s="5">
        <v>-2000</v>
      </c>
      <c r="Q754" s="4" t="s">
        <v>1394</v>
      </c>
    </row>
    <row r="755" spans="1:17" x14ac:dyDescent="0.3">
      <c r="A755" s="2" t="s">
        <v>1389</v>
      </c>
      <c r="B755" s="3">
        <v>157294</v>
      </c>
      <c r="C755" s="3">
        <v>900685</v>
      </c>
      <c r="D755" s="4" t="s">
        <v>81</v>
      </c>
      <c r="E755" s="4" t="s">
        <v>734</v>
      </c>
      <c r="F755" s="4" t="s">
        <v>87</v>
      </c>
      <c r="G755" s="4" t="s">
        <v>20</v>
      </c>
      <c r="H755" s="5">
        <v>100000</v>
      </c>
      <c r="I755" s="4" t="s">
        <v>91</v>
      </c>
      <c r="J755" s="5">
        <f t="shared" si="11"/>
        <v>-86630</v>
      </c>
      <c r="K755" s="4" t="s">
        <v>39</v>
      </c>
      <c r="L755" s="6">
        <v>0.86629999999999996</v>
      </c>
      <c r="M755" s="6">
        <v>1.1543000000000001</v>
      </c>
      <c r="N755" s="6">
        <v>4.2230999999999996</v>
      </c>
      <c r="O755" s="6">
        <v>4.8704000000000001</v>
      </c>
      <c r="P755" s="5">
        <v>382.37759999999997</v>
      </c>
      <c r="Q755" s="4" t="s">
        <v>1393</v>
      </c>
    </row>
    <row r="756" spans="1:17" x14ac:dyDescent="0.3">
      <c r="A756" s="2" t="s">
        <v>1389</v>
      </c>
      <c r="B756" s="3">
        <v>157297</v>
      </c>
      <c r="C756" s="3">
        <v>217767</v>
      </c>
      <c r="D756" s="4" t="s">
        <v>17</v>
      </c>
      <c r="E756" s="4" t="s">
        <v>1032</v>
      </c>
      <c r="F756" s="4" t="s">
        <v>19</v>
      </c>
      <c r="G756" s="4" t="s">
        <v>20</v>
      </c>
      <c r="H756" s="5">
        <v>89000</v>
      </c>
      <c r="I756" s="4" t="s">
        <v>21</v>
      </c>
      <c r="J756" s="5">
        <f t="shared" si="11"/>
        <v>-374787.9</v>
      </c>
      <c r="K756" s="4" t="s">
        <v>22</v>
      </c>
      <c r="L756" s="6">
        <v>4.2111000000000001</v>
      </c>
      <c r="M756" s="6">
        <v>0.23749999999999999</v>
      </c>
      <c r="N756" s="6">
        <v>4.2068000000000003</v>
      </c>
      <c r="O756" s="6">
        <v>1</v>
      </c>
      <c r="P756" s="5">
        <v>-382.70000000001164</v>
      </c>
      <c r="Q756" s="4" t="s">
        <v>1390</v>
      </c>
    </row>
    <row r="757" spans="1:17" x14ac:dyDescent="0.3">
      <c r="A757" s="2" t="s">
        <v>1389</v>
      </c>
      <c r="B757" s="3">
        <v>157298</v>
      </c>
      <c r="C757" s="3">
        <v>217769</v>
      </c>
      <c r="D757" s="4" t="s">
        <v>17</v>
      </c>
      <c r="E757" s="4" t="s">
        <v>1061</v>
      </c>
      <c r="F757" s="4" t="s">
        <v>19</v>
      </c>
      <c r="G757" s="4" t="s">
        <v>20</v>
      </c>
      <c r="H757" s="5">
        <v>618744</v>
      </c>
      <c r="I757" s="4" t="s">
        <v>21</v>
      </c>
      <c r="J757" s="5">
        <f t="shared" si="11"/>
        <v>-2607201.5928000002</v>
      </c>
      <c r="K757" s="4" t="s">
        <v>22</v>
      </c>
      <c r="L757" s="6">
        <v>4.2137000000000002</v>
      </c>
      <c r="M757" s="6">
        <v>0.23730000000000001</v>
      </c>
      <c r="N757" s="6">
        <v>4.2068000000000003</v>
      </c>
      <c r="O757" s="6">
        <v>1</v>
      </c>
      <c r="P757" s="5">
        <v>-4269.3336000000127</v>
      </c>
      <c r="Q757" s="4" t="s">
        <v>1390</v>
      </c>
    </row>
    <row r="758" spans="1:17" x14ac:dyDescent="0.3">
      <c r="A758" s="2" t="s">
        <v>1389</v>
      </c>
      <c r="B758" s="3">
        <v>157300</v>
      </c>
      <c r="C758" s="3">
        <v>900708</v>
      </c>
      <c r="D758" s="4" t="s">
        <v>81</v>
      </c>
      <c r="E758" s="4" t="s">
        <v>734</v>
      </c>
      <c r="F758" s="4" t="s">
        <v>83</v>
      </c>
      <c r="G758" s="4" t="s">
        <v>20</v>
      </c>
      <c r="H758" s="5">
        <v>-500000</v>
      </c>
      <c r="I758" s="4" t="s">
        <v>21</v>
      </c>
      <c r="J758" s="5">
        <f t="shared" si="11"/>
        <v>2109400</v>
      </c>
      <c r="K758" s="4" t="s">
        <v>39</v>
      </c>
      <c r="L758" s="6">
        <v>4.2187999999999999</v>
      </c>
      <c r="M758" s="6">
        <v>0.23699999999999999</v>
      </c>
      <c r="N758" s="6">
        <v>4.2230999999999996</v>
      </c>
      <c r="O758" s="6">
        <v>1</v>
      </c>
      <c r="P758" s="5">
        <v>-2150</v>
      </c>
      <c r="Q758" s="4" t="s">
        <v>1393</v>
      </c>
    </row>
    <row r="759" spans="1:17" x14ac:dyDescent="0.3">
      <c r="A759" s="2" t="s">
        <v>1389</v>
      </c>
      <c r="B759" s="3">
        <v>157302</v>
      </c>
      <c r="C759" s="3">
        <v>217777</v>
      </c>
      <c r="D759" s="4" t="s">
        <v>17</v>
      </c>
      <c r="E759" s="4" t="s">
        <v>1050</v>
      </c>
      <c r="F759" s="4" t="s">
        <v>32</v>
      </c>
      <c r="G759" s="4" t="s">
        <v>34</v>
      </c>
      <c r="H759" s="5">
        <v>-50000</v>
      </c>
      <c r="I759" s="4" t="s">
        <v>21</v>
      </c>
      <c r="J759" s="5">
        <f t="shared" si="11"/>
        <v>181740</v>
      </c>
      <c r="K759" s="4" t="s">
        <v>22</v>
      </c>
      <c r="L759" s="6">
        <v>3.6347999999999998</v>
      </c>
      <c r="M759" s="6">
        <v>0.27510000000000001</v>
      </c>
      <c r="N759" s="6">
        <v>3.6153</v>
      </c>
      <c r="O759" s="6">
        <v>1</v>
      </c>
      <c r="P759" s="5">
        <v>970</v>
      </c>
      <c r="Q759" s="4" t="s">
        <v>1390</v>
      </c>
    </row>
    <row r="760" spans="1:17" x14ac:dyDescent="0.3">
      <c r="A760" s="2" t="s">
        <v>1389</v>
      </c>
      <c r="B760" s="3">
        <v>157303</v>
      </c>
      <c r="C760" s="3">
        <v>217780</v>
      </c>
      <c r="D760" s="4" t="s">
        <v>17</v>
      </c>
      <c r="E760" s="4" t="s">
        <v>1029</v>
      </c>
      <c r="F760" s="4" t="s">
        <v>19</v>
      </c>
      <c r="G760" s="4" t="s">
        <v>20</v>
      </c>
      <c r="H760" s="5">
        <v>300000</v>
      </c>
      <c r="I760" s="4" t="s">
        <v>21</v>
      </c>
      <c r="J760" s="5">
        <f t="shared" si="11"/>
        <v>-1262249.9999999998</v>
      </c>
      <c r="K760" s="4" t="s">
        <v>22</v>
      </c>
      <c r="L760" s="6">
        <v>4.2074999999999996</v>
      </c>
      <c r="M760" s="6">
        <v>0.23769999999999999</v>
      </c>
      <c r="N760" s="6">
        <v>4.2068000000000003</v>
      </c>
      <c r="O760" s="6">
        <v>1</v>
      </c>
      <c r="P760" s="5">
        <v>-209.99999999976717</v>
      </c>
      <c r="Q760" s="4" t="s">
        <v>1390</v>
      </c>
    </row>
    <row r="761" spans="1:17" x14ac:dyDescent="0.3">
      <c r="A761" s="2" t="s">
        <v>1389</v>
      </c>
      <c r="B761" s="3">
        <v>157304</v>
      </c>
      <c r="C761" s="3">
        <v>217786</v>
      </c>
      <c r="D761" s="4" t="s">
        <v>17</v>
      </c>
      <c r="E761" s="4" t="s">
        <v>1041</v>
      </c>
      <c r="F761" s="4" t="s">
        <v>32</v>
      </c>
      <c r="G761" s="4" t="s">
        <v>20</v>
      </c>
      <c r="H761" s="5">
        <v>-70000</v>
      </c>
      <c r="I761" s="4" t="s">
        <v>21</v>
      </c>
      <c r="J761" s="5">
        <f t="shared" si="11"/>
        <v>296205</v>
      </c>
      <c r="K761" s="4" t="s">
        <v>49</v>
      </c>
      <c r="L761" s="6">
        <v>4.2314999999999996</v>
      </c>
      <c r="M761" s="6">
        <v>0.23630000000000001</v>
      </c>
      <c r="N761" s="6">
        <v>4.2191999999999998</v>
      </c>
      <c r="O761" s="6">
        <v>1</v>
      </c>
      <c r="P761" s="5">
        <v>847</v>
      </c>
      <c r="Q761" s="4" t="s">
        <v>1390</v>
      </c>
    </row>
    <row r="762" spans="1:17" x14ac:dyDescent="0.3">
      <c r="A762" s="2" t="s">
        <v>1389</v>
      </c>
      <c r="B762" s="3">
        <v>157306</v>
      </c>
      <c r="C762" s="3">
        <v>217790</v>
      </c>
      <c r="D762" s="4" t="s">
        <v>17</v>
      </c>
      <c r="E762" s="4" t="s">
        <v>988</v>
      </c>
      <c r="F762" s="4" t="s">
        <v>32</v>
      </c>
      <c r="G762" s="4" t="s">
        <v>20</v>
      </c>
      <c r="H762" s="5">
        <v>-13500</v>
      </c>
      <c r="I762" s="4" t="s">
        <v>21</v>
      </c>
      <c r="J762" s="5">
        <f t="shared" si="11"/>
        <v>57051</v>
      </c>
      <c r="K762" s="4" t="s">
        <v>22</v>
      </c>
      <c r="L762" s="6">
        <v>4.226</v>
      </c>
      <c r="M762" s="6">
        <v>0.2366</v>
      </c>
      <c r="N762" s="6">
        <v>4.2068000000000003</v>
      </c>
      <c r="O762" s="6">
        <v>1</v>
      </c>
      <c r="P762" s="5">
        <v>245.7</v>
      </c>
      <c r="Q762" s="4" t="s">
        <v>1390</v>
      </c>
    </row>
    <row r="763" spans="1:17" x14ac:dyDescent="0.3">
      <c r="A763" s="2" t="s">
        <v>1389</v>
      </c>
      <c r="B763" s="3">
        <v>157308</v>
      </c>
      <c r="C763" s="3">
        <v>900802</v>
      </c>
      <c r="D763" s="4" t="s">
        <v>81</v>
      </c>
      <c r="E763" s="4" t="s">
        <v>1257</v>
      </c>
      <c r="F763" s="4" t="s">
        <v>87</v>
      </c>
      <c r="G763" s="4" t="s">
        <v>20</v>
      </c>
      <c r="H763" s="5">
        <v>50000</v>
      </c>
      <c r="I763" s="4" t="s">
        <v>21</v>
      </c>
      <c r="J763" s="5">
        <f t="shared" si="11"/>
        <v>-210865</v>
      </c>
      <c r="K763" s="4" t="s">
        <v>39</v>
      </c>
      <c r="L763" s="6">
        <v>4.2172999999999998</v>
      </c>
      <c r="M763" s="6">
        <v>0.23710000000000001</v>
      </c>
      <c r="N763" s="6">
        <v>4.2230999999999996</v>
      </c>
      <c r="O763" s="6">
        <v>1</v>
      </c>
      <c r="P763" s="5">
        <v>290</v>
      </c>
      <c r="Q763" s="4" t="s">
        <v>1390</v>
      </c>
    </row>
    <row r="764" spans="1:17" x14ac:dyDescent="0.3">
      <c r="A764" s="2" t="s">
        <v>1389</v>
      </c>
      <c r="B764" s="3">
        <v>157309</v>
      </c>
      <c r="C764" s="3">
        <v>217804</v>
      </c>
      <c r="D764" s="4" t="s">
        <v>17</v>
      </c>
      <c r="E764" s="4" t="s">
        <v>953</v>
      </c>
      <c r="F764" s="4" t="s">
        <v>19</v>
      </c>
      <c r="G764" s="4" t="s">
        <v>34</v>
      </c>
      <c r="H764" s="5">
        <v>50000</v>
      </c>
      <c r="I764" s="4" t="s">
        <v>21</v>
      </c>
      <c r="J764" s="5">
        <f t="shared" si="11"/>
        <v>-180100</v>
      </c>
      <c r="K764" s="4" t="s">
        <v>22</v>
      </c>
      <c r="L764" s="6">
        <v>3.6019999999999999</v>
      </c>
      <c r="M764" s="6">
        <v>0.27760000000000001</v>
      </c>
      <c r="N764" s="6">
        <v>3.6153</v>
      </c>
      <c r="O764" s="6">
        <v>1</v>
      </c>
      <c r="P764" s="5">
        <v>665</v>
      </c>
      <c r="Q764" s="4" t="s">
        <v>1390</v>
      </c>
    </row>
    <row r="765" spans="1:17" x14ac:dyDescent="0.3">
      <c r="A765" s="2" t="s">
        <v>1389</v>
      </c>
      <c r="B765" s="3">
        <v>157310</v>
      </c>
      <c r="C765" s="3">
        <v>900828</v>
      </c>
      <c r="D765" s="4" t="s">
        <v>81</v>
      </c>
      <c r="E765" s="4" t="s">
        <v>735</v>
      </c>
      <c r="F765" s="4" t="s">
        <v>83</v>
      </c>
      <c r="G765" s="4" t="s">
        <v>20</v>
      </c>
      <c r="H765" s="5">
        <v>-500000</v>
      </c>
      <c r="I765" s="4" t="s">
        <v>21</v>
      </c>
      <c r="J765" s="5">
        <f t="shared" si="11"/>
        <v>2110050</v>
      </c>
      <c r="K765" s="4" t="s">
        <v>39</v>
      </c>
      <c r="L765" s="6">
        <v>4.2201000000000004</v>
      </c>
      <c r="M765" s="6">
        <v>0.23699999999999999</v>
      </c>
      <c r="N765" s="6">
        <v>4.2230999999999996</v>
      </c>
      <c r="O765" s="6">
        <v>1</v>
      </c>
      <c r="P765" s="5">
        <v>-1500</v>
      </c>
      <c r="Q765" s="4" t="s">
        <v>1394</v>
      </c>
    </row>
    <row r="766" spans="1:17" x14ac:dyDescent="0.3">
      <c r="A766" s="2" t="s">
        <v>1389</v>
      </c>
      <c r="B766" s="3">
        <v>157316</v>
      </c>
      <c r="C766" s="3">
        <v>217811</v>
      </c>
      <c r="D766" s="4" t="s">
        <v>17</v>
      </c>
      <c r="E766" s="4" t="s">
        <v>967</v>
      </c>
      <c r="F766" s="4" t="s">
        <v>19</v>
      </c>
      <c r="G766" s="4" t="s">
        <v>20</v>
      </c>
      <c r="H766" s="5">
        <v>50000</v>
      </c>
      <c r="I766" s="4" t="s">
        <v>21</v>
      </c>
      <c r="J766" s="5">
        <f t="shared" si="11"/>
        <v>-210750</v>
      </c>
      <c r="K766" s="4" t="s">
        <v>22</v>
      </c>
      <c r="L766" s="6">
        <v>4.2149999999999999</v>
      </c>
      <c r="M766" s="6">
        <v>0.23719999999999999</v>
      </c>
      <c r="N766" s="6">
        <v>4.2068000000000003</v>
      </c>
      <c r="O766" s="6">
        <v>1</v>
      </c>
      <c r="P766" s="5">
        <v>-409.9999999999709</v>
      </c>
      <c r="Q766" s="4" t="s">
        <v>1390</v>
      </c>
    </row>
    <row r="767" spans="1:17" x14ac:dyDescent="0.3">
      <c r="A767" s="2" t="s">
        <v>1389</v>
      </c>
      <c r="B767" s="3">
        <v>157318</v>
      </c>
      <c r="C767" s="3">
        <v>217815</v>
      </c>
      <c r="D767" s="4" t="s">
        <v>17</v>
      </c>
      <c r="E767" s="4" t="s">
        <v>1042</v>
      </c>
      <c r="F767" s="4" t="s">
        <v>19</v>
      </c>
      <c r="G767" s="4" t="s">
        <v>20</v>
      </c>
      <c r="H767" s="5">
        <v>64847.6</v>
      </c>
      <c r="I767" s="4" t="s">
        <v>21</v>
      </c>
      <c r="J767" s="5">
        <f t="shared" si="11"/>
        <v>-273254.81688</v>
      </c>
      <c r="K767" s="4" t="s">
        <v>22</v>
      </c>
      <c r="L767" s="6">
        <v>4.2138</v>
      </c>
      <c r="M767" s="6">
        <v>0.23730000000000001</v>
      </c>
      <c r="N767" s="6">
        <v>4.2068000000000003</v>
      </c>
      <c r="O767" s="6">
        <v>1</v>
      </c>
      <c r="P767" s="5">
        <v>-453.93319999997038</v>
      </c>
      <c r="Q767" s="4" t="s">
        <v>1390</v>
      </c>
    </row>
    <row r="768" spans="1:17" x14ac:dyDescent="0.3">
      <c r="A768" s="2" t="s">
        <v>1389</v>
      </c>
      <c r="B768" s="3">
        <v>157319</v>
      </c>
      <c r="C768" s="3">
        <v>217816</v>
      </c>
      <c r="D768" s="4" t="s">
        <v>17</v>
      </c>
      <c r="E768" s="4" t="s">
        <v>818</v>
      </c>
      <c r="F768" s="4" t="s">
        <v>19</v>
      </c>
      <c r="G768" s="4" t="s">
        <v>34</v>
      </c>
      <c r="H768" s="5">
        <v>60885.23</v>
      </c>
      <c r="I768" s="4" t="s">
        <v>21</v>
      </c>
      <c r="J768" s="5">
        <f t="shared" si="11"/>
        <v>-221013.3849</v>
      </c>
      <c r="K768" s="4" t="s">
        <v>22</v>
      </c>
      <c r="L768" s="6">
        <v>3.63</v>
      </c>
      <c r="M768" s="6">
        <v>0.27550000000000002</v>
      </c>
      <c r="N768" s="6">
        <v>3.6153</v>
      </c>
      <c r="O768" s="6">
        <v>1</v>
      </c>
      <c r="P768" s="5">
        <v>-895.01288100000238</v>
      </c>
      <c r="Q768" s="4" t="s">
        <v>1390</v>
      </c>
    </row>
    <row r="769" spans="1:17" x14ac:dyDescent="0.3">
      <c r="A769" s="2" t="s">
        <v>1389</v>
      </c>
      <c r="B769" s="3">
        <v>157321</v>
      </c>
      <c r="C769" s="3">
        <v>900861</v>
      </c>
      <c r="D769" s="4" t="s">
        <v>81</v>
      </c>
      <c r="E769" s="4" t="s">
        <v>734</v>
      </c>
      <c r="F769" s="4" t="s">
        <v>83</v>
      </c>
      <c r="G769" s="4" t="s">
        <v>20</v>
      </c>
      <c r="H769" s="5">
        <v>-400000</v>
      </c>
      <c r="I769" s="4" t="s">
        <v>80</v>
      </c>
      <c r="J769" s="5">
        <f t="shared" si="11"/>
        <v>3236399.9999999995</v>
      </c>
      <c r="K769" s="4" t="s">
        <v>39</v>
      </c>
      <c r="L769" s="6">
        <v>8.0909999999999993</v>
      </c>
      <c r="M769" s="6">
        <v>0.1236</v>
      </c>
      <c r="N769" s="6">
        <v>4.2230999999999996</v>
      </c>
      <c r="O769" s="6">
        <v>0.52170000000000005</v>
      </c>
      <c r="P769" s="5">
        <v>-808.03319999999997</v>
      </c>
      <c r="Q769" s="4" t="s">
        <v>1393</v>
      </c>
    </row>
    <row r="770" spans="1:17" x14ac:dyDescent="0.3">
      <c r="A770" s="2" t="s">
        <v>1389</v>
      </c>
      <c r="B770" s="3">
        <v>157322</v>
      </c>
      <c r="C770" s="3">
        <v>900862</v>
      </c>
      <c r="D770" s="4" t="s">
        <v>81</v>
      </c>
      <c r="E770" s="4" t="s">
        <v>1077</v>
      </c>
      <c r="F770" s="4" t="s">
        <v>87</v>
      </c>
      <c r="G770" s="4" t="s">
        <v>20</v>
      </c>
      <c r="H770" s="5">
        <v>25000</v>
      </c>
      <c r="I770" s="4" t="s">
        <v>21</v>
      </c>
      <c r="J770" s="5">
        <f t="shared" si="11"/>
        <v>-105455.00000000001</v>
      </c>
      <c r="K770" s="4" t="s">
        <v>39</v>
      </c>
      <c r="L770" s="6">
        <v>4.2182000000000004</v>
      </c>
      <c r="M770" s="6">
        <v>0.23710000000000001</v>
      </c>
      <c r="N770" s="6">
        <v>4.2230999999999996</v>
      </c>
      <c r="O770" s="6">
        <v>1</v>
      </c>
      <c r="P770" s="5">
        <v>122.5</v>
      </c>
      <c r="Q770" s="4" t="s">
        <v>1390</v>
      </c>
    </row>
    <row r="771" spans="1:17" x14ac:dyDescent="0.3">
      <c r="A771" s="2" t="s">
        <v>1389</v>
      </c>
      <c r="B771" s="3">
        <v>157324</v>
      </c>
      <c r="C771" s="3">
        <v>217820</v>
      </c>
      <c r="D771" s="4" t="s">
        <v>17</v>
      </c>
      <c r="E771" s="4" t="s">
        <v>951</v>
      </c>
      <c r="F771" s="4" t="s">
        <v>32</v>
      </c>
      <c r="G771" s="4" t="s">
        <v>20</v>
      </c>
      <c r="H771" s="5">
        <v>-23370</v>
      </c>
      <c r="I771" s="4" t="s">
        <v>21</v>
      </c>
      <c r="J771" s="5">
        <f t="shared" si="11"/>
        <v>98696.184000000008</v>
      </c>
      <c r="K771" s="4" t="s">
        <v>22</v>
      </c>
      <c r="L771" s="6">
        <v>4.2232000000000003</v>
      </c>
      <c r="M771" s="6">
        <v>0.23680000000000001</v>
      </c>
      <c r="N771" s="6">
        <v>4.2068000000000003</v>
      </c>
      <c r="O771" s="6">
        <v>1</v>
      </c>
      <c r="P771" s="5">
        <v>362.23399999999998</v>
      </c>
      <c r="Q771" s="4" t="s">
        <v>1390</v>
      </c>
    </row>
    <row r="772" spans="1:17" x14ac:dyDescent="0.3">
      <c r="A772" s="2" t="s">
        <v>1389</v>
      </c>
      <c r="B772" s="3">
        <v>157325</v>
      </c>
      <c r="C772" s="3">
        <v>900878</v>
      </c>
      <c r="D772" s="4" t="s">
        <v>81</v>
      </c>
      <c r="E772" s="4" t="s">
        <v>734</v>
      </c>
      <c r="F772" s="4" t="s">
        <v>83</v>
      </c>
      <c r="G772" s="4" t="s">
        <v>20</v>
      </c>
      <c r="H772" s="5">
        <v>-300000</v>
      </c>
      <c r="I772" s="4" t="s">
        <v>80</v>
      </c>
      <c r="J772" s="5">
        <f t="shared" ref="J772:J835" si="12">-H772*L772</f>
        <v>2427480</v>
      </c>
      <c r="K772" s="4" t="s">
        <v>39</v>
      </c>
      <c r="L772" s="6">
        <v>8.0915999999999997</v>
      </c>
      <c r="M772" s="6">
        <v>0.1236</v>
      </c>
      <c r="N772" s="6">
        <v>4.2230999999999996</v>
      </c>
      <c r="O772" s="6">
        <v>0.52170000000000005</v>
      </c>
      <c r="P772" s="5">
        <v>-513.68399999999997</v>
      </c>
      <c r="Q772" s="4" t="s">
        <v>1393</v>
      </c>
    </row>
    <row r="773" spans="1:17" x14ac:dyDescent="0.3">
      <c r="A773" s="2" t="s">
        <v>1389</v>
      </c>
      <c r="B773" s="3">
        <v>157326</v>
      </c>
      <c r="C773" s="3">
        <v>217821</v>
      </c>
      <c r="D773" s="4" t="s">
        <v>17</v>
      </c>
      <c r="E773" s="4" t="s">
        <v>812</v>
      </c>
      <c r="F773" s="4" t="s">
        <v>19</v>
      </c>
      <c r="G773" s="4" t="s">
        <v>84</v>
      </c>
      <c r="H773" s="5">
        <v>250000</v>
      </c>
      <c r="I773" s="4" t="s">
        <v>21</v>
      </c>
      <c r="J773" s="5">
        <f t="shared" si="12"/>
        <v>-98400</v>
      </c>
      <c r="K773" s="4" t="s">
        <v>22</v>
      </c>
      <c r="L773" s="6">
        <v>0.39360000000000001</v>
      </c>
      <c r="M773" s="6">
        <v>2.5407000000000002</v>
      </c>
      <c r="N773" s="6">
        <v>0.39379999999999998</v>
      </c>
      <c r="O773" s="6">
        <v>1</v>
      </c>
      <c r="P773" s="5">
        <v>50</v>
      </c>
      <c r="Q773" s="4" t="s">
        <v>1390</v>
      </c>
    </row>
    <row r="774" spans="1:17" x14ac:dyDescent="0.3">
      <c r="A774" s="2" t="s">
        <v>1389</v>
      </c>
      <c r="B774" s="3">
        <v>157328</v>
      </c>
      <c r="C774" s="3">
        <v>217824</v>
      </c>
      <c r="D774" s="4" t="s">
        <v>17</v>
      </c>
      <c r="E774" s="4" t="s">
        <v>1249</v>
      </c>
      <c r="F774" s="4" t="s">
        <v>19</v>
      </c>
      <c r="G774" s="4" t="s">
        <v>20</v>
      </c>
      <c r="H774" s="5">
        <v>20000</v>
      </c>
      <c r="I774" s="4" t="s">
        <v>21</v>
      </c>
      <c r="J774" s="5">
        <f t="shared" si="12"/>
        <v>-84118</v>
      </c>
      <c r="K774" s="4" t="s">
        <v>22</v>
      </c>
      <c r="L774" s="6">
        <v>4.2058999999999997</v>
      </c>
      <c r="M774" s="6">
        <v>0.23780000000000001</v>
      </c>
      <c r="N774" s="6">
        <v>4.2068000000000003</v>
      </c>
      <c r="O774" s="6">
        <v>1</v>
      </c>
      <c r="P774" s="5">
        <v>18</v>
      </c>
      <c r="Q774" s="4" t="s">
        <v>1390</v>
      </c>
    </row>
    <row r="775" spans="1:17" x14ac:dyDescent="0.3">
      <c r="A775" s="2" t="s">
        <v>1389</v>
      </c>
      <c r="B775" s="3">
        <v>157329</v>
      </c>
      <c r="C775" s="3">
        <v>217826</v>
      </c>
      <c r="D775" s="4" t="s">
        <v>17</v>
      </c>
      <c r="E775" s="4" t="s">
        <v>786</v>
      </c>
      <c r="F775" s="4" t="s">
        <v>19</v>
      </c>
      <c r="G775" s="4" t="s">
        <v>34</v>
      </c>
      <c r="H775" s="5">
        <v>100000</v>
      </c>
      <c r="I775" s="4" t="s">
        <v>21</v>
      </c>
      <c r="J775" s="5">
        <f t="shared" si="12"/>
        <v>-363280</v>
      </c>
      <c r="K775" s="4" t="s">
        <v>22</v>
      </c>
      <c r="L775" s="6">
        <v>3.6328</v>
      </c>
      <c r="M775" s="6">
        <v>0.27529999999999999</v>
      </c>
      <c r="N775" s="6">
        <v>3.6153</v>
      </c>
      <c r="O775" s="6">
        <v>1</v>
      </c>
      <c r="P775" s="5">
        <v>-1750</v>
      </c>
      <c r="Q775" s="4" t="s">
        <v>1390</v>
      </c>
    </row>
    <row r="776" spans="1:17" x14ac:dyDescent="0.3">
      <c r="A776" s="2" t="s">
        <v>1389</v>
      </c>
      <c r="B776" s="3">
        <v>157330</v>
      </c>
      <c r="C776" s="3">
        <v>900897</v>
      </c>
      <c r="D776" s="4" t="s">
        <v>81</v>
      </c>
      <c r="E776" s="4" t="s">
        <v>734</v>
      </c>
      <c r="F776" s="4" t="s">
        <v>83</v>
      </c>
      <c r="G776" s="4" t="s">
        <v>20</v>
      </c>
      <c r="H776" s="5">
        <v>-500000</v>
      </c>
      <c r="I776" s="4" t="s">
        <v>21</v>
      </c>
      <c r="J776" s="5">
        <f t="shared" si="12"/>
        <v>2111250</v>
      </c>
      <c r="K776" s="4" t="s">
        <v>39</v>
      </c>
      <c r="L776" s="6">
        <v>4.2225000000000001</v>
      </c>
      <c r="M776" s="6">
        <v>0.23680000000000001</v>
      </c>
      <c r="N776" s="6">
        <v>4.2230999999999996</v>
      </c>
      <c r="O776" s="6">
        <v>1</v>
      </c>
      <c r="P776" s="5">
        <v>-300</v>
      </c>
      <c r="Q776" s="4" t="s">
        <v>1393</v>
      </c>
    </row>
    <row r="777" spans="1:17" x14ac:dyDescent="0.3">
      <c r="A777" s="2" t="s">
        <v>1389</v>
      </c>
      <c r="B777" s="3">
        <v>157331</v>
      </c>
      <c r="C777" s="3">
        <v>900916</v>
      </c>
      <c r="D777" s="4" t="s">
        <v>81</v>
      </c>
      <c r="E777" s="4" t="s">
        <v>1077</v>
      </c>
      <c r="F777" s="4" t="s">
        <v>87</v>
      </c>
      <c r="G777" s="4" t="s">
        <v>20</v>
      </c>
      <c r="H777" s="5">
        <v>25000</v>
      </c>
      <c r="I777" s="4" t="s">
        <v>21</v>
      </c>
      <c r="J777" s="5">
        <f t="shared" si="12"/>
        <v>-105502.50000000001</v>
      </c>
      <c r="K777" s="4" t="s">
        <v>39</v>
      </c>
      <c r="L777" s="6">
        <v>4.2201000000000004</v>
      </c>
      <c r="M777" s="6">
        <v>0.23699999999999999</v>
      </c>
      <c r="N777" s="6">
        <v>4.2230999999999996</v>
      </c>
      <c r="O777" s="6">
        <v>1</v>
      </c>
      <c r="P777" s="5">
        <v>75</v>
      </c>
      <c r="Q777" s="4" t="s">
        <v>1390</v>
      </c>
    </row>
    <row r="778" spans="1:17" x14ac:dyDescent="0.3">
      <c r="A778" s="2" t="s">
        <v>1389</v>
      </c>
      <c r="B778" s="3">
        <v>157332</v>
      </c>
      <c r="C778" s="3">
        <v>900927</v>
      </c>
      <c r="D778" s="4" t="s">
        <v>81</v>
      </c>
      <c r="E778" s="4" t="s">
        <v>734</v>
      </c>
      <c r="F778" s="4" t="s">
        <v>87</v>
      </c>
      <c r="G778" s="4" t="s">
        <v>20</v>
      </c>
      <c r="H778" s="5">
        <v>100000</v>
      </c>
      <c r="I778" s="4" t="s">
        <v>91</v>
      </c>
      <c r="J778" s="5">
        <f t="shared" si="12"/>
        <v>-86640</v>
      </c>
      <c r="K778" s="4" t="s">
        <v>39</v>
      </c>
      <c r="L778" s="6">
        <v>0.86639999999999995</v>
      </c>
      <c r="M778" s="6">
        <v>1.1541999999999999</v>
      </c>
      <c r="N778" s="6">
        <v>4.2230999999999996</v>
      </c>
      <c r="O778" s="6">
        <v>4.8704000000000001</v>
      </c>
      <c r="P778" s="5">
        <v>353.15519999999998</v>
      </c>
      <c r="Q778" s="4" t="s">
        <v>1393</v>
      </c>
    </row>
    <row r="779" spans="1:17" x14ac:dyDescent="0.3">
      <c r="A779" s="2" t="s">
        <v>1389</v>
      </c>
      <c r="B779" s="3">
        <v>157333</v>
      </c>
      <c r="C779" s="3">
        <v>900931</v>
      </c>
      <c r="D779" s="4" t="s">
        <v>81</v>
      </c>
      <c r="E779" s="4" t="s">
        <v>742</v>
      </c>
      <c r="F779" s="4" t="s">
        <v>83</v>
      </c>
      <c r="G779" s="4" t="s">
        <v>20</v>
      </c>
      <c r="H779" s="5">
        <v>-500000</v>
      </c>
      <c r="I779" s="4" t="s">
        <v>21</v>
      </c>
      <c r="J779" s="5">
        <f t="shared" si="12"/>
        <v>2111350</v>
      </c>
      <c r="K779" s="4" t="s">
        <v>39</v>
      </c>
      <c r="L779" s="6">
        <v>4.2226999999999997</v>
      </c>
      <c r="M779" s="6">
        <v>0.23680000000000001</v>
      </c>
      <c r="N779" s="6">
        <v>4.2230999999999996</v>
      </c>
      <c r="O779" s="6">
        <v>1</v>
      </c>
      <c r="P779" s="5">
        <v>-190</v>
      </c>
      <c r="Q779" s="4" t="s">
        <v>1396</v>
      </c>
    </row>
    <row r="780" spans="1:17" x14ac:dyDescent="0.3">
      <c r="A780" s="2" t="s">
        <v>1389</v>
      </c>
      <c r="B780" s="3">
        <v>157334</v>
      </c>
      <c r="C780" s="3">
        <v>900938</v>
      </c>
      <c r="D780" s="4" t="s">
        <v>81</v>
      </c>
      <c r="E780" s="4" t="s">
        <v>734</v>
      </c>
      <c r="F780" s="4" t="s">
        <v>87</v>
      </c>
      <c r="G780" s="4" t="s">
        <v>20</v>
      </c>
      <c r="H780" s="5">
        <v>100000</v>
      </c>
      <c r="I780" s="4" t="s">
        <v>93</v>
      </c>
      <c r="J780" s="5">
        <f t="shared" si="12"/>
        <v>-93120</v>
      </c>
      <c r="K780" s="4" t="s">
        <v>39</v>
      </c>
      <c r="L780" s="6">
        <v>0.93120000000000003</v>
      </c>
      <c r="M780" s="6">
        <v>1.0739000000000001</v>
      </c>
      <c r="N780" s="6">
        <v>4.2230999999999996</v>
      </c>
      <c r="O780" s="6">
        <v>4.5476000000000001</v>
      </c>
      <c r="P780" s="5">
        <v>-1167.0596</v>
      </c>
      <c r="Q780" s="4" t="s">
        <v>1393</v>
      </c>
    </row>
    <row r="781" spans="1:17" x14ac:dyDescent="0.3">
      <c r="A781" s="2" t="s">
        <v>1389</v>
      </c>
      <c r="B781" s="3">
        <v>157335</v>
      </c>
      <c r="C781" s="3">
        <v>900939</v>
      </c>
      <c r="D781" s="4" t="s">
        <v>81</v>
      </c>
      <c r="E781" s="4" t="s">
        <v>1077</v>
      </c>
      <c r="F781" s="4" t="s">
        <v>87</v>
      </c>
      <c r="G781" s="4" t="s">
        <v>20</v>
      </c>
      <c r="H781" s="5">
        <v>25000</v>
      </c>
      <c r="I781" s="4" t="s">
        <v>21</v>
      </c>
      <c r="J781" s="5">
        <f t="shared" si="12"/>
        <v>-105502.50000000001</v>
      </c>
      <c r="K781" s="4" t="s">
        <v>39</v>
      </c>
      <c r="L781" s="6">
        <v>4.2201000000000004</v>
      </c>
      <c r="M781" s="6">
        <v>0.23699999999999999</v>
      </c>
      <c r="N781" s="6">
        <v>4.2230999999999996</v>
      </c>
      <c r="O781" s="6">
        <v>1</v>
      </c>
      <c r="P781" s="5">
        <v>75</v>
      </c>
      <c r="Q781" s="4" t="s">
        <v>1390</v>
      </c>
    </row>
    <row r="782" spans="1:17" x14ac:dyDescent="0.3">
      <c r="A782" s="2" t="s">
        <v>1389</v>
      </c>
      <c r="B782" s="3">
        <v>157336</v>
      </c>
      <c r="C782" s="3">
        <v>900940</v>
      </c>
      <c r="D782" s="4" t="s">
        <v>81</v>
      </c>
      <c r="E782" s="4" t="s">
        <v>735</v>
      </c>
      <c r="F782" s="4" t="s">
        <v>87</v>
      </c>
      <c r="G782" s="4" t="s">
        <v>20</v>
      </c>
      <c r="H782" s="5">
        <v>100000</v>
      </c>
      <c r="I782" s="4" t="s">
        <v>34</v>
      </c>
      <c r="J782" s="5">
        <f t="shared" si="12"/>
        <v>-116150</v>
      </c>
      <c r="K782" s="4" t="s">
        <v>39</v>
      </c>
      <c r="L782" s="6">
        <v>1.1615</v>
      </c>
      <c r="M782" s="6">
        <v>0.8609</v>
      </c>
      <c r="N782" s="6">
        <v>4.2230999999999996</v>
      </c>
      <c r="O782" s="6">
        <v>3.6345999999999998</v>
      </c>
      <c r="P782" s="5">
        <v>147.5754</v>
      </c>
      <c r="Q782" s="4" t="s">
        <v>1394</v>
      </c>
    </row>
    <row r="783" spans="1:17" x14ac:dyDescent="0.3">
      <c r="A783" s="2" t="s">
        <v>1389</v>
      </c>
      <c r="B783" s="3">
        <v>157337</v>
      </c>
      <c r="C783" s="3">
        <v>900941</v>
      </c>
      <c r="D783" s="4" t="s">
        <v>81</v>
      </c>
      <c r="E783" s="4" t="s">
        <v>730</v>
      </c>
      <c r="F783" s="4" t="s">
        <v>87</v>
      </c>
      <c r="G783" s="4" t="s">
        <v>20</v>
      </c>
      <c r="H783" s="5">
        <v>100000</v>
      </c>
      <c r="I783" s="4" t="s">
        <v>84</v>
      </c>
      <c r="J783" s="5">
        <f t="shared" si="12"/>
        <v>-1070910</v>
      </c>
      <c r="K783" s="4" t="s">
        <v>39</v>
      </c>
      <c r="L783" s="6">
        <v>10.709099999999999</v>
      </c>
      <c r="M783" s="6">
        <v>9.3399999999999997E-2</v>
      </c>
      <c r="N783" s="6">
        <v>4.2230999999999996</v>
      </c>
      <c r="O783" s="6">
        <v>0.39360000000000001</v>
      </c>
      <c r="P783" s="5">
        <v>797.85599999999999</v>
      </c>
      <c r="Q783" s="4" t="s">
        <v>1396</v>
      </c>
    </row>
    <row r="784" spans="1:17" x14ac:dyDescent="0.3">
      <c r="A784" s="2" t="s">
        <v>1389</v>
      </c>
      <c r="B784" s="3">
        <v>157338</v>
      </c>
      <c r="C784" s="3">
        <v>217834</v>
      </c>
      <c r="D784" s="4" t="s">
        <v>17</v>
      </c>
      <c r="E784" s="4" t="s">
        <v>887</v>
      </c>
      <c r="F784" s="4" t="s">
        <v>32</v>
      </c>
      <c r="G784" s="4" t="s">
        <v>34</v>
      </c>
      <c r="H784" s="5">
        <v>-10000</v>
      </c>
      <c r="I784" s="4" t="s">
        <v>21</v>
      </c>
      <c r="J784" s="5">
        <f t="shared" si="12"/>
        <v>36431</v>
      </c>
      <c r="K784" s="4" t="s">
        <v>22</v>
      </c>
      <c r="L784" s="6">
        <v>3.6431</v>
      </c>
      <c r="M784" s="6">
        <v>0.27450000000000002</v>
      </c>
      <c r="N784" s="6">
        <v>3.6153</v>
      </c>
      <c r="O784" s="6">
        <v>1</v>
      </c>
      <c r="P784" s="5">
        <v>277</v>
      </c>
      <c r="Q784" s="4" t="s">
        <v>1390</v>
      </c>
    </row>
    <row r="785" spans="1:17" x14ac:dyDescent="0.3">
      <c r="A785" s="2" t="s">
        <v>1389</v>
      </c>
      <c r="B785" s="3">
        <v>157339</v>
      </c>
      <c r="C785" s="3">
        <v>217837</v>
      </c>
      <c r="D785" s="4" t="s">
        <v>17</v>
      </c>
      <c r="E785" s="4" t="s">
        <v>1142</v>
      </c>
      <c r="F785" s="4" t="s">
        <v>19</v>
      </c>
      <c r="G785" s="4" t="s">
        <v>20</v>
      </c>
      <c r="H785" s="5">
        <v>10000</v>
      </c>
      <c r="I785" s="4" t="s">
        <v>21</v>
      </c>
      <c r="J785" s="5">
        <f t="shared" si="12"/>
        <v>-42108</v>
      </c>
      <c r="K785" s="4" t="s">
        <v>22</v>
      </c>
      <c r="L785" s="6">
        <v>4.2107999999999999</v>
      </c>
      <c r="M785" s="6">
        <v>0.23749999999999999</v>
      </c>
      <c r="N785" s="6">
        <v>4.2068000000000003</v>
      </c>
      <c r="O785" s="6">
        <v>1</v>
      </c>
      <c r="P785" s="5">
        <v>-40</v>
      </c>
      <c r="Q785" s="4" t="s">
        <v>1390</v>
      </c>
    </row>
    <row r="786" spans="1:17" x14ac:dyDescent="0.3">
      <c r="A786" s="2" t="s">
        <v>1389</v>
      </c>
      <c r="B786" s="3">
        <v>157340</v>
      </c>
      <c r="C786" s="3">
        <v>217838</v>
      </c>
      <c r="D786" s="4" t="s">
        <v>17</v>
      </c>
      <c r="E786" s="4" t="s">
        <v>1238</v>
      </c>
      <c r="F786" s="4" t="s">
        <v>19</v>
      </c>
      <c r="G786" s="4" t="s">
        <v>20</v>
      </c>
      <c r="H786" s="5">
        <v>300000</v>
      </c>
      <c r="I786" s="4" t="s">
        <v>21</v>
      </c>
      <c r="J786" s="5">
        <f t="shared" si="12"/>
        <v>-1266150</v>
      </c>
      <c r="K786" s="4" t="s">
        <v>49</v>
      </c>
      <c r="L786" s="6">
        <v>4.2205000000000004</v>
      </c>
      <c r="M786" s="6">
        <v>0.2369</v>
      </c>
      <c r="N786" s="6">
        <v>4.2191999999999998</v>
      </c>
      <c r="O786" s="6">
        <v>1</v>
      </c>
      <c r="P786" s="5">
        <v>-390</v>
      </c>
      <c r="Q786" s="4" t="s">
        <v>1390</v>
      </c>
    </row>
    <row r="787" spans="1:17" x14ac:dyDescent="0.3">
      <c r="A787" s="2" t="s">
        <v>1389</v>
      </c>
      <c r="B787" s="3">
        <v>157342</v>
      </c>
      <c r="C787" s="3">
        <v>900960</v>
      </c>
      <c r="D787" s="4" t="s">
        <v>81</v>
      </c>
      <c r="E787" s="4" t="s">
        <v>730</v>
      </c>
      <c r="F787" s="4" t="s">
        <v>83</v>
      </c>
      <c r="G787" s="4" t="s">
        <v>20</v>
      </c>
      <c r="H787" s="5">
        <v>-500000</v>
      </c>
      <c r="I787" s="4" t="s">
        <v>21</v>
      </c>
      <c r="J787" s="5">
        <f t="shared" si="12"/>
        <v>2111350</v>
      </c>
      <c r="K787" s="4" t="s">
        <v>39</v>
      </c>
      <c r="L787" s="6">
        <v>4.2226999999999997</v>
      </c>
      <c r="M787" s="6">
        <v>0.23680000000000001</v>
      </c>
      <c r="N787" s="6">
        <v>4.2230999999999996</v>
      </c>
      <c r="O787" s="6">
        <v>1</v>
      </c>
      <c r="P787" s="5">
        <v>-180</v>
      </c>
      <c r="Q787" s="4" t="s">
        <v>1396</v>
      </c>
    </row>
    <row r="788" spans="1:17" x14ac:dyDescent="0.3">
      <c r="A788" s="2" t="s">
        <v>1389</v>
      </c>
      <c r="B788" s="3">
        <v>157343</v>
      </c>
      <c r="C788" s="3">
        <v>900961</v>
      </c>
      <c r="D788" s="4" t="s">
        <v>81</v>
      </c>
      <c r="E788" s="4" t="s">
        <v>725</v>
      </c>
      <c r="F788" s="4" t="s">
        <v>83</v>
      </c>
      <c r="G788" s="4" t="s">
        <v>20</v>
      </c>
      <c r="H788" s="5">
        <v>-1000000</v>
      </c>
      <c r="I788" s="4" t="s">
        <v>21</v>
      </c>
      <c r="J788" s="5">
        <f t="shared" si="12"/>
        <v>4222700</v>
      </c>
      <c r="K788" s="4" t="s">
        <v>39</v>
      </c>
      <c r="L788" s="6">
        <v>4.2226999999999997</v>
      </c>
      <c r="M788" s="6">
        <v>0.23680000000000001</v>
      </c>
      <c r="N788" s="6">
        <v>4.2230999999999996</v>
      </c>
      <c r="O788" s="6">
        <v>1</v>
      </c>
      <c r="P788" s="5">
        <v>-360</v>
      </c>
      <c r="Q788" s="4" t="s">
        <v>1392</v>
      </c>
    </row>
    <row r="789" spans="1:17" x14ac:dyDescent="0.3">
      <c r="A789" s="2" t="s">
        <v>1389</v>
      </c>
      <c r="B789" s="3">
        <v>157344</v>
      </c>
      <c r="C789" s="3">
        <v>900962</v>
      </c>
      <c r="D789" s="4" t="s">
        <v>81</v>
      </c>
      <c r="E789" s="4" t="s">
        <v>995</v>
      </c>
      <c r="F789" s="4" t="s">
        <v>83</v>
      </c>
      <c r="G789" s="4" t="s">
        <v>20</v>
      </c>
      <c r="H789" s="5">
        <v>-1000</v>
      </c>
      <c r="I789" s="4" t="s">
        <v>21</v>
      </c>
      <c r="J789" s="5">
        <f t="shared" si="12"/>
        <v>4273.3999999999996</v>
      </c>
      <c r="K789" s="4" t="s">
        <v>39</v>
      </c>
      <c r="L789" s="6">
        <v>4.2733999999999996</v>
      </c>
      <c r="M789" s="6">
        <v>0.23400000000000001</v>
      </c>
      <c r="N789" s="6">
        <v>4.2230999999999996</v>
      </c>
      <c r="O789" s="6">
        <v>1</v>
      </c>
      <c r="P789" s="5">
        <v>50.3</v>
      </c>
      <c r="Q789" s="4" t="s">
        <v>1390</v>
      </c>
    </row>
    <row r="790" spans="1:17" x14ac:dyDescent="0.3">
      <c r="A790" s="2" t="s">
        <v>1389</v>
      </c>
      <c r="B790" s="3">
        <v>157346</v>
      </c>
      <c r="C790" s="3">
        <v>217843</v>
      </c>
      <c r="D790" s="4" t="s">
        <v>17</v>
      </c>
      <c r="E790" s="4" t="s">
        <v>1178</v>
      </c>
      <c r="F790" s="4" t="s">
        <v>19</v>
      </c>
      <c r="G790" s="4" t="s">
        <v>20</v>
      </c>
      <c r="H790" s="5">
        <v>933586.35</v>
      </c>
      <c r="I790" s="4" t="s">
        <v>21</v>
      </c>
      <c r="J790" s="5">
        <f t="shared" si="12"/>
        <v>-3939734.3969999999</v>
      </c>
      <c r="K790" s="4" t="s">
        <v>22</v>
      </c>
      <c r="L790" s="6">
        <v>4.22</v>
      </c>
      <c r="M790" s="6">
        <v>0.23699999999999999</v>
      </c>
      <c r="N790" s="6">
        <v>4.2068000000000003</v>
      </c>
      <c r="O790" s="6">
        <v>1</v>
      </c>
      <c r="P790" s="5">
        <v>-12323.339819999877</v>
      </c>
      <c r="Q790" s="4" t="s">
        <v>1390</v>
      </c>
    </row>
    <row r="791" spans="1:17" x14ac:dyDescent="0.3">
      <c r="A791" s="2" t="s">
        <v>1389</v>
      </c>
      <c r="B791" s="3">
        <v>157349</v>
      </c>
      <c r="C791" s="3">
        <v>900997</v>
      </c>
      <c r="D791" s="4" t="s">
        <v>81</v>
      </c>
      <c r="E791" s="4" t="s">
        <v>742</v>
      </c>
      <c r="F791" s="4" t="s">
        <v>83</v>
      </c>
      <c r="G791" s="4" t="s">
        <v>20</v>
      </c>
      <c r="H791" s="5">
        <v>-1000000</v>
      </c>
      <c r="I791" s="4" t="s">
        <v>21</v>
      </c>
      <c r="J791" s="5">
        <f t="shared" si="12"/>
        <v>4222200</v>
      </c>
      <c r="K791" s="4" t="s">
        <v>39</v>
      </c>
      <c r="L791" s="6">
        <v>4.2222</v>
      </c>
      <c r="M791" s="6">
        <v>0.23680000000000001</v>
      </c>
      <c r="N791" s="6">
        <v>4.2230999999999996</v>
      </c>
      <c r="O791" s="6">
        <v>1</v>
      </c>
      <c r="P791" s="5">
        <v>-900</v>
      </c>
      <c r="Q791" s="4" t="s">
        <v>1396</v>
      </c>
    </row>
    <row r="792" spans="1:17" x14ac:dyDescent="0.3">
      <c r="A792" s="2" t="s">
        <v>1389</v>
      </c>
      <c r="B792" s="3">
        <v>157350</v>
      </c>
      <c r="C792" s="3">
        <v>217850</v>
      </c>
      <c r="D792" s="4" t="s">
        <v>17</v>
      </c>
      <c r="E792" s="4" t="s">
        <v>826</v>
      </c>
      <c r="F792" s="4" t="s">
        <v>19</v>
      </c>
      <c r="G792" s="4" t="s">
        <v>20</v>
      </c>
      <c r="H792" s="5">
        <v>30690</v>
      </c>
      <c r="I792" s="4" t="s">
        <v>21</v>
      </c>
      <c r="J792" s="5">
        <f t="shared" si="12"/>
        <v>-129502.59299999999</v>
      </c>
      <c r="K792" s="4" t="s">
        <v>22</v>
      </c>
      <c r="L792" s="6">
        <v>4.2196999999999996</v>
      </c>
      <c r="M792" s="6">
        <v>0.23699999999999999</v>
      </c>
      <c r="N792" s="6">
        <v>4.2068000000000003</v>
      </c>
      <c r="O792" s="6">
        <v>1</v>
      </c>
      <c r="P792" s="5">
        <v>-395.90099999998347</v>
      </c>
      <c r="Q792" s="4" t="s">
        <v>1390</v>
      </c>
    </row>
    <row r="793" spans="1:17" x14ac:dyDescent="0.3">
      <c r="A793" s="2" t="s">
        <v>1389</v>
      </c>
      <c r="B793" s="3">
        <v>157351</v>
      </c>
      <c r="C793" s="3">
        <v>217851</v>
      </c>
      <c r="D793" s="4" t="s">
        <v>17</v>
      </c>
      <c r="E793" s="4" t="s">
        <v>746</v>
      </c>
      <c r="F793" s="4" t="s">
        <v>32</v>
      </c>
      <c r="G793" s="4" t="s">
        <v>20</v>
      </c>
      <c r="H793" s="5">
        <v>-200000</v>
      </c>
      <c r="I793" s="4" t="s">
        <v>21</v>
      </c>
      <c r="J793" s="5">
        <f t="shared" si="12"/>
        <v>845299.99999999988</v>
      </c>
      <c r="K793" s="4" t="s">
        <v>22</v>
      </c>
      <c r="L793" s="6">
        <v>4.2264999999999997</v>
      </c>
      <c r="M793" s="6">
        <v>0.2366</v>
      </c>
      <c r="N793" s="6">
        <v>4.2068000000000003</v>
      </c>
      <c r="O793" s="6">
        <v>1</v>
      </c>
      <c r="P793" s="5">
        <v>3940</v>
      </c>
      <c r="Q793" s="4" t="s">
        <v>1390</v>
      </c>
    </row>
    <row r="794" spans="1:17" x14ac:dyDescent="0.3">
      <c r="A794" s="2" t="s">
        <v>1389</v>
      </c>
      <c r="B794" s="3">
        <v>157353</v>
      </c>
      <c r="C794" s="3">
        <v>217768</v>
      </c>
      <c r="D794" s="4" t="s">
        <v>17</v>
      </c>
      <c r="E794" s="4" t="s">
        <v>1361</v>
      </c>
      <c r="F794" s="4" t="s">
        <v>19</v>
      </c>
      <c r="G794" s="4" t="s">
        <v>21</v>
      </c>
      <c r="H794" s="5">
        <v>1135000</v>
      </c>
      <c r="I794" s="4" t="s">
        <v>20</v>
      </c>
      <c r="J794" s="5">
        <f t="shared" si="12"/>
        <v>-4799234</v>
      </c>
      <c r="K794" s="4" t="s">
        <v>22</v>
      </c>
      <c r="L794" s="6">
        <v>4.2283999999999997</v>
      </c>
      <c r="M794" s="6">
        <v>0.23649999999999999</v>
      </c>
      <c r="N794" s="6">
        <v>1</v>
      </c>
      <c r="O794" s="6">
        <v>4.2068000000000003</v>
      </c>
      <c r="P794" s="5">
        <v>-19054417.591200002</v>
      </c>
      <c r="Q794" s="4" t="s">
        <v>1390</v>
      </c>
    </row>
    <row r="795" spans="1:17" x14ac:dyDescent="0.3">
      <c r="A795" s="2" t="s">
        <v>1389</v>
      </c>
      <c r="B795" s="3">
        <v>157356</v>
      </c>
      <c r="C795" s="3">
        <v>901035</v>
      </c>
      <c r="D795" s="4" t="s">
        <v>81</v>
      </c>
      <c r="E795" s="4" t="s">
        <v>730</v>
      </c>
      <c r="F795" s="4" t="s">
        <v>83</v>
      </c>
      <c r="G795" s="4" t="s">
        <v>20</v>
      </c>
      <c r="H795" s="5">
        <v>-500000</v>
      </c>
      <c r="I795" s="4" t="s">
        <v>21</v>
      </c>
      <c r="J795" s="5">
        <f t="shared" si="12"/>
        <v>2111200</v>
      </c>
      <c r="K795" s="4" t="s">
        <v>39</v>
      </c>
      <c r="L795" s="6">
        <v>4.2224000000000004</v>
      </c>
      <c r="M795" s="6">
        <v>0.23680000000000001</v>
      </c>
      <c r="N795" s="6">
        <v>4.2230999999999996</v>
      </c>
      <c r="O795" s="6">
        <v>1</v>
      </c>
      <c r="P795" s="5">
        <v>-335</v>
      </c>
      <c r="Q795" s="4" t="s">
        <v>1396</v>
      </c>
    </row>
    <row r="796" spans="1:17" x14ac:dyDescent="0.3">
      <c r="A796" s="2" t="s">
        <v>1389</v>
      </c>
      <c r="B796" s="3">
        <v>157357</v>
      </c>
      <c r="C796" s="3">
        <v>901039</v>
      </c>
      <c r="D796" s="4" t="s">
        <v>81</v>
      </c>
      <c r="E796" s="4" t="s">
        <v>1077</v>
      </c>
      <c r="F796" s="4" t="s">
        <v>87</v>
      </c>
      <c r="G796" s="4" t="s">
        <v>20</v>
      </c>
      <c r="H796" s="5">
        <v>25000</v>
      </c>
      <c r="I796" s="4" t="s">
        <v>21</v>
      </c>
      <c r="J796" s="5">
        <f t="shared" si="12"/>
        <v>-105500</v>
      </c>
      <c r="K796" s="4" t="s">
        <v>39</v>
      </c>
      <c r="L796" s="6">
        <v>4.22</v>
      </c>
      <c r="M796" s="6">
        <v>0.23699999999999999</v>
      </c>
      <c r="N796" s="6">
        <v>4.2230999999999996</v>
      </c>
      <c r="O796" s="6">
        <v>1</v>
      </c>
      <c r="P796" s="5">
        <v>77.5</v>
      </c>
      <c r="Q796" s="4" t="s">
        <v>1390</v>
      </c>
    </row>
    <row r="797" spans="1:17" x14ac:dyDescent="0.3">
      <c r="A797" s="2" t="s">
        <v>1389</v>
      </c>
      <c r="B797" s="3">
        <v>157358</v>
      </c>
      <c r="C797" s="3">
        <v>217862</v>
      </c>
      <c r="D797" s="4" t="s">
        <v>17</v>
      </c>
      <c r="E797" s="4" t="s">
        <v>1077</v>
      </c>
      <c r="F797" s="4" t="s">
        <v>19</v>
      </c>
      <c r="G797" s="4" t="s">
        <v>20</v>
      </c>
      <c r="H797" s="5">
        <v>1000</v>
      </c>
      <c r="I797" s="4" t="s">
        <v>21</v>
      </c>
      <c r="J797" s="5">
        <f t="shared" si="12"/>
        <v>-4220</v>
      </c>
      <c r="K797" s="4" t="s">
        <v>49</v>
      </c>
      <c r="L797" s="6">
        <v>4.22</v>
      </c>
      <c r="M797" s="6">
        <v>0.23699999999999999</v>
      </c>
      <c r="N797" s="6">
        <v>4.2191999999999998</v>
      </c>
      <c r="O797" s="6">
        <v>1</v>
      </c>
      <c r="P797" s="5">
        <v>-0.8000000000001819</v>
      </c>
      <c r="Q797" s="4" t="s">
        <v>1390</v>
      </c>
    </row>
    <row r="798" spans="1:17" x14ac:dyDescent="0.3">
      <c r="A798" s="2" t="s">
        <v>1389</v>
      </c>
      <c r="B798" s="3">
        <v>157359</v>
      </c>
      <c r="C798" s="3">
        <v>901045</v>
      </c>
      <c r="D798" s="4" t="s">
        <v>81</v>
      </c>
      <c r="E798" s="4" t="s">
        <v>1077</v>
      </c>
      <c r="F798" s="4" t="s">
        <v>87</v>
      </c>
      <c r="G798" s="4" t="s">
        <v>20</v>
      </c>
      <c r="H798" s="5">
        <v>25000</v>
      </c>
      <c r="I798" s="4" t="s">
        <v>21</v>
      </c>
      <c r="J798" s="5">
        <f t="shared" si="12"/>
        <v>-105502.50000000001</v>
      </c>
      <c r="K798" s="4" t="s">
        <v>39</v>
      </c>
      <c r="L798" s="6">
        <v>4.2201000000000004</v>
      </c>
      <c r="M798" s="6">
        <v>0.23699999999999999</v>
      </c>
      <c r="N798" s="6">
        <v>4.2230999999999996</v>
      </c>
      <c r="O798" s="6">
        <v>1</v>
      </c>
      <c r="P798" s="5">
        <v>75</v>
      </c>
      <c r="Q798" s="4" t="s">
        <v>1390</v>
      </c>
    </row>
    <row r="799" spans="1:17" x14ac:dyDescent="0.3">
      <c r="A799" s="2" t="s">
        <v>1389</v>
      </c>
      <c r="B799" s="3">
        <v>157360</v>
      </c>
      <c r="C799" s="3">
        <v>217868</v>
      </c>
      <c r="D799" s="4" t="s">
        <v>17</v>
      </c>
      <c r="E799" s="4" t="s">
        <v>872</v>
      </c>
      <c r="F799" s="4" t="s">
        <v>32</v>
      </c>
      <c r="G799" s="4" t="s">
        <v>20</v>
      </c>
      <c r="H799" s="5">
        <v>-3000</v>
      </c>
      <c r="I799" s="4" t="s">
        <v>21</v>
      </c>
      <c r="J799" s="5">
        <f t="shared" si="12"/>
        <v>12708</v>
      </c>
      <c r="K799" s="4" t="s">
        <v>22</v>
      </c>
      <c r="L799" s="6">
        <v>4.2359999999999998</v>
      </c>
      <c r="M799" s="6">
        <v>0.2361</v>
      </c>
      <c r="N799" s="6">
        <v>4.2068000000000003</v>
      </c>
      <c r="O799" s="6">
        <v>1</v>
      </c>
      <c r="P799" s="5">
        <v>84.6</v>
      </c>
      <c r="Q799" s="4" t="s">
        <v>1390</v>
      </c>
    </row>
    <row r="800" spans="1:17" x14ac:dyDescent="0.3">
      <c r="A800" s="2" t="s">
        <v>1389</v>
      </c>
      <c r="B800" s="3">
        <v>157361</v>
      </c>
      <c r="C800" s="3">
        <v>217870</v>
      </c>
      <c r="D800" s="4" t="s">
        <v>17</v>
      </c>
      <c r="E800" s="4" t="s">
        <v>951</v>
      </c>
      <c r="F800" s="4" t="s">
        <v>32</v>
      </c>
      <c r="G800" s="4" t="s">
        <v>20</v>
      </c>
      <c r="H800" s="5">
        <v>-21360</v>
      </c>
      <c r="I800" s="4" t="s">
        <v>21</v>
      </c>
      <c r="J800" s="5">
        <f t="shared" si="12"/>
        <v>90241.728000000003</v>
      </c>
      <c r="K800" s="4" t="s">
        <v>22</v>
      </c>
      <c r="L800" s="6">
        <v>4.2248000000000001</v>
      </c>
      <c r="M800" s="6">
        <v>0.23669999999999999</v>
      </c>
      <c r="N800" s="6">
        <v>4.2068000000000003</v>
      </c>
      <c r="O800" s="6">
        <v>1</v>
      </c>
      <c r="P800" s="5">
        <v>365.25200000000001</v>
      </c>
      <c r="Q800" s="4" t="s">
        <v>1390</v>
      </c>
    </row>
    <row r="801" spans="1:17" x14ac:dyDescent="0.3">
      <c r="A801" s="2" t="s">
        <v>1389</v>
      </c>
      <c r="B801" s="3">
        <v>157362</v>
      </c>
      <c r="C801" s="3">
        <v>217871</v>
      </c>
      <c r="D801" s="4" t="s">
        <v>17</v>
      </c>
      <c r="E801" s="4" t="s">
        <v>790</v>
      </c>
      <c r="F801" s="4" t="s">
        <v>32</v>
      </c>
      <c r="G801" s="4" t="s">
        <v>20</v>
      </c>
      <c r="H801" s="5">
        <v>-55028</v>
      </c>
      <c r="I801" s="4" t="s">
        <v>21</v>
      </c>
      <c r="J801" s="5">
        <f t="shared" si="12"/>
        <v>233098.60799999998</v>
      </c>
      <c r="K801" s="4" t="s">
        <v>22</v>
      </c>
      <c r="L801" s="6">
        <v>4.2359999999999998</v>
      </c>
      <c r="M801" s="6">
        <v>0.2361</v>
      </c>
      <c r="N801" s="6">
        <v>4.2068000000000003</v>
      </c>
      <c r="O801" s="6">
        <v>1</v>
      </c>
      <c r="P801" s="5">
        <v>1606.8196</v>
      </c>
      <c r="Q801" s="4" t="s">
        <v>1390</v>
      </c>
    </row>
    <row r="802" spans="1:17" x14ac:dyDescent="0.3">
      <c r="A802" s="2" t="s">
        <v>1389</v>
      </c>
      <c r="B802" s="3">
        <v>157364</v>
      </c>
      <c r="C802" s="3">
        <v>901130</v>
      </c>
      <c r="D802" s="4" t="s">
        <v>81</v>
      </c>
      <c r="E802" s="4" t="s">
        <v>735</v>
      </c>
      <c r="F802" s="4" t="s">
        <v>83</v>
      </c>
      <c r="G802" s="4" t="s">
        <v>20</v>
      </c>
      <c r="H802" s="5">
        <v>-500000</v>
      </c>
      <c r="I802" s="4" t="s">
        <v>21</v>
      </c>
      <c r="J802" s="5">
        <f t="shared" si="12"/>
        <v>2111150</v>
      </c>
      <c r="K802" s="4" t="s">
        <v>39</v>
      </c>
      <c r="L802" s="6">
        <v>4.2222999999999997</v>
      </c>
      <c r="M802" s="6">
        <v>0.23680000000000001</v>
      </c>
      <c r="N802" s="6">
        <v>4.2230999999999996</v>
      </c>
      <c r="O802" s="6">
        <v>1</v>
      </c>
      <c r="P802" s="5">
        <v>-400</v>
      </c>
      <c r="Q802" s="4" t="s">
        <v>1394</v>
      </c>
    </row>
    <row r="803" spans="1:17" x14ac:dyDescent="0.3">
      <c r="A803" s="2" t="s">
        <v>1389</v>
      </c>
      <c r="B803" s="3">
        <v>157365</v>
      </c>
      <c r="C803" s="3">
        <v>901146</v>
      </c>
      <c r="D803" s="4" t="s">
        <v>81</v>
      </c>
      <c r="E803" s="4" t="s">
        <v>734</v>
      </c>
      <c r="F803" s="4" t="s">
        <v>83</v>
      </c>
      <c r="G803" s="4" t="s">
        <v>20</v>
      </c>
      <c r="H803" s="5">
        <v>-500000</v>
      </c>
      <c r="I803" s="4" t="s">
        <v>21</v>
      </c>
      <c r="J803" s="5">
        <f t="shared" si="12"/>
        <v>2111450</v>
      </c>
      <c r="K803" s="4" t="s">
        <v>39</v>
      </c>
      <c r="L803" s="6">
        <v>4.2229000000000001</v>
      </c>
      <c r="M803" s="6">
        <v>0.23680000000000001</v>
      </c>
      <c r="N803" s="6">
        <v>4.2230999999999996</v>
      </c>
      <c r="O803" s="6">
        <v>1</v>
      </c>
      <c r="P803" s="5">
        <v>-100</v>
      </c>
      <c r="Q803" s="4" t="s">
        <v>1393</v>
      </c>
    </row>
    <row r="804" spans="1:17" x14ac:dyDescent="0.3">
      <c r="A804" s="2" t="s">
        <v>1389</v>
      </c>
      <c r="B804" s="3">
        <v>157366</v>
      </c>
      <c r="C804" s="3">
        <v>217895</v>
      </c>
      <c r="D804" s="4" t="s">
        <v>17</v>
      </c>
      <c r="E804" s="4" t="s">
        <v>1213</v>
      </c>
      <c r="F804" s="4" t="s">
        <v>19</v>
      </c>
      <c r="G804" s="4" t="s">
        <v>20</v>
      </c>
      <c r="H804" s="5">
        <v>300000</v>
      </c>
      <c r="I804" s="4" t="s">
        <v>21</v>
      </c>
      <c r="J804" s="5">
        <f t="shared" si="12"/>
        <v>-1266000</v>
      </c>
      <c r="K804" s="4" t="s">
        <v>22</v>
      </c>
      <c r="L804" s="6">
        <v>4.22</v>
      </c>
      <c r="M804" s="6">
        <v>0.23699999999999999</v>
      </c>
      <c r="N804" s="6">
        <v>4.2068000000000003</v>
      </c>
      <c r="O804" s="6">
        <v>1</v>
      </c>
      <c r="P804" s="5">
        <v>-3960</v>
      </c>
      <c r="Q804" s="4" t="s">
        <v>1390</v>
      </c>
    </row>
    <row r="805" spans="1:17" x14ac:dyDescent="0.3">
      <c r="A805" s="2" t="s">
        <v>1389</v>
      </c>
      <c r="B805" s="3">
        <v>157367</v>
      </c>
      <c r="C805" s="3">
        <v>217896</v>
      </c>
      <c r="D805" s="4" t="s">
        <v>17</v>
      </c>
      <c r="E805" s="4" t="s">
        <v>1277</v>
      </c>
      <c r="F805" s="4" t="s">
        <v>19</v>
      </c>
      <c r="G805" s="4" t="s">
        <v>20</v>
      </c>
      <c r="H805" s="5">
        <v>40000</v>
      </c>
      <c r="I805" s="4" t="s">
        <v>21</v>
      </c>
      <c r="J805" s="5">
        <f t="shared" si="12"/>
        <v>-168836</v>
      </c>
      <c r="K805" s="4" t="s">
        <v>22</v>
      </c>
      <c r="L805" s="6">
        <v>4.2209000000000003</v>
      </c>
      <c r="M805" s="6">
        <v>0.2369</v>
      </c>
      <c r="N805" s="6">
        <v>4.2068000000000003</v>
      </c>
      <c r="O805" s="6">
        <v>1</v>
      </c>
      <c r="P805" s="5">
        <v>-564</v>
      </c>
      <c r="Q805" s="4" t="s">
        <v>1390</v>
      </c>
    </row>
    <row r="806" spans="1:17" x14ac:dyDescent="0.3">
      <c r="A806" s="2" t="s">
        <v>1389</v>
      </c>
      <c r="B806" s="3">
        <v>157368</v>
      </c>
      <c r="C806" s="3">
        <v>217897</v>
      </c>
      <c r="D806" s="4" t="s">
        <v>17</v>
      </c>
      <c r="E806" s="4" t="s">
        <v>1333</v>
      </c>
      <c r="F806" s="4" t="s">
        <v>19</v>
      </c>
      <c r="G806" s="4" t="s">
        <v>20</v>
      </c>
      <c r="H806" s="5">
        <v>30000</v>
      </c>
      <c r="I806" s="4" t="s">
        <v>21</v>
      </c>
      <c r="J806" s="5">
        <f t="shared" si="12"/>
        <v>-126618</v>
      </c>
      <c r="K806" s="4" t="s">
        <v>49</v>
      </c>
      <c r="L806" s="6">
        <v>4.2206000000000001</v>
      </c>
      <c r="M806" s="6">
        <v>0.2369</v>
      </c>
      <c r="N806" s="6">
        <v>4.2191999999999998</v>
      </c>
      <c r="O806" s="6">
        <v>1</v>
      </c>
      <c r="P806" s="5">
        <v>-42</v>
      </c>
      <c r="Q806" s="4" t="s">
        <v>1390</v>
      </c>
    </row>
    <row r="807" spans="1:17" x14ac:dyDescent="0.3">
      <c r="A807" s="2" t="s">
        <v>1389</v>
      </c>
      <c r="B807" s="3">
        <v>157370</v>
      </c>
      <c r="C807" s="3">
        <v>217899</v>
      </c>
      <c r="D807" s="4" t="s">
        <v>17</v>
      </c>
      <c r="E807" s="4" t="s">
        <v>1249</v>
      </c>
      <c r="F807" s="4" t="s">
        <v>19</v>
      </c>
      <c r="G807" s="4" t="s">
        <v>20</v>
      </c>
      <c r="H807" s="5">
        <v>20000</v>
      </c>
      <c r="I807" s="4" t="s">
        <v>21</v>
      </c>
      <c r="J807" s="5">
        <f t="shared" si="12"/>
        <v>-84218</v>
      </c>
      <c r="K807" s="4" t="s">
        <v>22</v>
      </c>
      <c r="L807" s="6">
        <v>4.2108999999999996</v>
      </c>
      <c r="M807" s="6">
        <v>0.23749999999999999</v>
      </c>
      <c r="N807" s="6">
        <v>4.2068000000000003</v>
      </c>
      <c r="O807" s="6">
        <v>1</v>
      </c>
      <c r="P807" s="5">
        <v>-82</v>
      </c>
      <c r="Q807" s="4" t="s">
        <v>1390</v>
      </c>
    </row>
    <row r="808" spans="1:17" x14ac:dyDescent="0.3">
      <c r="A808" s="2" t="s">
        <v>1389</v>
      </c>
      <c r="B808" s="3">
        <v>157371</v>
      </c>
      <c r="C808" s="3">
        <v>217900</v>
      </c>
      <c r="D808" s="4" t="s">
        <v>17</v>
      </c>
      <c r="E808" s="4" t="s">
        <v>1176</v>
      </c>
      <c r="F808" s="4" t="s">
        <v>19</v>
      </c>
      <c r="G808" s="4" t="s">
        <v>20</v>
      </c>
      <c r="H808" s="5">
        <v>25000</v>
      </c>
      <c r="I808" s="4" t="s">
        <v>21</v>
      </c>
      <c r="J808" s="5">
        <f t="shared" si="12"/>
        <v>-105505</v>
      </c>
      <c r="K808" s="4" t="s">
        <v>49</v>
      </c>
      <c r="L808" s="6">
        <v>4.2202000000000002</v>
      </c>
      <c r="M808" s="6">
        <v>0.23699999999999999</v>
      </c>
      <c r="N808" s="6">
        <v>4.2191999999999998</v>
      </c>
      <c r="O808" s="6">
        <v>1</v>
      </c>
      <c r="P808" s="5">
        <v>-25</v>
      </c>
      <c r="Q808" s="4" t="s">
        <v>1390</v>
      </c>
    </row>
    <row r="809" spans="1:17" x14ac:dyDescent="0.3">
      <c r="A809" s="2" t="s">
        <v>1389</v>
      </c>
      <c r="B809" s="3">
        <v>157372</v>
      </c>
      <c r="C809" s="3">
        <v>901174</v>
      </c>
      <c r="D809" s="4" t="s">
        <v>81</v>
      </c>
      <c r="E809" s="4" t="s">
        <v>734</v>
      </c>
      <c r="F809" s="4" t="s">
        <v>83</v>
      </c>
      <c r="G809" s="4" t="s">
        <v>20</v>
      </c>
      <c r="H809" s="5">
        <v>-500000</v>
      </c>
      <c r="I809" s="4" t="s">
        <v>21</v>
      </c>
      <c r="J809" s="5">
        <f t="shared" si="12"/>
        <v>2113200</v>
      </c>
      <c r="K809" s="4" t="s">
        <v>39</v>
      </c>
      <c r="L809" s="6">
        <v>4.2263999999999999</v>
      </c>
      <c r="M809" s="6">
        <v>0.2366</v>
      </c>
      <c r="N809" s="6">
        <v>4.2230999999999996</v>
      </c>
      <c r="O809" s="6">
        <v>1</v>
      </c>
      <c r="P809" s="5">
        <v>1650</v>
      </c>
      <c r="Q809" s="4" t="s">
        <v>1393</v>
      </c>
    </row>
    <row r="810" spans="1:17" x14ac:dyDescent="0.3">
      <c r="A810" s="2" t="s">
        <v>1389</v>
      </c>
      <c r="B810" s="3">
        <v>157374</v>
      </c>
      <c r="C810" s="3">
        <v>217905</v>
      </c>
      <c r="D810" s="4" t="s">
        <v>17</v>
      </c>
      <c r="E810" s="4" t="s">
        <v>1088</v>
      </c>
      <c r="F810" s="4" t="s">
        <v>19</v>
      </c>
      <c r="G810" s="4" t="s">
        <v>20</v>
      </c>
      <c r="H810" s="5">
        <v>250000</v>
      </c>
      <c r="I810" s="4" t="s">
        <v>21</v>
      </c>
      <c r="J810" s="5">
        <f t="shared" si="12"/>
        <v>-1052000</v>
      </c>
      <c r="K810" s="4" t="s">
        <v>22</v>
      </c>
      <c r="L810" s="6">
        <v>4.2080000000000002</v>
      </c>
      <c r="M810" s="6">
        <v>0.23760000000000001</v>
      </c>
      <c r="N810" s="6">
        <v>4.2068000000000003</v>
      </c>
      <c r="O810" s="6">
        <v>1</v>
      </c>
      <c r="P810" s="5">
        <v>-300</v>
      </c>
      <c r="Q810" s="4" t="s">
        <v>1390</v>
      </c>
    </row>
    <row r="811" spans="1:17" x14ac:dyDescent="0.3">
      <c r="A811" s="2" t="s">
        <v>1389</v>
      </c>
      <c r="B811" s="3">
        <v>157376</v>
      </c>
      <c r="C811" s="3">
        <v>217906</v>
      </c>
      <c r="D811" s="4" t="s">
        <v>17</v>
      </c>
      <c r="E811" s="4" t="s">
        <v>1180</v>
      </c>
      <c r="F811" s="4" t="s">
        <v>19</v>
      </c>
      <c r="G811" s="4" t="s">
        <v>20</v>
      </c>
      <c r="H811" s="5">
        <v>10766.53</v>
      </c>
      <c r="I811" s="4" t="s">
        <v>21</v>
      </c>
      <c r="J811" s="5">
        <f t="shared" si="12"/>
        <v>-45413.223539999999</v>
      </c>
      <c r="K811" s="4" t="s">
        <v>22</v>
      </c>
      <c r="L811" s="6">
        <v>4.218</v>
      </c>
      <c r="M811" s="6">
        <v>0.23710000000000001</v>
      </c>
      <c r="N811" s="6">
        <v>4.2068000000000003</v>
      </c>
      <c r="O811" s="6">
        <v>1</v>
      </c>
      <c r="P811" s="5">
        <v>-120.58513599999424</v>
      </c>
      <c r="Q811" s="4" t="s">
        <v>1390</v>
      </c>
    </row>
    <row r="812" spans="1:17" x14ac:dyDescent="0.3">
      <c r="A812" s="2" t="s">
        <v>1389</v>
      </c>
      <c r="B812" s="3">
        <v>157378</v>
      </c>
      <c r="C812" s="3">
        <v>217910</v>
      </c>
      <c r="D812" s="4" t="s">
        <v>17</v>
      </c>
      <c r="E812" s="4" t="s">
        <v>1343</v>
      </c>
      <c r="F812" s="4" t="s">
        <v>32</v>
      </c>
      <c r="G812" s="4" t="s">
        <v>20</v>
      </c>
      <c r="H812" s="5">
        <v>-2100000</v>
      </c>
      <c r="I812" s="4" t="s">
        <v>21</v>
      </c>
      <c r="J812" s="5">
        <f t="shared" si="12"/>
        <v>8894550</v>
      </c>
      <c r="K812" s="4" t="s">
        <v>22</v>
      </c>
      <c r="L812" s="6">
        <v>4.2355</v>
      </c>
      <c r="M812" s="6">
        <v>0.2361</v>
      </c>
      <c r="N812" s="6">
        <v>4.2068000000000003</v>
      </c>
      <c r="O812" s="6">
        <v>1</v>
      </c>
      <c r="P812" s="5">
        <v>58590</v>
      </c>
      <c r="Q812" s="4" t="s">
        <v>1390</v>
      </c>
    </row>
    <row r="813" spans="1:17" x14ac:dyDescent="0.3">
      <c r="A813" s="2" t="s">
        <v>1389</v>
      </c>
      <c r="B813" s="3">
        <v>157380</v>
      </c>
      <c r="C813" s="3">
        <v>901207</v>
      </c>
      <c r="D813" s="4" t="s">
        <v>81</v>
      </c>
      <c r="E813" s="4" t="s">
        <v>732</v>
      </c>
      <c r="F813" s="4" t="s">
        <v>87</v>
      </c>
      <c r="G813" s="4" t="s">
        <v>20</v>
      </c>
      <c r="H813" s="5">
        <v>1000000</v>
      </c>
      <c r="I813" s="4" t="s">
        <v>21</v>
      </c>
      <c r="J813" s="5">
        <f t="shared" si="12"/>
        <v>-4225600</v>
      </c>
      <c r="K813" s="4" t="s">
        <v>39</v>
      </c>
      <c r="L813" s="6">
        <v>4.2256</v>
      </c>
      <c r="M813" s="6">
        <v>0.23669999999999999</v>
      </c>
      <c r="N813" s="6">
        <v>4.2230999999999996</v>
      </c>
      <c r="O813" s="6">
        <v>1</v>
      </c>
      <c r="P813" s="5">
        <v>-2540</v>
      </c>
      <c r="Q813" s="4" t="s">
        <v>1394</v>
      </c>
    </row>
    <row r="814" spans="1:17" x14ac:dyDescent="0.3">
      <c r="A814" s="2" t="s">
        <v>1389</v>
      </c>
      <c r="B814" s="3">
        <v>157382</v>
      </c>
      <c r="C814" s="3">
        <v>901208</v>
      </c>
      <c r="D814" s="4" t="s">
        <v>81</v>
      </c>
      <c r="E814" s="4" t="s">
        <v>743</v>
      </c>
      <c r="F814" s="4" t="s">
        <v>87</v>
      </c>
      <c r="G814" s="4" t="s">
        <v>20</v>
      </c>
      <c r="H814" s="5">
        <v>1000000</v>
      </c>
      <c r="I814" s="4" t="s">
        <v>21</v>
      </c>
      <c r="J814" s="5">
        <f t="shared" si="12"/>
        <v>-4226000</v>
      </c>
      <c r="K814" s="4" t="s">
        <v>39</v>
      </c>
      <c r="L814" s="6">
        <v>4.226</v>
      </c>
      <c r="M814" s="6">
        <v>0.2366</v>
      </c>
      <c r="N814" s="6">
        <v>4.2230999999999996</v>
      </c>
      <c r="O814" s="6">
        <v>1</v>
      </c>
      <c r="P814" s="5">
        <v>-2880</v>
      </c>
      <c r="Q814" s="4" t="s">
        <v>1395</v>
      </c>
    </row>
    <row r="815" spans="1:17" x14ac:dyDescent="0.3">
      <c r="A815" s="2" t="s">
        <v>1389</v>
      </c>
      <c r="B815" s="3">
        <v>157383</v>
      </c>
      <c r="C815" s="3">
        <v>217911</v>
      </c>
      <c r="D815" s="4" t="s">
        <v>17</v>
      </c>
      <c r="E815" s="4" t="s">
        <v>1291</v>
      </c>
      <c r="F815" s="4" t="s">
        <v>19</v>
      </c>
      <c r="G815" s="4" t="s">
        <v>20</v>
      </c>
      <c r="H815" s="5">
        <v>30000</v>
      </c>
      <c r="I815" s="4" t="s">
        <v>21</v>
      </c>
      <c r="J815" s="5">
        <f t="shared" si="12"/>
        <v>-126366</v>
      </c>
      <c r="K815" s="4" t="s">
        <v>22</v>
      </c>
      <c r="L815" s="6">
        <v>4.2122000000000002</v>
      </c>
      <c r="M815" s="6">
        <v>0.2374</v>
      </c>
      <c r="N815" s="6">
        <v>4.2068000000000003</v>
      </c>
      <c r="O815" s="6">
        <v>1</v>
      </c>
      <c r="P815" s="5">
        <v>-161.99999999998545</v>
      </c>
      <c r="Q815" s="4" t="s">
        <v>1390</v>
      </c>
    </row>
    <row r="816" spans="1:17" x14ac:dyDescent="0.3">
      <c r="A816" s="2" t="s">
        <v>1389</v>
      </c>
      <c r="B816" s="3">
        <v>157385</v>
      </c>
      <c r="C816" s="3">
        <v>217913</v>
      </c>
      <c r="D816" s="4" t="s">
        <v>17</v>
      </c>
      <c r="E816" s="4" t="s">
        <v>818</v>
      </c>
      <c r="F816" s="4" t="s">
        <v>19</v>
      </c>
      <c r="G816" s="4" t="s">
        <v>20</v>
      </c>
      <c r="H816" s="5">
        <v>70000</v>
      </c>
      <c r="I816" s="4" t="s">
        <v>21</v>
      </c>
      <c r="J816" s="5">
        <f t="shared" si="12"/>
        <v>-295470</v>
      </c>
      <c r="K816" s="4" t="s">
        <v>22</v>
      </c>
      <c r="L816" s="6">
        <v>4.2210000000000001</v>
      </c>
      <c r="M816" s="6">
        <v>0.2369</v>
      </c>
      <c r="N816" s="6">
        <v>4.2068000000000003</v>
      </c>
      <c r="O816" s="6">
        <v>1</v>
      </c>
      <c r="P816" s="5">
        <v>-994</v>
      </c>
      <c r="Q816" s="4" t="s">
        <v>1390</v>
      </c>
    </row>
    <row r="817" spans="1:17" x14ac:dyDescent="0.3">
      <c r="A817" s="2" t="s">
        <v>1389</v>
      </c>
      <c r="B817" s="3">
        <v>157386</v>
      </c>
      <c r="C817" s="3">
        <v>217916</v>
      </c>
      <c r="D817" s="4" t="s">
        <v>17</v>
      </c>
      <c r="E817" s="4" t="s">
        <v>748</v>
      </c>
      <c r="F817" s="4" t="s">
        <v>19</v>
      </c>
      <c r="G817" s="4" t="s">
        <v>20</v>
      </c>
      <c r="H817" s="5">
        <v>20000</v>
      </c>
      <c r="I817" s="4" t="s">
        <v>21</v>
      </c>
      <c r="J817" s="5">
        <f t="shared" si="12"/>
        <v>-84300</v>
      </c>
      <c r="K817" s="4" t="s">
        <v>22</v>
      </c>
      <c r="L817" s="6">
        <v>4.2149999999999999</v>
      </c>
      <c r="M817" s="6">
        <v>0.23719999999999999</v>
      </c>
      <c r="N817" s="6">
        <v>4.2068000000000003</v>
      </c>
      <c r="O817" s="6">
        <v>1</v>
      </c>
      <c r="P817" s="5">
        <v>-164</v>
      </c>
      <c r="Q817" s="4" t="s">
        <v>1390</v>
      </c>
    </row>
    <row r="818" spans="1:17" x14ac:dyDescent="0.3">
      <c r="A818" s="2" t="s">
        <v>1389</v>
      </c>
      <c r="B818" s="3">
        <v>157387</v>
      </c>
      <c r="C818" s="3">
        <v>217918</v>
      </c>
      <c r="D818" s="4" t="s">
        <v>17</v>
      </c>
      <c r="E818" s="4" t="s">
        <v>1180</v>
      </c>
      <c r="F818" s="4" t="s">
        <v>19</v>
      </c>
      <c r="G818" s="4" t="s">
        <v>20</v>
      </c>
      <c r="H818" s="5">
        <v>2502.6</v>
      </c>
      <c r="I818" s="4" t="s">
        <v>21</v>
      </c>
      <c r="J818" s="5">
        <f t="shared" si="12"/>
        <v>-10555.9668</v>
      </c>
      <c r="K818" s="4" t="s">
        <v>22</v>
      </c>
      <c r="L818" s="6">
        <v>4.218</v>
      </c>
      <c r="M818" s="6">
        <v>0.23710000000000001</v>
      </c>
      <c r="N818" s="6">
        <v>4.2068000000000003</v>
      </c>
      <c r="O818" s="6">
        <v>1</v>
      </c>
      <c r="P818" s="5">
        <v>-28.029119999999239</v>
      </c>
      <c r="Q818" s="4" t="s">
        <v>1390</v>
      </c>
    </row>
    <row r="819" spans="1:17" x14ac:dyDescent="0.3">
      <c r="A819" s="2" t="s">
        <v>1389</v>
      </c>
      <c r="B819" s="3">
        <v>157388</v>
      </c>
      <c r="C819" s="3">
        <v>217919</v>
      </c>
      <c r="D819" s="4" t="s">
        <v>17</v>
      </c>
      <c r="E819" s="4" t="s">
        <v>1363</v>
      </c>
      <c r="F819" s="4" t="s">
        <v>32</v>
      </c>
      <c r="G819" s="4" t="s">
        <v>20</v>
      </c>
      <c r="H819" s="5">
        <v>-40000</v>
      </c>
      <c r="I819" s="4" t="s">
        <v>21</v>
      </c>
      <c r="J819" s="5">
        <f t="shared" si="12"/>
        <v>169724</v>
      </c>
      <c r="K819" s="4" t="s">
        <v>22</v>
      </c>
      <c r="L819" s="6">
        <v>4.2431000000000001</v>
      </c>
      <c r="M819" s="6">
        <v>0.23569999999999999</v>
      </c>
      <c r="N819" s="6">
        <v>4.2068000000000003</v>
      </c>
      <c r="O819" s="6">
        <v>1</v>
      </c>
      <c r="P819" s="5">
        <v>1420</v>
      </c>
      <c r="Q819" s="4" t="s">
        <v>1390</v>
      </c>
    </row>
    <row r="820" spans="1:17" x14ac:dyDescent="0.3">
      <c r="A820" s="2" t="s">
        <v>1389</v>
      </c>
      <c r="B820" s="3">
        <v>157389</v>
      </c>
      <c r="C820" s="3">
        <v>217920</v>
      </c>
      <c r="D820" s="4" t="s">
        <v>17</v>
      </c>
      <c r="E820" s="4" t="s">
        <v>1320</v>
      </c>
      <c r="F820" s="4" t="s">
        <v>32</v>
      </c>
      <c r="G820" s="4" t="s">
        <v>20</v>
      </c>
      <c r="H820" s="5">
        <v>-17000</v>
      </c>
      <c r="I820" s="4" t="s">
        <v>21</v>
      </c>
      <c r="J820" s="5">
        <f t="shared" si="12"/>
        <v>72171.8</v>
      </c>
      <c r="K820" s="4" t="s">
        <v>22</v>
      </c>
      <c r="L820" s="6">
        <v>4.2454000000000001</v>
      </c>
      <c r="M820" s="6">
        <v>0.23549999999999999</v>
      </c>
      <c r="N820" s="6">
        <v>4.2068000000000003</v>
      </c>
      <c r="O820" s="6">
        <v>1</v>
      </c>
      <c r="P820" s="5">
        <v>640.9</v>
      </c>
      <c r="Q820" s="4" t="s">
        <v>1390</v>
      </c>
    </row>
    <row r="821" spans="1:17" x14ac:dyDescent="0.3">
      <c r="A821" s="2" t="s">
        <v>1389</v>
      </c>
      <c r="B821" s="3">
        <v>157392</v>
      </c>
      <c r="C821" s="3">
        <v>901254</v>
      </c>
      <c r="D821" s="4" t="s">
        <v>81</v>
      </c>
      <c r="E821" s="4" t="s">
        <v>957</v>
      </c>
      <c r="F821" s="4" t="s">
        <v>83</v>
      </c>
      <c r="G821" s="4" t="s">
        <v>91</v>
      </c>
      <c r="H821" s="5">
        <v>-10000</v>
      </c>
      <c r="I821" s="4" t="s">
        <v>21</v>
      </c>
      <c r="J821" s="5">
        <f t="shared" si="12"/>
        <v>48826</v>
      </c>
      <c r="K821" s="4" t="s">
        <v>39</v>
      </c>
      <c r="L821" s="6">
        <v>4.8826000000000001</v>
      </c>
      <c r="M821" s="6">
        <v>0.20480000000000001</v>
      </c>
      <c r="N821" s="6">
        <v>4.8704000000000001</v>
      </c>
      <c r="O821" s="6">
        <v>1</v>
      </c>
      <c r="P821" s="5">
        <v>122</v>
      </c>
      <c r="Q821" s="4" t="s">
        <v>1390</v>
      </c>
    </row>
    <row r="822" spans="1:17" x14ac:dyDescent="0.3">
      <c r="A822" s="2" t="s">
        <v>1389</v>
      </c>
      <c r="B822" s="3">
        <v>157394</v>
      </c>
      <c r="C822" s="3">
        <v>901264</v>
      </c>
      <c r="D822" s="4" t="s">
        <v>81</v>
      </c>
      <c r="E822" s="4" t="s">
        <v>730</v>
      </c>
      <c r="F822" s="4" t="s">
        <v>83</v>
      </c>
      <c r="G822" s="4" t="s">
        <v>20</v>
      </c>
      <c r="H822" s="5">
        <v>-500000</v>
      </c>
      <c r="I822" s="4" t="s">
        <v>21</v>
      </c>
      <c r="J822" s="5">
        <f t="shared" si="12"/>
        <v>2113500</v>
      </c>
      <c r="K822" s="4" t="s">
        <v>39</v>
      </c>
      <c r="L822" s="6">
        <v>4.2270000000000003</v>
      </c>
      <c r="M822" s="6">
        <v>0.2366</v>
      </c>
      <c r="N822" s="6">
        <v>4.2230999999999996</v>
      </c>
      <c r="O822" s="6">
        <v>1</v>
      </c>
      <c r="P822" s="5">
        <v>1950</v>
      </c>
      <c r="Q822" s="4" t="s">
        <v>1396</v>
      </c>
    </row>
    <row r="823" spans="1:17" x14ac:dyDescent="0.3">
      <c r="A823" s="2" t="s">
        <v>1389</v>
      </c>
      <c r="B823" s="3">
        <v>157395</v>
      </c>
      <c r="C823" s="3">
        <v>217929</v>
      </c>
      <c r="D823" s="4" t="s">
        <v>17</v>
      </c>
      <c r="E823" s="4" t="s">
        <v>788</v>
      </c>
      <c r="F823" s="4" t="s">
        <v>19</v>
      </c>
      <c r="G823" s="4" t="s">
        <v>20</v>
      </c>
      <c r="H823" s="5">
        <v>25000</v>
      </c>
      <c r="I823" s="4" t="s">
        <v>21</v>
      </c>
      <c r="J823" s="5">
        <f t="shared" si="12"/>
        <v>-105497.5</v>
      </c>
      <c r="K823" s="4" t="s">
        <v>22</v>
      </c>
      <c r="L823" s="6">
        <v>4.2199</v>
      </c>
      <c r="M823" s="6">
        <v>0.23699999999999999</v>
      </c>
      <c r="N823" s="6">
        <v>4.2068000000000003</v>
      </c>
      <c r="O823" s="6">
        <v>1</v>
      </c>
      <c r="P823" s="5">
        <v>-327.49999999998545</v>
      </c>
      <c r="Q823" s="4" t="s">
        <v>1390</v>
      </c>
    </row>
    <row r="824" spans="1:17" x14ac:dyDescent="0.3">
      <c r="A824" s="2" t="s">
        <v>1389</v>
      </c>
      <c r="B824" s="3">
        <v>157397</v>
      </c>
      <c r="C824" s="3">
        <v>217931</v>
      </c>
      <c r="D824" s="4" t="s">
        <v>17</v>
      </c>
      <c r="E824" s="4" t="s">
        <v>977</v>
      </c>
      <c r="F824" s="4" t="s">
        <v>19</v>
      </c>
      <c r="G824" s="4" t="s">
        <v>20</v>
      </c>
      <c r="H824" s="5">
        <v>100000</v>
      </c>
      <c r="I824" s="4" t="s">
        <v>21</v>
      </c>
      <c r="J824" s="5">
        <f t="shared" si="12"/>
        <v>-422000</v>
      </c>
      <c r="K824" s="4" t="s">
        <v>22</v>
      </c>
      <c r="L824" s="6">
        <v>4.22</v>
      </c>
      <c r="M824" s="6">
        <v>0.23699999999999999</v>
      </c>
      <c r="N824" s="6">
        <v>4.2068000000000003</v>
      </c>
      <c r="O824" s="6">
        <v>1</v>
      </c>
      <c r="P824" s="5">
        <v>-1319.9999999999418</v>
      </c>
      <c r="Q824" s="4" t="s">
        <v>1390</v>
      </c>
    </row>
    <row r="825" spans="1:17" x14ac:dyDescent="0.3">
      <c r="A825" s="2" t="s">
        <v>1389</v>
      </c>
      <c r="B825" s="3">
        <v>157406</v>
      </c>
      <c r="C825" s="3">
        <v>901287</v>
      </c>
      <c r="D825" s="4" t="s">
        <v>81</v>
      </c>
      <c r="E825" s="4" t="s">
        <v>734</v>
      </c>
      <c r="F825" s="4" t="s">
        <v>83</v>
      </c>
      <c r="G825" s="4" t="s">
        <v>20</v>
      </c>
      <c r="H825" s="5">
        <v>-500000</v>
      </c>
      <c r="I825" s="4" t="s">
        <v>21</v>
      </c>
      <c r="J825" s="5">
        <f t="shared" si="12"/>
        <v>2113500</v>
      </c>
      <c r="K825" s="4" t="s">
        <v>39</v>
      </c>
      <c r="L825" s="6">
        <v>4.2270000000000003</v>
      </c>
      <c r="M825" s="6">
        <v>0.2366</v>
      </c>
      <c r="N825" s="6">
        <v>4.2230999999999996</v>
      </c>
      <c r="O825" s="6">
        <v>1</v>
      </c>
      <c r="P825" s="5">
        <v>1950</v>
      </c>
      <c r="Q825" s="4" t="s">
        <v>1393</v>
      </c>
    </row>
    <row r="826" spans="1:17" x14ac:dyDescent="0.3">
      <c r="A826" s="2" t="s">
        <v>1389</v>
      </c>
      <c r="B826" s="3">
        <v>157411</v>
      </c>
      <c r="C826" s="3">
        <v>217937</v>
      </c>
      <c r="D826" s="4" t="s">
        <v>17</v>
      </c>
      <c r="E826" s="4" t="s">
        <v>1188</v>
      </c>
      <c r="F826" s="4" t="s">
        <v>19</v>
      </c>
      <c r="G826" s="4" t="s">
        <v>20</v>
      </c>
      <c r="H826" s="5">
        <v>20000</v>
      </c>
      <c r="I826" s="4" t="s">
        <v>21</v>
      </c>
      <c r="J826" s="5">
        <f t="shared" si="12"/>
        <v>-84436</v>
      </c>
      <c r="K826" s="4" t="s">
        <v>22</v>
      </c>
      <c r="L826" s="6">
        <v>4.2218</v>
      </c>
      <c r="M826" s="6">
        <v>0.2369</v>
      </c>
      <c r="N826" s="6">
        <v>4.2068000000000003</v>
      </c>
      <c r="O826" s="6">
        <v>1</v>
      </c>
      <c r="P826" s="5">
        <v>-300</v>
      </c>
      <c r="Q826" s="4" t="s">
        <v>1390</v>
      </c>
    </row>
    <row r="827" spans="1:17" x14ac:dyDescent="0.3">
      <c r="A827" s="2" t="s">
        <v>1389</v>
      </c>
      <c r="B827" s="3">
        <v>157413</v>
      </c>
      <c r="C827" s="3">
        <v>217938</v>
      </c>
      <c r="D827" s="4" t="s">
        <v>17</v>
      </c>
      <c r="E827" s="4" t="s">
        <v>1247</v>
      </c>
      <c r="F827" s="4" t="s">
        <v>19</v>
      </c>
      <c r="G827" s="4" t="s">
        <v>20</v>
      </c>
      <c r="H827" s="5">
        <v>100000</v>
      </c>
      <c r="I827" s="4" t="s">
        <v>21</v>
      </c>
      <c r="J827" s="5">
        <f t="shared" si="12"/>
        <v>-421840</v>
      </c>
      <c r="K827" s="4" t="s">
        <v>22</v>
      </c>
      <c r="L827" s="6">
        <v>4.2183999999999999</v>
      </c>
      <c r="M827" s="6">
        <v>0.23710000000000001</v>
      </c>
      <c r="N827" s="6">
        <v>4.2068000000000003</v>
      </c>
      <c r="O827" s="6">
        <v>1</v>
      </c>
      <c r="P827" s="5">
        <v>-1159.9999999999418</v>
      </c>
      <c r="Q827" s="4" t="s">
        <v>1390</v>
      </c>
    </row>
    <row r="828" spans="1:17" x14ac:dyDescent="0.3">
      <c r="A828" s="2" t="s">
        <v>1389</v>
      </c>
      <c r="B828" s="3">
        <v>157415</v>
      </c>
      <c r="C828" s="3">
        <v>901309</v>
      </c>
      <c r="D828" s="4" t="s">
        <v>81</v>
      </c>
      <c r="E828" s="4" t="s">
        <v>1257</v>
      </c>
      <c r="F828" s="4" t="s">
        <v>87</v>
      </c>
      <c r="G828" s="4" t="s">
        <v>20</v>
      </c>
      <c r="H828" s="5">
        <v>50000</v>
      </c>
      <c r="I828" s="4" t="s">
        <v>21</v>
      </c>
      <c r="J828" s="5">
        <f t="shared" si="12"/>
        <v>-211000</v>
      </c>
      <c r="K828" s="4" t="s">
        <v>39</v>
      </c>
      <c r="L828" s="6">
        <v>4.22</v>
      </c>
      <c r="M828" s="6">
        <v>0.23699999999999999</v>
      </c>
      <c r="N828" s="6">
        <v>4.2230999999999996</v>
      </c>
      <c r="O828" s="6">
        <v>1</v>
      </c>
      <c r="P828" s="5">
        <v>155</v>
      </c>
      <c r="Q828" s="4" t="s">
        <v>1390</v>
      </c>
    </row>
    <row r="829" spans="1:17" x14ac:dyDescent="0.3">
      <c r="A829" s="2" t="s">
        <v>1389</v>
      </c>
      <c r="B829" s="3">
        <v>157416</v>
      </c>
      <c r="C829" s="3">
        <v>901318</v>
      </c>
      <c r="D829" s="4" t="s">
        <v>81</v>
      </c>
      <c r="E829" s="4" t="s">
        <v>735</v>
      </c>
      <c r="F829" s="4" t="s">
        <v>83</v>
      </c>
      <c r="G829" s="4" t="s">
        <v>20</v>
      </c>
      <c r="H829" s="5">
        <v>-500000</v>
      </c>
      <c r="I829" s="4" t="s">
        <v>21</v>
      </c>
      <c r="J829" s="5">
        <f t="shared" si="12"/>
        <v>2112250</v>
      </c>
      <c r="K829" s="4" t="s">
        <v>39</v>
      </c>
      <c r="L829" s="6">
        <v>4.2244999999999999</v>
      </c>
      <c r="M829" s="6">
        <v>0.23669999999999999</v>
      </c>
      <c r="N829" s="6">
        <v>4.2230999999999996</v>
      </c>
      <c r="O829" s="6">
        <v>1</v>
      </c>
      <c r="P829" s="5">
        <v>700</v>
      </c>
      <c r="Q829" s="4" t="s">
        <v>1394</v>
      </c>
    </row>
    <row r="830" spans="1:17" x14ac:dyDescent="0.3">
      <c r="A830" s="2" t="s">
        <v>1389</v>
      </c>
      <c r="B830" s="3">
        <v>157418</v>
      </c>
      <c r="C830" s="3">
        <v>217947</v>
      </c>
      <c r="D830" s="4" t="s">
        <v>17</v>
      </c>
      <c r="E830" s="4" t="s">
        <v>908</v>
      </c>
      <c r="F830" s="4" t="s">
        <v>19</v>
      </c>
      <c r="G830" s="4" t="s">
        <v>20</v>
      </c>
      <c r="H830" s="5">
        <v>200000</v>
      </c>
      <c r="I830" s="4" t="s">
        <v>21</v>
      </c>
      <c r="J830" s="5">
        <f t="shared" si="12"/>
        <v>-844400.00000000012</v>
      </c>
      <c r="K830" s="4" t="s">
        <v>22</v>
      </c>
      <c r="L830" s="6">
        <v>4.2220000000000004</v>
      </c>
      <c r="M830" s="6">
        <v>0.2369</v>
      </c>
      <c r="N830" s="6">
        <v>4.2068000000000003</v>
      </c>
      <c r="O830" s="6">
        <v>1</v>
      </c>
      <c r="P830" s="5">
        <v>-3040</v>
      </c>
      <c r="Q830" s="4" t="s">
        <v>1390</v>
      </c>
    </row>
    <row r="831" spans="1:17" x14ac:dyDescent="0.3">
      <c r="A831" s="2" t="s">
        <v>1389</v>
      </c>
      <c r="B831" s="3">
        <v>157419</v>
      </c>
      <c r="C831" s="3">
        <v>901349</v>
      </c>
      <c r="D831" s="4" t="s">
        <v>81</v>
      </c>
      <c r="E831" s="4" t="s">
        <v>734</v>
      </c>
      <c r="F831" s="4" t="s">
        <v>83</v>
      </c>
      <c r="G831" s="4" t="s">
        <v>20</v>
      </c>
      <c r="H831" s="5">
        <v>-500000</v>
      </c>
      <c r="I831" s="4" t="s">
        <v>21</v>
      </c>
      <c r="J831" s="5">
        <f t="shared" si="12"/>
        <v>2112650</v>
      </c>
      <c r="K831" s="4" t="s">
        <v>39</v>
      </c>
      <c r="L831" s="6">
        <v>4.2252999999999998</v>
      </c>
      <c r="M831" s="6">
        <v>0.23669999999999999</v>
      </c>
      <c r="N831" s="6">
        <v>4.2230999999999996</v>
      </c>
      <c r="O831" s="6">
        <v>1</v>
      </c>
      <c r="P831" s="5">
        <v>1100</v>
      </c>
      <c r="Q831" s="4" t="s">
        <v>1393</v>
      </c>
    </row>
    <row r="832" spans="1:17" x14ac:dyDescent="0.3">
      <c r="A832" s="2" t="s">
        <v>1389</v>
      </c>
      <c r="B832" s="3">
        <v>157420</v>
      </c>
      <c r="C832" s="3">
        <v>901356</v>
      </c>
      <c r="D832" s="4" t="s">
        <v>81</v>
      </c>
      <c r="E832" s="4" t="s">
        <v>725</v>
      </c>
      <c r="F832" s="4" t="s">
        <v>83</v>
      </c>
      <c r="G832" s="4" t="s">
        <v>20</v>
      </c>
      <c r="H832" s="5">
        <v>-1000000</v>
      </c>
      <c r="I832" s="4" t="s">
        <v>21</v>
      </c>
      <c r="J832" s="5">
        <f t="shared" si="12"/>
        <v>4226200</v>
      </c>
      <c r="K832" s="4" t="s">
        <v>39</v>
      </c>
      <c r="L832" s="6">
        <v>4.2262000000000004</v>
      </c>
      <c r="M832" s="6">
        <v>0.2366</v>
      </c>
      <c r="N832" s="6">
        <v>4.2230999999999996</v>
      </c>
      <c r="O832" s="6">
        <v>1</v>
      </c>
      <c r="P832" s="5">
        <v>3130</v>
      </c>
      <c r="Q832" s="4" t="s">
        <v>1392</v>
      </c>
    </row>
    <row r="833" spans="1:17" x14ac:dyDescent="0.3">
      <c r="A833" s="2" t="s">
        <v>1389</v>
      </c>
      <c r="B833" s="3">
        <v>157422</v>
      </c>
      <c r="C833" s="3">
        <v>217957</v>
      </c>
      <c r="D833" s="4" t="s">
        <v>17</v>
      </c>
      <c r="E833" s="4" t="s">
        <v>800</v>
      </c>
      <c r="F833" s="4" t="s">
        <v>19</v>
      </c>
      <c r="G833" s="4" t="s">
        <v>20</v>
      </c>
      <c r="H833" s="5">
        <v>250000</v>
      </c>
      <c r="I833" s="4" t="s">
        <v>21</v>
      </c>
      <c r="J833" s="5">
        <f t="shared" si="12"/>
        <v>-1053250</v>
      </c>
      <c r="K833" s="4" t="s">
        <v>22</v>
      </c>
      <c r="L833" s="6">
        <v>4.2130000000000001</v>
      </c>
      <c r="M833" s="6">
        <v>0.2374</v>
      </c>
      <c r="N833" s="6">
        <v>4.2068000000000003</v>
      </c>
      <c r="O833" s="6">
        <v>1</v>
      </c>
      <c r="P833" s="5">
        <v>-1550</v>
      </c>
      <c r="Q833" s="4" t="s">
        <v>1390</v>
      </c>
    </row>
    <row r="834" spans="1:17" x14ac:dyDescent="0.3">
      <c r="A834" s="2" t="s">
        <v>1389</v>
      </c>
      <c r="B834" s="3">
        <v>157424</v>
      </c>
      <c r="C834" s="3">
        <v>217958</v>
      </c>
      <c r="D834" s="4" t="s">
        <v>17</v>
      </c>
      <c r="E834" s="4" t="s">
        <v>1295</v>
      </c>
      <c r="F834" s="4" t="s">
        <v>19</v>
      </c>
      <c r="G834" s="4" t="s">
        <v>20</v>
      </c>
      <c r="H834" s="5">
        <v>50000</v>
      </c>
      <c r="I834" s="4" t="s">
        <v>21</v>
      </c>
      <c r="J834" s="5">
        <f t="shared" si="12"/>
        <v>-209500.00000000003</v>
      </c>
      <c r="K834" s="4" t="s">
        <v>22</v>
      </c>
      <c r="L834" s="6">
        <v>4.1900000000000004</v>
      </c>
      <c r="M834" s="6">
        <v>0.2387</v>
      </c>
      <c r="N834" s="6">
        <v>4.2068000000000003</v>
      </c>
      <c r="O834" s="6">
        <v>1</v>
      </c>
      <c r="P834" s="5">
        <v>840</v>
      </c>
      <c r="Q834" s="4" t="s">
        <v>1390</v>
      </c>
    </row>
    <row r="835" spans="1:17" x14ac:dyDescent="0.3">
      <c r="A835" s="2" t="s">
        <v>1389</v>
      </c>
      <c r="B835" s="3">
        <v>157425</v>
      </c>
      <c r="C835" s="3">
        <v>901372</v>
      </c>
      <c r="D835" s="4" t="s">
        <v>81</v>
      </c>
      <c r="E835" s="4" t="s">
        <v>1090</v>
      </c>
      <c r="F835" s="4" t="s">
        <v>87</v>
      </c>
      <c r="G835" s="4" t="s">
        <v>20</v>
      </c>
      <c r="H835" s="5">
        <v>30000</v>
      </c>
      <c r="I835" s="4" t="s">
        <v>21</v>
      </c>
      <c r="J835" s="5">
        <f t="shared" si="12"/>
        <v>-126302.99999999999</v>
      </c>
      <c r="K835" s="4" t="s">
        <v>39</v>
      </c>
      <c r="L835" s="6">
        <v>4.2100999999999997</v>
      </c>
      <c r="M835" s="6">
        <v>0.23749999999999999</v>
      </c>
      <c r="N835" s="6">
        <v>4.2230999999999996</v>
      </c>
      <c r="O835" s="6">
        <v>1</v>
      </c>
      <c r="P835" s="5">
        <v>390</v>
      </c>
      <c r="Q835" s="4" t="s">
        <v>1390</v>
      </c>
    </row>
    <row r="836" spans="1:17" x14ac:dyDescent="0.3">
      <c r="A836" s="2" t="s">
        <v>1389</v>
      </c>
      <c r="B836" s="3">
        <v>157426</v>
      </c>
      <c r="C836" s="3">
        <v>217960</v>
      </c>
      <c r="D836" s="4" t="s">
        <v>17</v>
      </c>
      <c r="E836" s="4" t="s">
        <v>1184</v>
      </c>
      <c r="F836" s="4" t="s">
        <v>19</v>
      </c>
      <c r="G836" s="4" t="s">
        <v>20</v>
      </c>
      <c r="H836" s="5">
        <v>3000</v>
      </c>
      <c r="I836" s="4" t="s">
        <v>21</v>
      </c>
      <c r="J836" s="5">
        <f t="shared" ref="J836:J899" si="13">-H836*L836</f>
        <v>-12633</v>
      </c>
      <c r="K836" s="4" t="s">
        <v>22</v>
      </c>
      <c r="L836" s="6">
        <v>4.2110000000000003</v>
      </c>
      <c r="M836" s="6">
        <v>0.23749999999999999</v>
      </c>
      <c r="N836" s="6">
        <v>4.2068000000000003</v>
      </c>
      <c r="O836" s="6">
        <v>1</v>
      </c>
      <c r="P836" s="5">
        <v>-12.599999999998545</v>
      </c>
      <c r="Q836" s="4" t="s">
        <v>1390</v>
      </c>
    </row>
    <row r="837" spans="1:17" x14ac:dyDescent="0.3">
      <c r="A837" s="2" t="s">
        <v>1389</v>
      </c>
      <c r="B837" s="3">
        <v>157427</v>
      </c>
      <c r="C837" s="3">
        <v>217961</v>
      </c>
      <c r="D837" s="4" t="s">
        <v>17</v>
      </c>
      <c r="E837" s="4" t="s">
        <v>778</v>
      </c>
      <c r="F837" s="4" t="s">
        <v>32</v>
      </c>
      <c r="G837" s="4" t="s">
        <v>20</v>
      </c>
      <c r="H837" s="5">
        <v>-100000</v>
      </c>
      <c r="I837" s="4" t="s">
        <v>21</v>
      </c>
      <c r="J837" s="5">
        <f t="shared" si="13"/>
        <v>432300.00000000006</v>
      </c>
      <c r="K837" s="4" t="s">
        <v>22</v>
      </c>
      <c r="L837" s="6">
        <v>4.3230000000000004</v>
      </c>
      <c r="M837" s="6">
        <v>0.23130000000000001</v>
      </c>
      <c r="N837" s="6">
        <v>4.2068000000000003</v>
      </c>
      <c r="O837" s="6">
        <v>1</v>
      </c>
      <c r="P837" s="5">
        <v>11520</v>
      </c>
      <c r="Q837" s="4" t="s">
        <v>1390</v>
      </c>
    </row>
    <row r="838" spans="1:17" x14ac:dyDescent="0.3">
      <c r="A838" s="2" t="s">
        <v>1389</v>
      </c>
      <c r="B838" s="3">
        <v>157430</v>
      </c>
      <c r="C838" s="3">
        <v>217964</v>
      </c>
      <c r="D838" s="4" t="s">
        <v>17</v>
      </c>
      <c r="E838" s="4" t="s">
        <v>1042</v>
      </c>
      <c r="F838" s="4" t="s">
        <v>19</v>
      </c>
      <c r="G838" s="4" t="s">
        <v>20</v>
      </c>
      <c r="H838" s="5">
        <v>35930.949999999997</v>
      </c>
      <c r="I838" s="4" t="s">
        <v>21</v>
      </c>
      <c r="J838" s="5">
        <f t="shared" si="13"/>
        <v>-151495.66448500002</v>
      </c>
      <c r="K838" s="4" t="s">
        <v>22</v>
      </c>
      <c r="L838" s="6">
        <v>4.2163000000000004</v>
      </c>
      <c r="M838" s="6">
        <v>0.23719999999999999</v>
      </c>
      <c r="N838" s="6">
        <v>4.2068000000000003</v>
      </c>
      <c r="O838" s="6">
        <v>1</v>
      </c>
      <c r="P838" s="5">
        <v>-341.34402500002761</v>
      </c>
      <c r="Q838" s="4" t="s">
        <v>1390</v>
      </c>
    </row>
    <row r="839" spans="1:17" x14ac:dyDescent="0.3">
      <c r="A839" s="2" t="s">
        <v>1389</v>
      </c>
      <c r="B839" s="3">
        <v>157431</v>
      </c>
      <c r="C839" s="3">
        <v>901394</v>
      </c>
      <c r="D839" s="4" t="s">
        <v>81</v>
      </c>
      <c r="E839" s="4" t="s">
        <v>734</v>
      </c>
      <c r="F839" s="4" t="s">
        <v>83</v>
      </c>
      <c r="G839" s="4" t="s">
        <v>20</v>
      </c>
      <c r="H839" s="5">
        <v>-500000</v>
      </c>
      <c r="I839" s="4" t="s">
        <v>21</v>
      </c>
      <c r="J839" s="5">
        <f t="shared" si="13"/>
        <v>2111600</v>
      </c>
      <c r="K839" s="4" t="s">
        <v>39</v>
      </c>
      <c r="L839" s="6">
        <v>4.2232000000000003</v>
      </c>
      <c r="M839" s="6">
        <v>0.23680000000000001</v>
      </c>
      <c r="N839" s="6">
        <v>4.2230999999999996</v>
      </c>
      <c r="O839" s="6">
        <v>1</v>
      </c>
      <c r="P839" s="5">
        <v>50</v>
      </c>
      <c r="Q839" s="4" t="s">
        <v>1393</v>
      </c>
    </row>
    <row r="840" spans="1:17" x14ac:dyDescent="0.3">
      <c r="A840" s="2" t="s">
        <v>1389</v>
      </c>
      <c r="B840" s="3">
        <v>157432</v>
      </c>
      <c r="C840" s="3">
        <v>217967</v>
      </c>
      <c r="D840" s="4" t="s">
        <v>17</v>
      </c>
      <c r="E840" s="4" t="s">
        <v>1049</v>
      </c>
      <c r="F840" s="4" t="s">
        <v>19</v>
      </c>
      <c r="G840" s="4" t="s">
        <v>20</v>
      </c>
      <c r="H840" s="5">
        <v>50000</v>
      </c>
      <c r="I840" s="4" t="s">
        <v>21</v>
      </c>
      <c r="J840" s="5">
        <f t="shared" si="13"/>
        <v>-207700</v>
      </c>
      <c r="K840" s="4" t="s">
        <v>22</v>
      </c>
      <c r="L840" s="6">
        <v>4.1539999999999999</v>
      </c>
      <c r="M840" s="6">
        <v>0.2407</v>
      </c>
      <c r="N840" s="6">
        <v>4.2068000000000003</v>
      </c>
      <c r="O840" s="6">
        <v>1</v>
      </c>
      <c r="P840" s="5">
        <v>2640.0000000000291</v>
      </c>
      <c r="Q840" s="4" t="s">
        <v>1390</v>
      </c>
    </row>
    <row r="841" spans="1:17" x14ac:dyDescent="0.3">
      <c r="A841" s="2" t="s">
        <v>1389</v>
      </c>
      <c r="B841" s="3">
        <v>157433</v>
      </c>
      <c r="C841" s="3">
        <v>217969</v>
      </c>
      <c r="D841" s="4" t="s">
        <v>17</v>
      </c>
      <c r="E841" s="4" t="s">
        <v>1042</v>
      </c>
      <c r="F841" s="4" t="s">
        <v>19</v>
      </c>
      <c r="G841" s="4" t="s">
        <v>20</v>
      </c>
      <c r="H841" s="5">
        <v>90000</v>
      </c>
      <c r="I841" s="4" t="s">
        <v>21</v>
      </c>
      <c r="J841" s="5">
        <f t="shared" si="13"/>
        <v>-379503.00000000006</v>
      </c>
      <c r="K841" s="4" t="s">
        <v>27</v>
      </c>
      <c r="L841" s="6">
        <v>4.2167000000000003</v>
      </c>
      <c r="M841" s="6">
        <v>0.23719999999999999</v>
      </c>
      <c r="N841" s="6">
        <v>4.2072000000000003</v>
      </c>
      <c r="O841" s="6">
        <v>1</v>
      </c>
      <c r="P841" s="5">
        <v>-855.00000000005821</v>
      </c>
      <c r="Q841" s="4" t="s">
        <v>1390</v>
      </c>
    </row>
    <row r="842" spans="1:17" x14ac:dyDescent="0.3">
      <c r="A842" s="2" t="s">
        <v>1389</v>
      </c>
      <c r="B842" s="3">
        <v>157434</v>
      </c>
      <c r="C842" s="3">
        <v>217971</v>
      </c>
      <c r="D842" s="4" t="s">
        <v>17</v>
      </c>
      <c r="E842" s="4" t="s">
        <v>1042</v>
      </c>
      <c r="F842" s="4" t="s">
        <v>19</v>
      </c>
      <c r="G842" s="4" t="s">
        <v>20</v>
      </c>
      <c r="H842" s="5">
        <v>70000</v>
      </c>
      <c r="I842" s="4" t="s">
        <v>21</v>
      </c>
      <c r="J842" s="5">
        <f t="shared" si="13"/>
        <v>-295162</v>
      </c>
      <c r="K842" s="4" t="s">
        <v>27</v>
      </c>
      <c r="L842" s="6">
        <v>4.2165999999999997</v>
      </c>
      <c r="M842" s="6">
        <v>0.23719999999999999</v>
      </c>
      <c r="N842" s="6">
        <v>4.2072000000000003</v>
      </c>
      <c r="O842" s="6">
        <v>1</v>
      </c>
      <c r="P842" s="5">
        <v>-658</v>
      </c>
      <c r="Q842" s="4" t="s">
        <v>1390</v>
      </c>
    </row>
    <row r="843" spans="1:17" x14ac:dyDescent="0.3">
      <c r="A843" s="2" t="s">
        <v>1389</v>
      </c>
      <c r="B843" s="3">
        <v>157435</v>
      </c>
      <c r="C843" s="3">
        <v>217973</v>
      </c>
      <c r="D843" s="4" t="s">
        <v>17</v>
      </c>
      <c r="E843" s="4" t="s">
        <v>1042</v>
      </c>
      <c r="F843" s="4" t="s">
        <v>19</v>
      </c>
      <c r="G843" s="4" t="s">
        <v>20</v>
      </c>
      <c r="H843" s="5">
        <v>38976</v>
      </c>
      <c r="I843" s="4" t="s">
        <v>21</v>
      </c>
      <c r="J843" s="5">
        <f t="shared" si="13"/>
        <v>-164346.2016</v>
      </c>
      <c r="K843" s="4" t="s">
        <v>55</v>
      </c>
      <c r="L843" s="6">
        <v>4.2165999999999997</v>
      </c>
      <c r="M843" s="6">
        <v>0.23719999999999999</v>
      </c>
      <c r="N843" s="6">
        <v>4.2008999999999999</v>
      </c>
      <c r="O843" s="6">
        <v>1</v>
      </c>
      <c r="P843" s="5">
        <v>-611.92320000001928</v>
      </c>
      <c r="Q843" s="4" t="s">
        <v>1390</v>
      </c>
    </row>
    <row r="844" spans="1:17" x14ac:dyDescent="0.3">
      <c r="A844" s="2" t="s">
        <v>1389</v>
      </c>
      <c r="B844" s="3">
        <v>157436</v>
      </c>
      <c r="C844" s="3">
        <v>217977</v>
      </c>
      <c r="D844" s="4" t="s">
        <v>17</v>
      </c>
      <c r="E844" s="4" t="s">
        <v>1385</v>
      </c>
      <c r="F844" s="4" t="s">
        <v>19</v>
      </c>
      <c r="G844" s="4" t="s">
        <v>20</v>
      </c>
      <c r="H844" s="5">
        <v>50000</v>
      </c>
      <c r="I844" s="4" t="s">
        <v>21</v>
      </c>
      <c r="J844" s="5">
        <f t="shared" si="13"/>
        <v>-210370</v>
      </c>
      <c r="K844" s="4" t="s">
        <v>22</v>
      </c>
      <c r="L844" s="6">
        <v>4.2073999999999998</v>
      </c>
      <c r="M844" s="6">
        <v>0.23769999999999999</v>
      </c>
      <c r="N844" s="6">
        <v>4.2068000000000003</v>
      </c>
      <c r="O844" s="6">
        <v>1</v>
      </c>
      <c r="P844" s="5">
        <v>-29.999999999970896</v>
      </c>
      <c r="Q844" s="4" t="s">
        <v>1390</v>
      </c>
    </row>
    <row r="845" spans="1:17" x14ac:dyDescent="0.3">
      <c r="A845" s="2" t="s">
        <v>1389</v>
      </c>
      <c r="B845" s="3">
        <v>157437</v>
      </c>
      <c r="C845" s="3">
        <v>901432</v>
      </c>
      <c r="D845" s="4" t="s">
        <v>81</v>
      </c>
      <c r="E845" s="4" t="s">
        <v>735</v>
      </c>
      <c r="F845" s="4" t="s">
        <v>83</v>
      </c>
      <c r="G845" s="4" t="s">
        <v>20</v>
      </c>
      <c r="H845" s="5">
        <v>-500000</v>
      </c>
      <c r="I845" s="4" t="s">
        <v>21</v>
      </c>
      <c r="J845" s="5">
        <f t="shared" si="13"/>
        <v>2111700</v>
      </c>
      <c r="K845" s="4" t="s">
        <v>39</v>
      </c>
      <c r="L845" s="6">
        <v>4.2233999999999998</v>
      </c>
      <c r="M845" s="6">
        <v>0.23680000000000001</v>
      </c>
      <c r="N845" s="6">
        <v>4.2230999999999996</v>
      </c>
      <c r="O845" s="6">
        <v>1</v>
      </c>
      <c r="P845" s="5">
        <v>150</v>
      </c>
      <c r="Q845" s="4" t="s">
        <v>1394</v>
      </c>
    </row>
    <row r="846" spans="1:17" x14ac:dyDescent="0.3">
      <c r="A846" s="2" t="s">
        <v>1389</v>
      </c>
      <c r="B846" s="3">
        <v>157438</v>
      </c>
      <c r="C846" s="3">
        <v>217979</v>
      </c>
      <c r="D846" s="4" t="s">
        <v>17</v>
      </c>
      <c r="E846" s="4" t="s">
        <v>1145</v>
      </c>
      <c r="F846" s="4" t="s">
        <v>19</v>
      </c>
      <c r="G846" s="4" t="s">
        <v>20</v>
      </c>
      <c r="H846" s="5">
        <v>20000</v>
      </c>
      <c r="I846" s="4" t="s">
        <v>21</v>
      </c>
      <c r="J846" s="5">
        <f t="shared" si="13"/>
        <v>-84340</v>
      </c>
      <c r="K846" s="4" t="s">
        <v>22</v>
      </c>
      <c r="L846" s="6">
        <v>4.2169999999999996</v>
      </c>
      <c r="M846" s="6">
        <v>0.23710000000000001</v>
      </c>
      <c r="N846" s="6">
        <v>4.2068000000000003</v>
      </c>
      <c r="O846" s="6">
        <v>1</v>
      </c>
      <c r="P846" s="5">
        <v>-204</v>
      </c>
      <c r="Q846" s="4" t="s">
        <v>1390</v>
      </c>
    </row>
    <row r="847" spans="1:17" x14ac:dyDescent="0.3">
      <c r="A847" s="2" t="s">
        <v>1389</v>
      </c>
      <c r="B847" s="3">
        <v>157441</v>
      </c>
      <c r="C847" s="3">
        <v>217983</v>
      </c>
      <c r="D847" s="4" t="s">
        <v>17</v>
      </c>
      <c r="E847" s="4" t="s">
        <v>1082</v>
      </c>
      <c r="F847" s="4" t="s">
        <v>32</v>
      </c>
      <c r="G847" s="4" t="s">
        <v>20</v>
      </c>
      <c r="H847" s="5">
        <v>-10000</v>
      </c>
      <c r="I847" s="4" t="s">
        <v>21</v>
      </c>
      <c r="J847" s="5">
        <f t="shared" si="13"/>
        <v>42368</v>
      </c>
      <c r="K847" s="4" t="s">
        <v>22</v>
      </c>
      <c r="L847" s="6">
        <v>4.2367999999999997</v>
      </c>
      <c r="M847" s="6">
        <v>0.23599999999999999</v>
      </c>
      <c r="N847" s="6">
        <v>4.2068000000000003</v>
      </c>
      <c r="O847" s="6">
        <v>1</v>
      </c>
      <c r="P847" s="5">
        <v>292</v>
      </c>
      <c r="Q847" s="4" t="s">
        <v>1390</v>
      </c>
    </row>
    <row r="848" spans="1:17" x14ac:dyDescent="0.3">
      <c r="A848" s="2" t="s">
        <v>1389</v>
      </c>
      <c r="B848" s="3">
        <v>157444</v>
      </c>
      <c r="C848" s="3">
        <v>901464</v>
      </c>
      <c r="D848" s="4" t="s">
        <v>81</v>
      </c>
      <c r="E848" s="4" t="s">
        <v>736</v>
      </c>
      <c r="F848" s="4" t="s">
        <v>87</v>
      </c>
      <c r="G848" s="4" t="s">
        <v>74</v>
      </c>
      <c r="H848" s="5">
        <v>980000</v>
      </c>
      <c r="I848" s="4" t="s">
        <v>21</v>
      </c>
      <c r="J848" s="5">
        <f t="shared" si="13"/>
        <v>-353192</v>
      </c>
      <c r="K848" s="4" t="s">
        <v>39</v>
      </c>
      <c r="L848" s="6">
        <v>0.3604</v>
      </c>
      <c r="M848" s="6">
        <v>2.7747000000000002</v>
      </c>
      <c r="N848" s="6">
        <v>0.36009999999999998</v>
      </c>
      <c r="O848" s="6">
        <v>1</v>
      </c>
      <c r="P848" s="5">
        <v>-294</v>
      </c>
      <c r="Q848" s="4" t="s">
        <v>1390</v>
      </c>
    </row>
    <row r="849" spans="1:17" x14ac:dyDescent="0.3">
      <c r="A849" s="2" t="s">
        <v>1389</v>
      </c>
      <c r="B849" s="3">
        <v>157445</v>
      </c>
      <c r="C849" s="3">
        <v>901468</v>
      </c>
      <c r="D849" s="4" t="s">
        <v>81</v>
      </c>
      <c r="E849" s="4" t="s">
        <v>742</v>
      </c>
      <c r="F849" s="4" t="s">
        <v>87</v>
      </c>
      <c r="G849" s="4" t="s">
        <v>20</v>
      </c>
      <c r="H849" s="5">
        <v>100000</v>
      </c>
      <c r="I849" s="4" t="s">
        <v>74</v>
      </c>
      <c r="J849" s="5">
        <f t="shared" si="13"/>
        <v>-1171830</v>
      </c>
      <c r="K849" s="4" t="s">
        <v>39</v>
      </c>
      <c r="L849" s="6">
        <v>11.718299999999999</v>
      </c>
      <c r="M849" s="6">
        <v>8.5300000000000001E-2</v>
      </c>
      <c r="N849" s="6">
        <v>4.2230999999999996</v>
      </c>
      <c r="O849" s="6">
        <v>0.36009999999999998</v>
      </c>
      <c r="P849" s="5">
        <v>334.017</v>
      </c>
      <c r="Q849" s="4" t="s">
        <v>1396</v>
      </c>
    </row>
    <row r="850" spans="1:17" x14ac:dyDescent="0.3">
      <c r="A850" s="2" t="s">
        <v>1389</v>
      </c>
      <c r="B850" s="3">
        <v>157446</v>
      </c>
      <c r="C850" s="3">
        <v>217989</v>
      </c>
      <c r="D850" s="4" t="s">
        <v>17</v>
      </c>
      <c r="E850" s="4" t="s">
        <v>1150</v>
      </c>
      <c r="F850" s="4" t="s">
        <v>32</v>
      </c>
      <c r="G850" s="4" t="s">
        <v>20</v>
      </c>
      <c r="H850" s="5">
        <v>-45750</v>
      </c>
      <c r="I850" s="4" t="s">
        <v>91</v>
      </c>
      <c r="J850" s="5">
        <f t="shared" si="13"/>
        <v>39711</v>
      </c>
      <c r="K850" s="4" t="s">
        <v>22</v>
      </c>
      <c r="L850" s="6">
        <v>0.86799999999999999</v>
      </c>
      <c r="M850" s="6">
        <v>1.1520999999999999</v>
      </c>
      <c r="N850" s="6">
        <v>4.2068000000000003</v>
      </c>
      <c r="O850" s="6">
        <v>4.8579999999999997</v>
      </c>
      <c r="P850" s="5">
        <v>454.93799999999999</v>
      </c>
      <c r="Q850" s="4" t="s">
        <v>1391</v>
      </c>
    </row>
    <row r="851" spans="1:17" x14ac:dyDescent="0.3">
      <c r="A851" s="2" t="s">
        <v>1389</v>
      </c>
      <c r="B851" s="3">
        <v>157449</v>
      </c>
      <c r="C851" s="3">
        <v>217994</v>
      </c>
      <c r="D851" s="4" t="s">
        <v>17</v>
      </c>
      <c r="E851" s="4" t="s">
        <v>798</v>
      </c>
      <c r="F851" s="4" t="s">
        <v>19</v>
      </c>
      <c r="G851" s="4" t="s">
        <v>20</v>
      </c>
      <c r="H851" s="5">
        <v>6100</v>
      </c>
      <c r="I851" s="4" t="s">
        <v>21</v>
      </c>
      <c r="J851" s="5">
        <f t="shared" si="13"/>
        <v>-25534.6</v>
      </c>
      <c r="K851" s="4" t="s">
        <v>22</v>
      </c>
      <c r="L851" s="6">
        <v>4.1859999999999999</v>
      </c>
      <c r="M851" s="6">
        <v>0.2389</v>
      </c>
      <c r="N851" s="6">
        <v>4.2068000000000003</v>
      </c>
      <c r="O851" s="6">
        <v>1</v>
      </c>
      <c r="P851" s="5">
        <v>126.88000000000466</v>
      </c>
      <c r="Q851" s="4" t="s">
        <v>1390</v>
      </c>
    </row>
    <row r="852" spans="1:17" x14ac:dyDescent="0.3">
      <c r="A852" s="2" t="s">
        <v>1389</v>
      </c>
      <c r="B852" s="3">
        <v>157450</v>
      </c>
      <c r="C852" s="3">
        <v>217995</v>
      </c>
      <c r="D852" s="4" t="s">
        <v>17</v>
      </c>
      <c r="E852" s="4" t="s">
        <v>784</v>
      </c>
      <c r="F852" s="4" t="s">
        <v>19</v>
      </c>
      <c r="G852" s="4" t="s">
        <v>20</v>
      </c>
      <c r="H852" s="5">
        <v>1000</v>
      </c>
      <c r="I852" s="4" t="s">
        <v>21</v>
      </c>
      <c r="J852" s="5">
        <f t="shared" si="13"/>
        <v>-4212.9000000000005</v>
      </c>
      <c r="K852" s="4" t="s">
        <v>22</v>
      </c>
      <c r="L852" s="6">
        <v>4.2129000000000003</v>
      </c>
      <c r="M852" s="6">
        <v>0.2374</v>
      </c>
      <c r="N852" s="6">
        <v>4.2068000000000003</v>
      </c>
      <c r="O852" s="6">
        <v>1</v>
      </c>
      <c r="P852" s="5">
        <v>-6.1000000000003638</v>
      </c>
      <c r="Q852" s="4" t="s">
        <v>1390</v>
      </c>
    </row>
    <row r="853" spans="1:17" x14ac:dyDescent="0.3">
      <c r="A853" s="2" t="s">
        <v>1389</v>
      </c>
      <c r="B853" s="3">
        <v>157451</v>
      </c>
      <c r="C853" s="3">
        <v>217997</v>
      </c>
      <c r="D853" s="4" t="s">
        <v>17</v>
      </c>
      <c r="E853" s="4" t="s">
        <v>864</v>
      </c>
      <c r="F853" s="4" t="s">
        <v>32</v>
      </c>
      <c r="G853" s="4" t="s">
        <v>20</v>
      </c>
      <c r="H853" s="5">
        <v>-16000</v>
      </c>
      <c r="I853" s="4" t="s">
        <v>21</v>
      </c>
      <c r="J853" s="5">
        <f t="shared" si="13"/>
        <v>67744</v>
      </c>
      <c r="K853" s="4" t="s">
        <v>22</v>
      </c>
      <c r="L853" s="6">
        <v>4.234</v>
      </c>
      <c r="M853" s="6">
        <v>0.23619999999999999</v>
      </c>
      <c r="N853" s="6">
        <v>4.2068000000000003</v>
      </c>
      <c r="O853" s="6">
        <v>1</v>
      </c>
      <c r="P853" s="5">
        <v>435.2</v>
      </c>
      <c r="Q853" s="4" t="s">
        <v>1390</v>
      </c>
    </row>
    <row r="854" spans="1:17" x14ac:dyDescent="0.3">
      <c r="A854" s="2" t="s">
        <v>1389</v>
      </c>
      <c r="B854" s="3">
        <v>157453</v>
      </c>
      <c r="C854" s="3">
        <v>901555</v>
      </c>
      <c r="D854" s="4" t="s">
        <v>81</v>
      </c>
      <c r="E854" s="4" t="s">
        <v>725</v>
      </c>
      <c r="F854" s="4" t="s">
        <v>83</v>
      </c>
      <c r="G854" s="4" t="s">
        <v>20</v>
      </c>
      <c r="H854" s="5">
        <v>-1000000</v>
      </c>
      <c r="I854" s="4" t="s">
        <v>21</v>
      </c>
      <c r="J854" s="5">
        <f t="shared" si="13"/>
        <v>4223100</v>
      </c>
      <c r="K854" s="4" t="s">
        <v>39</v>
      </c>
      <c r="L854" s="6">
        <v>4.2230999999999996</v>
      </c>
      <c r="M854" s="6">
        <v>0.23680000000000001</v>
      </c>
      <c r="N854" s="6">
        <v>4.2230999999999996</v>
      </c>
      <c r="O854" s="6">
        <v>1</v>
      </c>
      <c r="P854" s="5">
        <v>0</v>
      </c>
      <c r="Q854" s="4" t="s">
        <v>1392</v>
      </c>
    </row>
    <row r="855" spans="1:17" x14ac:dyDescent="0.3">
      <c r="A855" s="2" t="s">
        <v>1389</v>
      </c>
      <c r="B855" s="3">
        <v>157454</v>
      </c>
      <c r="C855" s="3">
        <v>901558</v>
      </c>
      <c r="D855" s="4" t="s">
        <v>81</v>
      </c>
      <c r="E855" s="4" t="s">
        <v>730</v>
      </c>
      <c r="F855" s="4" t="s">
        <v>83</v>
      </c>
      <c r="G855" s="4" t="s">
        <v>20</v>
      </c>
      <c r="H855" s="5">
        <v>-300000</v>
      </c>
      <c r="I855" s="4" t="s">
        <v>21</v>
      </c>
      <c r="J855" s="5">
        <f t="shared" si="13"/>
        <v>1266900</v>
      </c>
      <c r="K855" s="4" t="s">
        <v>39</v>
      </c>
      <c r="L855" s="6">
        <v>4.2229999999999999</v>
      </c>
      <c r="M855" s="6">
        <v>0.23680000000000001</v>
      </c>
      <c r="N855" s="6">
        <v>4.2230999999999996</v>
      </c>
      <c r="O855" s="6">
        <v>1</v>
      </c>
      <c r="P855" s="5">
        <v>-30</v>
      </c>
      <c r="Q855" s="4" t="s">
        <v>1396</v>
      </c>
    </row>
    <row r="856" spans="1:17" x14ac:dyDescent="0.3">
      <c r="A856" s="2" t="s">
        <v>1389</v>
      </c>
      <c r="B856" s="3">
        <v>157455</v>
      </c>
      <c r="C856" s="3">
        <v>901587</v>
      </c>
      <c r="D856" s="4" t="s">
        <v>81</v>
      </c>
      <c r="E856" s="4" t="s">
        <v>734</v>
      </c>
      <c r="F856" s="4" t="s">
        <v>87</v>
      </c>
      <c r="G856" s="4" t="s">
        <v>20</v>
      </c>
      <c r="H856" s="5">
        <v>100000</v>
      </c>
      <c r="I856" s="4" t="s">
        <v>91</v>
      </c>
      <c r="J856" s="5">
        <f t="shared" si="13"/>
        <v>-86670</v>
      </c>
      <c r="K856" s="4" t="s">
        <v>39</v>
      </c>
      <c r="L856" s="6">
        <v>0.86670000000000003</v>
      </c>
      <c r="M856" s="6">
        <v>1.1537999999999999</v>
      </c>
      <c r="N856" s="6">
        <v>4.2230999999999996</v>
      </c>
      <c r="O856" s="6">
        <v>4.8704000000000001</v>
      </c>
      <c r="P856" s="5">
        <v>187.5616</v>
      </c>
      <c r="Q856" s="4" t="s">
        <v>1393</v>
      </c>
    </row>
    <row r="857" spans="1:17" x14ac:dyDescent="0.3">
      <c r="A857" s="2" t="s">
        <v>1389</v>
      </c>
      <c r="B857" s="3">
        <v>157456</v>
      </c>
      <c r="C857" s="3">
        <v>218004</v>
      </c>
      <c r="D857" s="4" t="s">
        <v>17</v>
      </c>
      <c r="E857" s="4" t="s">
        <v>904</v>
      </c>
      <c r="F857" s="4" t="s">
        <v>19</v>
      </c>
      <c r="G857" s="4" t="s">
        <v>20</v>
      </c>
      <c r="H857" s="5">
        <v>100000</v>
      </c>
      <c r="I857" s="4" t="s">
        <v>34</v>
      </c>
      <c r="J857" s="5">
        <f t="shared" si="13"/>
        <v>-115999.99999999999</v>
      </c>
      <c r="K857" s="4" t="s">
        <v>22</v>
      </c>
      <c r="L857" s="6">
        <v>1.1599999999999999</v>
      </c>
      <c r="M857" s="6">
        <v>0.86209999999999998</v>
      </c>
      <c r="N857" s="6">
        <v>4.2068000000000003</v>
      </c>
      <c r="O857" s="6">
        <v>3.6153</v>
      </c>
      <c r="P857" s="5">
        <v>1305.2000000001281</v>
      </c>
      <c r="Q857" s="4" t="s">
        <v>1390</v>
      </c>
    </row>
    <row r="858" spans="1:17" x14ac:dyDescent="0.3">
      <c r="A858" s="2" t="s">
        <v>1389</v>
      </c>
      <c r="B858" s="3">
        <v>157457</v>
      </c>
      <c r="C858" s="3">
        <v>901607</v>
      </c>
      <c r="D858" s="4" t="s">
        <v>81</v>
      </c>
      <c r="E858" s="4" t="s">
        <v>742</v>
      </c>
      <c r="F858" s="4" t="s">
        <v>87</v>
      </c>
      <c r="G858" s="4" t="s">
        <v>20</v>
      </c>
      <c r="H858" s="5">
        <v>100000</v>
      </c>
      <c r="I858" s="4" t="s">
        <v>74</v>
      </c>
      <c r="J858" s="5">
        <f t="shared" si="13"/>
        <v>-1171900</v>
      </c>
      <c r="K858" s="4" t="s">
        <v>39</v>
      </c>
      <c r="L858" s="6">
        <v>11.718999999999999</v>
      </c>
      <c r="M858" s="6">
        <v>8.5300000000000001E-2</v>
      </c>
      <c r="N858" s="6">
        <v>4.2230999999999996</v>
      </c>
      <c r="O858" s="6">
        <v>0.36009999999999998</v>
      </c>
      <c r="P858" s="5">
        <v>308.81</v>
      </c>
      <c r="Q858" s="4" t="s">
        <v>1396</v>
      </c>
    </row>
    <row r="859" spans="1:17" x14ac:dyDescent="0.3">
      <c r="A859" s="2" t="s">
        <v>1389</v>
      </c>
      <c r="B859" s="3">
        <v>157458</v>
      </c>
      <c r="C859" s="3">
        <v>901610</v>
      </c>
      <c r="D859" s="4" t="s">
        <v>81</v>
      </c>
      <c r="E859" s="4" t="s">
        <v>1210</v>
      </c>
      <c r="F859" s="4" t="s">
        <v>87</v>
      </c>
      <c r="G859" s="4" t="s">
        <v>20</v>
      </c>
      <c r="H859" s="5">
        <v>16251.66</v>
      </c>
      <c r="I859" s="4" t="s">
        <v>21</v>
      </c>
      <c r="J859" s="5">
        <f t="shared" si="13"/>
        <v>-68503.997232000009</v>
      </c>
      <c r="K859" s="4" t="s">
        <v>39</v>
      </c>
      <c r="L859" s="6">
        <v>4.2152000000000003</v>
      </c>
      <c r="M859" s="6">
        <v>0.23719999999999999</v>
      </c>
      <c r="N859" s="6">
        <v>4.2230999999999996</v>
      </c>
      <c r="O859" s="6">
        <v>1</v>
      </c>
      <c r="P859" s="5">
        <v>128.385346</v>
      </c>
      <c r="Q859" s="4" t="s">
        <v>1390</v>
      </c>
    </row>
    <row r="860" spans="1:17" x14ac:dyDescent="0.3">
      <c r="A860" s="2" t="s">
        <v>1389</v>
      </c>
      <c r="B860" s="3">
        <v>157459</v>
      </c>
      <c r="C860" s="3">
        <v>901611</v>
      </c>
      <c r="D860" s="4" t="s">
        <v>81</v>
      </c>
      <c r="E860" s="4" t="s">
        <v>735</v>
      </c>
      <c r="F860" s="4" t="s">
        <v>83</v>
      </c>
      <c r="G860" s="4" t="s">
        <v>20</v>
      </c>
      <c r="H860" s="5">
        <v>-100000</v>
      </c>
      <c r="I860" s="4" t="s">
        <v>34</v>
      </c>
      <c r="J860" s="5">
        <f t="shared" si="13"/>
        <v>116130</v>
      </c>
      <c r="K860" s="4" t="s">
        <v>39</v>
      </c>
      <c r="L860" s="6">
        <v>1.1613</v>
      </c>
      <c r="M860" s="6">
        <v>0.86109999999999998</v>
      </c>
      <c r="N860" s="6">
        <v>4.2230999999999996</v>
      </c>
      <c r="O860" s="6">
        <v>3.6345999999999998</v>
      </c>
      <c r="P860" s="5">
        <v>-227.53659999999999</v>
      </c>
      <c r="Q860" s="4" t="s">
        <v>1394</v>
      </c>
    </row>
    <row r="861" spans="1:17" x14ac:dyDescent="0.3">
      <c r="A861" s="2" t="s">
        <v>1389</v>
      </c>
      <c r="B861" s="3">
        <v>157461</v>
      </c>
      <c r="C861" s="3">
        <v>901622</v>
      </c>
      <c r="D861" s="4" t="s">
        <v>81</v>
      </c>
      <c r="E861" s="4" t="s">
        <v>735</v>
      </c>
      <c r="F861" s="4" t="s">
        <v>83</v>
      </c>
      <c r="G861" s="4" t="s">
        <v>34</v>
      </c>
      <c r="H861" s="5">
        <v>-500000</v>
      </c>
      <c r="I861" s="4" t="s">
        <v>21</v>
      </c>
      <c r="J861" s="5">
        <f t="shared" si="13"/>
        <v>1818000</v>
      </c>
      <c r="K861" s="4" t="s">
        <v>39</v>
      </c>
      <c r="L861" s="6">
        <v>3.6360000000000001</v>
      </c>
      <c r="M861" s="6">
        <v>0.27500000000000002</v>
      </c>
      <c r="N861" s="6">
        <v>3.6345999999999998</v>
      </c>
      <c r="O861" s="6">
        <v>1</v>
      </c>
      <c r="P861" s="5">
        <v>700</v>
      </c>
      <c r="Q861" s="4" t="s">
        <v>1394</v>
      </c>
    </row>
    <row r="862" spans="1:17" x14ac:dyDescent="0.3">
      <c r="A862" s="2" t="s">
        <v>1389</v>
      </c>
      <c r="B862" s="3">
        <v>157462</v>
      </c>
      <c r="C862" s="3">
        <v>218007</v>
      </c>
      <c r="D862" s="4" t="s">
        <v>17</v>
      </c>
      <c r="E862" s="4" t="s">
        <v>1354</v>
      </c>
      <c r="F862" s="4" t="s">
        <v>19</v>
      </c>
      <c r="G862" s="4" t="s">
        <v>34</v>
      </c>
      <c r="H862" s="5">
        <v>400000</v>
      </c>
      <c r="I862" s="4" t="s">
        <v>21</v>
      </c>
      <c r="J862" s="5">
        <f t="shared" si="13"/>
        <v>-1451280</v>
      </c>
      <c r="K862" s="4" t="s">
        <v>22</v>
      </c>
      <c r="L862" s="6">
        <v>3.6282000000000001</v>
      </c>
      <c r="M862" s="6">
        <v>0.27560000000000001</v>
      </c>
      <c r="N862" s="6">
        <v>3.6153</v>
      </c>
      <c r="O862" s="6">
        <v>1</v>
      </c>
      <c r="P862" s="5">
        <v>-5160</v>
      </c>
      <c r="Q862" s="4" t="s">
        <v>1390</v>
      </c>
    </row>
    <row r="863" spans="1:17" x14ac:dyDescent="0.3">
      <c r="A863" s="2" t="s">
        <v>1389</v>
      </c>
      <c r="B863" s="3">
        <v>157464</v>
      </c>
      <c r="C863" s="3">
        <v>901636</v>
      </c>
      <c r="D863" s="4" t="s">
        <v>81</v>
      </c>
      <c r="E863" s="4" t="s">
        <v>734</v>
      </c>
      <c r="F863" s="4" t="s">
        <v>83</v>
      </c>
      <c r="G863" s="4" t="s">
        <v>20</v>
      </c>
      <c r="H863" s="5">
        <v>-500000</v>
      </c>
      <c r="I863" s="4" t="s">
        <v>21</v>
      </c>
      <c r="J863" s="5">
        <f t="shared" si="13"/>
        <v>2112500</v>
      </c>
      <c r="K863" s="4" t="s">
        <v>39</v>
      </c>
      <c r="L863" s="6">
        <v>4.2249999999999996</v>
      </c>
      <c r="M863" s="6">
        <v>0.23669999999999999</v>
      </c>
      <c r="N863" s="6">
        <v>4.2230999999999996</v>
      </c>
      <c r="O863" s="6">
        <v>1</v>
      </c>
      <c r="P863" s="5">
        <v>950</v>
      </c>
      <c r="Q863" s="4" t="s">
        <v>1393</v>
      </c>
    </row>
    <row r="864" spans="1:17" x14ac:dyDescent="0.3">
      <c r="A864" s="2" t="s">
        <v>1389</v>
      </c>
      <c r="B864" s="3">
        <v>157465</v>
      </c>
      <c r="C864" s="3">
        <v>218010</v>
      </c>
      <c r="D864" s="4" t="s">
        <v>17</v>
      </c>
      <c r="E864" s="4" t="s">
        <v>1063</v>
      </c>
      <c r="F864" s="4" t="s">
        <v>32</v>
      </c>
      <c r="G864" s="4" t="s">
        <v>34</v>
      </c>
      <c r="H864" s="5">
        <v>-4000</v>
      </c>
      <c r="I864" s="4" t="s">
        <v>21</v>
      </c>
      <c r="J864" s="5">
        <f t="shared" si="13"/>
        <v>14572.4</v>
      </c>
      <c r="K864" s="4" t="s">
        <v>22</v>
      </c>
      <c r="L864" s="6">
        <v>3.6431</v>
      </c>
      <c r="M864" s="6">
        <v>0.27450000000000002</v>
      </c>
      <c r="N864" s="6">
        <v>3.6153</v>
      </c>
      <c r="O864" s="6">
        <v>1</v>
      </c>
      <c r="P864" s="5">
        <v>110.8</v>
      </c>
      <c r="Q864" s="4" t="s">
        <v>1390</v>
      </c>
    </row>
    <row r="865" spans="1:17" x14ac:dyDescent="0.3">
      <c r="A865" s="2" t="s">
        <v>1389</v>
      </c>
      <c r="B865" s="3">
        <v>157466</v>
      </c>
      <c r="C865" s="3">
        <v>218012</v>
      </c>
      <c r="D865" s="4" t="s">
        <v>17</v>
      </c>
      <c r="E865" s="4" t="s">
        <v>1167</v>
      </c>
      <c r="F865" s="4" t="s">
        <v>19</v>
      </c>
      <c r="G865" s="4" t="s">
        <v>20</v>
      </c>
      <c r="H865" s="5">
        <v>3015</v>
      </c>
      <c r="I865" s="4" t="s">
        <v>21</v>
      </c>
      <c r="J865" s="5">
        <f t="shared" si="13"/>
        <v>-12699.179999999998</v>
      </c>
      <c r="K865" s="4" t="s">
        <v>22</v>
      </c>
      <c r="L865" s="6">
        <v>4.2119999999999997</v>
      </c>
      <c r="M865" s="6">
        <v>0.2374</v>
      </c>
      <c r="N865" s="6">
        <v>4.2068000000000003</v>
      </c>
      <c r="O865" s="6">
        <v>1</v>
      </c>
      <c r="P865" s="5">
        <v>-15.677999999998065</v>
      </c>
      <c r="Q865" s="4" t="s">
        <v>1390</v>
      </c>
    </row>
    <row r="866" spans="1:17" x14ac:dyDescent="0.3">
      <c r="A866" s="2" t="s">
        <v>1389</v>
      </c>
      <c r="B866" s="3">
        <v>157467</v>
      </c>
      <c r="C866" s="3">
        <v>218013</v>
      </c>
      <c r="D866" s="4" t="s">
        <v>17</v>
      </c>
      <c r="E866" s="4" t="s">
        <v>1146</v>
      </c>
      <c r="F866" s="4" t="s">
        <v>19</v>
      </c>
      <c r="G866" s="4" t="s">
        <v>20</v>
      </c>
      <c r="H866" s="5">
        <v>60000</v>
      </c>
      <c r="I866" s="4" t="s">
        <v>21</v>
      </c>
      <c r="J866" s="5">
        <f t="shared" si="13"/>
        <v>-253080</v>
      </c>
      <c r="K866" s="4" t="s">
        <v>22</v>
      </c>
      <c r="L866" s="6">
        <v>4.218</v>
      </c>
      <c r="M866" s="6">
        <v>0.23710000000000001</v>
      </c>
      <c r="N866" s="6">
        <v>4.2068000000000003</v>
      </c>
      <c r="O866" s="6">
        <v>1</v>
      </c>
      <c r="P866" s="5">
        <v>-671.9999999999709</v>
      </c>
      <c r="Q866" s="4" t="s">
        <v>1390</v>
      </c>
    </row>
    <row r="867" spans="1:17" x14ac:dyDescent="0.3">
      <c r="A867" s="2" t="s">
        <v>1389</v>
      </c>
      <c r="B867" s="3">
        <v>157469</v>
      </c>
      <c r="C867" s="3">
        <v>901663</v>
      </c>
      <c r="D867" s="4" t="s">
        <v>81</v>
      </c>
      <c r="E867" s="4" t="s">
        <v>742</v>
      </c>
      <c r="F867" s="4" t="s">
        <v>83</v>
      </c>
      <c r="G867" s="4" t="s">
        <v>20</v>
      </c>
      <c r="H867" s="5">
        <v>-1000000</v>
      </c>
      <c r="I867" s="4" t="s">
        <v>21</v>
      </c>
      <c r="J867" s="5">
        <f t="shared" si="13"/>
        <v>4224200</v>
      </c>
      <c r="K867" s="4" t="s">
        <v>39</v>
      </c>
      <c r="L867" s="6">
        <v>4.2241999999999997</v>
      </c>
      <c r="M867" s="6">
        <v>0.23669999999999999</v>
      </c>
      <c r="N867" s="6">
        <v>4.2230999999999996</v>
      </c>
      <c r="O867" s="6">
        <v>1</v>
      </c>
      <c r="P867" s="5">
        <v>1100</v>
      </c>
      <c r="Q867" s="4" t="s">
        <v>1396</v>
      </c>
    </row>
    <row r="868" spans="1:17" x14ac:dyDescent="0.3">
      <c r="A868" s="2" t="s">
        <v>1389</v>
      </c>
      <c r="B868" s="3">
        <v>157470</v>
      </c>
      <c r="C868" s="3">
        <v>901664</v>
      </c>
      <c r="D868" s="4" t="s">
        <v>81</v>
      </c>
      <c r="E868" s="4" t="s">
        <v>742</v>
      </c>
      <c r="F868" s="4" t="s">
        <v>83</v>
      </c>
      <c r="G868" s="4" t="s">
        <v>20</v>
      </c>
      <c r="H868" s="5">
        <v>-1000000</v>
      </c>
      <c r="I868" s="4" t="s">
        <v>21</v>
      </c>
      <c r="J868" s="5">
        <f t="shared" si="13"/>
        <v>4224100</v>
      </c>
      <c r="K868" s="4" t="s">
        <v>39</v>
      </c>
      <c r="L868" s="6">
        <v>4.2241</v>
      </c>
      <c r="M868" s="6">
        <v>0.23669999999999999</v>
      </c>
      <c r="N868" s="6">
        <v>4.2230999999999996</v>
      </c>
      <c r="O868" s="6">
        <v>1</v>
      </c>
      <c r="P868" s="5">
        <v>1000</v>
      </c>
      <c r="Q868" s="4" t="s">
        <v>1396</v>
      </c>
    </row>
    <row r="869" spans="1:17" x14ac:dyDescent="0.3">
      <c r="A869" s="2" t="s">
        <v>1389</v>
      </c>
      <c r="B869" s="3">
        <v>157471</v>
      </c>
      <c r="C869" s="3">
        <v>901665</v>
      </c>
      <c r="D869" s="4" t="s">
        <v>81</v>
      </c>
      <c r="E869" s="4" t="s">
        <v>734</v>
      </c>
      <c r="F869" s="4" t="s">
        <v>83</v>
      </c>
      <c r="G869" s="4" t="s">
        <v>20</v>
      </c>
      <c r="H869" s="5">
        <v>-1000000</v>
      </c>
      <c r="I869" s="4" t="s">
        <v>21</v>
      </c>
      <c r="J869" s="5">
        <f t="shared" si="13"/>
        <v>4224100</v>
      </c>
      <c r="K869" s="4" t="s">
        <v>39</v>
      </c>
      <c r="L869" s="6">
        <v>4.2241</v>
      </c>
      <c r="M869" s="6">
        <v>0.23669999999999999</v>
      </c>
      <c r="N869" s="6">
        <v>4.2230999999999996</v>
      </c>
      <c r="O869" s="6">
        <v>1</v>
      </c>
      <c r="P869" s="5">
        <v>1000</v>
      </c>
      <c r="Q869" s="4" t="s">
        <v>1393</v>
      </c>
    </row>
    <row r="870" spans="1:17" x14ac:dyDescent="0.3">
      <c r="A870" s="2" t="s">
        <v>1389</v>
      </c>
      <c r="B870" s="3">
        <v>157472</v>
      </c>
      <c r="C870" s="3">
        <v>901669</v>
      </c>
      <c r="D870" s="4" t="s">
        <v>81</v>
      </c>
      <c r="E870" s="4" t="s">
        <v>742</v>
      </c>
      <c r="F870" s="4" t="s">
        <v>83</v>
      </c>
      <c r="G870" s="4" t="s">
        <v>20</v>
      </c>
      <c r="H870" s="5">
        <v>-500000</v>
      </c>
      <c r="I870" s="4" t="s">
        <v>21</v>
      </c>
      <c r="J870" s="5">
        <f t="shared" si="13"/>
        <v>2112050</v>
      </c>
      <c r="K870" s="4" t="s">
        <v>39</v>
      </c>
      <c r="L870" s="6">
        <v>4.2241</v>
      </c>
      <c r="M870" s="6">
        <v>0.23669999999999999</v>
      </c>
      <c r="N870" s="6">
        <v>4.2230999999999996</v>
      </c>
      <c r="O870" s="6">
        <v>1</v>
      </c>
      <c r="P870" s="5">
        <v>525</v>
      </c>
      <c r="Q870" s="4" t="s">
        <v>1396</v>
      </c>
    </row>
    <row r="871" spans="1:17" x14ac:dyDescent="0.3">
      <c r="A871" s="2" t="s">
        <v>1389</v>
      </c>
      <c r="B871" s="3">
        <v>157474</v>
      </c>
      <c r="C871" s="3">
        <v>218021</v>
      </c>
      <c r="D871" s="4" t="s">
        <v>17</v>
      </c>
      <c r="E871" s="4" t="s">
        <v>1095</v>
      </c>
      <c r="F871" s="4" t="s">
        <v>19</v>
      </c>
      <c r="G871" s="4" t="s">
        <v>20</v>
      </c>
      <c r="H871" s="5">
        <v>100000</v>
      </c>
      <c r="I871" s="4" t="s">
        <v>21</v>
      </c>
      <c r="J871" s="5">
        <f t="shared" si="13"/>
        <v>-422020</v>
      </c>
      <c r="K871" s="4" t="s">
        <v>49</v>
      </c>
      <c r="L871" s="6">
        <v>4.2202000000000002</v>
      </c>
      <c r="M871" s="6">
        <v>0.23699999999999999</v>
      </c>
      <c r="N871" s="6">
        <v>4.2191999999999998</v>
      </c>
      <c r="O871" s="6">
        <v>1</v>
      </c>
      <c r="P871" s="5">
        <v>-100</v>
      </c>
      <c r="Q871" s="4" t="s">
        <v>1390</v>
      </c>
    </row>
    <row r="872" spans="1:17" x14ac:dyDescent="0.3">
      <c r="A872" s="2" t="s">
        <v>1389</v>
      </c>
      <c r="B872" s="3">
        <v>157475</v>
      </c>
      <c r="C872" s="3">
        <v>901679</v>
      </c>
      <c r="D872" s="4" t="s">
        <v>81</v>
      </c>
      <c r="E872" s="4" t="s">
        <v>735</v>
      </c>
      <c r="F872" s="4" t="s">
        <v>83</v>
      </c>
      <c r="G872" s="4" t="s">
        <v>20</v>
      </c>
      <c r="H872" s="5">
        <v>-100000</v>
      </c>
      <c r="I872" s="4" t="s">
        <v>34</v>
      </c>
      <c r="J872" s="5">
        <f t="shared" si="13"/>
        <v>116209.99999999999</v>
      </c>
      <c r="K872" s="4" t="s">
        <v>39</v>
      </c>
      <c r="L872" s="6">
        <v>1.1620999999999999</v>
      </c>
      <c r="M872" s="6">
        <v>0.86050000000000004</v>
      </c>
      <c r="N872" s="6">
        <v>4.2230999999999996</v>
      </c>
      <c r="O872" s="6">
        <v>3.6345999999999998</v>
      </c>
      <c r="P872" s="5">
        <v>77.769800000000004</v>
      </c>
      <c r="Q872" s="4" t="s">
        <v>1394</v>
      </c>
    </row>
    <row r="873" spans="1:17" x14ac:dyDescent="0.3">
      <c r="A873" s="2" t="s">
        <v>1389</v>
      </c>
      <c r="B873" s="3">
        <v>157480</v>
      </c>
      <c r="C873" s="3">
        <v>218026</v>
      </c>
      <c r="D873" s="4" t="s">
        <v>17</v>
      </c>
      <c r="E873" s="4" t="s">
        <v>1042</v>
      </c>
      <c r="F873" s="4" t="s">
        <v>19</v>
      </c>
      <c r="G873" s="4" t="s">
        <v>20</v>
      </c>
      <c r="H873" s="5">
        <v>91893.9</v>
      </c>
      <c r="I873" s="4" t="s">
        <v>21</v>
      </c>
      <c r="J873" s="5">
        <f t="shared" si="13"/>
        <v>-387415.49301000003</v>
      </c>
      <c r="K873" s="4" t="s">
        <v>22</v>
      </c>
      <c r="L873" s="6">
        <v>4.2159000000000004</v>
      </c>
      <c r="M873" s="6">
        <v>0.23719999999999999</v>
      </c>
      <c r="N873" s="6">
        <v>4.2068000000000003</v>
      </c>
      <c r="O873" s="6">
        <v>1</v>
      </c>
      <c r="P873" s="5">
        <v>-836.23449000000255</v>
      </c>
      <c r="Q873" s="4" t="s">
        <v>1390</v>
      </c>
    </row>
    <row r="874" spans="1:17" x14ac:dyDescent="0.3">
      <c r="A874" s="2" t="s">
        <v>1389</v>
      </c>
      <c r="B874" s="3">
        <v>157481</v>
      </c>
      <c r="C874" s="3">
        <v>218029</v>
      </c>
      <c r="D874" s="4" t="s">
        <v>17</v>
      </c>
      <c r="E874" s="4" t="s">
        <v>1124</v>
      </c>
      <c r="F874" s="4" t="s">
        <v>19</v>
      </c>
      <c r="G874" s="4" t="s">
        <v>20</v>
      </c>
      <c r="H874" s="5">
        <v>5000</v>
      </c>
      <c r="I874" s="4" t="s">
        <v>21</v>
      </c>
      <c r="J874" s="5">
        <f t="shared" si="13"/>
        <v>-21025</v>
      </c>
      <c r="K874" s="4" t="s">
        <v>22</v>
      </c>
      <c r="L874" s="6">
        <v>4.2050000000000001</v>
      </c>
      <c r="M874" s="6">
        <v>0.23780000000000001</v>
      </c>
      <c r="N874" s="6">
        <v>4.2068000000000003</v>
      </c>
      <c r="O874" s="6">
        <v>1</v>
      </c>
      <c r="P874" s="5">
        <v>9</v>
      </c>
      <c r="Q874" s="4" t="s">
        <v>1390</v>
      </c>
    </row>
    <row r="875" spans="1:17" x14ac:dyDescent="0.3">
      <c r="A875" s="2" t="s">
        <v>1389</v>
      </c>
      <c r="B875" s="3">
        <v>157482</v>
      </c>
      <c r="C875" s="3">
        <v>218031</v>
      </c>
      <c r="D875" s="4" t="s">
        <v>17</v>
      </c>
      <c r="E875" s="4" t="s">
        <v>735</v>
      </c>
      <c r="F875" s="4" t="s">
        <v>19</v>
      </c>
      <c r="G875" s="4" t="s">
        <v>20</v>
      </c>
      <c r="H875" s="5">
        <v>3000</v>
      </c>
      <c r="I875" s="4" t="s">
        <v>21</v>
      </c>
      <c r="J875" s="5">
        <f t="shared" si="13"/>
        <v>-12669.6</v>
      </c>
      <c r="K875" s="4" t="s">
        <v>49</v>
      </c>
      <c r="L875" s="6">
        <v>4.2232000000000003</v>
      </c>
      <c r="M875" s="6">
        <v>0.23680000000000001</v>
      </c>
      <c r="N875" s="6">
        <v>4.2191999999999998</v>
      </c>
      <c r="O875" s="6">
        <v>1</v>
      </c>
      <c r="P875" s="5">
        <v>-12</v>
      </c>
      <c r="Q875" s="4" t="s">
        <v>1394</v>
      </c>
    </row>
    <row r="876" spans="1:17" x14ac:dyDescent="0.3">
      <c r="A876" s="2" t="s">
        <v>1389</v>
      </c>
      <c r="B876" s="3">
        <v>157483</v>
      </c>
      <c r="C876" s="3">
        <v>218032</v>
      </c>
      <c r="D876" s="4" t="s">
        <v>17</v>
      </c>
      <c r="E876" s="4" t="s">
        <v>758</v>
      </c>
      <c r="F876" s="4" t="s">
        <v>32</v>
      </c>
      <c r="G876" s="4" t="s">
        <v>20</v>
      </c>
      <c r="H876" s="5">
        <v>-3000</v>
      </c>
      <c r="I876" s="4" t="s">
        <v>21</v>
      </c>
      <c r="J876" s="5">
        <f t="shared" si="13"/>
        <v>12678.6</v>
      </c>
      <c r="K876" s="4" t="s">
        <v>49</v>
      </c>
      <c r="L876" s="6">
        <v>4.2262000000000004</v>
      </c>
      <c r="M876" s="6">
        <v>0.2366</v>
      </c>
      <c r="N876" s="6">
        <v>4.2191999999999998</v>
      </c>
      <c r="O876" s="6">
        <v>1</v>
      </c>
      <c r="P876" s="5">
        <v>21</v>
      </c>
      <c r="Q876" s="4" t="s">
        <v>1390</v>
      </c>
    </row>
    <row r="877" spans="1:17" x14ac:dyDescent="0.3">
      <c r="A877" s="2" t="s">
        <v>1389</v>
      </c>
      <c r="B877" s="3">
        <v>157484</v>
      </c>
      <c r="C877" s="3">
        <v>901720</v>
      </c>
      <c r="D877" s="4" t="s">
        <v>81</v>
      </c>
      <c r="E877" s="4" t="s">
        <v>734</v>
      </c>
      <c r="F877" s="4" t="s">
        <v>83</v>
      </c>
      <c r="G877" s="4" t="s">
        <v>20</v>
      </c>
      <c r="H877" s="5">
        <v>-98707.69</v>
      </c>
      <c r="I877" s="4" t="s">
        <v>21</v>
      </c>
      <c r="J877" s="5">
        <f t="shared" si="13"/>
        <v>416694.51333499997</v>
      </c>
      <c r="K877" s="4" t="s">
        <v>39</v>
      </c>
      <c r="L877" s="6">
        <v>4.2214999999999998</v>
      </c>
      <c r="M877" s="6">
        <v>0.2369</v>
      </c>
      <c r="N877" s="6">
        <v>4.2230999999999996</v>
      </c>
      <c r="O877" s="6">
        <v>1</v>
      </c>
      <c r="P877" s="5">
        <v>-154.975639</v>
      </c>
      <c r="Q877" s="4" t="s">
        <v>1393</v>
      </c>
    </row>
    <row r="878" spans="1:17" x14ac:dyDescent="0.3">
      <c r="A878" s="2" t="s">
        <v>1389</v>
      </c>
      <c r="B878" s="3">
        <v>157485</v>
      </c>
      <c r="C878" s="3">
        <v>901721</v>
      </c>
      <c r="D878" s="4" t="s">
        <v>81</v>
      </c>
      <c r="E878" s="4" t="s">
        <v>739</v>
      </c>
      <c r="F878" s="4" t="s">
        <v>83</v>
      </c>
      <c r="G878" s="4" t="s">
        <v>34</v>
      </c>
      <c r="H878" s="5">
        <v>-17393.240000000002</v>
      </c>
      <c r="I878" s="4" t="s">
        <v>21</v>
      </c>
      <c r="J878" s="5">
        <f t="shared" si="13"/>
        <v>63306.175628000005</v>
      </c>
      <c r="K878" s="4" t="s">
        <v>39</v>
      </c>
      <c r="L878" s="6">
        <v>3.6396999999999999</v>
      </c>
      <c r="M878" s="6">
        <v>0.2747</v>
      </c>
      <c r="N878" s="6">
        <v>3.6345999999999998</v>
      </c>
      <c r="O878" s="6">
        <v>1</v>
      </c>
      <c r="P878" s="5">
        <v>89.229895999999997</v>
      </c>
      <c r="Q878" s="4" t="s">
        <v>1391</v>
      </c>
    </row>
    <row r="879" spans="1:17" x14ac:dyDescent="0.3">
      <c r="A879" s="2" t="s">
        <v>1389</v>
      </c>
      <c r="B879" s="3">
        <v>157486</v>
      </c>
      <c r="C879" s="3">
        <v>901722</v>
      </c>
      <c r="D879" s="4" t="s">
        <v>81</v>
      </c>
      <c r="E879" s="4" t="s">
        <v>734</v>
      </c>
      <c r="F879" s="4" t="s">
        <v>83</v>
      </c>
      <c r="G879" s="4" t="s">
        <v>91</v>
      </c>
      <c r="H879" s="5">
        <v>-7708.33</v>
      </c>
      <c r="I879" s="4" t="s">
        <v>21</v>
      </c>
      <c r="J879" s="5">
        <f t="shared" si="13"/>
        <v>37541.879599</v>
      </c>
      <c r="K879" s="4" t="s">
        <v>39</v>
      </c>
      <c r="L879" s="6">
        <v>4.8703000000000003</v>
      </c>
      <c r="M879" s="6">
        <v>0.20530000000000001</v>
      </c>
      <c r="N879" s="6">
        <v>4.8704000000000001</v>
      </c>
      <c r="O879" s="6">
        <v>1</v>
      </c>
      <c r="P879" s="5">
        <v>-0.77043200000000001</v>
      </c>
      <c r="Q879" s="4" t="s">
        <v>1393</v>
      </c>
    </row>
    <row r="880" spans="1:17" x14ac:dyDescent="0.3">
      <c r="A880" s="2" t="s">
        <v>1389</v>
      </c>
      <c r="B880" s="3">
        <v>157487</v>
      </c>
      <c r="C880" s="3">
        <v>901723</v>
      </c>
      <c r="D880" s="4" t="s">
        <v>81</v>
      </c>
      <c r="E880" s="4" t="s">
        <v>735</v>
      </c>
      <c r="F880" s="4" t="s">
        <v>87</v>
      </c>
      <c r="G880" s="4" t="s">
        <v>93</v>
      </c>
      <c r="H880" s="5">
        <v>7072.65</v>
      </c>
      <c r="I880" s="4" t="s">
        <v>21</v>
      </c>
      <c r="J880" s="5">
        <f t="shared" si="13"/>
        <v>-32082.247664999999</v>
      </c>
      <c r="K880" s="4" t="s">
        <v>39</v>
      </c>
      <c r="L880" s="6">
        <v>4.5361000000000002</v>
      </c>
      <c r="M880" s="6">
        <v>0.2205</v>
      </c>
      <c r="N880" s="6">
        <v>4.5476000000000001</v>
      </c>
      <c r="O880" s="6">
        <v>1</v>
      </c>
      <c r="P880" s="5">
        <v>81.33314</v>
      </c>
      <c r="Q880" s="4" t="s">
        <v>1394</v>
      </c>
    </row>
    <row r="881" spans="1:17" x14ac:dyDescent="0.3">
      <c r="A881" s="2" t="s">
        <v>1389</v>
      </c>
      <c r="B881" s="3">
        <v>157488</v>
      </c>
      <c r="C881" s="3">
        <v>901728</v>
      </c>
      <c r="D881" s="4" t="s">
        <v>81</v>
      </c>
      <c r="E881" s="4" t="s">
        <v>735</v>
      </c>
      <c r="F881" s="4" t="s">
        <v>83</v>
      </c>
      <c r="G881" s="4" t="s">
        <v>20</v>
      </c>
      <c r="H881" s="5">
        <v>-100623.75</v>
      </c>
      <c r="I881" s="4" t="s">
        <v>21</v>
      </c>
      <c r="J881" s="5">
        <f t="shared" si="13"/>
        <v>424591.9755</v>
      </c>
      <c r="K881" s="4" t="s">
        <v>39</v>
      </c>
      <c r="L881" s="6">
        <v>4.2195999999999998</v>
      </c>
      <c r="M881" s="6">
        <v>0.23699999999999999</v>
      </c>
      <c r="N881" s="6">
        <v>4.2230999999999996</v>
      </c>
      <c r="O881" s="6">
        <v>1</v>
      </c>
      <c r="P881" s="5">
        <v>-352.17862500000001</v>
      </c>
      <c r="Q881" s="4" t="s">
        <v>1394</v>
      </c>
    </row>
    <row r="882" spans="1:17" x14ac:dyDescent="0.3">
      <c r="A882" s="2" t="s">
        <v>1389</v>
      </c>
      <c r="B882" s="3">
        <v>157489</v>
      </c>
      <c r="C882" s="3">
        <v>901730</v>
      </c>
      <c r="D882" s="4" t="s">
        <v>81</v>
      </c>
      <c r="E882" s="4" t="s">
        <v>734</v>
      </c>
      <c r="F882" s="4" t="s">
        <v>83</v>
      </c>
      <c r="G882" s="4" t="s">
        <v>20</v>
      </c>
      <c r="H882" s="5">
        <v>-115633.7</v>
      </c>
      <c r="I882" s="4" t="s">
        <v>21</v>
      </c>
      <c r="J882" s="5">
        <f t="shared" si="13"/>
        <v>487835.45355999999</v>
      </c>
      <c r="K882" s="4" t="s">
        <v>39</v>
      </c>
      <c r="L882" s="6">
        <v>4.2187999999999999</v>
      </c>
      <c r="M882" s="6">
        <v>0.23699999999999999</v>
      </c>
      <c r="N882" s="6">
        <v>4.2230999999999996</v>
      </c>
      <c r="O882" s="6">
        <v>1</v>
      </c>
      <c r="P882" s="5">
        <v>-500.69846999999999</v>
      </c>
      <c r="Q882" s="4" t="s">
        <v>1393</v>
      </c>
    </row>
    <row r="883" spans="1:17" x14ac:dyDescent="0.3">
      <c r="A883" s="2" t="s">
        <v>1389</v>
      </c>
      <c r="B883" s="3">
        <v>157490</v>
      </c>
      <c r="C883" s="3">
        <v>901732</v>
      </c>
      <c r="D883" s="4" t="s">
        <v>81</v>
      </c>
      <c r="E883" s="4" t="s">
        <v>734</v>
      </c>
      <c r="F883" s="4" t="s">
        <v>83</v>
      </c>
      <c r="G883" s="4" t="s">
        <v>93</v>
      </c>
      <c r="H883" s="5">
        <v>-798.27</v>
      </c>
      <c r="I883" s="4" t="s">
        <v>21</v>
      </c>
      <c r="J883" s="5">
        <f t="shared" si="13"/>
        <v>3614.7262139999998</v>
      </c>
      <c r="K883" s="4" t="s">
        <v>39</v>
      </c>
      <c r="L883" s="6">
        <v>4.5282</v>
      </c>
      <c r="M883" s="6">
        <v>0.2208</v>
      </c>
      <c r="N883" s="6">
        <v>4.5476000000000001</v>
      </c>
      <c r="O883" s="6">
        <v>1</v>
      </c>
      <c r="P883" s="5">
        <v>-15.472652</v>
      </c>
      <c r="Q883" s="4" t="s">
        <v>1393</v>
      </c>
    </row>
    <row r="884" spans="1:17" x14ac:dyDescent="0.3">
      <c r="A884" s="2" t="s">
        <v>1389</v>
      </c>
      <c r="B884" s="3">
        <v>157491</v>
      </c>
      <c r="C884" s="3">
        <v>901733</v>
      </c>
      <c r="D884" s="4" t="s">
        <v>81</v>
      </c>
      <c r="E884" s="4" t="s">
        <v>734</v>
      </c>
      <c r="F884" s="4" t="s">
        <v>83</v>
      </c>
      <c r="G884" s="4" t="s">
        <v>34</v>
      </c>
      <c r="H884" s="5">
        <v>-34393.31</v>
      </c>
      <c r="I884" s="4" t="s">
        <v>21</v>
      </c>
      <c r="J884" s="5">
        <f t="shared" si="13"/>
        <v>125115.98311799999</v>
      </c>
      <c r="K884" s="4" t="s">
        <v>39</v>
      </c>
      <c r="L884" s="6">
        <v>3.6377999999999999</v>
      </c>
      <c r="M884" s="6">
        <v>0.27489999999999998</v>
      </c>
      <c r="N884" s="6">
        <v>3.6345999999999998</v>
      </c>
      <c r="O884" s="6">
        <v>1</v>
      </c>
      <c r="P884" s="5">
        <v>111.085474</v>
      </c>
      <c r="Q884" s="4" t="s">
        <v>1393</v>
      </c>
    </row>
    <row r="885" spans="1:17" x14ac:dyDescent="0.3">
      <c r="A885" s="2" t="s">
        <v>1389</v>
      </c>
      <c r="B885" s="3">
        <v>157492</v>
      </c>
      <c r="C885" s="3">
        <v>901734</v>
      </c>
      <c r="D885" s="4" t="s">
        <v>81</v>
      </c>
      <c r="E885" s="4" t="s">
        <v>734</v>
      </c>
      <c r="F885" s="4" t="s">
        <v>87</v>
      </c>
      <c r="G885" s="4" t="s">
        <v>91</v>
      </c>
      <c r="H885" s="5">
        <v>2079.66</v>
      </c>
      <c r="I885" s="4" t="s">
        <v>21</v>
      </c>
      <c r="J885" s="5">
        <f t="shared" si="13"/>
        <v>-10126.488437999998</v>
      </c>
      <c r="K885" s="4" t="s">
        <v>39</v>
      </c>
      <c r="L885" s="6">
        <v>4.8693</v>
      </c>
      <c r="M885" s="6">
        <v>0.2054</v>
      </c>
      <c r="N885" s="6">
        <v>4.8704000000000001</v>
      </c>
      <c r="O885" s="6">
        <v>1</v>
      </c>
      <c r="P885" s="5">
        <v>2.2860640000000001</v>
      </c>
      <c r="Q885" s="4" t="s">
        <v>1393</v>
      </c>
    </row>
    <row r="886" spans="1:17" x14ac:dyDescent="0.3">
      <c r="A886" s="2" t="s">
        <v>1389</v>
      </c>
      <c r="B886" s="3">
        <v>157493</v>
      </c>
      <c r="C886" s="3">
        <v>901735</v>
      </c>
      <c r="D886" s="4" t="s">
        <v>81</v>
      </c>
      <c r="E886" s="4" t="s">
        <v>734</v>
      </c>
      <c r="F886" s="4" t="s">
        <v>83</v>
      </c>
      <c r="G886" s="4" t="s">
        <v>20</v>
      </c>
      <c r="H886" s="5">
        <v>-56181.45</v>
      </c>
      <c r="I886" s="4" t="s">
        <v>21</v>
      </c>
      <c r="J886" s="5">
        <f t="shared" si="13"/>
        <v>237012.68311499999</v>
      </c>
      <c r="K886" s="4" t="s">
        <v>39</v>
      </c>
      <c r="L886" s="6">
        <v>4.2187000000000001</v>
      </c>
      <c r="M886" s="6">
        <v>0.23699999999999999</v>
      </c>
      <c r="N886" s="6">
        <v>4.2230999999999996</v>
      </c>
      <c r="O886" s="6">
        <v>1</v>
      </c>
      <c r="P886" s="5">
        <v>-246.64149499999999</v>
      </c>
      <c r="Q886" s="4" t="s">
        <v>1393</v>
      </c>
    </row>
    <row r="887" spans="1:17" x14ac:dyDescent="0.3">
      <c r="A887" s="2" t="s">
        <v>1389</v>
      </c>
      <c r="B887" s="3">
        <v>157494</v>
      </c>
      <c r="C887" s="3">
        <v>901740</v>
      </c>
      <c r="D887" s="4" t="s">
        <v>81</v>
      </c>
      <c r="E887" s="4" t="s">
        <v>743</v>
      </c>
      <c r="F887" s="4" t="s">
        <v>83</v>
      </c>
      <c r="G887" s="4" t="s">
        <v>20</v>
      </c>
      <c r="H887" s="5">
        <v>-55591.65</v>
      </c>
      <c r="I887" s="4" t="s">
        <v>21</v>
      </c>
      <c r="J887" s="5">
        <f t="shared" si="13"/>
        <v>234574.52633999998</v>
      </c>
      <c r="K887" s="4" t="s">
        <v>39</v>
      </c>
      <c r="L887" s="6">
        <v>4.2195999999999998</v>
      </c>
      <c r="M887" s="6">
        <v>0.23699999999999999</v>
      </c>
      <c r="N887" s="6">
        <v>4.2230999999999996</v>
      </c>
      <c r="O887" s="6">
        <v>1</v>
      </c>
      <c r="P887" s="5">
        <v>-194.567115</v>
      </c>
      <c r="Q887" s="4" t="s">
        <v>1395</v>
      </c>
    </row>
    <row r="888" spans="1:17" x14ac:dyDescent="0.3">
      <c r="A888" s="2" t="s">
        <v>1389</v>
      </c>
      <c r="B888" s="3">
        <v>157495</v>
      </c>
      <c r="C888" s="3">
        <v>901741</v>
      </c>
      <c r="D888" s="4" t="s">
        <v>81</v>
      </c>
      <c r="E888" s="4" t="s">
        <v>743</v>
      </c>
      <c r="F888" s="4" t="s">
        <v>83</v>
      </c>
      <c r="G888" s="4" t="s">
        <v>34</v>
      </c>
      <c r="H888" s="5">
        <v>-4313.3</v>
      </c>
      <c r="I888" s="4" t="s">
        <v>21</v>
      </c>
      <c r="J888" s="5">
        <f t="shared" si="13"/>
        <v>15690.92274</v>
      </c>
      <c r="K888" s="4" t="s">
        <v>39</v>
      </c>
      <c r="L888" s="6">
        <v>3.6377999999999999</v>
      </c>
      <c r="M888" s="6">
        <v>0.27489999999999998</v>
      </c>
      <c r="N888" s="6">
        <v>3.6345999999999998</v>
      </c>
      <c r="O888" s="6">
        <v>1</v>
      </c>
      <c r="P888" s="5">
        <v>13.88982</v>
      </c>
      <c r="Q888" s="4" t="s">
        <v>1395</v>
      </c>
    </row>
    <row r="889" spans="1:17" x14ac:dyDescent="0.3">
      <c r="A889" s="2" t="s">
        <v>1389</v>
      </c>
      <c r="B889" s="3">
        <v>157496</v>
      </c>
      <c r="C889" s="3">
        <v>901742</v>
      </c>
      <c r="D889" s="4" t="s">
        <v>81</v>
      </c>
      <c r="E889" s="4" t="s">
        <v>734</v>
      </c>
      <c r="F889" s="4" t="s">
        <v>87</v>
      </c>
      <c r="G889" s="4" t="s">
        <v>93</v>
      </c>
      <c r="H889" s="5">
        <v>361.1</v>
      </c>
      <c r="I889" s="4" t="s">
        <v>21</v>
      </c>
      <c r="J889" s="5">
        <f t="shared" si="13"/>
        <v>-1636.0718800000002</v>
      </c>
      <c r="K889" s="4" t="s">
        <v>39</v>
      </c>
      <c r="L889" s="6">
        <v>4.5308000000000002</v>
      </c>
      <c r="M889" s="6">
        <v>0.22070000000000001</v>
      </c>
      <c r="N889" s="6">
        <v>4.5476000000000001</v>
      </c>
      <c r="O889" s="6">
        <v>1</v>
      </c>
      <c r="P889" s="5">
        <v>6.0683600000000002</v>
      </c>
      <c r="Q889" s="4" t="s">
        <v>1393</v>
      </c>
    </row>
    <row r="890" spans="1:17" x14ac:dyDescent="0.3">
      <c r="A890" s="2" t="s">
        <v>1389</v>
      </c>
      <c r="B890" s="3">
        <v>157498</v>
      </c>
      <c r="C890" s="3">
        <v>901750</v>
      </c>
      <c r="D890" s="4" t="s">
        <v>81</v>
      </c>
      <c r="E890" s="4" t="s">
        <v>735</v>
      </c>
      <c r="F890" s="4" t="s">
        <v>83</v>
      </c>
      <c r="G890" s="4" t="s">
        <v>20</v>
      </c>
      <c r="H890" s="5">
        <v>-101272.67</v>
      </c>
      <c r="I890" s="4" t="s">
        <v>21</v>
      </c>
      <c r="J890" s="5">
        <f t="shared" si="13"/>
        <v>427380.79466700001</v>
      </c>
      <c r="K890" s="4" t="s">
        <v>50</v>
      </c>
      <c r="L890" s="6">
        <v>4.2201000000000004</v>
      </c>
      <c r="M890" s="6">
        <v>0.23699999999999999</v>
      </c>
      <c r="N890" s="6">
        <v>4.2279</v>
      </c>
      <c r="O890" s="6">
        <v>1</v>
      </c>
      <c r="P890" s="5">
        <v>-789.93149300000005</v>
      </c>
      <c r="Q890" s="4" t="s">
        <v>1394</v>
      </c>
    </row>
    <row r="891" spans="1:17" x14ac:dyDescent="0.3">
      <c r="A891" s="2" t="s">
        <v>1389</v>
      </c>
      <c r="B891" s="3">
        <v>157499</v>
      </c>
      <c r="C891" s="3">
        <v>901751</v>
      </c>
      <c r="D891" s="4" t="s">
        <v>81</v>
      </c>
      <c r="E891" s="4" t="s">
        <v>735</v>
      </c>
      <c r="F891" s="4" t="s">
        <v>83</v>
      </c>
      <c r="G891" s="4" t="s">
        <v>20</v>
      </c>
      <c r="H891" s="5">
        <v>-100176.03</v>
      </c>
      <c r="I891" s="4" t="s">
        <v>21</v>
      </c>
      <c r="J891" s="5">
        <f t="shared" si="13"/>
        <v>422752.86420300003</v>
      </c>
      <c r="K891" s="4" t="s">
        <v>50</v>
      </c>
      <c r="L891" s="6">
        <v>4.2201000000000004</v>
      </c>
      <c r="M891" s="6">
        <v>0.23699999999999999</v>
      </c>
      <c r="N891" s="6">
        <v>4.2279</v>
      </c>
      <c r="O891" s="6">
        <v>1</v>
      </c>
      <c r="P891" s="5">
        <v>-781.37723700000004</v>
      </c>
      <c r="Q891" s="4" t="s">
        <v>1394</v>
      </c>
    </row>
    <row r="892" spans="1:17" x14ac:dyDescent="0.3">
      <c r="A892" s="2" t="s">
        <v>1389</v>
      </c>
      <c r="B892" s="3">
        <v>157500</v>
      </c>
      <c r="C892" s="3">
        <v>901752</v>
      </c>
      <c r="D892" s="4" t="s">
        <v>81</v>
      </c>
      <c r="E892" s="4" t="s">
        <v>735</v>
      </c>
      <c r="F892" s="4" t="s">
        <v>83</v>
      </c>
      <c r="G892" s="4" t="s">
        <v>20</v>
      </c>
      <c r="H892" s="5">
        <v>-100039.36</v>
      </c>
      <c r="I892" s="4" t="s">
        <v>21</v>
      </c>
      <c r="J892" s="5">
        <f t="shared" si="13"/>
        <v>422176.10313600005</v>
      </c>
      <c r="K892" s="4" t="s">
        <v>50</v>
      </c>
      <c r="L892" s="6">
        <v>4.2201000000000004</v>
      </c>
      <c r="M892" s="6">
        <v>0.23699999999999999</v>
      </c>
      <c r="N892" s="6">
        <v>4.2279</v>
      </c>
      <c r="O892" s="6">
        <v>1</v>
      </c>
      <c r="P892" s="5">
        <v>-780.31014400000004</v>
      </c>
      <c r="Q892" s="4" t="s">
        <v>1394</v>
      </c>
    </row>
    <row r="893" spans="1:17" x14ac:dyDescent="0.3">
      <c r="A893" s="2" t="s">
        <v>1389</v>
      </c>
      <c r="B893" s="3">
        <v>157501</v>
      </c>
      <c r="C893" s="3">
        <v>901753</v>
      </c>
      <c r="D893" s="4" t="s">
        <v>81</v>
      </c>
      <c r="E893" s="4" t="s">
        <v>735</v>
      </c>
      <c r="F893" s="4" t="s">
        <v>83</v>
      </c>
      <c r="G893" s="4" t="s">
        <v>20</v>
      </c>
      <c r="H893" s="5">
        <v>-100494.43</v>
      </c>
      <c r="I893" s="4" t="s">
        <v>21</v>
      </c>
      <c r="J893" s="5">
        <f t="shared" si="13"/>
        <v>424096.54404300003</v>
      </c>
      <c r="K893" s="4" t="s">
        <v>50</v>
      </c>
      <c r="L893" s="6">
        <v>4.2201000000000004</v>
      </c>
      <c r="M893" s="6">
        <v>0.23699999999999999</v>
      </c>
      <c r="N893" s="6">
        <v>4.2279</v>
      </c>
      <c r="O893" s="6">
        <v>1</v>
      </c>
      <c r="P893" s="5">
        <v>-783.86059699999998</v>
      </c>
      <c r="Q893" s="4" t="s">
        <v>1394</v>
      </c>
    </row>
    <row r="894" spans="1:17" x14ac:dyDescent="0.3">
      <c r="A894" s="2" t="s">
        <v>1389</v>
      </c>
      <c r="B894" s="3">
        <v>157502</v>
      </c>
      <c r="C894" s="3">
        <v>901754</v>
      </c>
      <c r="D894" s="4" t="s">
        <v>81</v>
      </c>
      <c r="E894" s="4" t="s">
        <v>735</v>
      </c>
      <c r="F894" s="4" t="s">
        <v>83</v>
      </c>
      <c r="G894" s="4" t="s">
        <v>34</v>
      </c>
      <c r="H894" s="5">
        <v>-113997.32</v>
      </c>
      <c r="I894" s="4" t="s">
        <v>21</v>
      </c>
      <c r="J894" s="5">
        <f t="shared" si="13"/>
        <v>415315.03622400004</v>
      </c>
      <c r="K894" s="4" t="s">
        <v>50</v>
      </c>
      <c r="L894" s="6">
        <v>3.6432000000000002</v>
      </c>
      <c r="M894" s="6">
        <v>0.27450000000000002</v>
      </c>
      <c r="N894" s="6">
        <v>3.6053999999999999</v>
      </c>
      <c r="O894" s="6">
        <v>1</v>
      </c>
      <c r="P894" s="5">
        <v>4309.1024719999996</v>
      </c>
      <c r="Q894" s="4" t="s">
        <v>1394</v>
      </c>
    </row>
    <row r="895" spans="1:17" x14ac:dyDescent="0.3">
      <c r="A895" s="2" t="s">
        <v>1389</v>
      </c>
      <c r="B895" s="3">
        <v>157503</v>
      </c>
      <c r="C895" s="3">
        <v>901755</v>
      </c>
      <c r="D895" s="4" t="s">
        <v>81</v>
      </c>
      <c r="E895" s="4" t="s">
        <v>735</v>
      </c>
      <c r="F895" s="4" t="s">
        <v>83</v>
      </c>
      <c r="G895" s="4" t="s">
        <v>20</v>
      </c>
      <c r="H895" s="5">
        <v>-102804.21</v>
      </c>
      <c r="I895" s="4" t="s">
        <v>21</v>
      </c>
      <c r="J895" s="5">
        <f t="shared" si="13"/>
        <v>433844.04662100004</v>
      </c>
      <c r="K895" s="4" t="s">
        <v>50</v>
      </c>
      <c r="L895" s="6">
        <v>4.2201000000000004</v>
      </c>
      <c r="M895" s="6">
        <v>0.23699999999999999</v>
      </c>
      <c r="N895" s="6">
        <v>4.2279</v>
      </c>
      <c r="O895" s="6">
        <v>1</v>
      </c>
      <c r="P895" s="5">
        <v>-801.86945900000001</v>
      </c>
      <c r="Q895" s="4" t="s">
        <v>1394</v>
      </c>
    </row>
    <row r="896" spans="1:17" x14ac:dyDescent="0.3">
      <c r="A896" s="2" t="s">
        <v>1389</v>
      </c>
      <c r="B896" s="3">
        <v>157504</v>
      </c>
      <c r="C896" s="3">
        <v>901756</v>
      </c>
      <c r="D896" s="4" t="s">
        <v>81</v>
      </c>
      <c r="E896" s="4" t="s">
        <v>735</v>
      </c>
      <c r="F896" s="4" t="s">
        <v>83</v>
      </c>
      <c r="G896" s="4" t="s">
        <v>20</v>
      </c>
      <c r="H896" s="5">
        <v>-100234.36</v>
      </c>
      <c r="I896" s="4" t="s">
        <v>21</v>
      </c>
      <c r="J896" s="5">
        <f t="shared" si="13"/>
        <v>422999.02263600007</v>
      </c>
      <c r="K896" s="4" t="s">
        <v>50</v>
      </c>
      <c r="L896" s="6">
        <v>4.2201000000000004</v>
      </c>
      <c r="M896" s="6">
        <v>0.23699999999999999</v>
      </c>
      <c r="N896" s="6">
        <v>4.2279</v>
      </c>
      <c r="O896" s="6">
        <v>1</v>
      </c>
      <c r="P896" s="5">
        <v>-781.83064400000001</v>
      </c>
      <c r="Q896" s="4" t="s">
        <v>1394</v>
      </c>
    </row>
    <row r="897" spans="1:17" x14ac:dyDescent="0.3">
      <c r="A897" s="2" t="s">
        <v>1389</v>
      </c>
      <c r="B897" s="3">
        <v>157505</v>
      </c>
      <c r="C897" s="3">
        <v>901757</v>
      </c>
      <c r="D897" s="4" t="s">
        <v>81</v>
      </c>
      <c r="E897" s="4" t="s">
        <v>735</v>
      </c>
      <c r="F897" s="4" t="s">
        <v>83</v>
      </c>
      <c r="G897" s="4" t="s">
        <v>20</v>
      </c>
      <c r="H897" s="5">
        <v>-104057.81</v>
      </c>
      <c r="I897" s="4" t="s">
        <v>21</v>
      </c>
      <c r="J897" s="5">
        <f t="shared" si="13"/>
        <v>439134.36398100003</v>
      </c>
      <c r="K897" s="4" t="s">
        <v>50</v>
      </c>
      <c r="L897" s="6">
        <v>4.2201000000000004</v>
      </c>
      <c r="M897" s="6">
        <v>0.23699999999999999</v>
      </c>
      <c r="N897" s="6">
        <v>4.2279</v>
      </c>
      <c r="O897" s="6">
        <v>1</v>
      </c>
      <c r="P897" s="5">
        <v>-811.654899</v>
      </c>
      <c r="Q897" s="4" t="s">
        <v>1394</v>
      </c>
    </row>
    <row r="898" spans="1:17" x14ac:dyDescent="0.3">
      <c r="A898" s="2" t="s">
        <v>1389</v>
      </c>
      <c r="B898" s="3">
        <v>157506</v>
      </c>
      <c r="C898" s="3">
        <v>901758</v>
      </c>
      <c r="D898" s="4" t="s">
        <v>81</v>
      </c>
      <c r="E898" s="4" t="s">
        <v>735</v>
      </c>
      <c r="F898" s="4" t="s">
        <v>83</v>
      </c>
      <c r="G898" s="4" t="s">
        <v>34</v>
      </c>
      <c r="H898" s="5">
        <v>-134500.44</v>
      </c>
      <c r="I898" s="4" t="s">
        <v>21</v>
      </c>
      <c r="J898" s="5">
        <f t="shared" si="13"/>
        <v>490159.953492</v>
      </c>
      <c r="K898" s="4" t="s">
        <v>50</v>
      </c>
      <c r="L898" s="6">
        <v>3.6442999999999999</v>
      </c>
      <c r="M898" s="6">
        <v>0.27439999999999998</v>
      </c>
      <c r="N898" s="6">
        <v>3.6053999999999999</v>
      </c>
      <c r="O898" s="6">
        <v>1</v>
      </c>
      <c r="P898" s="5">
        <v>5232.0636240000003</v>
      </c>
      <c r="Q898" s="4" t="s">
        <v>1394</v>
      </c>
    </row>
    <row r="899" spans="1:17" x14ac:dyDescent="0.3">
      <c r="A899" s="2" t="s">
        <v>1389</v>
      </c>
      <c r="B899" s="3">
        <v>157507</v>
      </c>
      <c r="C899" s="3">
        <v>901759</v>
      </c>
      <c r="D899" s="4" t="s">
        <v>81</v>
      </c>
      <c r="E899" s="4" t="s">
        <v>735</v>
      </c>
      <c r="F899" s="4" t="s">
        <v>83</v>
      </c>
      <c r="G899" s="4" t="s">
        <v>20</v>
      </c>
      <c r="H899" s="5">
        <v>-102018.57</v>
      </c>
      <c r="I899" s="4" t="s">
        <v>21</v>
      </c>
      <c r="J899" s="5">
        <f t="shared" si="13"/>
        <v>430528.56725700008</v>
      </c>
      <c r="K899" s="4" t="s">
        <v>50</v>
      </c>
      <c r="L899" s="6">
        <v>4.2201000000000004</v>
      </c>
      <c r="M899" s="6">
        <v>0.23699999999999999</v>
      </c>
      <c r="N899" s="6">
        <v>4.2279</v>
      </c>
      <c r="O899" s="6">
        <v>1</v>
      </c>
      <c r="P899" s="5">
        <v>-795.74210300000004</v>
      </c>
      <c r="Q899" s="4" t="s">
        <v>1394</v>
      </c>
    </row>
    <row r="900" spans="1:17" x14ac:dyDescent="0.3">
      <c r="A900" s="2" t="s">
        <v>1389</v>
      </c>
      <c r="B900" s="3">
        <v>157508</v>
      </c>
      <c r="C900" s="3">
        <v>901760</v>
      </c>
      <c r="D900" s="4" t="s">
        <v>81</v>
      </c>
      <c r="E900" s="4" t="s">
        <v>735</v>
      </c>
      <c r="F900" s="4" t="s">
        <v>83</v>
      </c>
      <c r="G900" s="4" t="s">
        <v>20</v>
      </c>
      <c r="H900" s="5">
        <v>-102629.63</v>
      </c>
      <c r="I900" s="4" t="s">
        <v>21</v>
      </c>
      <c r="J900" s="5">
        <f t="shared" ref="J900:J963" si="14">-H900*L900</f>
        <v>433107.30156300007</v>
      </c>
      <c r="K900" s="4" t="s">
        <v>50</v>
      </c>
      <c r="L900" s="6">
        <v>4.2201000000000004</v>
      </c>
      <c r="M900" s="6">
        <v>0.23699999999999999</v>
      </c>
      <c r="N900" s="6">
        <v>4.2279</v>
      </c>
      <c r="O900" s="6">
        <v>1</v>
      </c>
      <c r="P900" s="5">
        <v>-800.51267700000005</v>
      </c>
      <c r="Q900" s="4" t="s">
        <v>1394</v>
      </c>
    </row>
    <row r="901" spans="1:17" x14ac:dyDescent="0.3">
      <c r="A901" s="2" t="s">
        <v>1389</v>
      </c>
      <c r="B901" s="3">
        <v>157509</v>
      </c>
      <c r="C901" s="3">
        <v>901761</v>
      </c>
      <c r="D901" s="4" t="s">
        <v>81</v>
      </c>
      <c r="E901" s="4" t="s">
        <v>735</v>
      </c>
      <c r="F901" s="4" t="s">
        <v>83</v>
      </c>
      <c r="G901" s="4" t="s">
        <v>20</v>
      </c>
      <c r="H901" s="5">
        <v>-100101.35</v>
      </c>
      <c r="I901" s="4" t="s">
        <v>21</v>
      </c>
      <c r="J901" s="5">
        <f t="shared" si="14"/>
        <v>422437.70713500009</v>
      </c>
      <c r="K901" s="4" t="s">
        <v>50</v>
      </c>
      <c r="L901" s="6">
        <v>4.2201000000000004</v>
      </c>
      <c r="M901" s="6">
        <v>0.23699999999999999</v>
      </c>
      <c r="N901" s="6">
        <v>4.2279</v>
      </c>
      <c r="O901" s="6">
        <v>1</v>
      </c>
      <c r="P901" s="5">
        <v>-780.78766499999995</v>
      </c>
      <c r="Q901" s="4" t="s">
        <v>1394</v>
      </c>
    </row>
    <row r="902" spans="1:17" x14ac:dyDescent="0.3">
      <c r="A902" s="2" t="s">
        <v>1389</v>
      </c>
      <c r="B902" s="3">
        <v>157510</v>
      </c>
      <c r="C902" s="3">
        <v>901762</v>
      </c>
      <c r="D902" s="4" t="s">
        <v>81</v>
      </c>
      <c r="E902" s="4" t="s">
        <v>735</v>
      </c>
      <c r="F902" s="4" t="s">
        <v>83</v>
      </c>
      <c r="G902" s="4" t="s">
        <v>20</v>
      </c>
      <c r="H902" s="5">
        <v>-100236.61</v>
      </c>
      <c r="I902" s="4" t="s">
        <v>21</v>
      </c>
      <c r="J902" s="5">
        <f t="shared" si="14"/>
        <v>423008.51786100003</v>
      </c>
      <c r="K902" s="4" t="s">
        <v>50</v>
      </c>
      <c r="L902" s="6">
        <v>4.2201000000000004</v>
      </c>
      <c r="M902" s="6">
        <v>0.23699999999999999</v>
      </c>
      <c r="N902" s="6">
        <v>4.2279</v>
      </c>
      <c r="O902" s="6">
        <v>1</v>
      </c>
      <c r="P902" s="5">
        <v>-781.84341900000004</v>
      </c>
      <c r="Q902" s="4" t="s">
        <v>1394</v>
      </c>
    </row>
    <row r="903" spans="1:17" x14ac:dyDescent="0.3">
      <c r="A903" s="2" t="s">
        <v>1389</v>
      </c>
      <c r="B903" s="3">
        <v>157511</v>
      </c>
      <c r="C903" s="3">
        <v>901763</v>
      </c>
      <c r="D903" s="4" t="s">
        <v>81</v>
      </c>
      <c r="E903" s="4" t="s">
        <v>735</v>
      </c>
      <c r="F903" s="4" t="s">
        <v>83</v>
      </c>
      <c r="G903" s="4" t="s">
        <v>34</v>
      </c>
      <c r="H903" s="5">
        <v>-141684.57</v>
      </c>
      <c r="I903" s="4" t="s">
        <v>21</v>
      </c>
      <c r="J903" s="5">
        <f t="shared" si="14"/>
        <v>516341.07845099998</v>
      </c>
      <c r="K903" s="4" t="s">
        <v>50</v>
      </c>
      <c r="L903" s="6">
        <v>3.6442999999999999</v>
      </c>
      <c r="M903" s="6">
        <v>0.27439999999999998</v>
      </c>
      <c r="N903" s="6">
        <v>3.6053999999999999</v>
      </c>
      <c r="O903" s="6">
        <v>1</v>
      </c>
      <c r="P903" s="5">
        <v>5511.5313219999998</v>
      </c>
      <c r="Q903" s="4" t="s">
        <v>1394</v>
      </c>
    </row>
    <row r="904" spans="1:17" x14ac:dyDescent="0.3">
      <c r="A904" s="2" t="s">
        <v>1389</v>
      </c>
      <c r="B904" s="3">
        <v>157512</v>
      </c>
      <c r="C904" s="3">
        <v>901764</v>
      </c>
      <c r="D904" s="4" t="s">
        <v>81</v>
      </c>
      <c r="E904" s="4" t="s">
        <v>735</v>
      </c>
      <c r="F904" s="4" t="s">
        <v>83</v>
      </c>
      <c r="G904" s="4" t="s">
        <v>20</v>
      </c>
      <c r="H904" s="5">
        <v>-100107.77</v>
      </c>
      <c r="I904" s="4" t="s">
        <v>21</v>
      </c>
      <c r="J904" s="5">
        <f t="shared" si="14"/>
        <v>422464.80017700006</v>
      </c>
      <c r="K904" s="4" t="s">
        <v>50</v>
      </c>
      <c r="L904" s="6">
        <v>4.2201000000000004</v>
      </c>
      <c r="M904" s="6">
        <v>0.23699999999999999</v>
      </c>
      <c r="N904" s="6">
        <v>4.2279</v>
      </c>
      <c r="O904" s="6">
        <v>1</v>
      </c>
      <c r="P904" s="5">
        <v>-780.84078299999999</v>
      </c>
      <c r="Q904" s="4" t="s">
        <v>1394</v>
      </c>
    </row>
    <row r="905" spans="1:17" x14ac:dyDescent="0.3">
      <c r="A905" s="2" t="s">
        <v>1389</v>
      </c>
      <c r="B905" s="3">
        <v>157513</v>
      </c>
      <c r="C905" s="3">
        <v>901765</v>
      </c>
      <c r="D905" s="4" t="s">
        <v>81</v>
      </c>
      <c r="E905" s="4" t="s">
        <v>735</v>
      </c>
      <c r="F905" s="4" t="s">
        <v>83</v>
      </c>
      <c r="G905" s="4" t="s">
        <v>91</v>
      </c>
      <c r="H905" s="5">
        <v>-33639.5</v>
      </c>
      <c r="I905" s="4" t="s">
        <v>21</v>
      </c>
      <c r="J905" s="5">
        <f t="shared" si="14"/>
        <v>163615.80010000002</v>
      </c>
      <c r="K905" s="4" t="s">
        <v>50</v>
      </c>
      <c r="L905" s="6">
        <v>4.8638000000000003</v>
      </c>
      <c r="M905" s="6">
        <v>0.2056</v>
      </c>
      <c r="N905" s="6">
        <v>4.8582999999999998</v>
      </c>
      <c r="O905" s="6">
        <v>1</v>
      </c>
      <c r="P905" s="5">
        <v>185.01714999999999</v>
      </c>
      <c r="Q905" s="4" t="s">
        <v>1394</v>
      </c>
    </row>
    <row r="906" spans="1:17" x14ac:dyDescent="0.3">
      <c r="A906" s="2" t="s">
        <v>1389</v>
      </c>
      <c r="B906" s="3">
        <v>157514</v>
      </c>
      <c r="C906" s="3">
        <v>901766</v>
      </c>
      <c r="D906" s="4" t="s">
        <v>81</v>
      </c>
      <c r="E906" s="4" t="s">
        <v>735</v>
      </c>
      <c r="F906" s="4" t="s">
        <v>83</v>
      </c>
      <c r="G906" s="4" t="s">
        <v>34</v>
      </c>
      <c r="H906" s="5">
        <v>-43465.52</v>
      </c>
      <c r="I906" s="4" t="s">
        <v>21</v>
      </c>
      <c r="J906" s="5">
        <f t="shared" si="14"/>
        <v>158349.23591199997</v>
      </c>
      <c r="K906" s="4" t="s">
        <v>50</v>
      </c>
      <c r="L906" s="6">
        <v>3.6431</v>
      </c>
      <c r="M906" s="6">
        <v>0.27450000000000002</v>
      </c>
      <c r="N906" s="6">
        <v>3.6053999999999999</v>
      </c>
      <c r="O906" s="6">
        <v>1</v>
      </c>
      <c r="P906" s="5">
        <v>1638.654192</v>
      </c>
      <c r="Q906" s="4" t="s">
        <v>1394</v>
      </c>
    </row>
    <row r="907" spans="1:17" x14ac:dyDescent="0.3">
      <c r="A907" s="2" t="s">
        <v>1389</v>
      </c>
      <c r="B907" s="3">
        <v>157515</v>
      </c>
      <c r="C907" s="3">
        <v>901767</v>
      </c>
      <c r="D907" s="4" t="s">
        <v>81</v>
      </c>
      <c r="E907" s="4" t="s">
        <v>735</v>
      </c>
      <c r="F907" s="4" t="s">
        <v>83</v>
      </c>
      <c r="G907" s="4" t="s">
        <v>20</v>
      </c>
      <c r="H907" s="5">
        <v>-65983.88</v>
      </c>
      <c r="I907" s="4" t="s">
        <v>21</v>
      </c>
      <c r="J907" s="5">
        <f t="shared" si="14"/>
        <v>278458.57198800007</v>
      </c>
      <c r="K907" s="4" t="s">
        <v>50</v>
      </c>
      <c r="L907" s="6">
        <v>4.2201000000000004</v>
      </c>
      <c r="M907" s="6">
        <v>0.23699999999999999</v>
      </c>
      <c r="N907" s="6">
        <v>4.2279</v>
      </c>
      <c r="O907" s="6">
        <v>1</v>
      </c>
      <c r="P907" s="5">
        <v>-514.67625199999998</v>
      </c>
      <c r="Q907" s="4" t="s">
        <v>1394</v>
      </c>
    </row>
    <row r="908" spans="1:17" x14ac:dyDescent="0.3">
      <c r="A908" s="2" t="s">
        <v>1389</v>
      </c>
      <c r="B908" s="3">
        <v>157516</v>
      </c>
      <c r="C908" s="3">
        <v>901768</v>
      </c>
      <c r="D908" s="4" t="s">
        <v>81</v>
      </c>
      <c r="E908" s="4" t="s">
        <v>739</v>
      </c>
      <c r="F908" s="4" t="s">
        <v>83</v>
      </c>
      <c r="G908" s="4" t="s">
        <v>93</v>
      </c>
      <c r="H908" s="5">
        <v>-1844.07</v>
      </c>
      <c r="I908" s="4" t="s">
        <v>21</v>
      </c>
      <c r="J908" s="5">
        <f t="shared" si="14"/>
        <v>8366.914404000001</v>
      </c>
      <c r="K908" s="4" t="s">
        <v>50</v>
      </c>
      <c r="L908" s="6">
        <v>4.5372000000000003</v>
      </c>
      <c r="M908" s="6">
        <v>0.22040000000000001</v>
      </c>
      <c r="N908" s="6">
        <v>4.5608000000000004</v>
      </c>
      <c r="O908" s="6">
        <v>1</v>
      </c>
      <c r="P908" s="5">
        <v>-43.534455999999999</v>
      </c>
      <c r="Q908" s="4" t="s">
        <v>1391</v>
      </c>
    </row>
    <row r="909" spans="1:17" x14ac:dyDescent="0.3">
      <c r="A909" s="2" t="s">
        <v>1389</v>
      </c>
      <c r="B909" s="3">
        <v>157517</v>
      </c>
      <c r="C909" s="3">
        <v>218034</v>
      </c>
      <c r="D909" s="4" t="s">
        <v>17</v>
      </c>
      <c r="E909" s="4" t="s">
        <v>734</v>
      </c>
      <c r="F909" s="4" t="s">
        <v>32</v>
      </c>
      <c r="G909" s="4" t="s">
        <v>20</v>
      </c>
      <c r="H909" s="5">
        <v>-4000</v>
      </c>
      <c r="I909" s="4" t="s">
        <v>21</v>
      </c>
      <c r="J909" s="5">
        <f t="shared" si="14"/>
        <v>16892.800000000003</v>
      </c>
      <c r="K909" s="4" t="s">
        <v>49</v>
      </c>
      <c r="L909" s="6">
        <v>4.2232000000000003</v>
      </c>
      <c r="M909" s="6">
        <v>0.23680000000000001</v>
      </c>
      <c r="N909" s="6">
        <v>4.2191999999999998</v>
      </c>
      <c r="O909" s="6">
        <v>1</v>
      </c>
      <c r="P909" s="5">
        <v>11.87</v>
      </c>
      <c r="Q909" s="4" t="s">
        <v>1393</v>
      </c>
    </row>
    <row r="910" spans="1:17" x14ac:dyDescent="0.3">
      <c r="A910" s="2" t="s">
        <v>1389</v>
      </c>
      <c r="B910" s="3">
        <v>157518</v>
      </c>
      <c r="C910" s="3">
        <v>218036</v>
      </c>
      <c r="D910" s="4" t="s">
        <v>17</v>
      </c>
      <c r="E910" s="4" t="s">
        <v>734</v>
      </c>
      <c r="F910" s="4" t="s">
        <v>32</v>
      </c>
      <c r="G910" s="4" t="s">
        <v>20</v>
      </c>
      <c r="H910" s="5">
        <v>-4000</v>
      </c>
      <c r="I910" s="4" t="s">
        <v>21</v>
      </c>
      <c r="J910" s="5">
        <f t="shared" si="14"/>
        <v>16893.2</v>
      </c>
      <c r="K910" s="4" t="s">
        <v>49</v>
      </c>
      <c r="L910" s="6">
        <v>4.2233000000000001</v>
      </c>
      <c r="M910" s="6">
        <v>0.23680000000000001</v>
      </c>
      <c r="N910" s="6">
        <v>4.2191999999999998</v>
      </c>
      <c r="O910" s="6">
        <v>1</v>
      </c>
      <c r="P910" s="5">
        <v>11.99</v>
      </c>
      <c r="Q910" s="4" t="s">
        <v>1393</v>
      </c>
    </row>
    <row r="911" spans="1:17" x14ac:dyDescent="0.3">
      <c r="A911" s="2" t="s">
        <v>1389</v>
      </c>
      <c r="B911" s="3">
        <v>157519</v>
      </c>
      <c r="C911" s="3">
        <v>901835</v>
      </c>
      <c r="D911" s="4" t="s">
        <v>81</v>
      </c>
      <c r="E911" s="4" t="s">
        <v>730</v>
      </c>
      <c r="F911" s="4" t="s">
        <v>83</v>
      </c>
      <c r="G911" s="4" t="s">
        <v>20</v>
      </c>
      <c r="H911" s="5">
        <v>-52302.82</v>
      </c>
      <c r="I911" s="4" t="s">
        <v>21</v>
      </c>
      <c r="J911" s="5">
        <f t="shared" si="14"/>
        <v>220906.19055200001</v>
      </c>
      <c r="K911" s="4" t="s">
        <v>50</v>
      </c>
      <c r="L911" s="6">
        <v>4.2236000000000002</v>
      </c>
      <c r="M911" s="6">
        <v>0.23680000000000001</v>
      </c>
      <c r="N911" s="6">
        <v>4.2279</v>
      </c>
      <c r="O911" s="6">
        <v>1</v>
      </c>
      <c r="P911" s="5">
        <v>-223.33267799999999</v>
      </c>
      <c r="Q911" s="4" t="s">
        <v>1396</v>
      </c>
    </row>
    <row r="912" spans="1:17" x14ac:dyDescent="0.3">
      <c r="A912" s="2" t="s">
        <v>1389</v>
      </c>
      <c r="B912" s="3">
        <v>157520</v>
      </c>
      <c r="C912" s="3">
        <v>901836</v>
      </c>
      <c r="D912" s="4" t="s">
        <v>81</v>
      </c>
      <c r="E912" s="4" t="s">
        <v>735</v>
      </c>
      <c r="F912" s="4" t="s">
        <v>83</v>
      </c>
      <c r="G912" s="4" t="s">
        <v>34</v>
      </c>
      <c r="H912" s="5">
        <v>-1356.37</v>
      </c>
      <c r="I912" s="4" t="s">
        <v>21</v>
      </c>
      <c r="J912" s="5">
        <f t="shared" si="14"/>
        <v>4924.1656479999992</v>
      </c>
      <c r="K912" s="4" t="s">
        <v>50</v>
      </c>
      <c r="L912" s="6">
        <v>3.6303999999999998</v>
      </c>
      <c r="M912" s="6">
        <v>0.27550000000000002</v>
      </c>
      <c r="N912" s="6">
        <v>3.6053999999999999</v>
      </c>
      <c r="O912" s="6">
        <v>1</v>
      </c>
      <c r="P912" s="5">
        <v>33.913601999999997</v>
      </c>
      <c r="Q912" s="4" t="s">
        <v>1394</v>
      </c>
    </row>
    <row r="913" spans="1:17" x14ac:dyDescent="0.3">
      <c r="A913" s="2" t="s">
        <v>1389</v>
      </c>
      <c r="B913" s="3">
        <v>157521</v>
      </c>
      <c r="C913" s="3">
        <v>218039</v>
      </c>
      <c r="D913" s="4" t="s">
        <v>17</v>
      </c>
      <c r="E913" s="4" t="s">
        <v>734</v>
      </c>
      <c r="F913" s="4" t="s">
        <v>19</v>
      </c>
      <c r="G913" s="4" t="s">
        <v>20</v>
      </c>
      <c r="H913" s="5">
        <v>10000</v>
      </c>
      <c r="I913" s="4" t="s">
        <v>21</v>
      </c>
      <c r="J913" s="5">
        <f t="shared" si="14"/>
        <v>-42246</v>
      </c>
      <c r="K913" s="4" t="s">
        <v>49</v>
      </c>
      <c r="L913" s="6">
        <v>4.2245999999999997</v>
      </c>
      <c r="M913" s="6">
        <v>0.23669999999999999</v>
      </c>
      <c r="N913" s="6">
        <v>4.2191999999999998</v>
      </c>
      <c r="O913" s="6">
        <v>1</v>
      </c>
      <c r="P913" s="5">
        <v>-54</v>
      </c>
      <c r="Q913" s="4" t="s">
        <v>1393</v>
      </c>
    </row>
    <row r="914" spans="1:17" x14ac:dyDescent="0.3">
      <c r="A914" s="2" t="s">
        <v>1389</v>
      </c>
      <c r="B914" s="3">
        <v>157522</v>
      </c>
      <c r="C914" s="3">
        <v>218040</v>
      </c>
      <c r="D914" s="4" t="s">
        <v>17</v>
      </c>
      <c r="E914" s="4" t="s">
        <v>727</v>
      </c>
      <c r="F914" s="4" t="s">
        <v>32</v>
      </c>
      <c r="G914" s="4" t="s">
        <v>20</v>
      </c>
      <c r="H914" s="5">
        <v>-94678.37</v>
      </c>
      <c r="I914" s="4" t="s">
        <v>21</v>
      </c>
      <c r="J914" s="5">
        <f t="shared" si="14"/>
        <v>399997.17757599999</v>
      </c>
      <c r="K914" s="4" t="s">
        <v>49</v>
      </c>
      <c r="L914" s="6">
        <v>4.2248000000000001</v>
      </c>
      <c r="M914" s="6">
        <v>0.23669999999999999</v>
      </c>
      <c r="N914" s="6">
        <v>4.2191999999999998</v>
      </c>
      <c r="O914" s="6">
        <v>1</v>
      </c>
      <c r="P914" s="5">
        <v>533.02129600000001</v>
      </c>
      <c r="Q914" s="4" t="s">
        <v>1397</v>
      </c>
    </row>
    <row r="915" spans="1:17" x14ac:dyDescent="0.3">
      <c r="A915" s="2" t="s">
        <v>1389</v>
      </c>
      <c r="B915" s="3">
        <v>157523</v>
      </c>
      <c r="C915" s="3">
        <v>901847</v>
      </c>
      <c r="D915" s="4" t="s">
        <v>81</v>
      </c>
      <c r="E915" s="4" t="s">
        <v>730</v>
      </c>
      <c r="F915" s="4" t="s">
        <v>83</v>
      </c>
      <c r="G915" s="4" t="s">
        <v>20</v>
      </c>
      <c r="H915" s="5">
        <v>-100214.15</v>
      </c>
      <c r="I915" s="4" t="s">
        <v>21</v>
      </c>
      <c r="J915" s="5">
        <f t="shared" si="14"/>
        <v>423304.56959999999</v>
      </c>
      <c r="K915" s="4" t="s">
        <v>50</v>
      </c>
      <c r="L915" s="6">
        <v>4.2240000000000002</v>
      </c>
      <c r="M915" s="6">
        <v>0.23669999999999999</v>
      </c>
      <c r="N915" s="6">
        <v>4.2279</v>
      </c>
      <c r="O915" s="6">
        <v>1</v>
      </c>
      <c r="P915" s="5">
        <v>-394.844785</v>
      </c>
      <c r="Q915" s="4" t="s">
        <v>1396</v>
      </c>
    </row>
    <row r="916" spans="1:17" x14ac:dyDescent="0.3">
      <c r="A916" s="2" t="s">
        <v>1389</v>
      </c>
      <c r="B916" s="3">
        <v>157524</v>
      </c>
      <c r="C916" s="3">
        <v>901848</v>
      </c>
      <c r="D916" s="4" t="s">
        <v>81</v>
      </c>
      <c r="E916" s="4" t="s">
        <v>730</v>
      </c>
      <c r="F916" s="4" t="s">
        <v>83</v>
      </c>
      <c r="G916" s="4" t="s">
        <v>34</v>
      </c>
      <c r="H916" s="5">
        <v>-21608.89</v>
      </c>
      <c r="I916" s="4" t="s">
        <v>21</v>
      </c>
      <c r="J916" s="5">
        <f t="shared" si="14"/>
        <v>78412.179142999987</v>
      </c>
      <c r="K916" s="4" t="s">
        <v>50</v>
      </c>
      <c r="L916" s="6">
        <v>3.6286999999999998</v>
      </c>
      <c r="M916" s="6">
        <v>0.27560000000000001</v>
      </c>
      <c r="N916" s="6">
        <v>3.6053999999999999</v>
      </c>
      <c r="O916" s="6">
        <v>1</v>
      </c>
      <c r="P916" s="5">
        <v>503.70799399999999</v>
      </c>
      <c r="Q916" s="4" t="s">
        <v>1396</v>
      </c>
    </row>
    <row r="917" spans="1:17" x14ac:dyDescent="0.3">
      <c r="A917" s="2" t="s">
        <v>1389</v>
      </c>
      <c r="B917" s="3">
        <v>157525</v>
      </c>
      <c r="C917" s="3">
        <v>218043</v>
      </c>
      <c r="D917" s="4" t="s">
        <v>17</v>
      </c>
      <c r="E917" s="4" t="s">
        <v>735</v>
      </c>
      <c r="F917" s="4" t="s">
        <v>19</v>
      </c>
      <c r="G917" s="4" t="s">
        <v>91</v>
      </c>
      <c r="H917" s="5">
        <v>5300</v>
      </c>
      <c r="I917" s="4" t="s">
        <v>21</v>
      </c>
      <c r="J917" s="5">
        <f t="shared" si="14"/>
        <v>-25798.280000000002</v>
      </c>
      <c r="K917" s="4" t="s">
        <v>49</v>
      </c>
      <c r="L917" s="6">
        <v>4.8676000000000004</v>
      </c>
      <c r="M917" s="6">
        <v>0.2054</v>
      </c>
      <c r="N917" s="6">
        <v>4.8692000000000002</v>
      </c>
      <c r="O917" s="6">
        <v>1</v>
      </c>
      <c r="P917" s="5">
        <v>8.4799999999995634</v>
      </c>
      <c r="Q917" s="4" t="s">
        <v>1394</v>
      </c>
    </row>
    <row r="918" spans="1:17" x14ac:dyDescent="0.3">
      <c r="A918" s="2" t="s">
        <v>1389</v>
      </c>
      <c r="B918" s="3">
        <v>157526</v>
      </c>
      <c r="C918" s="3">
        <v>218048</v>
      </c>
      <c r="D918" s="4" t="s">
        <v>17</v>
      </c>
      <c r="E918" s="4" t="s">
        <v>1277</v>
      </c>
      <c r="F918" s="4" t="s">
        <v>19</v>
      </c>
      <c r="G918" s="4" t="s">
        <v>20</v>
      </c>
      <c r="H918" s="5">
        <v>40000</v>
      </c>
      <c r="I918" s="4" t="s">
        <v>21</v>
      </c>
      <c r="J918" s="5">
        <f t="shared" si="14"/>
        <v>-169020</v>
      </c>
      <c r="K918" s="4" t="s">
        <v>49</v>
      </c>
      <c r="L918" s="6">
        <v>4.2255000000000003</v>
      </c>
      <c r="M918" s="6">
        <v>0.23669999999999999</v>
      </c>
      <c r="N918" s="6">
        <v>4.2191999999999998</v>
      </c>
      <c r="O918" s="6">
        <v>1</v>
      </c>
      <c r="P918" s="5">
        <v>-252</v>
      </c>
      <c r="Q918" s="4" t="s">
        <v>1390</v>
      </c>
    </row>
    <row r="919" spans="1:17" x14ac:dyDescent="0.3">
      <c r="A919" s="2" t="s">
        <v>1389</v>
      </c>
      <c r="B919" s="3">
        <v>157527</v>
      </c>
      <c r="C919" s="3">
        <v>218058</v>
      </c>
      <c r="D919" s="4" t="s">
        <v>17</v>
      </c>
      <c r="E919" s="4" t="s">
        <v>789</v>
      </c>
      <c r="F919" s="4" t="s">
        <v>32</v>
      </c>
      <c r="G919" s="4" t="s">
        <v>20</v>
      </c>
      <c r="H919" s="5">
        <v>-10000</v>
      </c>
      <c r="I919" s="4" t="s">
        <v>21</v>
      </c>
      <c r="J919" s="5">
        <f t="shared" si="14"/>
        <v>42430</v>
      </c>
      <c r="K919" s="4" t="s">
        <v>49</v>
      </c>
      <c r="L919" s="6">
        <v>4.2430000000000003</v>
      </c>
      <c r="M919" s="6">
        <v>0.23569999999999999</v>
      </c>
      <c r="N919" s="6">
        <v>4.2191999999999998</v>
      </c>
      <c r="O919" s="6">
        <v>1</v>
      </c>
      <c r="P919" s="5">
        <v>238</v>
      </c>
      <c r="Q919" s="4" t="s">
        <v>1390</v>
      </c>
    </row>
    <row r="920" spans="1:17" x14ac:dyDescent="0.3">
      <c r="A920" s="2" t="s">
        <v>1389</v>
      </c>
      <c r="B920" s="3">
        <v>157528</v>
      </c>
      <c r="C920" s="3">
        <v>901904</v>
      </c>
      <c r="D920" s="4" t="s">
        <v>81</v>
      </c>
      <c r="E920" s="4" t="s">
        <v>855</v>
      </c>
      <c r="F920" s="4" t="s">
        <v>87</v>
      </c>
      <c r="G920" s="4" t="s">
        <v>20</v>
      </c>
      <c r="H920" s="5">
        <v>35000</v>
      </c>
      <c r="I920" s="4" t="s">
        <v>21</v>
      </c>
      <c r="J920" s="5">
        <f t="shared" si="14"/>
        <v>-147896</v>
      </c>
      <c r="K920" s="4" t="s">
        <v>50</v>
      </c>
      <c r="L920" s="6">
        <v>4.2256</v>
      </c>
      <c r="M920" s="6">
        <v>0.23669999999999999</v>
      </c>
      <c r="N920" s="6">
        <v>4.2279</v>
      </c>
      <c r="O920" s="6">
        <v>1</v>
      </c>
      <c r="P920" s="5">
        <v>80.5</v>
      </c>
      <c r="Q920" s="4" t="s">
        <v>1390</v>
      </c>
    </row>
    <row r="921" spans="1:17" x14ac:dyDescent="0.3">
      <c r="A921" s="2" t="s">
        <v>1389</v>
      </c>
      <c r="B921" s="3">
        <v>157529</v>
      </c>
      <c r="C921" s="3">
        <v>218062</v>
      </c>
      <c r="D921" s="4" t="s">
        <v>17</v>
      </c>
      <c r="E921" s="4" t="s">
        <v>989</v>
      </c>
      <c r="F921" s="4" t="s">
        <v>19</v>
      </c>
      <c r="G921" s="4" t="s">
        <v>20</v>
      </c>
      <c r="H921" s="5">
        <v>100000</v>
      </c>
      <c r="I921" s="4" t="s">
        <v>21</v>
      </c>
      <c r="J921" s="5">
        <f t="shared" si="14"/>
        <v>-422100</v>
      </c>
      <c r="K921" s="4" t="s">
        <v>49</v>
      </c>
      <c r="L921" s="6">
        <v>4.2210000000000001</v>
      </c>
      <c r="M921" s="6">
        <v>0.2369</v>
      </c>
      <c r="N921" s="6">
        <v>4.2191999999999998</v>
      </c>
      <c r="O921" s="6">
        <v>1</v>
      </c>
      <c r="P921" s="5">
        <v>-180</v>
      </c>
      <c r="Q921" s="4" t="s">
        <v>1390</v>
      </c>
    </row>
    <row r="922" spans="1:17" x14ac:dyDescent="0.3">
      <c r="A922" s="2" t="s">
        <v>1389</v>
      </c>
      <c r="B922" s="3">
        <v>157530</v>
      </c>
      <c r="C922" s="3">
        <v>901921</v>
      </c>
      <c r="D922" s="4" t="s">
        <v>81</v>
      </c>
      <c r="E922" s="4" t="s">
        <v>734</v>
      </c>
      <c r="F922" s="4" t="s">
        <v>83</v>
      </c>
      <c r="G922" s="4" t="s">
        <v>20</v>
      </c>
      <c r="H922" s="5">
        <v>-500000</v>
      </c>
      <c r="I922" s="4" t="s">
        <v>34</v>
      </c>
      <c r="J922" s="5">
        <f t="shared" si="14"/>
        <v>581400</v>
      </c>
      <c r="K922" s="4" t="s">
        <v>50</v>
      </c>
      <c r="L922" s="6">
        <v>1.1628000000000001</v>
      </c>
      <c r="M922" s="6">
        <v>0.86</v>
      </c>
      <c r="N922" s="6">
        <v>4.2279</v>
      </c>
      <c r="O922" s="6">
        <v>3.6053999999999999</v>
      </c>
      <c r="P922" s="5">
        <v>-17842.547999999999</v>
      </c>
      <c r="Q922" s="4" t="s">
        <v>1393</v>
      </c>
    </row>
    <row r="923" spans="1:17" x14ac:dyDescent="0.3">
      <c r="A923" s="2" t="s">
        <v>1389</v>
      </c>
      <c r="B923" s="3">
        <v>157531</v>
      </c>
      <c r="C923" s="3">
        <v>901922</v>
      </c>
      <c r="D923" s="4" t="s">
        <v>81</v>
      </c>
      <c r="E923" s="4" t="s">
        <v>732</v>
      </c>
      <c r="F923" s="4" t="s">
        <v>87</v>
      </c>
      <c r="G923" s="4" t="s">
        <v>34</v>
      </c>
      <c r="H923" s="5">
        <v>500000</v>
      </c>
      <c r="I923" s="4" t="s">
        <v>21</v>
      </c>
      <c r="J923" s="5">
        <f t="shared" si="14"/>
        <v>-1818350</v>
      </c>
      <c r="K923" s="4" t="s">
        <v>50</v>
      </c>
      <c r="L923" s="6">
        <v>3.6366999999999998</v>
      </c>
      <c r="M923" s="6">
        <v>0.27500000000000002</v>
      </c>
      <c r="N923" s="6">
        <v>3.6053999999999999</v>
      </c>
      <c r="O923" s="6">
        <v>1</v>
      </c>
      <c r="P923" s="5">
        <v>-15650</v>
      </c>
      <c r="Q923" s="4" t="s">
        <v>1394</v>
      </c>
    </row>
    <row r="924" spans="1:17" x14ac:dyDescent="0.3">
      <c r="A924" s="2" t="s">
        <v>1389</v>
      </c>
      <c r="B924" s="3">
        <v>157533</v>
      </c>
      <c r="C924" s="3">
        <v>901938</v>
      </c>
      <c r="D924" s="4" t="s">
        <v>81</v>
      </c>
      <c r="E924" s="4" t="s">
        <v>725</v>
      </c>
      <c r="F924" s="4" t="s">
        <v>87</v>
      </c>
      <c r="G924" s="4" t="s">
        <v>20</v>
      </c>
      <c r="H924" s="5">
        <v>100000</v>
      </c>
      <c r="I924" s="4" t="s">
        <v>91</v>
      </c>
      <c r="J924" s="5">
        <f t="shared" si="14"/>
        <v>-86780</v>
      </c>
      <c r="K924" s="4" t="s">
        <v>50</v>
      </c>
      <c r="L924" s="6">
        <v>0.86780000000000002</v>
      </c>
      <c r="M924" s="6">
        <v>1.1523000000000001</v>
      </c>
      <c r="N924" s="6">
        <v>4.2279</v>
      </c>
      <c r="O924" s="6">
        <v>4.8582999999999998</v>
      </c>
      <c r="P924" s="5">
        <v>1172.1511</v>
      </c>
      <c r="Q924" s="4" t="s">
        <v>1392</v>
      </c>
    </row>
    <row r="925" spans="1:17" x14ac:dyDescent="0.3">
      <c r="A925" s="2" t="s">
        <v>1389</v>
      </c>
      <c r="B925" s="3">
        <v>157536</v>
      </c>
      <c r="C925" s="3">
        <v>901945</v>
      </c>
      <c r="D925" s="4" t="s">
        <v>81</v>
      </c>
      <c r="E925" s="4" t="s">
        <v>735</v>
      </c>
      <c r="F925" s="4" t="s">
        <v>87</v>
      </c>
      <c r="G925" s="4" t="s">
        <v>20</v>
      </c>
      <c r="H925" s="5">
        <v>100000</v>
      </c>
      <c r="I925" s="4" t="s">
        <v>80</v>
      </c>
      <c r="J925" s="5">
        <f t="shared" si="14"/>
        <v>-808730.00000000012</v>
      </c>
      <c r="K925" s="4" t="s">
        <v>50</v>
      </c>
      <c r="L925" s="6">
        <v>8.0873000000000008</v>
      </c>
      <c r="M925" s="6">
        <v>0.1237</v>
      </c>
      <c r="N925" s="6">
        <v>4.2279</v>
      </c>
      <c r="O925" s="6">
        <v>0.51800000000000002</v>
      </c>
      <c r="P925" s="5">
        <v>3869.4140000000002</v>
      </c>
      <c r="Q925" s="4" t="s">
        <v>1394</v>
      </c>
    </row>
    <row r="926" spans="1:17" x14ac:dyDescent="0.3">
      <c r="A926" s="2" t="s">
        <v>1389</v>
      </c>
      <c r="B926" s="3">
        <v>157537</v>
      </c>
      <c r="C926" s="3">
        <v>218067</v>
      </c>
      <c r="D926" s="4" t="s">
        <v>17</v>
      </c>
      <c r="E926" s="4" t="s">
        <v>1154</v>
      </c>
      <c r="F926" s="4" t="s">
        <v>32</v>
      </c>
      <c r="G926" s="4" t="s">
        <v>20</v>
      </c>
      <c r="H926" s="5">
        <v>-100000</v>
      </c>
      <c r="I926" s="4" t="s">
        <v>21</v>
      </c>
      <c r="J926" s="5">
        <f t="shared" si="14"/>
        <v>423040.00000000006</v>
      </c>
      <c r="K926" s="4" t="s">
        <v>49</v>
      </c>
      <c r="L926" s="6">
        <v>4.2304000000000004</v>
      </c>
      <c r="M926" s="6">
        <v>0.2364</v>
      </c>
      <c r="N926" s="6">
        <v>4.2191999999999998</v>
      </c>
      <c r="O926" s="6">
        <v>1</v>
      </c>
      <c r="P926" s="5">
        <v>1070</v>
      </c>
      <c r="Q926" s="4" t="s">
        <v>1390</v>
      </c>
    </row>
    <row r="927" spans="1:17" x14ac:dyDescent="0.3">
      <c r="A927" s="2" t="s">
        <v>1389</v>
      </c>
      <c r="B927" s="3">
        <v>157538</v>
      </c>
      <c r="C927" s="3">
        <v>901949</v>
      </c>
      <c r="D927" s="4" t="s">
        <v>81</v>
      </c>
      <c r="E927" s="4" t="s">
        <v>742</v>
      </c>
      <c r="F927" s="4" t="s">
        <v>83</v>
      </c>
      <c r="G927" s="4" t="s">
        <v>34</v>
      </c>
      <c r="H927" s="5">
        <v>-5000000</v>
      </c>
      <c r="I927" s="4" t="s">
        <v>21</v>
      </c>
      <c r="J927" s="5">
        <f t="shared" si="14"/>
        <v>18195000</v>
      </c>
      <c r="K927" s="4" t="s">
        <v>50</v>
      </c>
      <c r="L927" s="6">
        <v>3.6389999999999998</v>
      </c>
      <c r="M927" s="6">
        <v>0.27479999999999999</v>
      </c>
      <c r="N927" s="6">
        <v>3.6053999999999999</v>
      </c>
      <c r="O927" s="6">
        <v>1</v>
      </c>
      <c r="P927" s="5">
        <v>168000</v>
      </c>
      <c r="Q927" s="4" t="s">
        <v>1396</v>
      </c>
    </row>
    <row r="928" spans="1:17" x14ac:dyDescent="0.3">
      <c r="A928" s="2" t="s">
        <v>1389</v>
      </c>
      <c r="B928" s="3">
        <v>157539</v>
      </c>
      <c r="C928" s="3">
        <v>901950</v>
      </c>
      <c r="D928" s="4" t="s">
        <v>81</v>
      </c>
      <c r="E928" s="4" t="s">
        <v>734</v>
      </c>
      <c r="F928" s="4" t="s">
        <v>83</v>
      </c>
      <c r="G928" s="4" t="s">
        <v>34</v>
      </c>
      <c r="H928" s="5">
        <v>-500000</v>
      </c>
      <c r="I928" s="4" t="s">
        <v>21</v>
      </c>
      <c r="J928" s="5">
        <f t="shared" si="14"/>
        <v>1819500</v>
      </c>
      <c r="K928" s="4" t="s">
        <v>50</v>
      </c>
      <c r="L928" s="6">
        <v>3.6389999999999998</v>
      </c>
      <c r="M928" s="6">
        <v>0.27479999999999999</v>
      </c>
      <c r="N928" s="6">
        <v>3.6053999999999999</v>
      </c>
      <c r="O928" s="6">
        <v>1</v>
      </c>
      <c r="P928" s="5">
        <v>16800</v>
      </c>
      <c r="Q928" s="4" t="s">
        <v>1393</v>
      </c>
    </row>
    <row r="929" spans="1:17" x14ac:dyDescent="0.3">
      <c r="A929" s="2" t="s">
        <v>1389</v>
      </c>
      <c r="B929" s="3">
        <v>157540</v>
      </c>
      <c r="C929" s="3">
        <v>901951</v>
      </c>
      <c r="D929" s="4" t="s">
        <v>81</v>
      </c>
      <c r="E929" s="4" t="s">
        <v>735</v>
      </c>
      <c r="F929" s="4" t="s">
        <v>83</v>
      </c>
      <c r="G929" s="4" t="s">
        <v>20</v>
      </c>
      <c r="H929" s="5">
        <v>-500000</v>
      </c>
      <c r="I929" s="4" t="s">
        <v>21</v>
      </c>
      <c r="J929" s="5">
        <f t="shared" si="14"/>
        <v>2114500</v>
      </c>
      <c r="K929" s="4" t="s">
        <v>50</v>
      </c>
      <c r="L929" s="6">
        <v>4.2290000000000001</v>
      </c>
      <c r="M929" s="6">
        <v>0.23649999999999999</v>
      </c>
      <c r="N929" s="6">
        <v>4.2279</v>
      </c>
      <c r="O929" s="6">
        <v>1</v>
      </c>
      <c r="P929" s="5">
        <v>550</v>
      </c>
      <c r="Q929" s="4" t="s">
        <v>1394</v>
      </c>
    </row>
    <row r="930" spans="1:17" x14ac:dyDescent="0.3">
      <c r="A930" s="2" t="s">
        <v>1389</v>
      </c>
      <c r="B930" s="3">
        <v>157541</v>
      </c>
      <c r="C930" s="3">
        <v>901955</v>
      </c>
      <c r="D930" s="4" t="s">
        <v>81</v>
      </c>
      <c r="E930" s="4" t="s">
        <v>735</v>
      </c>
      <c r="F930" s="4" t="s">
        <v>83</v>
      </c>
      <c r="G930" s="4" t="s">
        <v>34</v>
      </c>
      <c r="H930" s="5">
        <v>-500000</v>
      </c>
      <c r="I930" s="4" t="s">
        <v>21</v>
      </c>
      <c r="J930" s="5">
        <f t="shared" si="14"/>
        <v>1819250</v>
      </c>
      <c r="K930" s="4" t="s">
        <v>50</v>
      </c>
      <c r="L930" s="6">
        <v>3.6385000000000001</v>
      </c>
      <c r="M930" s="6">
        <v>0.27479999999999999</v>
      </c>
      <c r="N930" s="6">
        <v>3.6053999999999999</v>
      </c>
      <c r="O930" s="6">
        <v>1</v>
      </c>
      <c r="P930" s="5">
        <v>16550</v>
      </c>
      <c r="Q930" s="4" t="s">
        <v>1394</v>
      </c>
    </row>
    <row r="931" spans="1:17" x14ac:dyDescent="0.3">
      <c r="A931" s="2" t="s">
        <v>1389</v>
      </c>
      <c r="B931" s="3">
        <v>157543</v>
      </c>
      <c r="C931" s="3">
        <v>901957</v>
      </c>
      <c r="D931" s="4" t="s">
        <v>81</v>
      </c>
      <c r="E931" s="4" t="s">
        <v>725</v>
      </c>
      <c r="F931" s="4" t="s">
        <v>83</v>
      </c>
      <c r="G931" s="4" t="s">
        <v>34</v>
      </c>
      <c r="H931" s="5">
        <v>-1000000</v>
      </c>
      <c r="I931" s="4" t="s">
        <v>21</v>
      </c>
      <c r="J931" s="5">
        <f t="shared" si="14"/>
        <v>3639000</v>
      </c>
      <c r="K931" s="4" t="s">
        <v>50</v>
      </c>
      <c r="L931" s="6">
        <v>3.6389999999999998</v>
      </c>
      <c r="M931" s="6">
        <v>0.27479999999999999</v>
      </c>
      <c r="N931" s="6">
        <v>3.6053999999999999</v>
      </c>
      <c r="O931" s="6">
        <v>1</v>
      </c>
      <c r="P931" s="5">
        <v>33630</v>
      </c>
      <c r="Q931" s="4" t="s">
        <v>1392</v>
      </c>
    </row>
    <row r="932" spans="1:17" x14ac:dyDescent="0.3">
      <c r="A932" s="2" t="s">
        <v>1389</v>
      </c>
      <c r="B932" s="3">
        <v>157544</v>
      </c>
      <c r="C932" s="3">
        <v>901958</v>
      </c>
      <c r="D932" s="4" t="s">
        <v>81</v>
      </c>
      <c r="E932" s="4" t="s">
        <v>735</v>
      </c>
      <c r="F932" s="4" t="s">
        <v>83</v>
      </c>
      <c r="G932" s="4" t="s">
        <v>34</v>
      </c>
      <c r="H932" s="5">
        <v>-500000</v>
      </c>
      <c r="I932" s="4" t="s">
        <v>21</v>
      </c>
      <c r="J932" s="5">
        <f t="shared" si="14"/>
        <v>1819500</v>
      </c>
      <c r="K932" s="4" t="s">
        <v>50</v>
      </c>
      <c r="L932" s="6">
        <v>3.6389999999999998</v>
      </c>
      <c r="M932" s="6">
        <v>0.27479999999999999</v>
      </c>
      <c r="N932" s="6">
        <v>3.6053999999999999</v>
      </c>
      <c r="O932" s="6">
        <v>1</v>
      </c>
      <c r="P932" s="5">
        <v>16800</v>
      </c>
      <c r="Q932" s="4" t="s">
        <v>1394</v>
      </c>
    </row>
    <row r="933" spans="1:17" x14ac:dyDescent="0.3">
      <c r="A933" s="2" t="s">
        <v>1389</v>
      </c>
      <c r="B933" s="3">
        <v>157545</v>
      </c>
      <c r="C933" s="3">
        <v>901959</v>
      </c>
      <c r="D933" s="4" t="s">
        <v>81</v>
      </c>
      <c r="E933" s="4" t="s">
        <v>734</v>
      </c>
      <c r="F933" s="4" t="s">
        <v>83</v>
      </c>
      <c r="G933" s="4" t="s">
        <v>34</v>
      </c>
      <c r="H933" s="5">
        <v>-500000</v>
      </c>
      <c r="I933" s="4" t="s">
        <v>21</v>
      </c>
      <c r="J933" s="5">
        <f t="shared" si="14"/>
        <v>1819600</v>
      </c>
      <c r="K933" s="4" t="s">
        <v>50</v>
      </c>
      <c r="L933" s="6">
        <v>3.6392000000000002</v>
      </c>
      <c r="M933" s="6">
        <v>0.27479999999999999</v>
      </c>
      <c r="N933" s="6">
        <v>3.6053999999999999</v>
      </c>
      <c r="O933" s="6">
        <v>1</v>
      </c>
      <c r="P933" s="5">
        <v>16900</v>
      </c>
      <c r="Q933" s="4" t="s">
        <v>1393</v>
      </c>
    </row>
    <row r="934" spans="1:17" x14ac:dyDescent="0.3">
      <c r="A934" s="2" t="s">
        <v>1389</v>
      </c>
      <c r="B934" s="3">
        <v>157546</v>
      </c>
      <c r="C934" s="3">
        <v>901960</v>
      </c>
      <c r="D934" s="4" t="s">
        <v>81</v>
      </c>
      <c r="E934" s="4" t="s">
        <v>734</v>
      </c>
      <c r="F934" s="4" t="s">
        <v>83</v>
      </c>
      <c r="G934" s="4" t="s">
        <v>34</v>
      </c>
      <c r="H934" s="5">
        <v>-500000</v>
      </c>
      <c r="I934" s="4" t="s">
        <v>21</v>
      </c>
      <c r="J934" s="5">
        <f t="shared" si="14"/>
        <v>1819600</v>
      </c>
      <c r="K934" s="4" t="s">
        <v>50</v>
      </c>
      <c r="L934" s="6">
        <v>3.6392000000000002</v>
      </c>
      <c r="M934" s="6">
        <v>0.27479999999999999</v>
      </c>
      <c r="N934" s="6">
        <v>3.6053999999999999</v>
      </c>
      <c r="O934" s="6">
        <v>1</v>
      </c>
      <c r="P934" s="5">
        <v>16900</v>
      </c>
      <c r="Q934" s="4" t="s">
        <v>1393</v>
      </c>
    </row>
    <row r="935" spans="1:17" x14ac:dyDescent="0.3">
      <c r="A935" s="2" t="s">
        <v>1389</v>
      </c>
      <c r="B935" s="3">
        <v>157547</v>
      </c>
      <c r="C935" s="3">
        <v>901964</v>
      </c>
      <c r="D935" s="4" t="s">
        <v>81</v>
      </c>
      <c r="E935" s="4" t="s">
        <v>735</v>
      </c>
      <c r="F935" s="4" t="s">
        <v>83</v>
      </c>
      <c r="G935" s="4" t="s">
        <v>20</v>
      </c>
      <c r="H935" s="5">
        <v>-500000</v>
      </c>
      <c r="I935" s="4" t="s">
        <v>21</v>
      </c>
      <c r="J935" s="5">
        <f t="shared" si="14"/>
        <v>2114450</v>
      </c>
      <c r="K935" s="4" t="s">
        <v>50</v>
      </c>
      <c r="L935" s="6">
        <v>4.2289000000000003</v>
      </c>
      <c r="M935" s="6">
        <v>0.23649999999999999</v>
      </c>
      <c r="N935" s="6">
        <v>4.2279</v>
      </c>
      <c r="O935" s="6">
        <v>1</v>
      </c>
      <c r="P935" s="5">
        <v>500</v>
      </c>
      <c r="Q935" s="4" t="s">
        <v>1394</v>
      </c>
    </row>
    <row r="936" spans="1:17" x14ac:dyDescent="0.3">
      <c r="A936" s="2" t="s">
        <v>1389</v>
      </c>
      <c r="B936" s="3">
        <v>157548</v>
      </c>
      <c r="C936" s="3">
        <v>901965</v>
      </c>
      <c r="D936" s="4" t="s">
        <v>81</v>
      </c>
      <c r="E936" s="4" t="s">
        <v>735</v>
      </c>
      <c r="F936" s="4" t="s">
        <v>83</v>
      </c>
      <c r="G936" s="4" t="s">
        <v>34</v>
      </c>
      <c r="H936" s="5">
        <v>-500000</v>
      </c>
      <c r="I936" s="4" t="s">
        <v>21</v>
      </c>
      <c r="J936" s="5">
        <f t="shared" si="14"/>
        <v>1819200</v>
      </c>
      <c r="K936" s="4" t="s">
        <v>50</v>
      </c>
      <c r="L936" s="6">
        <v>3.6383999999999999</v>
      </c>
      <c r="M936" s="6">
        <v>0.27479999999999999</v>
      </c>
      <c r="N936" s="6">
        <v>3.6053999999999999</v>
      </c>
      <c r="O936" s="6">
        <v>1</v>
      </c>
      <c r="P936" s="5">
        <v>16500</v>
      </c>
      <c r="Q936" s="4" t="s">
        <v>1394</v>
      </c>
    </row>
    <row r="937" spans="1:17" x14ac:dyDescent="0.3">
      <c r="A937" s="2" t="s">
        <v>1389</v>
      </c>
      <c r="B937" s="3">
        <v>157549</v>
      </c>
      <c r="C937" s="3">
        <v>901966</v>
      </c>
      <c r="D937" s="4" t="s">
        <v>81</v>
      </c>
      <c r="E937" s="4" t="s">
        <v>734</v>
      </c>
      <c r="F937" s="4" t="s">
        <v>87</v>
      </c>
      <c r="G937" s="4" t="s">
        <v>20</v>
      </c>
      <c r="H937" s="5">
        <v>1000000</v>
      </c>
      <c r="I937" s="4" t="s">
        <v>34</v>
      </c>
      <c r="J937" s="5">
        <f t="shared" si="14"/>
        <v>-1162100</v>
      </c>
      <c r="K937" s="4" t="s">
        <v>50</v>
      </c>
      <c r="L937" s="6">
        <v>1.1620999999999999</v>
      </c>
      <c r="M937" s="6">
        <v>0.86050000000000004</v>
      </c>
      <c r="N937" s="6">
        <v>4.2279</v>
      </c>
      <c r="O937" s="6">
        <v>3.6053999999999999</v>
      </c>
      <c r="P937" s="5">
        <v>37956.498</v>
      </c>
      <c r="Q937" s="4" t="s">
        <v>1393</v>
      </c>
    </row>
    <row r="938" spans="1:17" x14ac:dyDescent="0.3">
      <c r="A938" s="2" t="s">
        <v>1389</v>
      </c>
      <c r="B938" s="3">
        <v>155074</v>
      </c>
      <c r="C938" s="3">
        <v>888167</v>
      </c>
      <c r="D938" s="4" t="s">
        <v>81</v>
      </c>
      <c r="E938" s="4" t="s">
        <v>735</v>
      </c>
      <c r="F938" s="4" t="s">
        <v>87</v>
      </c>
      <c r="G938" s="4" t="s">
        <v>20</v>
      </c>
      <c r="H938" s="5">
        <v>300000</v>
      </c>
      <c r="I938" s="4" t="s">
        <v>74</v>
      </c>
      <c r="J938" s="5">
        <f t="shared" si="14"/>
        <v>-3539220</v>
      </c>
      <c r="K938" s="4" t="s">
        <v>105</v>
      </c>
      <c r="L938" s="6">
        <v>11.7974</v>
      </c>
      <c r="M938" s="6">
        <v>8.48E-2</v>
      </c>
      <c r="N938" s="6">
        <v>4.2110000000000003</v>
      </c>
      <c r="O938" s="6">
        <v>0.35720000000000002</v>
      </c>
      <c r="P938" s="5">
        <v>-909.38400000000001</v>
      </c>
      <c r="Q938" s="4" t="s">
        <v>1394</v>
      </c>
    </row>
    <row r="939" spans="1:17" x14ac:dyDescent="0.3">
      <c r="A939" s="2" t="s">
        <v>1389</v>
      </c>
      <c r="B939" s="3">
        <v>155075</v>
      </c>
      <c r="C939" s="3">
        <v>888173</v>
      </c>
      <c r="D939" s="4" t="s">
        <v>81</v>
      </c>
      <c r="E939" s="4" t="s">
        <v>736</v>
      </c>
      <c r="F939" s="4" t="s">
        <v>87</v>
      </c>
      <c r="G939" s="4" t="s">
        <v>84</v>
      </c>
      <c r="H939" s="5">
        <v>350000</v>
      </c>
      <c r="I939" s="4" t="s">
        <v>21</v>
      </c>
      <c r="J939" s="5">
        <f t="shared" si="14"/>
        <v>-136430</v>
      </c>
      <c r="K939" s="4" t="s">
        <v>46</v>
      </c>
      <c r="L939" s="6">
        <v>0.38979999999999998</v>
      </c>
      <c r="M939" s="6">
        <v>2.5653999999999999</v>
      </c>
      <c r="N939" s="6">
        <v>0.39050000000000001</v>
      </c>
      <c r="O939" s="6">
        <v>1</v>
      </c>
      <c r="P939" s="5">
        <v>245</v>
      </c>
      <c r="Q939" s="4" t="s">
        <v>1390</v>
      </c>
    </row>
    <row r="940" spans="1:17" x14ac:dyDescent="0.3">
      <c r="A940" s="2" t="s">
        <v>1389</v>
      </c>
      <c r="B940" s="3">
        <v>155076</v>
      </c>
      <c r="C940" s="3">
        <v>888181</v>
      </c>
      <c r="D940" s="4" t="s">
        <v>81</v>
      </c>
      <c r="E940" s="4" t="s">
        <v>736</v>
      </c>
      <c r="F940" s="4" t="s">
        <v>87</v>
      </c>
      <c r="G940" s="4" t="s">
        <v>74</v>
      </c>
      <c r="H940" s="5">
        <v>1640000</v>
      </c>
      <c r="I940" s="4" t="s">
        <v>21</v>
      </c>
      <c r="J940" s="5">
        <f t="shared" si="14"/>
        <v>-585316</v>
      </c>
      <c r="K940" s="4" t="s">
        <v>46</v>
      </c>
      <c r="L940" s="6">
        <v>0.3569</v>
      </c>
      <c r="M940" s="6">
        <v>2.8018999999999998</v>
      </c>
      <c r="N940" s="6">
        <v>0.35720000000000002</v>
      </c>
      <c r="O940" s="6">
        <v>1</v>
      </c>
      <c r="P940" s="5">
        <v>492</v>
      </c>
      <c r="Q940" s="4" t="s">
        <v>1390</v>
      </c>
    </row>
    <row r="941" spans="1:17" x14ac:dyDescent="0.3">
      <c r="A941" s="2" t="s">
        <v>1389</v>
      </c>
      <c r="B941" s="3">
        <v>155077</v>
      </c>
      <c r="C941" s="3">
        <v>888185</v>
      </c>
      <c r="D941" s="4" t="s">
        <v>81</v>
      </c>
      <c r="E941" s="4" t="s">
        <v>736</v>
      </c>
      <c r="F941" s="4" t="s">
        <v>87</v>
      </c>
      <c r="G941" s="4" t="s">
        <v>89</v>
      </c>
      <c r="H941" s="5">
        <v>690000</v>
      </c>
      <c r="I941" s="4" t="s">
        <v>21</v>
      </c>
      <c r="J941" s="5">
        <f t="shared" si="14"/>
        <v>-389090.99999999994</v>
      </c>
      <c r="K941" s="4" t="s">
        <v>46</v>
      </c>
      <c r="L941" s="6">
        <v>0.56389999999999996</v>
      </c>
      <c r="M941" s="6">
        <v>1.7734000000000001</v>
      </c>
      <c r="N941" s="6">
        <v>0.56369999999999998</v>
      </c>
      <c r="O941" s="6">
        <v>1</v>
      </c>
      <c r="P941" s="5">
        <v>-138</v>
      </c>
      <c r="Q941" s="4" t="s">
        <v>1390</v>
      </c>
    </row>
    <row r="942" spans="1:17" x14ac:dyDescent="0.3">
      <c r="A942" s="2" t="s">
        <v>1389</v>
      </c>
      <c r="B942" s="3">
        <v>155078</v>
      </c>
      <c r="C942" s="3">
        <v>888186</v>
      </c>
      <c r="D942" s="4" t="s">
        <v>81</v>
      </c>
      <c r="E942" s="4" t="s">
        <v>744</v>
      </c>
      <c r="F942" s="4" t="s">
        <v>87</v>
      </c>
      <c r="G942" s="4" t="s">
        <v>20</v>
      </c>
      <c r="H942" s="5">
        <v>100000</v>
      </c>
      <c r="I942" s="4" t="s">
        <v>74</v>
      </c>
      <c r="J942" s="5">
        <f t="shared" si="14"/>
        <v>-1179740</v>
      </c>
      <c r="K942" s="4" t="s">
        <v>105</v>
      </c>
      <c r="L942" s="6">
        <v>11.7974</v>
      </c>
      <c r="M942" s="6">
        <v>8.48E-2</v>
      </c>
      <c r="N942" s="6">
        <v>4.2110000000000003</v>
      </c>
      <c r="O942" s="6">
        <v>0.35720000000000002</v>
      </c>
      <c r="P942" s="5">
        <v>-302.0564</v>
      </c>
      <c r="Q942" s="4" t="s">
        <v>1395</v>
      </c>
    </row>
    <row r="943" spans="1:17" x14ac:dyDescent="0.3">
      <c r="A943" s="2" t="s">
        <v>1389</v>
      </c>
      <c r="B943" s="3">
        <v>155079</v>
      </c>
      <c r="C943" s="3">
        <v>888196</v>
      </c>
      <c r="D943" s="4" t="s">
        <v>81</v>
      </c>
      <c r="E943" s="4" t="s">
        <v>732</v>
      </c>
      <c r="F943" s="4" t="s">
        <v>83</v>
      </c>
      <c r="G943" s="4" t="s">
        <v>20</v>
      </c>
      <c r="H943" s="5">
        <v>-500000</v>
      </c>
      <c r="I943" s="4" t="s">
        <v>21</v>
      </c>
      <c r="J943" s="5">
        <f t="shared" si="14"/>
        <v>2105950</v>
      </c>
      <c r="K943" s="4" t="s">
        <v>46</v>
      </c>
      <c r="L943" s="6">
        <v>4.2119</v>
      </c>
      <c r="M943" s="6">
        <v>0.2374</v>
      </c>
      <c r="N943" s="6">
        <v>4.2110000000000003</v>
      </c>
      <c r="O943" s="6">
        <v>1</v>
      </c>
      <c r="P943" s="5">
        <v>450</v>
      </c>
      <c r="Q943" s="4" t="s">
        <v>1394</v>
      </c>
    </row>
    <row r="944" spans="1:17" x14ac:dyDescent="0.3">
      <c r="A944" s="2" t="s">
        <v>1389</v>
      </c>
      <c r="B944" s="3">
        <v>155080</v>
      </c>
      <c r="C944" s="3">
        <v>888199</v>
      </c>
      <c r="D944" s="4" t="s">
        <v>81</v>
      </c>
      <c r="E944" s="4" t="s">
        <v>732</v>
      </c>
      <c r="F944" s="4" t="s">
        <v>83</v>
      </c>
      <c r="G944" s="4" t="s">
        <v>20</v>
      </c>
      <c r="H944" s="5">
        <v>-500000</v>
      </c>
      <c r="I944" s="4" t="s">
        <v>21</v>
      </c>
      <c r="J944" s="5">
        <f t="shared" si="14"/>
        <v>2106000</v>
      </c>
      <c r="K944" s="4" t="s">
        <v>46</v>
      </c>
      <c r="L944" s="6">
        <v>4.2119999999999997</v>
      </c>
      <c r="M944" s="6">
        <v>0.2374</v>
      </c>
      <c r="N944" s="6">
        <v>4.2110000000000003</v>
      </c>
      <c r="O944" s="6">
        <v>1</v>
      </c>
      <c r="P944" s="5">
        <v>490</v>
      </c>
      <c r="Q944" s="4" t="s">
        <v>1394</v>
      </c>
    </row>
    <row r="945" spans="1:17" x14ac:dyDescent="0.3">
      <c r="A945" s="2" t="s">
        <v>1389</v>
      </c>
      <c r="B945" s="3">
        <v>155081</v>
      </c>
      <c r="C945" s="3">
        <v>888200</v>
      </c>
      <c r="D945" s="4" t="s">
        <v>81</v>
      </c>
      <c r="E945" s="4" t="s">
        <v>735</v>
      </c>
      <c r="F945" s="4" t="s">
        <v>83</v>
      </c>
      <c r="G945" s="4" t="s">
        <v>20</v>
      </c>
      <c r="H945" s="5">
        <v>-500000</v>
      </c>
      <c r="I945" s="4" t="s">
        <v>21</v>
      </c>
      <c r="J945" s="5">
        <f t="shared" si="14"/>
        <v>2105950</v>
      </c>
      <c r="K945" s="4" t="s">
        <v>46</v>
      </c>
      <c r="L945" s="6">
        <v>4.2119</v>
      </c>
      <c r="M945" s="6">
        <v>0.2374</v>
      </c>
      <c r="N945" s="6">
        <v>4.2110000000000003</v>
      </c>
      <c r="O945" s="6">
        <v>1</v>
      </c>
      <c r="P945" s="5">
        <v>450</v>
      </c>
      <c r="Q945" s="4" t="s">
        <v>1394</v>
      </c>
    </row>
    <row r="946" spans="1:17" x14ac:dyDescent="0.3">
      <c r="A946" s="2" t="s">
        <v>1389</v>
      </c>
      <c r="B946" s="3">
        <v>155082</v>
      </c>
      <c r="C946" s="3">
        <v>888203</v>
      </c>
      <c r="D946" s="4" t="s">
        <v>81</v>
      </c>
      <c r="E946" s="4" t="s">
        <v>742</v>
      </c>
      <c r="F946" s="4" t="s">
        <v>83</v>
      </c>
      <c r="G946" s="4" t="s">
        <v>20</v>
      </c>
      <c r="H946" s="5">
        <v>-500000</v>
      </c>
      <c r="I946" s="4" t="s">
        <v>21</v>
      </c>
      <c r="J946" s="5">
        <f t="shared" si="14"/>
        <v>2106100</v>
      </c>
      <c r="K946" s="4" t="s">
        <v>46</v>
      </c>
      <c r="L946" s="6">
        <v>4.2122000000000002</v>
      </c>
      <c r="M946" s="6">
        <v>0.2374</v>
      </c>
      <c r="N946" s="6">
        <v>4.2110000000000003</v>
      </c>
      <c r="O946" s="6">
        <v>1</v>
      </c>
      <c r="P946" s="5">
        <v>600</v>
      </c>
      <c r="Q946" s="4" t="s">
        <v>1396</v>
      </c>
    </row>
    <row r="947" spans="1:17" x14ac:dyDescent="0.3">
      <c r="A947" s="2" t="s">
        <v>1389</v>
      </c>
      <c r="B947" s="3">
        <v>155083</v>
      </c>
      <c r="C947" s="3">
        <v>214591</v>
      </c>
      <c r="D947" s="4" t="s">
        <v>17</v>
      </c>
      <c r="E947" s="4" t="s">
        <v>1300</v>
      </c>
      <c r="F947" s="4" t="s">
        <v>19</v>
      </c>
      <c r="G947" s="4" t="s">
        <v>20</v>
      </c>
      <c r="H947" s="5">
        <v>11500</v>
      </c>
      <c r="I947" s="4" t="s">
        <v>21</v>
      </c>
      <c r="J947" s="5">
        <f t="shared" si="14"/>
        <v>-48323</v>
      </c>
      <c r="K947" s="4" t="s">
        <v>45</v>
      </c>
      <c r="L947" s="6">
        <v>4.202</v>
      </c>
      <c r="M947" s="6">
        <v>0.23799999999999999</v>
      </c>
      <c r="N947" s="6">
        <v>4.2267000000000001</v>
      </c>
      <c r="O947" s="6">
        <v>1</v>
      </c>
      <c r="P947" s="5">
        <v>284.05000000000291</v>
      </c>
      <c r="Q947" s="4" t="s">
        <v>1390</v>
      </c>
    </row>
    <row r="948" spans="1:17" x14ac:dyDescent="0.3">
      <c r="A948" s="2" t="s">
        <v>1389</v>
      </c>
      <c r="B948" s="3">
        <v>155084</v>
      </c>
      <c r="C948" s="3">
        <v>888207</v>
      </c>
      <c r="D948" s="4" t="s">
        <v>81</v>
      </c>
      <c r="E948" s="4" t="s">
        <v>732</v>
      </c>
      <c r="F948" s="4" t="s">
        <v>83</v>
      </c>
      <c r="G948" s="4" t="s">
        <v>34</v>
      </c>
      <c r="H948" s="5">
        <v>-500000</v>
      </c>
      <c r="I948" s="4" t="s">
        <v>21</v>
      </c>
      <c r="J948" s="5">
        <f t="shared" si="14"/>
        <v>1796050</v>
      </c>
      <c r="K948" s="4" t="s">
        <v>46</v>
      </c>
      <c r="L948" s="6">
        <v>3.5920999999999998</v>
      </c>
      <c r="M948" s="6">
        <v>0.27839999999999998</v>
      </c>
      <c r="N948" s="6">
        <v>3.6044999999999998</v>
      </c>
      <c r="O948" s="6">
        <v>1</v>
      </c>
      <c r="P948" s="5">
        <v>-6200</v>
      </c>
      <c r="Q948" s="4" t="s">
        <v>1394</v>
      </c>
    </row>
    <row r="949" spans="1:17" x14ac:dyDescent="0.3">
      <c r="A949" s="2" t="s">
        <v>1389</v>
      </c>
      <c r="B949" s="3">
        <v>155085</v>
      </c>
      <c r="C949" s="3">
        <v>888221</v>
      </c>
      <c r="D949" s="4" t="s">
        <v>81</v>
      </c>
      <c r="E949" s="4" t="s">
        <v>739</v>
      </c>
      <c r="F949" s="4" t="s">
        <v>83</v>
      </c>
      <c r="G949" s="4" t="s">
        <v>20</v>
      </c>
      <c r="H949" s="5">
        <v>-100000</v>
      </c>
      <c r="I949" s="4" t="s">
        <v>91</v>
      </c>
      <c r="J949" s="5">
        <f t="shared" si="14"/>
        <v>87080</v>
      </c>
      <c r="K949" s="4" t="s">
        <v>105</v>
      </c>
      <c r="L949" s="6">
        <v>0.87080000000000002</v>
      </c>
      <c r="M949" s="6">
        <v>1.1484000000000001</v>
      </c>
      <c r="N949" s="6">
        <v>4.2110000000000003</v>
      </c>
      <c r="O949" s="6">
        <v>4.8457999999999997</v>
      </c>
      <c r="P949" s="5">
        <v>872.26400000000001</v>
      </c>
      <c r="Q949" s="4" t="s">
        <v>1391</v>
      </c>
    </row>
    <row r="950" spans="1:17" x14ac:dyDescent="0.3">
      <c r="A950" s="2" t="s">
        <v>1389</v>
      </c>
      <c r="B950" s="3">
        <v>155086</v>
      </c>
      <c r="C950" s="3">
        <v>888227</v>
      </c>
      <c r="D950" s="4" t="s">
        <v>81</v>
      </c>
      <c r="E950" s="4" t="s">
        <v>739</v>
      </c>
      <c r="F950" s="4" t="s">
        <v>87</v>
      </c>
      <c r="G950" s="4" t="s">
        <v>20</v>
      </c>
      <c r="H950" s="5">
        <v>100000</v>
      </c>
      <c r="I950" s="4" t="s">
        <v>74</v>
      </c>
      <c r="J950" s="5">
        <f t="shared" si="14"/>
        <v>-1178940</v>
      </c>
      <c r="K950" s="4" t="s">
        <v>105</v>
      </c>
      <c r="L950" s="6">
        <v>11.789400000000001</v>
      </c>
      <c r="M950" s="6">
        <v>8.48E-2</v>
      </c>
      <c r="N950" s="6">
        <v>4.2110000000000003</v>
      </c>
      <c r="O950" s="6">
        <v>0.35720000000000002</v>
      </c>
      <c r="P950" s="5">
        <v>-15.9392</v>
      </c>
      <c r="Q950" s="4" t="s">
        <v>1391</v>
      </c>
    </row>
    <row r="951" spans="1:17" x14ac:dyDescent="0.3">
      <c r="A951" s="2" t="s">
        <v>1389</v>
      </c>
      <c r="B951" s="3">
        <v>155087</v>
      </c>
      <c r="C951" s="3">
        <v>888254</v>
      </c>
      <c r="D951" s="4" t="s">
        <v>81</v>
      </c>
      <c r="E951" s="4" t="s">
        <v>742</v>
      </c>
      <c r="F951" s="4" t="s">
        <v>83</v>
      </c>
      <c r="G951" s="4" t="s">
        <v>20</v>
      </c>
      <c r="H951" s="5">
        <v>-200000</v>
      </c>
      <c r="I951" s="4" t="s">
        <v>80</v>
      </c>
      <c r="J951" s="5">
        <f t="shared" si="14"/>
        <v>1634059.9999999998</v>
      </c>
      <c r="K951" s="4" t="s">
        <v>105</v>
      </c>
      <c r="L951" s="6">
        <v>8.1702999999999992</v>
      </c>
      <c r="M951" s="6">
        <v>0.12239999999999999</v>
      </c>
      <c r="N951" s="6">
        <v>4.2110000000000003</v>
      </c>
      <c r="O951" s="6">
        <v>0.5161</v>
      </c>
      <c r="P951" s="5">
        <v>1140.4304</v>
      </c>
      <c r="Q951" s="4" t="s">
        <v>1396</v>
      </c>
    </row>
    <row r="952" spans="1:17" x14ac:dyDescent="0.3">
      <c r="A952" s="2" t="s">
        <v>1389</v>
      </c>
      <c r="B952" s="3">
        <v>155088</v>
      </c>
      <c r="C952" s="3">
        <v>888255</v>
      </c>
      <c r="D952" s="4" t="s">
        <v>81</v>
      </c>
      <c r="E952" s="4" t="s">
        <v>732</v>
      </c>
      <c r="F952" s="4" t="s">
        <v>83</v>
      </c>
      <c r="G952" s="4" t="s">
        <v>20</v>
      </c>
      <c r="H952" s="5">
        <v>-300000</v>
      </c>
      <c r="I952" s="4" t="s">
        <v>21</v>
      </c>
      <c r="J952" s="5">
        <f t="shared" si="14"/>
        <v>1263540</v>
      </c>
      <c r="K952" s="4" t="s">
        <v>46</v>
      </c>
      <c r="L952" s="6">
        <v>4.2118000000000002</v>
      </c>
      <c r="M952" s="6">
        <v>0.2374</v>
      </c>
      <c r="N952" s="6">
        <v>4.2110000000000003</v>
      </c>
      <c r="O952" s="6">
        <v>1</v>
      </c>
      <c r="P952" s="5">
        <v>240</v>
      </c>
      <c r="Q952" s="4" t="s">
        <v>1394</v>
      </c>
    </row>
    <row r="953" spans="1:17" x14ac:dyDescent="0.3">
      <c r="A953" s="2" t="s">
        <v>1389</v>
      </c>
      <c r="B953" s="3">
        <v>155089</v>
      </c>
      <c r="C953" s="3">
        <v>214593</v>
      </c>
      <c r="D953" s="4" t="s">
        <v>17</v>
      </c>
      <c r="E953" s="4" t="s">
        <v>1113</v>
      </c>
      <c r="F953" s="4" t="s">
        <v>19</v>
      </c>
      <c r="G953" s="4" t="s">
        <v>20</v>
      </c>
      <c r="H953" s="5">
        <v>30000</v>
      </c>
      <c r="I953" s="4" t="s">
        <v>21</v>
      </c>
      <c r="J953" s="5">
        <f t="shared" si="14"/>
        <v>-126000</v>
      </c>
      <c r="K953" s="4" t="s">
        <v>45</v>
      </c>
      <c r="L953" s="6">
        <v>4.2</v>
      </c>
      <c r="M953" s="6">
        <v>0.23810000000000001</v>
      </c>
      <c r="N953" s="6">
        <v>4.2267000000000001</v>
      </c>
      <c r="O953" s="6">
        <v>1</v>
      </c>
      <c r="P953" s="5">
        <v>801</v>
      </c>
      <c r="Q953" s="4" t="s">
        <v>1390</v>
      </c>
    </row>
    <row r="954" spans="1:17" x14ac:dyDescent="0.3">
      <c r="A954" s="2" t="s">
        <v>1389</v>
      </c>
      <c r="B954" s="3">
        <v>155090</v>
      </c>
      <c r="C954" s="3">
        <v>888268</v>
      </c>
      <c r="D954" s="4" t="s">
        <v>81</v>
      </c>
      <c r="E954" s="4" t="s">
        <v>727</v>
      </c>
      <c r="F954" s="4" t="s">
        <v>83</v>
      </c>
      <c r="G954" s="4" t="s">
        <v>20</v>
      </c>
      <c r="H954" s="5">
        <v>-100000</v>
      </c>
      <c r="I954" s="4" t="s">
        <v>91</v>
      </c>
      <c r="J954" s="5">
        <f t="shared" si="14"/>
        <v>87150</v>
      </c>
      <c r="K954" s="4" t="s">
        <v>105</v>
      </c>
      <c r="L954" s="6">
        <v>0.87150000000000005</v>
      </c>
      <c r="M954" s="6">
        <v>1.1475</v>
      </c>
      <c r="N954" s="6">
        <v>4.2110000000000003</v>
      </c>
      <c r="O954" s="6">
        <v>4.8457999999999997</v>
      </c>
      <c r="P954" s="5">
        <v>1192.0868</v>
      </c>
      <c r="Q954" s="4" t="s">
        <v>1397</v>
      </c>
    </row>
    <row r="955" spans="1:17" x14ac:dyDescent="0.3">
      <c r="A955" s="2" t="s">
        <v>1389</v>
      </c>
      <c r="B955" s="3">
        <v>155091</v>
      </c>
      <c r="C955" s="3">
        <v>888269</v>
      </c>
      <c r="D955" s="4" t="s">
        <v>81</v>
      </c>
      <c r="E955" s="4" t="s">
        <v>739</v>
      </c>
      <c r="F955" s="4" t="s">
        <v>83</v>
      </c>
      <c r="G955" s="4" t="s">
        <v>20</v>
      </c>
      <c r="H955" s="5">
        <v>-100000</v>
      </c>
      <c r="I955" s="4" t="s">
        <v>91</v>
      </c>
      <c r="J955" s="5">
        <f t="shared" si="14"/>
        <v>87140</v>
      </c>
      <c r="K955" s="4" t="s">
        <v>105</v>
      </c>
      <c r="L955" s="6">
        <v>0.87139999999999995</v>
      </c>
      <c r="M955" s="6">
        <v>1.1475</v>
      </c>
      <c r="N955" s="6">
        <v>4.2110000000000003</v>
      </c>
      <c r="O955" s="6">
        <v>4.8457999999999997</v>
      </c>
      <c r="P955" s="5">
        <v>1182.3951999999999</v>
      </c>
      <c r="Q955" s="4" t="s">
        <v>1391</v>
      </c>
    </row>
    <row r="956" spans="1:17" x14ac:dyDescent="0.3">
      <c r="A956" s="2" t="s">
        <v>1389</v>
      </c>
      <c r="B956" s="3">
        <v>155092</v>
      </c>
      <c r="C956" s="3">
        <v>888270</v>
      </c>
      <c r="D956" s="4" t="s">
        <v>81</v>
      </c>
      <c r="E956" s="4" t="s">
        <v>739</v>
      </c>
      <c r="F956" s="4" t="s">
        <v>83</v>
      </c>
      <c r="G956" s="4" t="s">
        <v>20</v>
      </c>
      <c r="H956" s="5">
        <v>-100000</v>
      </c>
      <c r="I956" s="4" t="s">
        <v>91</v>
      </c>
      <c r="J956" s="5">
        <f t="shared" si="14"/>
        <v>87140</v>
      </c>
      <c r="K956" s="4" t="s">
        <v>105</v>
      </c>
      <c r="L956" s="6">
        <v>0.87139999999999995</v>
      </c>
      <c r="M956" s="6">
        <v>1.1475</v>
      </c>
      <c r="N956" s="6">
        <v>4.2110000000000003</v>
      </c>
      <c r="O956" s="6">
        <v>4.8457999999999997</v>
      </c>
      <c r="P956" s="5">
        <v>1182.3951999999999</v>
      </c>
      <c r="Q956" s="4" t="s">
        <v>1391</v>
      </c>
    </row>
    <row r="957" spans="1:17" x14ac:dyDescent="0.3">
      <c r="A957" s="2" t="s">
        <v>1389</v>
      </c>
      <c r="B957" s="3">
        <v>155094</v>
      </c>
      <c r="C957" s="3">
        <v>888274</v>
      </c>
      <c r="D957" s="4" t="s">
        <v>81</v>
      </c>
      <c r="E957" s="4" t="s">
        <v>735</v>
      </c>
      <c r="F957" s="4" t="s">
        <v>83</v>
      </c>
      <c r="G957" s="4" t="s">
        <v>20</v>
      </c>
      <c r="H957" s="5">
        <v>-100000</v>
      </c>
      <c r="I957" s="4" t="s">
        <v>101</v>
      </c>
      <c r="J957" s="5">
        <f t="shared" si="14"/>
        <v>2419510</v>
      </c>
      <c r="K957" s="4" t="s">
        <v>105</v>
      </c>
      <c r="L957" s="6">
        <v>24.1951</v>
      </c>
      <c r="M957" s="6">
        <v>4.1300000000000003E-2</v>
      </c>
      <c r="N957" s="6">
        <v>4.2110000000000003</v>
      </c>
      <c r="O957" s="6">
        <v>0.17419999999999999</v>
      </c>
      <c r="P957" s="5">
        <v>378.642</v>
      </c>
      <c r="Q957" s="4" t="s">
        <v>1394</v>
      </c>
    </row>
    <row r="958" spans="1:17" x14ac:dyDescent="0.3">
      <c r="A958" s="2" t="s">
        <v>1389</v>
      </c>
      <c r="B958" s="3">
        <v>155097</v>
      </c>
      <c r="C958" s="3">
        <v>888282</v>
      </c>
      <c r="D958" s="4" t="s">
        <v>81</v>
      </c>
      <c r="E958" s="4" t="s">
        <v>733</v>
      </c>
      <c r="F958" s="4" t="s">
        <v>87</v>
      </c>
      <c r="G958" s="4" t="s">
        <v>20</v>
      </c>
      <c r="H958" s="5">
        <v>500000</v>
      </c>
      <c r="I958" s="4" t="s">
        <v>21</v>
      </c>
      <c r="J958" s="5">
        <f t="shared" si="14"/>
        <v>-2105300</v>
      </c>
      <c r="K958" s="4" t="s">
        <v>46</v>
      </c>
      <c r="L958" s="6">
        <v>4.2106000000000003</v>
      </c>
      <c r="M958" s="6">
        <v>0.23749999999999999</v>
      </c>
      <c r="N958" s="6">
        <v>4.2110000000000003</v>
      </c>
      <c r="O958" s="6">
        <v>1</v>
      </c>
      <c r="P958" s="5">
        <v>185</v>
      </c>
      <c r="Q958" s="4" t="s">
        <v>1391</v>
      </c>
    </row>
    <row r="959" spans="1:17" x14ac:dyDescent="0.3">
      <c r="A959" s="2" t="s">
        <v>1389</v>
      </c>
      <c r="B959" s="3">
        <v>155102</v>
      </c>
      <c r="C959" s="3">
        <v>888289</v>
      </c>
      <c r="D959" s="4" t="s">
        <v>81</v>
      </c>
      <c r="E959" s="4" t="s">
        <v>1092</v>
      </c>
      <c r="F959" s="4" t="s">
        <v>83</v>
      </c>
      <c r="G959" s="4" t="s">
        <v>34</v>
      </c>
      <c r="H959" s="5">
        <v>-5000</v>
      </c>
      <c r="I959" s="4" t="s">
        <v>21</v>
      </c>
      <c r="J959" s="5">
        <f t="shared" si="14"/>
        <v>17970</v>
      </c>
      <c r="K959" s="4" t="s">
        <v>46</v>
      </c>
      <c r="L959" s="6">
        <v>3.5939999999999999</v>
      </c>
      <c r="M959" s="6">
        <v>0.2782</v>
      </c>
      <c r="N959" s="6">
        <v>3.6044999999999998</v>
      </c>
      <c r="O959" s="6">
        <v>1</v>
      </c>
      <c r="P959" s="5">
        <v>-52.5</v>
      </c>
      <c r="Q959" s="4" t="s">
        <v>1390</v>
      </c>
    </row>
    <row r="960" spans="1:17" x14ac:dyDescent="0.3">
      <c r="A960" s="2" t="s">
        <v>1389</v>
      </c>
      <c r="B960" s="3">
        <v>155103</v>
      </c>
      <c r="C960" s="3">
        <v>214602</v>
      </c>
      <c r="D960" s="4" t="s">
        <v>17</v>
      </c>
      <c r="E960" s="4" t="s">
        <v>1092</v>
      </c>
      <c r="F960" s="4" t="s">
        <v>32</v>
      </c>
      <c r="G960" s="4" t="s">
        <v>34</v>
      </c>
      <c r="H960" s="5">
        <v>-5000</v>
      </c>
      <c r="I960" s="4" t="s">
        <v>21</v>
      </c>
      <c r="J960" s="5">
        <f t="shared" si="14"/>
        <v>17969.5</v>
      </c>
      <c r="K960" s="4" t="s">
        <v>49</v>
      </c>
      <c r="L960" s="6">
        <v>3.5939000000000001</v>
      </c>
      <c r="M960" s="6">
        <v>0.2782</v>
      </c>
      <c r="N960" s="6">
        <v>3.6345999999999998</v>
      </c>
      <c r="O960" s="6">
        <v>1</v>
      </c>
      <c r="P960" s="5">
        <v>-190</v>
      </c>
      <c r="Q960" s="4" t="s">
        <v>1390</v>
      </c>
    </row>
    <row r="961" spans="1:17" x14ac:dyDescent="0.3">
      <c r="A961" s="2" t="s">
        <v>1389</v>
      </c>
      <c r="B961" s="3">
        <v>155104</v>
      </c>
      <c r="C961" s="3">
        <v>214603</v>
      </c>
      <c r="D961" s="4" t="s">
        <v>17</v>
      </c>
      <c r="E961" s="4" t="s">
        <v>1042</v>
      </c>
      <c r="F961" s="4" t="s">
        <v>19</v>
      </c>
      <c r="G961" s="4" t="s">
        <v>20</v>
      </c>
      <c r="H961" s="5">
        <v>39805.29</v>
      </c>
      <c r="I961" s="4" t="s">
        <v>21</v>
      </c>
      <c r="J961" s="5">
        <f t="shared" si="14"/>
        <v>-167325.51704400001</v>
      </c>
      <c r="K961" s="4" t="s">
        <v>45</v>
      </c>
      <c r="L961" s="6">
        <v>4.2035999999999998</v>
      </c>
      <c r="M961" s="6">
        <v>0.2379</v>
      </c>
      <c r="N961" s="6">
        <v>4.2267000000000001</v>
      </c>
      <c r="O961" s="6">
        <v>1</v>
      </c>
      <c r="P961" s="5">
        <v>919.50219900000957</v>
      </c>
      <c r="Q961" s="4" t="s">
        <v>1390</v>
      </c>
    </row>
    <row r="962" spans="1:17" x14ac:dyDescent="0.3">
      <c r="A962" s="2" t="s">
        <v>1389</v>
      </c>
      <c r="B962" s="3">
        <v>155105</v>
      </c>
      <c r="C962" s="3">
        <v>888308</v>
      </c>
      <c r="D962" s="4" t="s">
        <v>81</v>
      </c>
      <c r="E962" s="4" t="s">
        <v>751</v>
      </c>
      <c r="F962" s="4" t="s">
        <v>83</v>
      </c>
      <c r="G962" s="4" t="s">
        <v>20</v>
      </c>
      <c r="H962" s="5">
        <v>-600000</v>
      </c>
      <c r="I962" s="4" t="s">
        <v>21</v>
      </c>
      <c r="J962" s="5">
        <f t="shared" si="14"/>
        <v>2527200</v>
      </c>
      <c r="K962" s="4" t="s">
        <v>46</v>
      </c>
      <c r="L962" s="6">
        <v>4.2119999999999997</v>
      </c>
      <c r="M962" s="6">
        <v>0.2374</v>
      </c>
      <c r="N962" s="6">
        <v>4.2110000000000003</v>
      </c>
      <c r="O962" s="6">
        <v>1</v>
      </c>
      <c r="P962" s="5">
        <v>600</v>
      </c>
      <c r="Q962" s="4" t="s">
        <v>1390</v>
      </c>
    </row>
    <row r="963" spans="1:17" x14ac:dyDescent="0.3">
      <c r="A963" s="2" t="s">
        <v>1389</v>
      </c>
      <c r="B963" s="3">
        <v>155106</v>
      </c>
      <c r="C963" s="3">
        <v>888312</v>
      </c>
      <c r="D963" s="4" t="s">
        <v>81</v>
      </c>
      <c r="E963" s="4" t="s">
        <v>733</v>
      </c>
      <c r="F963" s="4" t="s">
        <v>87</v>
      </c>
      <c r="G963" s="4" t="s">
        <v>20</v>
      </c>
      <c r="H963" s="5">
        <v>500000</v>
      </c>
      <c r="I963" s="4" t="s">
        <v>21</v>
      </c>
      <c r="J963" s="5">
        <f t="shared" si="14"/>
        <v>-2104850</v>
      </c>
      <c r="K963" s="4" t="s">
        <v>46</v>
      </c>
      <c r="L963" s="6">
        <v>4.2096999999999998</v>
      </c>
      <c r="M963" s="6">
        <v>0.23749999999999999</v>
      </c>
      <c r="N963" s="6">
        <v>4.2110000000000003</v>
      </c>
      <c r="O963" s="6">
        <v>1</v>
      </c>
      <c r="P963" s="5">
        <v>655</v>
      </c>
      <c r="Q963" s="4" t="s">
        <v>1391</v>
      </c>
    </row>
    <row r="964" spans="1:17" x14ac:dyDescent="0.3">
      <c r="A964" s="2" t="s">
        <v>1389</v>
      </c>
      <c r="B964" s="3">
        <v>155107</v>
      </c>
      <c r="C964" s="3">
        <v>214608</v>
      </c>
      <c r="D964" s="4" t="s">
        <v>17</v>
      </c>
      <c r="E964" s="4" t="s">
        <v>1042</v>
      </c>
      <c r="F964" s="4" t="s">
        <v>19</v>
      </c>
      <c r="G964" s="4" t="s">
        <v>20</v>
      </c>
      <c r="H964" s="5">
        <v>75107.199999999997</v>
      </c>
      <c r="I964" s="4" t="s">
        <v>21</v>
      </c>
      <c r="J964" s="5">
        <f t="shared" ref="J964:J1027" si="15">-H964*L964</f>
        <v>-315683.07231999998</v>
      </c>
      <c r="K964" s="4" t="s">
        <v>45</v>
      </c>
      <c r="L964" s="6">
        <v>4.2031000000000001</v>
      </c>
      <c r="M964" s="6">
        <v>0.2379</v>
      </c>
      <c r="N964" s="6">
        <v>4.2267000000000001</v>
      </c>
      <c r="O964" s="6">
        <v>1</v>
      </c>
      <c r="P964" s="5">
        <v>1772.5299200000009</v>
      </c>
      <c r="Q964" s="4" t="s">
        <v>1390</v>
      </c>
    </row>
    <row r="965" spans="1:17" x14ac:dyDescent="0.3">
      <c r="A965" s="2" t="s">
        <v>1389</v>
      </c>
      <c r="B965" s="3">
        <v>155109</v>
      </c>
      <c r="C965" s="3">
        <v>888335</v>
      </c>
      <c r="D965" s="4" t="s">
        <v>81</v>
      </c>
      <c r="E965" s="4" t="s">
        <v>734</v>
      </c>
      <c r="F965" s="4" t="s">
        <v>83</v>
      </c>
      <c r="G965" s="4" t="s">
        <v>20</v>
      </c>
      <c r="H965" s="5">
        <v>-44215.15</v>
      </c>
      <c r="I965" s="4" t="s">
        <v>21</v>
      </c>
      <c r="J965" s="5">
        <f t="shared" si="15"/>
        <v>186101.56634999998</v>
      </c>
      <c r="K965" s="4" t="s">
        <v>46</v>
      </c>
      <c r="L965" s="6">
        <v>4.2089999999999996</v>
      </c>
      <c r="M965" s="6">
        <v>0.23760000000000001</v>
      </c>
      <c r="N965" s="6">
        <v>4.2110000000000003</v>
      </c>
      <c r="O965" s="6">
        <v>1</v>
      </c>
      <c r="P965" s="5">
        <v>-87.986649999999997</v>
      </c>
      <c r="Q965" s="4" t="s">
        <v>1393</v>
      </c>
    </row>
    <row r="966" spans="1:17" x14ac:dyDescent="0.3">
      <c r="A966" s="2" t="s">
        <v>1389</v>
      </c>
      <c r="B966" s="3">
        <v>155110</v>
      </c>
      <c r="C966" s="3">
        <v>888336</v>
      </c>
      <c r="D966" s="4" t="s">
        <v>81</v>
      </c>
      <c r="E966" s="4" t="s">
        <v>735</v>
      </c>
      <c r="F966" s="4" t="s">
        <v>83</v>
      </c>
      <c r="G966" s="4" t="s">
        <v>91</v>
      </c>
      <c r="H966" s="5">
        <v>-7286.34</v>
      </c>
      <c r="I966" s="4" t="s">
        <v>21</v>
      </c>
      <c r="J966" s="5">
        <f t="shared" si="15"/>
        <v>35213.423951999997</v>
      </c>
      <c r="K966" s="4" t="s">
        <v>46</v>
      </c>
      <c r="L966" s="6">
        <v>4.8327999999999998</v>
      </c>
      <c r="M966" s="6">
        <v>0.2069</v>
      </c>
      <c r="N966" s="6">
        <v>4.8457999999999997</v>
      </c>
      <c r="O966" s="6">
        <v>1</v>
      </c>
      <c r="P966" s="5">
        <v>-94.726371999999998</v>
      </c>
      <c r="Q966" s="4" t="s">
        <v>1394</v>
      </c>
    </row>
    <row r="967" spans="1:17" x14ac:dyDescent="0.3">
      <c r="A967" s="2" t="s">
        <v>1389</v>
      </c>
      <c r="B967" s="3">
        <v>155111</v>
      </c>
      <c r="C967" s="3">
        <v>888337</v>
      </c>
      <c r="D967" s="4" t="s">
        <v>81</v>
      </c>
      <c r="E967" s="4" t="s">
        <v>734</v>
      </c>
      <c r="F967" s="4" t="s">
        <v>87</v>
      </c>
      <c r="G967" s="4" t="s">
        <v>34</v>
      </c>
      <c r="H967" s="5">
        <v>12215.37</v>
      </c>
      <c r="I967" s="4" t="s">
        <v>21</v>
      </c>
      <c r="J967" s="5">
        <f t="shared" si="15"/>
        <v>-43807.981431</v>
      </c>
      <c r="K967" s="4" t="s">
        <v>46</v>
      </c>
      <c r="L967" s="6">
        <v>3.5863</v>
      </c>
      <c r="M967" s="6">
        <v>0.27879999999999999</v>
      </c>
      <c r="N967" s="6">
        <v>3.6044999999999998</v>
      </c>
      <c r="O967" s="6">
        <v>1</v>
      </c>
      <c r="P967" s="5">
        <v>222.07116500000001</v>
      </c>
      <c r="Q967" s="4" t="s">
        <v>1393</v>
      </c>
    </row>
    <row r="968" spans="1:17" x14ac:dyDescent="0.3">
      <c r="A968" s="2" t="s">
        <v>1389</v>
      </c>
      <c r="B968" s="3">
        <v>155112</v>
      </c>
      <c r="C968" s="3">
        <v>888338</v>
      </c>
      <c r="D968" s="4" t="s">
        <v>81</v>
      </c>
      <c r="E968" s="4" t="s">
        <v>734</v>
      </c>
      <c r="F968" s="4" t="s">
        <v>83</v>
      </c>
      <c r="G968" s="4" t="s">
        <v>93</v>
      </c>
      <c r="H968" s="5">
        <v>-750.71</v>
      </c>
      <c r="I968" s="4" t="s">
        <v>21</v>
      </c>
      <c r="J968" s="5">
        <f t="shared" si="15"/>
        <v>3399.8154480000003</v>
      </c>
      <c r="K968" s="4" t="s">
        <v>46</v>
      </c>
      <c r="L968" s="6">
        <v>4.5288000000000004</v>
      </c>
      <c r="M968" s="6">
        <v>0.2208</v>
      </c>
      <c r="N968" s="6">
        <v>4.5263</v>
      </c>
      <c r="O968" s="6">
        <v>1</v>
      </c>
      <c r="P968" s="5">
        <v>1.871327</v>
      </c>
      <c r="Q968" s="4" t="s">
        <v>1393</v>
      </c>
    </row>
    <row r="969" spans="1:17" x14ac:dyDescent="0.3">
      <c r="A969" s="2" t="s">
        <v>1389</v>
      </c>
      <c r="B969" s="3">
        <v>155113</v>
      </c>
      <c r="C969" s="3">
        <v>888343</v>
      </c>
      <c r="D969" s="4" t="s">
        <v>81</v>
      </c>
      <c r="E969" s="4" t="s">
        <v>735</v>
      </c>
      <c r="F969" s="4" t="s">
        <v>83</v>
      </c>
      <c r="G969" s="4" t="s">
        <v>20</v>
      </c>
      <c r="H969" s="5">
        <v>-101229.42</v>
      </c>
      <c r="I969" s="4" t="s">
        <v>21</v>
      </c>
      <c r="J969" s="5">
        <f t="shared" si="15"/>
        <v>426044.25995400001</v>
      </c>
      <c r="K969" s="4" t="s">
        <v>46</v>
      </c>
      <c r="L969" s="6">
        <v>4.2087000000000003</v>
      </c>
      <c r="M969" s="6">
        <v>0.23760000000000001</v>
      </c>
      <c r="N969" s="6">
        <v>4.2110000000000003</v>
      </c>
      <c r="O969" s="6">
        <v>1</v>
      </c>
      <c r="P969" s="5">
        <v>-232.82762</v>
      </c>
      <c r="Q969" s="4" t="s">
        <v>1394</v>
      </c>
    </row>
    <row r="970" spans="1:17" x14ac:dyDescent="0.3">
      <c r="A970" s="2" t="s">
        <v>1389</v>
      </c>
      <c r="B970" s="3">
        <v>155114</v>
      </c>
      <c r="C970" s="3">
        <v>888345</v>
      </c>
      <c r="D970" s="4" t="s">
        <v>81</v>
      </c>
      <c r="E970" s="4" t="s">
        <v>739</v>
      </c>
      <c r="F970" s="4" t="s">
        <v>87</v>
      </c>
      <c r="G970" s="4" t="s">
        <v>34</v>
      </c>
      <c r="H970" s="5">
        <v>28428.42</v>
      </c>
      <c r="I970" s="4" t="s">
        <v>21</v>
      </c>
      <c r="J970" s="5">
        <f t="shared" si="15"/>
        <v>-102069.39916799999</v>
      </c>
      <c r="K970" s="4" t="s">
        <v>46</v>
      </c>
      <c r="L970" s="6">
        <v>3.5903999999999998</v>
      </c>
      <c r="M970" s="6">
        <v>0.27850000000000003</v>
      </c>
      <c r="N970" s="6">
        <v>3.6044999999999998</v>
      </c>
      <c r="O970" s="6">
        <v>1</v>
      </c>
      <c r="P970" s="5">
        <v>400.26988999999998</v>
      </c>
      <c r="Q970" s="4" t="s">
        <v>1391</v>
      </c>
    </row>
    <row r="971" spans="1:17" x14ac:dyDescent="0.3">
      <c r="A971" s="2" t="s">
        <v>1389</v>
      </c>
      <c r="B971" s="3">
        <v>155115</v>
      </c>
      <c r="C971" s="3">
        <v>888346</v>
      </c>
      <c r="D971" s="4" t="s">
        <v>81</v>
      </c>
      <c r="E971" s="4" t="s">
        <v>735</v>
      </c>
      <c r="F971" s="4" t="s">
        <v>83</v>
      </c>
      <c r="G971" s="4" t="s">
        <v>93</v>
      </c>
      <c r="H971" s="5">
        <v>-8936.61</v>
      </c>
      <c r="I971" s="4" t="s">
        <v>21</v>
      </c>
      <c r="J971" s="5">
        <f t="shared" si="15"/>
        <v>40507.865808000002</v>
      </c>
      <c r="K971" s="4" t="s">
        <v>46</v>
      </c>
      <c r="L971" s="6">
        <v>4.5327999999999999</v>
      </c>
      <c r="M971" s="6">
        <v>0.22059999999999999</v>
      </c>
      <c r="N971" s="6">
        <v>4.5263</v>
      </c>
      <c r="O971" s="6">
        <v>1</v>
      </c>
      <c r="P971" s="5">
        <v>58.092157</v>
      </c>
      <c r="Q971" s="4" t="s">
        <v>1394</v>
      </c>
    </row>
    <row r="972" spans="1:17" x14ac:dyDescent="0.3">
      <c r="A972" s="2" t="s">
        <v>1389</v>
      </c>
      <c r="B972" s="3">
        <v>155116</v>
      </c>
      <c r="C972" s="3">
        <v>888347</v>
      </c>
      <c r="D972" s="4" t="s">
        <v>81</v>
      </c>
      <c r="E972" s="4" t="s">
        <v>735</v>
      </c>
      <c r="F972" s="4" t="s">
        <v>83</v>
      </c>
      <c r="G972" s="4" t="s">
        <v>91</v>
      </c>
      <c r="H972" s="5">
        <v>-10517.94</v>
      </c>
      <c r="I972" s="4" t="s">
        <v>21</v>
      </c>
      <c r="J972" s="5">
        <f t="shared" si="15"/>
        <v>50804.805582000008</v>
      </c>
      <c r="K972" s="4" t="s">
        <v>46</v>
      </c>
      <c r="L972" s="6">
        <v>4.8303000000000003</v>
      </c>
      <c r="M972" s="6">
        <v>0.20699999999999999</v>
      </c>
      <c r="N972" s="6">
        <v>4.8457999999999997</v>
      </c>
      <c r="O972" s="6">
        <v>1</v>
      </c>
      <c r="P972" s="5">
        <v>-163.023652</v>
      </c>
      <c r="Q972" s="4" t="s">
        <v>1394</v>
      </c>
    </row>
    <row r="973" spans="1:17" x14ac:dyDescent="0.3">
      <c r="A973" s="2" t="s">
        <v>1389</v>
      </c>
      <c r="B973" s="3">
        <v>155117</v>
      </c>
      <c r="C973" s="3">
        <v>888348</v>
      </c>
      <c r="D973" s="4" t="s">
        <v>81</v>
      </c>
      <c r="E973" s="4" t="s">
        <v>735</v>
      </c>
      <c r="F973" s="4" t="s">
        <v>83</v>
      </c>
      <c r="G973" s="4" t="s">
        <v>20</v>
      </c>
      <c r="H973" s="5">
        <v>-63926.41</v>
      </c>
      <c r="I973" s="4" t="s">
        <v>21</v>
      </c>
      <c r="J973" s="5">
        <f t="shared" si="15"/>
        <v>269047.08176700003</v>
      </c>
      <c r="K973" s="4" t="s">
        <v>46</v>
      </c>
      <c r="L973" s="6">
        <v>4.2087000000000003</v>
      </c>
      <c r="M973" s="6">
        <v>0.23760000000000001</v>
      </c>
      <c r="N973" s="6">
        <v>4.2110000000000003</v>
      </c>
      <c r="O973" s="6">
        <v>1</v>
      </c>
      <c r="P973" s="5">
        <v>-147.03251</v>
      </c>
      <c r="Q973" s="4" t="s">
        <v>1394</v>
      </c>
    </row>
    <row r="974" spans="1:17" x14ac:dyDescent="0.3">
      <c r="A974" s="2" t="s">
        <v>1389</v>
      </c>
      <c r="B974" s="3">
        <v>155118</v>
      </c>
      <c r="C974" s="3">
        <v>888353</v>
      </c>
      <c r="D974" s="4" t="s">
        <v>81</v>
      </c>
      <c r="E974" s="4" t="s">
        <v>734</v>
      </c>
      <c r="F974" s="4" t="s">
        <v>83</v>
      </c>
      <c r="G974" s="4" t="s">
        <v>20</v>
      </c>
      <c r="H974" s="5">
        <v>-44105.58</v>
      </c>
      <c r="I974" s="4" t="s">
        <v>21</v>
      </c>
      <c r="J974" s="5">
        <f t="shared" si="15"/>
        <v>185609.51231400002</v>
      </c>
      <c r="K974" s="4" t="s">
        <v>46</v>
      </c>
      <c r="L974" s="6">
        <v>4.2083000000000004</v>
      </c>
      <c r="M974" s="6">
        <v>0.23760000000000001</v>
      </c>
      <c r="N974" s="6">
        <v>4.2110000000000003</v>
      </c>
      <c r="O974" s="6">
        <v>1</v>
      </c>
      <c r="P974" s="5">
        <v>-117.75738</v>
      </c>
      <c r="Q974" s="4" t="s">
        <v>1393</v>
      </c>
    </row>
    <row r="975" spans="1:17" x14ac:dyDescent="0.3">
      <c r="A975" s="2" t="s">
        <v>1389</v>
      </c>
      <c r="B975" s="3">
        <v>155119</v>
      </c>
      <c r="C975" s="3">
        <v>888354</v>
      </c>
      <c r="D975" s="4" t="s">
        <v>81</v>
      </c>
      <c r="E975" s="4" t="s">
        <v>743</v>
      </c>
      <c r="F975" s="4" t="s">
        <v>87</v>
      </c>
      <c r="G975" s="4" t="s">
        <v>34</v>
      </c>
      <c r="H975" s="5">
        <v>2918.55</v>
      </c>
      <c r="I975" s="4" t="s">
        <v>21</v>
      </c>
      <c r="J975" s="5">
        <f t="shared" si="15"/>
        <v>-10484.307165</v>
      </c>
      <c r="K975" s="4" t="s">
        <v>46</v>
      </c>
      <c r="L975" s="6">
        <v>3.5922999999999998</v>
      </c>
      <c r="M975" s="6">
        <v>0.27839999999999998</v>
      </c>
      <c r="N975" s="6">
        <v>3.6044999999999998</v>
      </c>
      <c r="O975" s="6">
        <v>1</v>
      </c>
      <c r="P975" s="5">
        <v>35.723475000000001</v>
      </c>
      <c r="Q975" s="4" t="s">
        <v>1395</v>
      </c>
    </row>
    <row r="976" spans="1:17" x14ac:dyDescent="0.3">
      <c r="A976" s="2" t="s">
        <v>1389</v>
      </c>
      <c r="B976" s="3">
        <v>155120</v>
      </c>
      <c r="C976" s="3">
        <v>888355</v>
      </c>
      <c r="D976" s="4" t="s">
        <v>81</v>
      </c>
      <c r="E976" s="4" t="s">
        <v>743</v>
      </c>
      <c r="F976" s="4" t="s">
        <v>87</v>
      </c>
      <c r="G976" s="4" t="s">
        <v>93</v>
      </c>
      <c r="H976" s="5">
        <v>977</v>
      </c>
      <c r="I976" s="4" t="s">
        <v>21</v>
      </c>
      <c r="J976" s="5">
        <f t="shared" si="15"/>
        <v>-4429.7179999999998</v>
      </c>
      <c r="K976" s="4" t="s">
        <v>46</v>
      </c>
      <c r="L976" s="6">
        <v>4.5339999999999998</v>
      </c>
      <c r="M976" s="6">
        <v>0.22059999999999999</v>
      </c>
      <c r="N976" s="6">
        <v>4.5263</v>
      </c>
      <c r="O976" s="6">
        <v>1</v>
      </c>
      <c r="P976" s="5">
        <v>-7.5349000000000004</v>
      </c>
      <c r="Q976" s="4" t="s">
        <v>1395</v>
      </c>
    </row>
    <row r="977" spans="1:17" x14ac:dyDescent="0.3">
      <c r="A977" s="2" t="s">
        <v>1389</v>
      </c>
      <c r="B977" s="3">
        <v>155121</v>
      </c>
      <c r="C977" s="3">
        <v>888360</v>
      </c>
      <c r="D977" s="4" t="s">
        <v>81</v>
      </c>
      <c r="E977" s="4" t="s">
        <v>743</v>
      </c>
      <c r="F977" s="4" t="s">
        <v>87</v>
      </c>
      <c r="G977" s="4" t="s">
        <v>20</v>
      </c>
      <c r="H977" s="5">
        <v>200.02</v>
      </c>
      <c r="I977" s="4" t="s">
        <v>21</v>
      </c>
      <c r="J977" s="5">
        <f t="shared" si="15"/>
        <v>-842.28422000000012</v>
      </c>
      <c r="K977" s="4" t="s">
        <v>29</v>
      </c>
      <c r="L977" s="6">
        <v>4.2110000000000003</v>
      </c>
      <c r="M977" s="6">
        <v>0.23749999999999999</v>
      </c>
      <c r="N977" s="6">
        <v>4.2104999999999997</v>
      </c>
      <c r="O977" s="6">
        <v>1</v>
      </c>
      <c r="P977" s="5">
        <v>-0.10579</v>
      </c>
      <c r="Q977" s="4" t="s">
        <v>1395</v>
      </c>
    </row>
    <row r="978" spans="1:17" x14ac:dyDescent="0.3">
      <c r="A978" s="2" t="s">
        <v>1389</v>
      </c>
      <c r="B978" s="3">
        <v>155122</v>
      </c>
      <c r="C978" s="3">
        <v>888361</v>
      </c>
      <c r="D978" s="4" t="s">
        <v>81</v>
      </c>
      <c r="E978" s="4" t="s">
        <v>735</v>
      </c>
      <c r="F978" s="4" t="s">
        <v>87</v>
      </c>
      <c r="G978" s="4" t="s">
        <v>91</v>
      </c>
      <c r="H978" s="5">
        <v>19705.45</v>
      </c>
      <c r="I978" s="4" t="s">
        <v>21</v>
      </c>
      <c r="J978" s="5">
        <f t="shared" si="15"/>
        <v>-95407.877265000017</v>
      </c>
      <c r="K978" s="4" t="s">
        <v>29</v>
      </c>
      <c r="L978" s="6">
        <v>4.8417000000000003</v>
      </c>
      <c r="M978" s="6">
        <v>0.20649999999999999</v>
      </c>
      <c r="N978" s="6">
        <v>4.8628999999999998</v>
      </c>
      <c r="O978" s="6">
        <v>1</v>
      </c>
      <c r="P978" s="5">
        <v>417.75280500000002</v>
      </c>
      <c r="Q978" s="4" t="s">
        <v>1394</v>
      </c>
    </row>
    <row r="979" spans="1:17" x14ac:dyDescent="0.3">
      <c r="A979" s="2" t="s">
        <v>1389</v>
      </c>
      <c r="B979" s="3">
        <v>155123</v>
      </c>
      <c r="C979" s="3">
        <v>888362</v>
      </c>
      <c r="D979" s="4" t="s">
        <v>81</v>
      </c>
      <c r="E979" s="4" t="s">
        <v>735</v>
      </c>
      <c r="F979" s="4" t="s">
        <v>83</v>
      </c>
      <c r="G979" s="4" t="s">
        <v>34</v>
      </c>
      <c r="H979" s="5">
        <v>-35805.75</v>
      </c>
      <c r="I979" s="4" t="s">
        <v>21</v>
      </c>
      <c r="J979" s="5">
        <f t="shared" si="15"/>
        <v>128650.05975</v>
      </c>
      <c r="K979" s="4" t="s">
        <v>29</v>
      </c>
      <c r="L979" s="6">
        <v>3.593</v>
      </c>
      <c r="M979" s="6">
        <v>0.27829999999999999</v>
      </c>
      <c r="N979" s="6">
        <v>3.6034999999999999</v>
      </c>
      <c r="O979" s="6">
        <v>1</v>
      </c>
      <c r="P979" s="5">
        <v>-375.96012500000001</v>
      </c>
      <c r="Q979" s="4" t="s">
        <v>1394</v>
      </c>
    </row>
    <row r="980" spans="1:17" x14ac:dyDescent="0.3">
      <c r="A980" s="2" t="s">
        <v>1389</v>
      </c>
      <c r="B980" s="3">
        <v>155124</v>
      </c>
      <c r="C980" s="3">
        <v>888363</v>
      </c>
      <c r="D980" s="4" t="s">
        <v>81</v>
      </c>
      <c r="E980" s="4" t="s">
        <v>735</v>
      </c>
      <c r="F980" s="4" t="s">
        <v>83</v>
      </c>
      <c r="G980" s="4" t="s">
        <v>20</v>
      </c>
      <c r="H980" s="5">
        <v>-101852.1</v>
      </c>
      <c r="I980" s="4" t="s">
        <v>21</v>
      </c>
      <c r="J980" s="5">
        <f t="shared" si="15"/>
        <v>428593.63680000004</v>
      </c>
      <c r="K980" s="4" t="s">
        <v>29</v>
      </c>
      <c r="L980" s="6">
        <v>4.2080000000000002</v>
      </c>
      <c r="M980" s="6">
        <v>0.23760000000000001</v>
      </c>
      <c r="N980" s="6">
        <v>4.2104999999999997</v>
      </c>
      <c r="O980" s="6">
        <v>1</v>
      </c>
      <c r="P980" s="5">
        <v>-254.62705</v>
      </c>
      <c r="Q980" s="4" t="s">
        <v>1394</v>
      </c>
    </row>
    <row r="981" spans="1:17" x14ac:dyDescent="0.3">
      <c r="A981" s="2" t="s">
        <v>1389</v>
      </c>
      <c r="B981" s="3">
        <v>155125</v>
      </c>
      <c r="C981" s="3">
        <v>888364</v>
      </c>
      <c r="D981" s="4" t="s">
        <v>81</v>
      </c>
      <c r="E981" s="4" t="s">
        <v>734</v>
      </c>
      <c r="F981" s="4" t="s">
        <v>83</v>
      </c>
      <c r="G981" s="4" t="s">
        <v>93</v>
      </c>
      <c r="H981" s="5">
        <v>-22239.1</v>
      </c>
      <c r="I981" s="4" t="s">
        <v>21</v>
      </c>
      <c r="J981" s="5">
        <f t="shared" si="15"/>
        <v>100749.79473000001</v>
      </c>
      <c r="K981" s="4" t="s">
        <v>29</v>
      </c>
      <c r="L981" s="6">
        <v>4.5303000000000004</v>
      </c>
      <c r="M981" s="6">
        <v>0.22070000000000001</v>
      </c>
      <c r="N981" s="6">
        <v>4.5278999999999998</v>
      </c>
      <c r="O981" s="6">
        <v>1</v>
      </c>
      <c r="P981" s="5">
        <v>53.819110000000002</v>
      </c>
      <c r="Q981" s="4" t="s">
        <v>1393</v>
      </c>
    </row>
    <row r="982" spans="1:17" x14ac:dyDescent="0.3">
      <c r="A982" s="2" t="s">
        <v>1389</v>
      </c>
      <c r="B982" s="3">
        <v>155126</v>
      </c>
      <c r="C982" s="3">
        <v>888365</v>
      </c>
      <c r="D982" s="4" t="s">
        <v>81</v>
      </c>
      <c r="E982" s="4" t="s">
        <v>735</v>
      </c>
      <c r="F982" s="4" t="s">
        <v>83</v>
      </c>
      <c r="G982" s="4" t="s">
        <v>20</v>
      </c>
      <c r="H982" s="5">
        <v>-3637.73</v>
      </c>
      <c r="I982" s="4" t="s">
        <v>21</v>
      </c>
      <c r="J982" s="5">
        <f t="shared" si="15"/>
        <v>15307.567840000002</v>
      </c>
      <c r="K982" s="4" t="s">
        <v>29</v>
      </c>
      <c r="L982" s="6">
        <v>4.2080000000000002</v>
      </c>
      <c r="M982" s="6">
        <v>0.23760000000000001</v>
      </c>
      <c r="N982" s="6">
        <v>4.2104999999999997</v>
      </c>
      <c r="O982" s="6">
        <v>1</v>
      </c>
      <c r="P982" s="5">
        <v>-9.0921649999999996</v>
      </c>
      <c r="Q982" s="4" t="s">
        <v>1394</v>
      </c>
    </row>
    <row r="983" spans="1:17" x14ac:dyDescent="0.3">
      <c r="A983" s="2" t="s">
        <v>1389</v>
      </c>
      <c r="B983" s="3">
        <v>155127</v>
      </c>
      <c r="C983" s="3">
        <v>888366</v>
      </c>
      <c r="D983" s="4" t="s">
        <v>81</v>
      </c>
      <c r="E983" s="4" t="s">
        <v>735</v>
      </c>
      <c r="F983" s="4" t="s">
        <v>83</v>
      </c>
      <c r="G983" s="4" t="s">
        <v>20</v>
      </c>
      <c r="H983" s="5">
        <v>-100033.04</v>
      </c>
      <c r="I983" s="4" t="s">
        <v>21</v>
      </c>
      <c r="J983" s="5">
        <f t="shared" si="15"/>
        <v>420939.03232</v>
      </c>
      <c r="K983" s="4" t="s">
        <v>29</v>
      </c>
      <c r="L983" s="6">
        <v>4.2080000000000002</v>
      </c>
      <c r="M983" s="6">
        <v>0.23760000000000001</v>
      </c>
      <c r="N983" s="6">
        <v>4.2104999999999997</v>
      </c>
      <c r="O983" s="6">
        <v>1</v>
      </c>
      <c r="P983" s="5">
        <v>-250.08492000000001</v>
      </c>
      <c r="Q983" s="4" t="s">
        <v>1394</v>
      </c>
    </row>
    <row r="984" spans="1:17" x14ac:dyDescent="0.3">
      <c r="A984" s="2" t="s">
        <v>1389</v>
      </c>
      <c r="B984" s="3">
        <v>155128</v>
      </c>
      <c r="C984" s="3">
        <v>888367</v>
      </c>
      <c r="D984" s="4" t="s">
        <v>81</v>
      </c>
      <c r="E984" s="4" t="s">
        <v>735</v>
      </c>
      <c r="F984" s="4" t="s">
        <v>83</v>
      </c>
      <c r="G984" s="4" t="s">
        <v>20</v>
      </c>
      <c r="H984" s="5">
        <v>-100489.62</v>
      </c>
      <c r="I984" s="4" t="s">
        <v>21</v>
      </c>
      <c r="J984" s="5">
        <f t="shared" si="15"/>
        <v>422860.32095999998</v>
      </c>
      <c r="K984" s="4" t="s">
        <v>29</v>
      </c>
      <c r="L984" s="6">
        <v>4.2080000000000002</v>
      </c>
      <c r="M984" s="6">
        <v>0.23760000000000001</v>
      </c>
      <c r="N984" s="6">
        <v>4.2104999999999997</v>
      </c>
      <c r="O984" s="6">
        <v>1</v>
      </c>
      <c r="P984" s="5">
        <v>-251.22501</v>
      </c>
      <c r="Q984" s="4" t="s">
        <v>1394</v>
      </c>
    </row>
    <row r="985" spans="1:17" x14ac:dyDescent="0.3">
      <c r="A985" s="2" t="s">
        <v>1389</v>
      </c>
      <c r="B985" s="3">
        <v>155129</v>
      </c>
      <c r="C985" s="3">
        <v>888368</v>
      </c>
      <c r="D985" s="4" t="s">
        <v>81</v>
      </c>
      <c r="E985" s="4" t="s">
        <v>735</v>
      </c>
      <c r="F985" s="4" t="s">
        <v>83</v>
      </c>
      <c r="G985" s="4" t="s">
        <v>20</v>
      </c>
      <c r="H985" s="5">
        <v>-100719.16</v>
      </c>
      <c r="I985" s="4" t="s">
        <v>21</v>
      </c>
      <c r="J985" s="5">
        <f t="shared" si="15"/>
        <v>423826.22528000001</v>
      </c>
      <c r="K985" s="4" t="s">
        <v>29</v>
      </c>
      <c r="L985" s="6">
        <v>4.2080000000000002</v>
      </c>
      <c r="M985" s="6">
        <v>0.23760000000000001</v>
      </c>
      <c r="N985" s="6">
        <v>4.2104999999999997</v>
      </c>
      <c r="O985" s="6">
        <v>1</v>
      </c>
      <c r="P985" s="5">
        <v>-251.79318000000001</v>
      </c>
      <c r="Q985" s="4" t="s">
        <v>1394</v>
      </c>
    </row>
    <row r="986" spans="1:17" x14ac:dyDescent="0.3">
      <c r="A986" s="2" t="s">
        <v>1389</v>
      </c>
      <c r="B986" s="3">
        <v>155130</v>
      </c>
      <c r="C986" s="3">
        <v>888369</v>
      </c>
      <c r="D986" s="4" t="s">
        <v>81</v>
      </c>
      <c r="E986" s="4" t="s">
        <v>735</v>
      </c>
      <c r="F986" s="4" t="s">
        <v>83</v>
      </c>
      <c r="G986" s="4" t="s">
        <v>20</v>
      </c>
      <c r="H986" s="5">
        <v>-100941.22</v>
      </c>
      <c r="I986" s="4" t="s">
        <v>21</v>
      </c>
      <c r="J986" s="5">
        <f t="shared" si="15"/>
        <v>424760.65376000002</v>
      </c>
      <c r="K986" s="4" t="s">
        <v>29</v>
      </c>
      <c r="L986" s="6">
        <v>4.2080000000000002</v>
      </c>
      <c r="M986" s="6">
        <v>0.23760000000000001</v>
      </c>
      <c r="N986" s="6">
        <v>4.2104999999999997</v>
      </c>
      <c r="O986" s="6">
        <v>1</v>
      </c>
      <c r="P986" s="5">
        <v>-252.35681</v>
      </c>
      <c r="Q986" s="4" t="s">
        <v>1394</v>
      </c>
    </row>
    <row r="987" spans="1:17" x14ac:dyDescent="0.3">
      <c r="A987" s="2" t="s">
        <v>1389</v>
      </c>
      <c r="B987" s="3">
        <v>155131</v>
      </c>
      <c r="C987" s="3">
        <v>888370</v>
      </c>
      <c r="D987" s="4" t="s">
        <v>81</v>
      </c>
      <c r="E987" s="4" t="s">
        <v>735</v>
      </c>
      <c r="F987" s="4" t="s">
        <v>83</v>
      </c>
      <c r="G987" s="4" t="s">
        <v>20</v>
      </c>
      <c r="H987" s="5">
        <v>-110311.93</v>
      </c>
      <c r="I987" s="4" t="s">
        <v>21</v>
      </c>
      <c r="J987" s="5">
        <f t="shared" si="15"/>
        <v>464192.60144</v>
      </c>
      <c r="K987" s="4" t="s">
        <v>29</v>
      </c>
      <c r="L987" s="6">
        <v>4.2080000000000002</v>
      </c>
      <c r="M987" s="6">
        <v>0.23760000000000001</v>
      </c>
      <c r="N987" s="6">
        <v>4.2104999999999997</v>
      </c>
      <c r="O987" s="6">
        <v>1</v>
      </c>
      <c r="P987" s="5">
        <v>-275.78126500000002</v>
      </c>
      <c r="Q987" s="4" t="s">
        <v>1394</v>
      </c>
    </row>
    <row r="988" spans="1:17" x14ac:dyDescent="0.3">
      <c r="A988" s="2" t="s">
        <v>1389</v>
      </c>
      <c r="B988" s="3">
        <v>155132</v>
      </c>
      <c r="C988" s="3">
        <v>888371</v>
      </c>
      <c r="D988" s="4" t="s">
        <v>81</v>
      </c>
      <c r="E988" s="4" t="s">
        <v>735</v>
      </c>
      <c r="F988" s="4" t="s">
        <v>83</v>
      </c>
      <c r="G988" s="4" t="s">
        <v>20</v>
      </c>
      <c r="H988" s="5">
        <v>-100003.1</v>
      </c>
      <c r="I988" s="4" t="s">
        <v>21</v>
      </c>
      <c r="J988" s="5">
        <f t="shared" si="15"/>
        <v>420813.04480000003</v>
      </c>
      <c r="K988" s="4" t="s">
        <v>29</v>
      </c>
      <c r="L988" s="6">
        <v>4.2080000000000002</v>
      </c>
      <c r="M988" s="6">
        <v>0.23760000000000001</v>
      </c>
      <c r="N988" s="6">
        <v>4.2104999999999997</v>
      </c>
      <c r="O988" s="6">
        <v>1</v>
      </c>
      <c r="P988" s="5">
        <v>-250.01255</v>
      </c>
      <c r="Q988" s="4" t="s">
        <v>1394</v>
      </c>
    </row>
    <row r="989" spans="1:17" x14ac:dyDescent="0.3">
      <c r="A989" s="2" t="s">
        <v>1389</v>
      </c>
      <c r="B989" s="3">
        <v>155133</v>
      </c>
      <c r="C989" s="3">
        <v>888372</v>
      </c>
      <c r="D989" s="4" t="s">
        <v>81</v>
      </c>
      <c r="E989" s="4" t="s">
        <v>735</v>
      </c>
      <c r="F989" s="4" t="s">
        <v>83</v>
      </c>
      <c r="G989" s="4" t="s">
        <v>20</v>
      </c>
      <c r="H989" s="5">
        <v>-101137.38</v>
      </c>
      <c r="I989" s="4" t="s">
        <v>21</v>
      </c>
      <c r="J989" s="5">
        <f t="shared" si="15"/>
        <v>425586.09504000004</v>
      </c>
      <c r="K989" s="4" t="s">
        <v>29</v>
      </c>
      <c r="L989" s="6">
        <v>4.2080000000000002</v>
      </c>
      <c r="M989" s="6">
        <v>0.23760000000000001</v>
      </c>
      <c r="N989" s="6">
        <v>4.2104999999999997</v>
      </c>
      <c r="O989" s="6">
        <v>1</v>
      </c>
      <c r="P989" s="5">
        <v>-252.83849000000001</v>
      </c>
      <c r="Q989" s="4" t="s">
        <v>1394</v>
      </c>
    </row>
    <row r="990" spans="1:17" x14ac:dyDescent="0.3">
      <c r="A990" s="2" t="s">
        <v>1389</v>
      </c>
      <c r="B990" s="3">
        <v>155134</v>
      </c>
      <c r="C990" s="3">
        <v>888373</v>
      </c>
      <c r="D990" s="4" t="s">
        <v>81</v>
      </c>
      <c r="E990" s="4" t="s">
        <v>735</v>
      </c>
      <c r="F990" s="4" t="s">
        <v>83</v>
      </c>
      <c r="G990" s="4" t="s">
        <v>20</v>
      </c>
      <c r="H990" s="5">
        <v>-100002.09</v>
      </c>
      <c r="I990" s="4" t="s">
        <v>21</v>
      </c>
      <c r="J990" s="5">
        <f t="shared" si="15"/>
        <v>420808.79472000001</v>
      </c>
      <c r="K990" s="4" t="s">
        <v>29</v>
      </c>
      <c r="L990" s="6">
        <v>4.2080000000000002</v>
      </c>
      <c r="M990" s="6">
        <v>0.23760000000000001</v>
      </c>
      <c r="N990" s="6">
        <v>4.2104999999999997</v>
      </c>
      <c r="O990" s="6">
        <v>1</v>
      </c>
      <c r="P990" s="5">
        <v>-250.00994499999999</v>
      </c>
      <c r="Q990" s="4" t="s">
        <v>1394</v>
      </c>
    </row>
    <row r="991" spans="1:17" x14ac:dyDescent="0.3">
      <c r="A991" s="2" t="s">
        <v>1389</v>
      </c>
      <c r="B991" s="3">
        <v>155135</v>
      </c>
      <c r="C991" s="3">
        <v>888374</v>
      </c>
      <c r="D991" s="4" t="s">
        <v>81</v>
      </c>
      <c r="E991" s="4" t="s">
        <v>735</v>
      </c>
      <c r="F991" s="4" t="s">
        <v>83</v>
      </c>
      <c r="G991" s="4" t="s">
        <v>20</v>
      </c>
      <c r="H991" s="5">
        <v>-103429.89</v>
      </c>
      <c r="I991" s="4" t="s">
        <v>21</v>
      </c>
      <c r="J991" s="5">
        <f t="shared" si="15"/>
        <v>435232.97712</v>
      </c>
      <c r="K991" s="4" t="s">
        <v>29</v>
      </c>
      <c r="L991" s="6">
        <v>4.2080000000000002</v>
      </c>
      <c r="M991" s="6">
        <v>0.23760000000000001</v>
      </c>
      <c r="N991" s="6">
        <v>4.2104999999999997</v>
      </c>
      <c r="O991" s="6">
        <v>1</v>
      </c>
      <c r="P991" s="5">
        <v>-258.571845</v>
      </c>
      <c r="Q991" s="4" t="s">
        <v>1394</v>
      </c>
    </row>
    <row r="992" spans="1:17" x14ac:dyDescent="0.3">
      <c r="A992" s="2" t="s">
        <v>1389</v>
      </c>
      <c r="B992" s="3">
        <v>155136</v>
      </c>
      <c r="C992" s="3">
        <v>888375</v>
      </c>
      <c r="D992" s="4" t="s">
        <v>81</v>
      </c>
      <c r="E992" s="4" t="s">
        <v>735</v>
      </c>
      <c r="F992" s="4" t="s">
        <v>83</v>
      </c>
      <c r="G992" s="4" t="s">
        <v>20</v>
      </c>
      <c r="H992" s="5">
        <v>-125648.59</v>
      </c>
      <c r="I992" s="4" t="s">
        <v>21</v>
      </c>
      <c r="J992" s="5">
        <f t="shared" si="15"/>
        <v>528729.26671999996</v>
      </c>
      <c r="K992" s="4" t="s">
        <v>29</v>
      </c>
      <c r="L992" s="6">
        <v>4.2080000000000002</v>
      </c>
      <c r="M992" s="6">
        <v>0.23760000000000001</v>
      </c>
      <c r="N992" s="6">
        <v>4.2104999999999997</v>
      </c>
      <c r="O992" s="6">
        <v>1</v>
      </c>
      <c r="P992" s="5">
        <v>-314.11819500000001</v>
      </c>
      <c r="Q992" s="4" t="s">
        <v>1394</v>
      </c>
    </row>
    <row r="993" spans="1:17" x14ac:dyDescent="0.3">
      <c r="A993" s="2" t="s">
        <v>1389</v>
      </c>
      <c r="B993" s="3">
        <v>155137</v>
      </c>
      <c r="C993" s="3">
        <v>888376</v>
      </c>
      <c r="D993" s="4" t="s">
        <v>81</v>
      </c>
      <c r="E993" s="4" t="s">
        <v>735</v>
      </c>
      <c r="F993" s="4" t="s">
        <v>83</v>
      </c>
      <c r="G993" s="4" t="s">
        <v>20</v>
      </c>
      <c r="H993" s="5">
        <v>-100582.17</v>
      </c>
      <c r="I993" s="4" t="s">
        <v>21</v>
      </c>
      <c r="J993" s="5">
        <f t="shared" si="15"/>
        <v>423249.77136000001</v>
      </c>
      <c r="K993" s="4" t="s">
        <v>29</v>
      </c>
      <c r="L993" s="6">
        <v>4.2080000000000002</v>
      </c>
      <c r="M993" s="6">
        <v>0.23760000000000001</v>
      </c>
      <c r="N993" s="6">
        <v>4.2104999999999997</v>
      </c>
      <c r="O993" s="6">
        <v>1</v>
      </c>
      <c r="P993" s="5">
        <v>-251.456785</v>
      </c>
      <c r="Q993" s="4" t="s">
        <v>1394</v>
      </c>
    </row>
    <row r="994" spans="1:17" x14ac:dyDescent="0.3">
      <c r="A994" s="2" t="s">
        <v>1389</v>
      </c>
      <c r="B994" s="3">
        <v>155138</v>
      </c>
      <c r="C994" s="3">
        <v>888377</v>
      </c>
      <c r="D994" s="4" t="s">
        <v>81</v>
      </c>
      <c r="E994" s="4" t="s">
        <v>735</v>
      </c>
      <c r="F994" s="4" t="s">
        <v>83</v>
      </c>
      <c r="G994" s="4" t="s">
        <v>20</v>
      </c>
      <c r="H994" s="5">
        <v>-99999.92</v>
      </c>
      <c r="I994" s="4" t="s">
        <v>21</v>
      </c>
      <c r="J994" s="5">
        <f t="shared" si="15"/>
        <v>420799.66336000001</v>
      </c>
      <c r="K994" s="4" t="s">
        <v>29</v>
      </c>
      <c r="L994" s="6">
        <v>4.2080000000000002</v>
      </c>
      <c r="M994" s="6">
        <v>0.23760000000000001</v>
      </c>
      <c r="N994" s="6">
        <v>4.2104999999999997</v>
      </c>
      <c r="O994" s="6">
        <v>1</v>
      </c>
      <c r="P994" s="5">
        <v>-250.00316000000001</v>
      </c>
      <c r="Q994" s="4" t="s">
        <v>1394</v>
      </c>
    </row>
    <row r="995" spans="1:17" x14ac:dyDescent="0.3">
      <c r="A995" s="2" t="s">
        <v>1389</v>
      </c>
      <c r="B995" s="3">
        <v>155139</v>
      </c>
      <c r="C995" s="3">
        <v>214613</v>
      </c>
      <c r="D995" s="4" t="s">
        <v>17</v>
      </c>
      <c r="E995" s="4" t="s">
        <v>1176</v>
      </c>
      <c r="F995" s="4" t="s">
        <v>19</v>
      </c>
      <c r="G995" s="4" t="s">
        <v>34</v>
      </c>
      <c r="H995" s="5">
        <v>10000</v>
      </c>
      <c r="I995" s="4" t="s">
        <v>21</v>
      </c>
      <c r="J995" s="5">
        <f t="shared" si="15"/>
        <v>-35999</v>
      </c>
      <c r="K995" s="4" t="s">
        <v>24</v>
      </c>
      <c r="L995" s="6">
        <v>3.5998999999999999</v>
      </c>
      <c r="M995" s="6">
        <v>0.27779999999999999</v>
      </c>
      <c r="N995" s="6">
        <v>3.5962999999999998</v>
      </c>
      <c r="O995" s="6">
        <v>1</v>
      </c>
      <c r="P995" s="5">
        <v>-36</v>
      </c>
      <c r="Q995" s="4" t="s">
        <v>1390</v>
      </c>
    </row>
    <row r="996" spans="1:17" x14ac:dyDescent="0.3">
      <c r="A996" s="2" t="s">
        <v>1389</v>
      </c>
      <c r="B996" s="3">
        <v>155140</v>
      </c>
      <c r="C996" s="3">
        <v>888440</v>
      </c>
      <c r="D996" s="4" t="s">
        <v>81</v>
      </c>
      <c r="E996" s="4" t="s">
        <v>735</v>
      </c>
      <c r="F996" s="4" t="s">
        <v>83</v>
      </c>
      <c r="G996" s="4" t="s">
        <v>20</v>
      </c>
      <c r="H996" s="5">
        <v>-19269.13</v>
      </c>
      <c r="I996" s="4" t="s">
        <v>21</v>
      </c>
      <c r="J996" s="5">
        <f t="shared" si="15"/>
        <v>81121.110387000008</v>
      </c>
      <c r="K996" s="4" t="s">
        <v>29</v>
      </c>
      <c r="L996" s="6">
        <v>4.2099000000000002</v>
      </c>
      <c r="M996" s="6">
        <v>0.23749999999999999</v>
      </c>
      <c r="N996" s="6">
        <v>4.2104999999999997</v>
      </c>
      <c r="O996" s="6">
        <v>1</v>
      </c>
      <c r="P996" s="5">
        <v>-11.561864999999999</v>
      </c>
      <c r="Q996" s="4" t="s">
        <v>1394</v>
      </c>
    </row>
    <row r="997" spans="1:17" x14ac:dyDescent="0.3">
      <c r="A997" s="2" t="s">
        <v>1389</v>
      </c>
      <c r="B997" s="3">
        <v>155141</v>
      </c>
      <c r="C997" s="3">
        <v>214614</v>
      </c>
      <c r="D997" s="4" t="s">
        <v>17</v>
      </c>
      <c r="E997" s="4" t="s">
        <v>727</v>
      </c>
      <c r="F997" s="4" t="s">
        <v>32</v>
      </c>
      <c r="G997" s="4" t="s">
        <v>20</v>
      </c>
      <c r="H997" s="5">
        <v>-4430</v>
      </c>
      <c r="I997" s="4" t="s">
        <v>21</v>
      </c>
      <c r="J997" s="5">
        <f t="shared" si="15"/>
        <v>18647.199000000001</v>
      </c>
      <c r="K997" s="4" t="s">
        <v>24</v>
      </c>
      <c r="L997" s="6">
        <v>4.2092999999999998</v>
      </c>
      <c r="M997" s="6">
        <v>0.23760000000000001</v>
      </c>
      <c r="N997" s="6">
        <v>4.2156000000000002</v>
      </c>
      <c r="O997" s="6">
        <v>1</v>
      </c>
      <c r="P997" s="5">
        <v>-32.247999999999998</v>
      </c>
      <c r="Q997" s="4" t="s">
        <v>1397</v>
      </c>
    </row>
    <row r="998" spans="1:17" x14ac:dyDescent="0.3">
      <c r="A998" s="2" t="s">
        <v>1389</v>
      </c>
      <c r="B998" s="3">
        <v>155142</v>
      </c>
      <c r="C998" s="3">
        <v>214616</v>
      </c>
      <c r="D998" s="4" t="s">
        <v>17</v>
      </c>
      <c r="E998" s="4" t="s">
        <v>734</v>
      </c>
      <c r="F998" s="4" t="s">
        <v>32</v>
      </c>
      <c r="G998" s="4" t="s">
        <v>20</v>
      </c>
      <c r="H998" s="5">
        <v>-15150.82</v>
      </c>
      <c r="I998" s="4" t="s">
        <v>21</v>
      </c>
      <c r="J998" s="5">
        <f t="shared" si="15"/>
        <v>63780.406953999998</v>
      </c>
      <c r="K998" s="4" t="s">
        <v>24</v>
      </c>
      <c r="L998" s="6">
        <v>4.2096999999999998</v>
      </c>
      <c r="M998" s="6">
        <v>0.23749999999999999</v>
      </c>
      <c r="N998" s="6">
        <v>4.2156000000000002</v>
      </c>
      <c r="O998" s="6">
        <v>1</v>
      </c>
      <c r="P998" s="5">
        <v>-98.716791999999998</v>
      </c>
      <c r="Q998" s="4" t="s">
        <v>1393</v>
      </c>
    </row>
    <row r="999" spans="1:17" x14ac:dyDescent="0.3">
      <c r="A999" s="2" t="s">
        <v>1389</v>
      </c>
      <c r="B999" s="3">
        <v>155143</v>
      </c>
      <c r="C999" s="3">
        <v>214618</v>
      </c>
      <c r="D999" s="4" t="s">
        <v>17</v>
      </c>
      <c r="E999" s="4" t="s">
        <v>734</v>
      </c>
      <c r="F999" s="4" t="s">
        <v>19</v>
      </c>
      <c r="G999" s="4" t="s">
        <v>20</v>
      </c>
      <c r="H999" s="5">
        <v>5000</v>
      </c>
      <c r="I999" s="4" t="s">
        <v>21</v>
      </c>
      <c r="J999" s="5">
        <f t="shared" si="15"/>
        <v>-21057.5</v>
      </c>
      <c r="K999" s="4" t="s">
        <v>24</v>
      </c>
      <c r="L999" s="6">
        <v>4.2115</v>
      </c>
      <c r="M999" s="6">
        <v>0.2374</v>
      </c>
      <c r="N999" s="6">
        <v>4.2156000000000002</v>
      </c>
      <c r="O999" s="6">
        <v>1</v>
      </c>
      <c r="P999" s="5">
        <v>20.5</v>
      </c>
      <c r="Q999" s="4" t="s">
        <v>1393</v>
      </c>
    </row>
    <row r="1000" spans="1:17" x14ac:dyDescent="0.3">
      <c r="A1000" s="2" t="s">
        <v>1389</v>
      </c>
      <c r="B1000" s="3">
        <v>155144</v>
      </c>
      <c r="C1000" s="3">
        <v>214620</v>
      </c>
      <c r="D1000" s="4" t="s">
        <v>17</v>
      </c>
      <c r="E1000" s="4" t="s">
        <v>734</v>
      </c>
      <c r="F1000" s="4" t="s">
        <v>32</v>
      </c>
      <c r="G1000" s="4" t="s">
        <v>20</v>
      </c>
      <c r="H1000" s="5">
        <v>-7315</v>
      </c>
      <c r="I1000" s="4" t="s">
        <v>21</v>
      </c>
      <c r="J1000" s="5">
        <f t="shared" si="15"/>
        <v>30794.687000000002</v>
      </c>
      <c r="K1000" s="4" t="s">
        <v>24</v>
      </c>
      <c r="L1000" s="6">
        <v>4.2098000000000004</v>
      </c>
      <c r="M1000" s="6">
        <v>0.23749999999999999</v>
      </c>
      <c r="N1000" s="6">
        <v>4.2156000000000002</v>
      </c>
      <c r="O1000" s="6">
        <v>1</v>
      </c>
      <c r="P1000" s="5">
        <v>-46.973999999999997</v>
      </c>
      <c r="Q1000" s="4" t="s">
        <v>1393</v>
      </c>
    </row>
    <row r="1001" spans="1:17" x14ac:dyDescent="0.3">
      <c r="A1001" s="2" t="s">
        <v>1389</v>
      </c>
      <c r="B1001" s="3">
        <v>155145</v>
      </c>
      <c r="C1001" s="3">
        <v>888458</v>
      </c>
      <c r="D1001" s="4" t="s">
        <v>81</v>
      </c>
      <c r="E1001" s="4" t="s">
        <v>735</v>
      </c>
      <c r="F1001" s="4" t="s">
        <v>83</v>
      </c>
      <c r="G1001" s="4" t="s">
        <v>20</v>
      </c>
      <c r="H1001" s="5">
        <v>-69002.55</v>
      </c>
      <c r="I1001" s="4" t="s">
        <v>21</v>
      </c>
      <c r="J1001" s="5">
        <f t="shared" si="15"/>
        <v>290521.43626500003</v>
      </c>
      <c r="K1001" s="4" t="s">
        <v>29</v>
      </c>
      <c r="L1001" s="6">
        <v>4.2103000000000002</v>
      </c>
      <c r="M1001" s="6">
        <v>0.23749999999999999</v>
      </c>
      <c r="N1001" s="6">
        <v>4.2104999999999997</v>
      </c>
      <c r="O1001" s="6">
        <v>1</v>
      </c>
      <c r="P1001" s="5">
        <v>-13.796775</v>
      </c>
      <c r="Q1001" s="4" t="s">
        <v>1394</v>
      </c>
    </row>
    <row r="1002" spans="1:17" x14ac:dyDescent="0.3">
      <c r="A1002" s="2" t="s">
        <v>1389</v>
      </c>
      <c r="B1002" s="3">
        <v>155146</v>
      </c>
      <c r="C1002" s="3">
        <v>214622</v>
      </c>
      <c r="D1002" s="4" t="s">
        <v>17</v>
      </c>
      <c r="E1002" s="4" t="s">
        <v>734</v>
      </c>
      <c r="F1002" s="4" t="s">
        <v>32</v>
      </c>
      <c r="G1002" s="4" t="s">
        <v>20</v>
      </c>
      <c r="H1002" s="5">
        <v>-10000</v>
      </c>
      <c r="I1002" s="4" t="s">
        <v>21</v>
      </c>
      <c r="J1002" s="5">
        <f t="shared" si="15"/>
        <v>42107</v>
      </c>
      <c r="K1002" s="4" t="s">
        <v>24</v>
      </c>
      <c r="L1002" s="6">
        <v>4.2107000000000001</v>
      </c>
      <c r="M1002" s="6">
        <v>0.23749999999999999</v>
      </c>
      <c r="N1002" s="6">
        <v>4.2156000000000002</v>
      </c>
      <c r="O1002" s="6">
        <v>1</v>
      </c>
      <c r="P1002" s="5">
        <v>-55.53</v>
      </c>
      <c r="Q1002" s="4" t="s">
        <v>1393</v>
      </c>
    </row>
    <row r="1003" spans="1:17" x14ac:dyDescent="0.3">
      <c r="A1003" s="2" t="s">
        <v>1389</v>
      </c>
      <c r="B1003" s="3">
        <v>155147</v>
      </c>
      <c r="C1003" s="3">
        <v>888467</v>
      </c>
      <c r="D1003" s="4" t="s">
        <v>81</v>
      </c>
      <c r="E1003" s="4" t="s">
        <v>734</v>
      </c>
      <c r="F1003" s="4" t="s">
        <v>87</v>
      </c>
      <c r="G1003" s="4" t="s">
        <v>20</v>
      </c>
      <c r="H1003" s="5">
        <v>500000</v>
      </c>
      <c r="I1003" s="4" t="s">
        <v>21</v>
      </c>
      <c r="J1003" s="5">
        <f t="shared" si="15"/>
        <v>-2105900</v>
      </c>
      <c r="K1003" s="4" t="s">
        <v>29</v>
      </c>
      <c r="L1003" s="6">
        <v>4.2118000000000002</v>
      </c>
      <c r="M1003" s="6">
        <v>0.2374</v>
      </c>
      <c r="N1003" s="6">
        <v>4.2104999999999997</v>
      </c>
      <c r="O1003" s="6">
        <v>1</v>
      </c>
      <c r="P1003" s="5">
        <v>-650</v>
      </c>
      <c r="Q1003" s="4" t="s">
        <v>1393</v>
      </c>
    </row>
    <row r="1004" spans="1:17" x14ac:dyDescent="0.3">
      <c r="A1004" s="2" t="s">
        <v>1389</v>
      </c>
      <c r="B1004" s="3">
        <v>155148</v>
      </c>
      <c r="C1004" s="3">
        <v>214627</v>
      </c>
      <c r="D1004" s="4" t="s">
        <v>17</v>
      </c>
      <c r="E1004" s="4" t="s">
        <v>1221</v>
      </c>
      <c r="F1004" s="4" t="s">
        <v>32</v>
      </c>
      <c r="G1004" s="4" t="s">
        <v>34</v>
      </c>
      <c r="H1004" s="5">
        <v>-100000</v>
      </c>
      <c r="I1004" s="4" t="s">
        <v>21</v>
      </c>
      <c r="J1004" s="5">
        <f t="shared" si="15"/>
        <v>358500</v>
      </c>
      <c r="K1004" s="4" t="s">
        <v>24</v>
      </c>
      <c r="L1004" s="6">
        <v>3.585</v>
      </c>
      <c r="M1004" s="6">
        <v>0.27889999999999998</v>
      </c>
      <c r="N1004" s="6">
        <v>3.5962999999999998</v>
      </c>
      <c r="O1004" s="6">
        <v>1</v>
      </c>
      <c r="P1004" s="5">
        <v>-1130</v>
      </c>
      <c r="Q1004" s="4" t="s">
        <v>1390</v>
      </c>
    </row>
    <row r="1005" spans="1:17" x14ac:dyDescent="0.3">
      <c r="A1005" s="2" t="s">
        <v>1389</v>
      </c>
      <c r="B1005" s="3">
        <v>155149</v>
      </c>
      <c r="C1005" s="3">
        <v>214641</v>
      </c>
      <c r="D1005" s="4" t="s">
        <v>17</v>
      </c>
      <c r="E1005" s="4" t="s">
        <v>1143</v>
      </c>
      <c r="F1005" s="4" t="s">
        <v>32</v>
      </c>
      <c r="G1005" s="4" t="s">
        <v>20</v>
      </c>
      <c r="H1005" s="5">
        <v>-200000</v>
      </c>
      <c r="I1005" s="4" t="s">
        <v>21</v>
      </c>
      <c r="J1005" s="5">
        <f t="shared" si="15"/>
        <v>843180.00000000012</v>
      </c>
      <c r="K1005" s="4" t="s">
        <v>24</v>
      </c>
      <c r="L1005" s="6">
        <v>4.2159000000000004</v>
      </c>
      <c r="M1005" s="6">
        <v>0.23719999999999999</v>
      </c>
      <c r="N1005" s="6">
        <v>4.2156000000000002</v>
      </c>
      <c r="O1005" s="6">
        <v>1</v>
      </c>
      <c r="P1005" s="5">
        <v>-40</v>
      </c>
      <c r="Q1005" s="4" t="s">
        <v>1390</v>
      </c>
    </row>
    <row r="1006" spans="1:17" x14ac:dyDescent="0.3">
      <c r="A1006" s="2" t="s">
        <v>1389</v>
      </c>
      <c r="B1006" s="3">
        <v>155150</v>
      </c>
      <c r="C1006" s="3">
        <v>214642</v>
      </c>
      <c r="D1006" s="4" t="s">
        <v>17</v>
      </c>
      <c r="E1006" s="4" t="s">
        <v>1060</v>
      </c>
      <c r="F1006" s="4" t="s">
        <v>32</v>
      </c>
      <c r="G1006" s="4" t="s">
        <v>20</v>
      </c>
      <c r="H1006" s="5">
        <v>-20000</v>
      </c>
      <c r="I1006" s="4" t="s">
        <v>21</v>
      </c>
      <c r="J1006" s="5">
        <f t="shared" si="15"/>
        <v>84480</v>
      </c>
      <c r="K1006" s="4" t="s">
        <v>24</v>
      </c>
      <c r="L1006" s="6">
        <v>4.2240000000000002</v>
      </c>
      <c r="M1006" s="6">
        <v>0.23669999999999999</v>
      </c>
      <c r="N1006" s="6">
        <v>4.2156000000000002</v>
      </c>
      <c r="O1006" s="6">
        <v>1</v>
      </c>
      <c r="P1006" s="5">
        <v>168</v>
      </c>
      <c r="Q1006" s="4" t="s">
        <v>1390</v>
      </c>
    </row>
    <row r="1007" spans="1:17" x14ac:dyDescent="0.3">
      <c r="A1007" s="2" t="s">
        <v>1389</v>
      </c>
      <c r="B1007" s="3">
        <v>155151</v>
      </c>
      <c r="C1007" s="3">
        <v>214643</v>
      </c>
      <c r="D1007" s="4" t="s">
        <v>17</v>
      </c>
      <c r="E1007" s="4" t="s">
        <v>966</v>
      </c>
      <c r="F1007" s="4" t="s">
        <v>32</v>
      </c>
      <c r="G1007" s="4" t="s">
        <v>20</v>
      </c>
      <c r="H1007" s="5">
        <v>-5000</v>
      </c>
      <c r="I1007" s="4" t="s">
        <v>21</v>
      </c>
      <c r="J1007" s="5">
        <f t="shared" si="15"/>
        <v>21125</v>
      </c>
      <c r="K1007" s="4" t="s">
        <v>24</v>
      </c>
      <c r="L1007" s="6">
        <v>4.2249999999999996</v>
      </c>
      <c r="M1007" s="6">
        <v>0.23669999999999999</v>
      </c>
      <c r="N1007" s="6">
        <v>4.2156000000000002</v>
      </c>
      <c r="O1007" s="6">
        <v>1</v>
      </c>
      <c r="P1007" s="5">
        <v>47</v>
      </c>
      <c r="Q1007" s="4" t="s">
        <v>1390</v>
      </c>
    </row>
    <row r="1008" spans="1:17" x14ac:dyDescent="0.3">
      <c r="A1008" s="2" t="s">
        <v>1389</v>
      </c>
      <c r="B1008" s="3">
        <v>155152</v>
      </c>
      <c r="C1008" s="3">
        <v>214644</v>
      </c>
      <c r="D1008" s="4" t="s">
        <v>17</v>
      </c>
      <c r="E1008" s="4" t="s">
        <v>966</v>
      </c>
      <c r="F1008" s="4" t="s">
        <v>32</v>
      </c>
      <c r="G1008" s="4" t="s">
        <v>101</v>
      </c>
      <c r="H1008" s="5">
        <v>-6000</v>
      </c>
      <c r="I1008" s="4" t="s">
        <v>21</v>
      </c>
      <c r="J1008" s="5">
        <f t="shared" si="15"/>
        <v>1068</v>
      </c>
      <c r="K1008" s="4" t="s">
        <v>24</v>
      </c>
      <c r="L1008" s="6">
        <v>0.17799999999999999</v>
      </c>
      <c r="M1008" s="6">
        <v>5.6180000000000003</v>
      </c>
      <c r="N1008" s="6">
        <v>0.17430000000000001</v>
      </c>
      <c r="O1008" s="6">
        <v>1</v>
      </c>
      <c r="P1008" s="5">
        <v>22.2</v>
      </c>
      <c r="Q1008" s="4" t="s">
        <v>1390</v>
      </c>
    </row>
    <row r="1009" spans="1:17" x14ac:dyDescent="0.3">
      <c r="A1009" s="2" t="s">
        <v>1389</v>
      </c>
      <c r="B1009" s="3">
        <v>155153</v>
      </c>
      <c r="C1009" s="3">
        <v>214645</v>
      </c>
      <c r="D1009" s="4" t="s">
        <v>17</v>
      </c>
      <c r="E1009" s="4" t="s">
        <v>1312</v>
      </c>
      <c r="F1009" s="4" t="s">
        <v>19</v>
      </c>
      <c r="G1009" s="4" t="s">
        <v>20</v>
      </c>
      <c r="H1009" s="5">
        <v>200000</v>
      </c>
      <c r="I1009" s="4" t="s">
        <v>21</v>
      </c>
      <c r="J1009" s="5">
        <f t="shared" si="15"/>
        <v>-841200.00000000012</v>
      </c>
      <c r="K1009" s="4" t="s">
        <v>24</v>
      </c>
      <c r="L1009" s="6">
        <v>4.2060000000000004</v>
      </c>
      <c r="M1009" s="6">
        <v>0.23780000000000001</v>
      </c>
      <c r="N1009" s="6">
        <v>4.2156000000000002</v>
      </c>
      <c r="O1009" s="6">
        <v>1</v>
      </c>
      <c r="P1009" s="5">
        <v>1919.9999999998836</v>
      </c>
      <c r="Q1009" s="4" t="s">
        <v>1390</v>
      </c>
    </row>
    <row r="1010" spans="1:17" x14ac:dyDescent="0.3">
      <c r="A1010" s="2" t="s">
        <v>1389</v>
      </c>
      <c r="B1010" s="3">
        <v>155154</v>
      </c>
      <c r="C1010" s="3">
        <v>214648</v>
      </c>
      <c r="D1010" s="4" t="s">
        <v>17</v>
      </c>
      <c r="E1010" s="4" t="s">
        <v>818</v>
      </c>
      <c r="F1010" s="4" t="s">
        <v>32</v>
      </c>
      <c r="G1010" s="4" t="s">
        <v>20</v>
      </c>
      <c r="H1010" s="5">
        <v>-171115.67</v>
      </c>
      <c r="I1010" s="4" t="s">
        <v>34</v>
      </c>
      <c r="J1010" s="5">
        <f t="shared" si="15"/>
        <v>200136.887632</v>
      </c>
      <c r="K1010" s="4" t="s">
        <v>24</v>
      </c>
      <c r="L1010" s="6">
        <v>1.1696</v>
      </c>
      <c r="M1010" s="6">
        <v>0.85499999999999998</v>
      </c>
      <c r="N1010" s="6">
        <v>4.2156000000000002</v>
      </c>
      <c r="O1010" s="6">
        <v>3.5962999999999998</v>
      </c>
      <c r="P1010" s="5">
        <v>-2095.2184520000001</v>
      </c>
      <c r="Q1010" s="4" t="s">
        <v>1390</v>
      </c>
    </row>
    <row r="1011" spans="1:17" x14ac:dyDescent="0.3">
      <c r="A1011" s="2" t="s">
        <v>1389</v>
      </c>
      <c r="B1011" s="3">
        <v>155155</v>
      </c>
      <c r="C1011" s="3">
        <v>214649</v>
      </c>
      <c r="D1011" s="4" t="s">
        <v>17</v>
      </c>
      <c r="E1011" s="4" t="s">
        <v>1154</v>
      </c>
      <c r="F1011" s="4" t="s">
        <v>32</v>
      </c>
      <c r="G1011" s="4" t="s">
        <v>20</v>
      </c>
      <c r="H1011" s="5">
        <v>-408500</v>
      </c>
      <c r="I1011" s="4" t="s">
        <v>21</v>
      </c>
      <c r="J1011" s="5">
        <f t="shared" si="15"/>
        <v>1720234.35</v>
      </c>
      <c r="K1011" s="4" t="s">
        <v>24</v>
      </c>
      <c r="L1011" s="6">
        <v>4.2111000000000001</v>
      </c>
      <c r="M1011" s="6">
        <v>0.23749999999999999</v>
      </c>
      <c r="N1011" s="6">
        <v>4.2156000000000002</v>
      </c>
      <c r="O1011" s="6">
        <v>1</v>
      </c>
      <c r="P1011" s="5">
        <v>-2042.5</v>
      </c>
      <c r="Q1011" s="4" t="s">
        <v>1390</v>
      </c>
    </row>
    <row r="1012" spans="1:17" x14ac:dyDescent="0.3">
      <c r="A1012" s="2" t="s">
        <v>1389</v>
      </c>
      <c r="B1012" s="3">
        <v>155156</v>
      </c>
      <c r="C1012" s="3">
        <v>214650</v>
      </c>
      <c r="D1012" s="4" t="s">
        <v>17</v>
      </c>
      <c r="E1012" s="4" t="s">
        <v>1221</v>
      </c>
      <c r="F1012" s="4" t="s">
        <v>19</v>
      </c>
      <c r="G1012" s="4" t="s">
        <v>34</v>
      </c>
      <c r="H1012" s="5">
        <v>100000</v>
      </c>
      <c r="I1012" s="4" t="s">
        <v>21</v>
      </c>
      <c r="J1012" s="5">
        <f t="shared" si="15"/>
        <v>-360000</v>
      </c>
      <c r="K1012" s="4" t="s">
        <v>24</v>
      </c>
      <c r="L1012" s="6">
        <v>3.6</v>
      </c>
      <c r="M1012" s="6">
        <v>0.27779999999999999</v>
      </c>
      <c r="N1012" s="6">
        <v>3.5962999999999998</v>
      </c>
      <c r="O1012" s="6">
        <v>1</v>
      </c>
      <c r="P1012" s="5">
        <v>-370</v>
      </c>
      <c r="Q1012" s="4" t="s">
        <v>1390</v>
      </c>
    </row>
    <row r="1013" spans="1:17" x14ac:dyDescent="0.3">
      <c r="A1013" s="2" t="s">
        <v>1389</v>
      </c>
      <c r="B1013" s="3">
        <v>155157</v>
      </c>
      <c r="C1013" s="3">
        <v>214653</v>
      </c>
      <c r="D1013" s="4" t="s">
        <v>17</v>
      </c>
      <c r="E1013" s="4" t="s">
        <v>1134</v>
      </c>
      <c r="F1013" s="4" t="s">
        <v>32</v>
      </c>
      <c r="G1013" s="4" t="s">
        <v>20</v>
      </c>
      <c r="H1013" s="5">
        <v>-50000</v>
      </c>
      <c r="I1013" s="4" t="s">
        <v>21</v>
      </c>
      <c r="J1013" s="5">
        <f t="shared" si="15"/>
        <v>210625.00000000003</v>
      </c>
      <c r="K1013" s="4" t="s">
        <v>24</v>
      </c>
      <c r="L1013" s="6">
        <v>4.2125000000000004</v>
      </c>
      <c r="M1013" s="6">
        <v>0.2374</v>
      </c>
      <c r="N1013" s="6">
        <v>4.2156000000000002</v>
      </c>
      <c r="O1013" s="6">
        <v>1</v>
      </c>
      <c r="P1013" s="5">
        <v>-155</v>
      </c>
      <c r="Q1013" s="4" t="s">
        <v>1390</v>
      </c>
    </row>
    <row r="1014" spans="1:17" x14ac:dyDescent="0.3">
      <c r="A1014" s="2" t="s">
        <v>1389</v>
      </c>
      <c r="B1014" s="3">
        <v>155158</v>
      </c>
      <c r="C1014" s="3">
        <v>888581</v>
      </c>
      <c r="D1014" s="4" t="s">
        <v>81</v>
      </c>
      <c r="E1014" s="4" t="s">
        <v>730</v>
      </c>
      <c r="F1014" s="4" t="s">
        <v>87</v>
      </c>
      <c r="G1014" s="4" t="s">
        <v>20</v>
      </c>
      <c r="H1014" s="5">
        <v>200000</v>
      </c>
      <c r="I1014" s="4" t="s">
        <v>34</v>
      </c>
      <c r="J1014" s="5">
        <f t="shared" si="15"/>
        <v>-233860</v>
      </c>
      <c r="K1014" s="4" t="s">
        <v>46</v>
      </c>
      <c r="L1014" s="6">
        <v>1.1693</v>
      </c>
      <c r="M1014" s="6">
        <v>0.85519999999999996</v>
      </c>
      <c r="N1014" s="6">
        <v>4.2110000000000003</v>
      </c>
      <c r="O1014" s="6">
        <v>3.6044999999999998</v>
      </c>
      <c r="P1014" s="5">
        <v>-777.20600000000002</v>
      </c>
      <c r="Q1014" s="4" t="s">
        <v>1396</v>
      </c>
    </row>
    <row r="1015" spans="1:17" x14ac:dyDescent="0.3">
      <c r="A1015" s="2" t="s">
        <v>1389</v>
      </c>
      <c r="B1015" s="3">
        <v>155160</v>
      </c>
      <c r="C1015" s="3">
        <v>888588</v>
      </c>
      <c r="D1015" s="4" t="s">
        <v>81</v>
      </c>
      <c r="E1015" s="4" t="s">
        <v>735</v>
      </c>
      <c r="F1015" s="4" t="s">
        <v>87</v>
      </c>
      <c r="G1015" s="4" t="s">
        <v>20</v>
      </c>
      <c r="H1015" s="5">
        <v>100000</v>
      </c>
      <c r="I1015" s="4" t="s">
        <v>34</v>
      </c>
      <c r="J1015" s="5">
        <f t="shared" si="15"/>
        <v>-116940</v>
      </c>
      <c r="K1015" s="4" t="s">
        <v>46</v>
      </c>
      <c r="L1015" s="6">
        <v>1.1694</v>
      </c>
      <c r="M1015" s="6">
        <v>0.85509999999999997</v>
      </c>
      <c r="N1015" s="6">
        <v>4.2110000000000003</v>
      </c>
      <c r="O1015" s="6">
        <v>3.6044999999999998</v>
      </c>
      <c r="P1015" s="5">
        <v>-424.64800000000002</v>
      </c>
      <c r="Q1015" s="4" t="s">
        <v>1394</v>
      </c>
    </row>
    <row r="1016" spans="1:17" x14ac:dyDescent="0.3">
      <c r="A1016" s="2" t="s">
        <v>1389</v>
      </c>
      <c r="B1016" s="3">
        <v>155161</v>
      </c>
      <c r="C1016" s="3">
        <v>214661</v>
      </c>
      <c r="D1016" s="4" t="s">
        <v>17</v>
      </c>
      <c r="E1016" s="4" t="s">
        <v>1089</v>
      </c>
      <c r="F1016" s="4" t="s">
        <v>19</v>
      </c>
      <c r="G1016" s="4" t="s">
        <v>20</v>
      </c>
      <c r="H1016" s="5">
        <v>40000</v>
      </c>
      <c r="I1016" s="4" t="s">
        <v>21</v>
      </c>
      <c r="J1016" s="5">
        <f t="shared" si="15"/>
        <v>-167800</v>
      </c>
      <c r="K1016" s="4" t="s">
        <v>24</v>
      </c>
      <c r="L1016" s="6">
        <v>4.1950000000000003</v>
      </c>
      <c r="M1016" s="6">
        <v>0.2384</v>
      </c>
      <c r="N1016" s="6">
        <v>4.2156000000000002</v>
      </c>
      <c r="O1016" s="6">
        <v>1</v>
      </c>
      <c r="P1016" s="5">
        <v>824</v>
      </c>
      <c r="Q1016" s="4" t="s">
        <v>1390</v>
      </c>
    </row>
    <row r="1017" spans="1:17" x14ac:dyDescent="0.3">
      <c r="A1017" s="2" t="s">
        <v>1389</v>
      </c>
      <c r="B1017" s="3">
        <v>155162</v>
      </c>
      <c r="C1017" s="3">
        <v>214662</v>
      </c>
      <c r="D1017" s="4" t="s">
        <v>17</v>
      </c>
      <c r="E1017" s="4" t="s">
        <v>1388</v>
      </c>
      <c r="F1017" s="4" t="s">
        <v>19</v>
      </c>
      <c r="G1017" s="4" t="s">
        <v>20</v>
      </c>
      <c r="H1017" s="5">
        <v>6000</v>
      </c>
      <c r="I1017" s="4" t="s">
        <v>21</v>
      </c>
      <c r="J1017" s="5">
        <f t="shared" si="15"/>
        <v>-25098</v>
      </c>
      <c r="K1017" s="4" t="s">
        <v>24</v>
      </c>
      <c r="L1017" s="6">
        <v>4.1829999999999998</v>
      </c>
      <c r="M1017" s="6">
        <v>0.23910000000000001</v>
      </c>
      <c r="N1017" s="6">
        <v>4.2156000000000002</v>
      </c>
      <c r="O1017" s="6">
        <v>1</v>
      </c>
      <c r="P1017" s="5">
        <v>195.60000000000218</v>
      </c>
      <c r="Q1017" s="4" t="s">
        <v>1390</v>
      </c>
    </row>
    <row r="1018" spans="1:17" x14ac:dyDescent="0.3">
      <c r="A1018" s="2" t="s">
        <v>1389</v>
      </c>
      <c r="B1018" s="3">
        <v>155163</v>
      </c>
      <c r="C1018" s="3">
        <v>214666</v>
      </c>
      <c r="D1018" s="4" t="s">
        <v>17</v>
      </c>
      <c r="E1018" s="4" t="s">
        <v>1384</v>
      </c>
      <c r="F1018" s="4" t="s">
        <v>19</v>
      </c>
      <c r="G1018" s="4" t="s">
        <v>34</v>
      </c>
      <c r="H1018" s="5">
        <v>19000</v>
      </c>
      <c r="I1018" s="4" t="s">
        <v>21</v>
      </c>
      <c r="J1018" s="5">
        <f t="shared" si="15"/>
        <v>-68048.5</v>
      </c>
      <c r="K1018" s="4" t="s">
        <v>24</v>
      </c>
      <c r="L1018" s="6">
        <v>3.5815000000000001</v>
      </c>
      <c r="M1018" s="6">
        <v>0.2792</v>
      </c>
      <c r="N1018" s="6">
        <v>3.5962999999999998</v>
      </c>
      <c r="O1018" s="6">
        <v>1</v>
      </c>
      <c r="P1018" s="5">
        <v>281.19999999999709</v>
      </c>
      <c r="Q1018" s="4" t="s">
        <v>1390</v>
      </c>
    </row>
    <row r="1019" spans="1:17" x14ac:dyDescent="0.3">
      <c r="A1019" s="2" t="s">
        <v>1389</v>
      </c>
      <c r="B1019" s="3">
        <v>155164</v>
      </c>
      <c r="C1019" s="3">
        <v>888613</v>
      </c>
      <c r="D1019" s="4" t="s">
        <v>81</v>
      </c>
      <c r="E1019" s="4" t="s">
        <v>735</v>
      </c>
      <c r="F1019" s="4" t="s">
        <v>83</v>
      </c>
      <c r="G1019" s="4" t="s">
        <v>20</v>
      </c>
      <c r="H1019" s="5">
        <v>-500000</v>
      </c>
      <c r="I1019" s="4" t="s">
        <v>21</v>
      </c>
      <c r="J1019" s="5">
        <f t="shared" si="15"/>
        <v>2104150</v>
      </c>
      <c r="K1019" s="4" t="s">
        <v>29</v>
      </c>
      <c r="L1019" s="6">
        <v>4.2083000000000004</v>
      </c>
      <c r="M1019" s="6">
        <v>0.23760000000000001</v>
      </c>
      <c r="N1019" s="6">
        <v>4.2104999999999997</v>
      </c>
      <c r="O1019" s="6">
        <v>1</v>
      </c>
      <c r="P1019" s="5">
        <v>-1100</v>
      </c>
      <c r="Q1019" s="4" t="s">
        <v>1394</v>
      </c>
    </row>
    <row r="1020" spans="1:17" x14ac:dyDescent="0.3">
      <c r="A1020" s="2" t="s">
        <v>1389</v>
      </c>
      <c r="B1020" s="3">
        <v>155166</v>
      </c>
      <c r="C1020" s="3">
        <v>888614</v>
      </c>
      <c r="D1020" s="4" t="s">
        <v>81</v>
      </c>
      <c r="E1020" s="4" t="s">
        <v>1327</v>
      </c>
      <c r="F1020" s="4" t="s">
        <v>83</v>
      </c>
      <c r="G1020" s="4" t="s">
        <v>20</v>
      </c>
      <c r="H1020" s="5">
        <v>-5000</v>
      </c>
      <c r="I1020" s="4" t="s">
        <v>21</v>
      </c>
      <c r="J1020" s="5">
        <f t="shared" si="15"/>
        <v>21078</v>
      </c>
      <c r="K1020" s="4" t="s">
        <v>29</v>
      </c>
      <c r="L1020" s="6">
        <v>4.2156000000000002</v>
      </c>
      <c r="M1020" s="6">
        <v>0.23719999999999999</v>
      </c>
      <c r="N1020" s="6">
        <v>4.2104999999999997</v>
      </c>
      <c r="O1020" s="6">
        <v>1</v>
      </c>
      <c r="P1020" s="5">
        <v>25.5</v>
      </c>
      <c r="Q1020" s="4" t="s">
        <v>1390</v>
      </c>
    </row>
    <row r="1021" spans="1:17" x14ac:dyDescent="0.3">
      <c r="A1021" s="2" t="s">
        <v>1389</v>
      </c>
      <c r="B1021" s="3">
        <v>155167</v>
      </c>
      <c r="C1021" s="3">
        <v>214668</v>
      </c>
      <c r="D1021" s="4" t="s">
        <v>17</v>
      </c>
      <c r="E1021" s="4" t="s">
        <v>1093</v>
      </c>
      <c r="F1021" s="4" t="s">
        <v>19</v>
      </c>
      <c r="G1021" s="4" t="s">
        <v>20</v>
      </c>
      <c r="H1021" s="5">
        <v>5000</v>
      </c>
      <c r="I1021" s="4" t="s">
        <v>21</v>
      </c>
      <c r="J1021" s="5">
        <f t="shared" si="15"/>
        <v>-21000</v>
      </c>
      <c r="K1021" s="4" t="s">
        <v>24</v>
      </c>
      <c r="L1021" s="6">
        <v>4.2</v>
      </c>
      <c r="M1021" s="6">
        <v>0.23810000000000001</v>
      </c>
      <c r="N1021" s="6">
        <v>4.2156000000000002</v>
      </c>
      <c r="O1021" s="6">
        <v>1</v>
      </c>
      <c r="P1021" s="5">
        <v>78</v>
      </c>
      <c r="Q1021" s="4" t="s">
        <v>1390</v>
      </c>
    </row>
    <row r="1022" spans="1:17" x14ac:dyDescent="0.3">
      <c r="A1022" s="2" t="s">
        <v>1389</v>
      </c>
      <c r="B1022" s="3">
        <v>155168</v>
      </c>
      <c r="C1022" s="3">
        <v>214669</v>
      </c>
      <c r="D1022" s="4" t="s">
        <v>17</v>
      </c>
      <c r="E1022" s="4" t="s">
        <v>1198</v>
      </c>
      <c r="F1022" s="4" t="s">
        <v>32</v>
      </c>
      <c r="G1022" s="4" t="s">
        <v>93</v>
      </c>
      <c r="H1022" s="5">
        <v>-7100</v>
      </c>
      <c r="I1022" s="4" t="s">
        <v>21</v>
      </c>
      <c r="J1022" s="5">
        <f t="shared" si="15"/>
        <v>32421.439999999999</v>
      </c>
      <c r="K1022" s="4" t="s">
        <v>24</v>
      </c>
      <c r="L1022" s="6">
        <v>4.5663999999999998</v>
      </c>
      <c r="M1022" s="6">
        <v>0.219</v>
      </c>
      <c r="N1022" s="6">
        <v>4.5313999999999997</v>
      </c>
      <c r="O1022" s="6">
        <v>1</v>
      </c>
      <c r="P1022" s="5">
        <v>238.56</v>
      </c>
      <c r="Q1022" s="4" t="s">
        <v>1390</v>
      </c>
    </row>
    <row r="1023" spans="1:17" x14ac:dyDescent="0.3">
      <c r="A1023" s="2" t="s">
        <v>1389</v>
      </c>
      <c r="B1023" s="3">
        <v>155170</v>
      </c>
      <c r="C1023" s="3">
        <v>214670</v>
      </c>
      <c r="D1023" s="4" t="s">
        <v>17</v>
      </c>
      <c r="E1023" s="4" t="s">
        <v>814</v>
      </c>
      <c r="F1023" s="4" t="s">
        <v>19</v>
      </c>
      <c r="G1023" s="4" t="s">
        <v>20</v>
      </c>
      <c r="H1023" s="5">
        <v>7680</v>
      </c>
      <c r="I1023" s="4" t="s">
        <v>21</v>
      </c>
      <c r="J1023" s="5">
        <f t="shared" si="15"/>
        <v>-32221.439999999999</v>
      </c>
      <c r="K1023" s="4" t="s">
        <v>24</v>
      </c>
      <c r="L1023" s="6">
        <v>4.1955</v>
      </c>
      <c r="M1023" s="6">
        <v>0.2384</v>
      </c>
      <c r="N1023" s="6">
        <v>4.2156000000000002</v>
      </c>
      <c r="O1023" s="6">
        <v>1</v>
      </c>
      <c r="P1023" s="5">
        <v>154.36800000000221</v>
      </c>
      <c r="Q1023" s="4" t="s">
        <v>1390</v>
      </c>
    </row>
    <row r="1024" spans="1:17" x14ac:dyDescent="0.3">
      <c r="A1024" s="2" t="s">
        <v>1389</v>
      </c>
      <c r="B1024" s="3">
        <v>155174</v>
      </c>
      <c r="C1024" s="3">
        <v>214678</v>
      </c>
      <c r="D1024" s="4" t="s">
        <v>17</v>
      </c>
      <c r="E1024" s="4" t="s">
        <v>870</v>
      </c>
      <c r="F1024" s="4" t="s">
        <v>32</v>
      </c>
      <c r="G1024" s="4" t="s">
        <v>20</v>
      </c>
      <c r="H1024" s="5">
        <v>-120000</v>
      </c>
      <c r="I1024" s="4" t="s">
        <v>21</v>
      </c>
      <c r="J1024" s="5">
        <f t="shared" si="15"/>
        <v>506460.00000000006</v>
      </c>
      <c r="K1024" s="4" t="s">
        <v>24</v>
      </c>
      <c r="L1024" s="6">
        <v>4.2205000000000004</v>
      </c>
      <c r="M1024" s="6">
        <v>0.2369</v>
      </c>
      <c r="N1024" s="6">
        <v>4.2156000000000002</v>
      </c>
      <c r="O1024" s="6">
        <v>1</v>
      </c>
      <c r="P1024" s="5">
        <v>528</v>
      </c>
      <c r="Q1024" s="4" t="s">
        <v>1390</v>
      </c>
    </row>
    <row r="1025" spans="1:17" x14ac:dyDescent="0.3">
      <c r="A1025" s="2" t="s">
        <v>1389</v>
      </c>
      <c r="B1025" s="3">
        <v>155175</v>
      </c>
      <c r="C1025" s="3">
        <v>888654</v>
      </c>
      <c r="D1025" s="4" t="s">
        <v>81</v>
      </c>
      <c r="E1025" s="4" t="s">
        <v>743</v>
      </c>
      <c r="F1025" s="4" t="s">
        <v>83</v>
      </c>
      <c r="G1025" s="4" t="s">
        <v>20</v>
      </c>
      <c r="H1025" s="5">
        <v>-1000000</v>
      </c>
      <c r="I1025" s="4" t="s">
        <v>21</v>
      </c>
      <c r="J1025" s="5">
        <f t="shared" si="15"/>
        <v>4209900</v>
      </c>
      <c r="K1025" s="4" t="s">
        <v>29</v>
      </c>
      <c r="L1025" s="6">
        <v>4.2099000000000002</v>
      </c>
      <c r="M1025" s="6">
        <v>0.23749999999999999</v>
      </c>
      <c r="N1025" s="6">
        <v>4.2104999999999997</v>
      </c>
      <c r="O1025" s="6">
        <v>1</v>
      </c>
      <c r="P1025" s="5">
        <v>-650</v>
      </c>
      <c r="Q1025" s="4" t="s">
        <v>1395</v>
      </c>
    </row>
    <row r="1026" spans="1:17" x14ac:dyDescent="0.3">
      <c r="A1026" s="2" t="s">
        <v>1389</v>
      </c>
      <c r="B1026" s="3">
        <v>155176</v>
      </c>
      <c r="C1026" s="3">
        <v>214679</v>
      </c>
      <c r="D1026" s="4" t="s">
        <v>17</v>
      </c>
      <c r="E1026" s="4" t="s">
        <v>766</v>
      </c>
      <c r="F1026" s="4" t="s">
        <v>19</v>
      </c>
      <c r="G1026" s="4" t="s">
        <v>20</v>
      </c>
      <c r="H1026" s="5">
        <v>1012000</v>
      </c>
      <c r="I1026" s="4" t="s">
        <v>21</v>
      </c>
      <c r="J1026" s="5">
        <f t="shared" si="15"/>
        <v>-4251918</v>
      </c>
      <c r="K1026" s="4" t="s">
        <v>24</v>
      </c>
      <c r="L1026" s="6">
        <v>4.2015000000000002</v>
      </c>
      <c r="M1026" s="6">
        <v>0.23799999999999999</v>
      </c>
      <c r="N1026" s="6">
        <v>4.2156000000000002</v>
      </c>
      <c r="O1026" s="6">
        <v>1</v>
      </c>
      <c r="P1026" s="5">
        <v>14269.200000000186</v>
      </c>
      <c r="Q1026" s="4" t="s">
        <v>1390</v>
      </c>
    </row>
    <row r="1027" spans="1:17" x14ac:dyDescent="0.3">
      <c r="A1027" s="2" t="s">
        <v>1389</v>
      </c>
      <c r="B1027" s="3">
        <v>155177</v>
      </c>
      <c r="C1027" s="3">
        <v>214682</v>
      </c>
      <c r="D1027" s="4" t="s">
        <v>17</v>
      </c>
      <c r="E1027" s="4" t="s">
        <v>968</v>
      </c>
      <c r="F1027" s="4" t="s">
        <v>19</v>
      </c>
      <c r="G1027" s="4" t="s">
        <v>20</v>
      </c>
      <c r="H1027" s="5">
        <v>25000</v>
      </c>
      <c r="I1027" s="4" t="s">
        <v>21</v>
      </c>
      <c r="J1027" s="5">
        <f t="shared" si="15"/>
        <v>-104750.00000000001</v>
      </c>
      <c r="K1027" s="4" t="s">
        <v>24</v>
      </c>
      <c r="L1027" s="6">
        <v>4.1900000000000004</v>
      </c>
      <c r="M1027" s="6">
        <v>0.2387</v>
      </c>
      <c r="N1027" s="6">
        <v>4.2156000000000002</v>
      </c>
      <c r="O1027" s="6">
        <v>1</v>
      </c>
      <c r="P1027" s="5">
        <v>639.99999999998545</v>
      </c>
      <c r="Q1027" s="4" t="s">
        <v>1390</v>
      </c>
    </row>
    <row r="1028" spans="1:17" x14ac:dyDescent="0.3">
      <c r="A1028" s="2" t="s">
        <v>1389</v>
      </c>
      <c r="B1028" s="3">
        <v>155178</v>
      </c>
      <c r="C1028" s="3">
        <v>214689</v>
      </c>
      <c r="D1028" s="4" t="s">
        <v>17</v>
      </c>
      <c r="E1028" s="4" t="s">
        <v>1328</v>
      </c>
      <c r="F1028" s="4" t="s">
        <v>19</v>
      </c>
      <c r="G1028" s="4" t="s">
        <v>20</v>
      </c>
      <c r="H1028" s="5">
        <v>100000</v>
      </c>
      <c r="I1028" s="4" t="s">
        <v>21</v>
      </c>
      <c r="J1028" s="5">
        <f t="shared" ref="J1028:J1091" si="16">-H1028*L1028</f>
        <v>-420550</v>
      </c>
      <c r="K1028" s="4" t="s">
        <v>24</v>
      </c>
      <c r="L1028" s="6">
        <v>4.2054999999999998</v>
      </c>
      <c r="M1028" s="6">
        <v>0.23780000000000001</v>
      </c>
      <c r="N1028" s="6">
        <v>4.2156000000000002</v>
      </c>
      <c r="O1028" s="6">
        <v>1</v>
      </c>
      <c r="P1028" s="5">
        <v>1010</v>
      </c>
      <c r="Q1028" s="4" t="s">
        <v>1390</v>
      </c>
    </row>
    <row r="1029" spans="1:17" x14ac:dyDescent="0.3">
      <c r="A1029" s="2" t="s">
        <v>1389</v>
      </c>
      <c r="B1029" s="3">
        <v>155179</v>
      </c>
      <c r="C1029" s="3">
        <v>214690</v>
      </c>
      <c r="D1029" s="4" t="s">
        <v>17</v>
      </c>
      <c r="E1029" s="4" t="s">
        <v>859</v>
      </c>
      <c r="F1029" s="4" t="s">
        <v>32</v>
      </c>
      <c r="G1029" s="4" t="s">
        <v>20</v>
      </c>
      <c r="H1029" s="5">
        <v>-250000</v>
      </c>
      <c r="I1029" s="4" t="s">
        <v>21</v>
      </c>
      <c r="J1029" s="5">
        <f t="shared" si="16"/>
        <v>1053125</v>
      </c>
      <c r="K1029" s="4" t="s">
        <v>24</v>
      </c>
      <c r="L1029" s="6">
        <v>4.2125000000000004</v>
      </c>
      <c r="M1029" s="6">
        <v>0.2374</v>
      </c>
      <c r="N1029" s="6">
        <v>4.2156000000000002</v>
      </c>
      <c r="O1029" s="6">
        <v>1</v>
      </c>
      <c r="P1029" s="5">
        <v>-775</v>
      </c>
      <c r="Q1029" s="4" t="s">
        <v>1390</v>
      </c>
    </row>
    <row r="1030" spans="1:17" x14ac:dyDescent="0.3">
      <c r="A1030" s="2" t="s">
        <v>1389</v>
      </c>
      <c r="B1030" s="3">
        <v>155180</v>
      </c>
      <c r="C1030" s="3">
        <v>888701</v>
      </c>
      <c r="D1030" s="4" t="s">
        <v>81</v>
      </c>
      <c r="E1030" s="4" t="s">
        <v>730</v>
      </c>
      <c r="F1030" s="4" t="s">
        <v>87</v>
      </c>
      <c r="G1030" s="4" t="s">
        <v>34</v>
      </c>
      <c r="H1030" s="5">
        <v>500000</v>
      </c>
      <c r="I1030" s="4" t="s">
        <v>21</v>
      </c>
      <c r="J1030" s="5">
        <f t="shared" si="16"/>
        <v>-1802500</v>
      </c>
      <c r="K1030" s="4" t="s">
        <v>29</v>
      </c>
      <c r="L1030" s="6">
        <v>3.605</v>
      </c>
      <c r="M1030" s="6">
        <v>0.27739999999999998</v>
      </c>
      <c r="N1030" s="6">
        <v>3.6034999999999999</v>
      </c>
      <c r="O1030" s="6">
        <v>1</v>
      </c>
      <c r="P1030" s="5">
        <v>-765</v>
      </c>
      <c r="Q1030" s="4" t="s">
        <v>1396</v>
      </c>
    </row>
    <row r="1031" spans="1:17" x14ac:dyDescent="0.3">
      <c r="A1031" s="2" t="s">
        <v>1389</v>
      </c>
      <c r="B1031" s="3">
        <v>155181</v>
      </c>
      <c r="C1031" s="3">
        <v>214693</v>
      </c>
      <c r="D1031" s="4" t="s">
        <v>17</v>
      </c>
      <c r="E1031" s="4" t="s">
        <v>1088</v>
      </c>
      <c r="F1031" s="4" t="s">
        <v>19</v>
      </c>
      <c r="G1031" s="4" t="s">
        <v>20</v>
      </c>
      <c r="H1031" s="5">
        <v>200000</v>
      </c>
      <c r="I1031" s="4" t="s">
        <v>21</v>
      </c>
      <c r="J1031" s="5">
        <f t="shared" si="16"/>
        <v>-839000</v>
      </c>
      <c r="K1031" s="4" t="s">
        <v>24</v>
      </c>
      <c r="L1031" s="6">
        <v>4.1950000000000003</v>
      </c>
      <c r="M1031" s="6">
        <v>0.2384</v>
      </c>
      <c r="N1031" s="6">
        <v>4.2156000000000002</v>
      </c>
      <c r="O1031" s="6">
        <v>1</v>
      </c>
      <c r="P1031" s="5">
        <v>4120</v>
      </c>
      <c r="Q1031" s="4" t="s">
        <v>1390</v>
      </c>
    </row>
    <row r="1032" spans="1:17" x14ac:dyDescent="0.3">
      <c r="A1032" s="2" t="s">
        <v>1389</v>
      </c>
      <c r="B1032" s="3">
        <v>155184</v>
      </c>
      <c r="C1032" s="3">
        <v>214697</v>
      </c>
      <c r="D1032" s="4" t="s">
        <v>17</v>
      </c>
      <c r="E1032" s="4" t="s">
        <v>891</v>
      </c>
      <c r="F1032" s="4" t="s">
        <v>32</v>
      </c>
      <c r="G1032" s="4" t="s">
        <v>34</v>
      </c>
      <c r="H1032" s="5">
        <v>-16000</v>
      </c>
      <c r="I1032" s="4" t="s">
        <v>21</v>
      </c>
      <c r="J1032" s="5">
        <f t="shared" si="16"/>
        <v>57728</v>
      </c>
      <c r="K1032" s="4" t="s">
        <v>24</v>
      </c>
      <c r="L1032" s="6">
        <v>3.6080000000000001</v>
      </c>
      <c r="M1032" s="6">
        <v>0.2772</v>
      </c>
      <c r="N1032" s="6">
        <v>3.5962999999999998</v>
      </c>
      <c r="O1032" s="6">
        <v>1</v>
      </c>
      <c r="P1032" s="5">
        <v>187.2</v>
      </c>
      <c r="Q1032" s="4" t="s">
        <v>1390</v>
      </c>
    </row>
    <row r="1033" spans="1:17" x14ac:dyDescent="0.3">
      <c r="A1033" s="2" t="s">
        <v>1389</v>
      </c>
      <c r="B1033" s="3">
        <v>155186</v>
      </c>
      <c r="C1033" s="3">
        <v>214699</v>
      </c>
      <c r="D1033" s="4" t="s">
        <v>17</v>
      </c>
      <c r="E1033" s="4" t="s">
        <v>1180</v>
      </c>
      <c r="F1033" s="4" t="s">
        <v>19</v>
      </c>
      <c r="G1033" s="4" t="s">
        <v>91</v>
      </c>
      <c r="H1033" s="5">
        <v>7449.06</v>
      </c>
      <c r="I1033" s="4" t="s">
        <v>21</v>
      </c>
      <c r="J1033" s="5">
        <f t="shared" si="16"/>
        <v>-36016.205099999999</v>
      </c>
      <c r="K1033" s="4" t="s">
        <v>24</v>
      </c>
      <c r="L1033" s="6">
        <v>4.835</v>
      </c>
      <c r="M1033" s="6">
        <v>0.20680000000000001</v>
      </c>
      <c r="N1033" s="6">
        <v>4.8391000000000002</v>
      </c>
      <c r="O1033" s="6">
        <v>1</v>
      </c>
      <c r="P1033" s="5">
        <v>30.541146000003209</v>
      </c>
      <c r="Q1033" s="4" t="s">
        <v>1390</v>
      </c>
    </row>
    <row r="1034" spans="1:17" x14ac:dyDescent="0.3">
      <c r="A1034" s="2" t="s">
        <v>1389</v>
      </c>
      <c r="B1034" s="3">
        <v>155190</v>
      </c>
      <c r="C1034" s="3">
        <v>214703</v>
      </c>
      <c r="D1034" s="4" t="s">
        <v>17</v>
      </c>
      <c r="E1034" s="4" t="s">
        <v>1286</v>
      </c>
      <c r="F1034" s="4" t="s">
        <v>32</v>
      </c>
      <c r="G1034" s="4" t="s">
        <v>20</v>
      </c>
      <c r="H1034" s="5">
        <v>-15000</v>
      </c>
      <c r="I1034" s="4" t="s">
        <v>21</v>
      </c>
      <c r="J1034" s="5">
        <f t="shared" si="16"/>
        <v>63382.500000000007</v>
      </c>
      <c r="K1034" s="4" t="s">
        <v>24</v>
      </c>
      <c r="L1034" s="6">
        <v>4.2255000000000003</v>
      </c>
      <c r="M1034" s="6">
        <v>0.23669999999999999</v>
      </c>
      <c r="N1034" s="6">
        <v>4.2156000000000002</v>
      </c>
      <c r="O1034" s="6">
        <v>1</v>
      </c>
      <c r="P1034" s="5">
        <v>141</v>
      </c>
      <c r="Q1034" s="4" t="s">
        <v>1390</v>
      </c>
    </row>
    <row r="1035" spans="1:17" x14ac:dyDescent="0.3">
      <c r="A1035" s="2" t="s">
        <v>1389</v>
      </c>
      <c r="B1035" s="3">
        <v>155191</v>
      </c>
      <c r="C1035" s="3">
        <v>214707</v>
      </c>
      <c r="D1035" s="4" t="s">
        <v>17</v>
      </c>
      <c r="E1035" s="4" t="s">
        <v>1002</v>
      </c>
      <c r="F1035" s="4" t="s">
        <v>19</v>
      </c>
      <c r="G1035" s="4" t="s">
        <v>34</v>
      </c>
      <c r="H1035" s="5">
        <v>10000</v>
      </c>
      <c r="I1035" s="4" t="s">
        <v>21</v>
      </c>
      <c r="J1035" s="5">
        <f t="shared" si="16"/>
        <v>-35750</v>
      </c>
      <c r="K1035" s="4" t="s">
        <v>24</v>
      </c>
      <c r="L1035" s="6">
        <v>3.5750000000000002</v>
      </c>
      <c r="M1035" s="6">
        <v>0.2797</v>
      </c>
      <c r="N1035" s="6">
        <v>3.5962999999999998</v>
      </c>
      <c r="O1035" s="6">
        <v>1</v>
      </c>
      <c r="P1035" s="5">
        <v>213</v>
      </c>
      <c r="Q1035" s="4" t="s">
        <v>1390</v>
      </c>
    </row>
    <row r="1036" spans="1:17" x14ac:dyDescent="0.3">
      <c r="A1036" s="2" t="s">
        <v>1389</v>
      </c>
      <c r="B1036" s="3">
        <v>155193</v>
      </c>
      <c r="C1036" s="3">
        <v>214713</v>
      </c>
      <c r="D1036" s="4" t="s">
        <v>17</v>
      </c>
      <c r="E1036" s="4" t="s">
        <v>901</v>
      </c>
      <c r="F1036" s="4" t="s">
        <v>19</v>
      </c>
      <c r="G1036" s="4" t="s">
        <v>20</v>
      </c>
      <c r="H1036" s="5">
        <v>10000</v>
      </c>
      <c r="I1036" s="4" t="s">
        <v>21</v>
      </c>
      <c r="J1036" s="5">
        <f t="shared" si="16"/>
        <v>-42005</v>
      </c>
      <c r="K1036" s="4" t="s">
        <v>24</v>
      </c>
      <c r="L1036" s="6">
        <v>4.2004999999999999</v>
      </c>
      <c r="M1036" s="6">
        <v>0.23810000000000001</v>
      </c>
      <c r="N1036" s="6">
        <v>4.2156000000000002</v>
      </c>
      <c r="O1036" s="6">
        <v>1</v>
      </c>
      <c r="P1036" s="5">
        <v>151</v>
      </c>
      <c r="Q1036" s="4" t="s">
        <v>1390</v>
      </c>
    </row>
    <row r="1037" spans="1:17" x14ac:dyDescent="0.3">
      <c r="A1037" s="2" t="s">
        <v>1389</v>
      </c>
      <c r="B1037" s="3">
        <v>155194</v>
      </c>
      <c r="C1037" s="3">
        <v>214717</v>
      </c>
      <c r="D1037" s="4" t="s">
        <v>17</v>
      </c>
      <c r="E1037" s="4" t="s">
        <v>1243</v>
      </c>
      <c r="F1037" s="4" t="s">
        <v>32</v>
      </c>
      <c r="G1037" s="4" t="s">
        <v>20</v>
      </c>
      <c r="H1037" s="5">
        <v>-50000</v>
      </c>
      <c r="I1037" s="4" t="s">
        <v>21</v>
      </c>
      <c r="J1037" s="5">
        <f t="shared" si="16"/>
        <v>210675</v>
      </c>
      <c r="K1037" s="4" t="s">
        <v>24</v>
      </c>
      <c r="L1037" s="6">
        <v>4.2134999999999998</v>
      </c>
      <c r="M1037" s="6">
        <v>0.23730000000000001</v>
      </c>
      <c r="N1037" s="6">
        <v>4.2156000000000002</v>
      </c>
      <c r="O1037" s="6">
        <v>1</v>
      </c>
      <c r="P1037" s="5">
        <v>-130</v>
      </c>
      <c r="Q1037" s="4" t="s">
        <v>1390</v>
      </c>
    </row>
    <row r="1038" spans="1:17" x14ac:dyDescent="0.3">
      <c r="A1038" s="2" t="s">
        <v>1389</v>
      </c>
      <c r="B1038" s="3">
        <v>155195</v>
      </c>
      <c r="C1038" s="3">
        <v>214721</v>
      </c>
      <c r="D1038" s="4" t="s">
        <v>17</v>
      </c>
      <c r="E1038" s="4" t="s">
        <v>1057</v>
      </c>
      <c r="F1038" s="4" t="s">
        <v>19</v>
      </c>
      <c r="G1038" s="4" t="s">
        <v>20</v>
      </c>
      <c r="H1038" s="5">
        <v>20000</v>
      </c>
      <c r="I1038" s="4" t="s">
        <v>21</v>
      </c>
      <c r="J1038" s="5">
        <f t="shared" si="16"/>
        <v>-84168</v>
      </c>
      <c r="K1038" s="4" t="s">
        <v>24</v>
      </c>
      <c r="L1038" s="6">
        <v>4.2084000000000001</v>
      </c>
      <c r="M1038" s="6">
        <v>0.23760000000000001</v>
      </c>
      <c r="N1038" s="6">
        <v>4.2156000000000002</v>
      </c>
      <c r="O1038" s="6">
        <v>1</v>
      </c>
      <c r="P1038" s="5">
        <v>144</v>
      </c>
      <c r="Q1038" s="4" t="s">
        <v>1390</v>
      </c>
    </row>
    <row r="1039" spans="1:17" x14ac:dyDescent="0.3">
      <c r="A1039" s="2" t="s">
        <v>1389</v>
      </c>
      <c r="B1039" s="3">
        <v>155196</v>
      </c>
      <c r="C1039" s="3">
        <v>214722</v>
      </c>
      <c r="D1039" s="4" t="s">
        <v>17</v>
      </c>
      <c r="E1039" s="4" t="s">
        <v>1155</v>
      </c>
      <c r="F1039" s="4" t="s">
        <v>32</v>
      </c>
      <c r="G1039" s="4" t="s">
        <v>20</v>
      </c>
      <c r="H1039" s="5">
        <v>-150000</v>
      </c>
      <c r="I1039" s="4" t="s">
        <v>74</v>
      </c>
      <c r="J1039" s="5">
        <f t="shared" si="16"/>
        <v>1768935</v>
      </c>
      <c r="K1039" s="4" t="s">
        <v>22</v>
      </c>
      <c r="L1039" s="6">
        <v>11.792899999999999</v>
      </c>
      <c r="M1039" s="6">
        <v>8.48E-2</v>
      </c>
      <c r="N1039" s="6">
        <v>4.2068000000000003</v>
      </c>
      <c r="O1039" s="6">
        <v>0.35880000000000001</v>
      </c>
      <c r="P1039" s="5">
        <v>3975.27</v>
      </c>
      <c r="Q1039" s="4" t="s">
        <v>1390</v>
      </c>
    </row>
    <row r="1040" spans="1:17" x14ac:dyDescent="0.3">
      <c r="A1040" s="2" t="s">
        <v>1389</v>
      </c>
      <c r="B1040" s="3">
        <v>155197</v>
      </c>
      <c r="C1040" s="3">
        <v>214726</v>
      </c>
      <c r="D1040" s="4" t="s">
        <v>17</v>
      </c>
      <c r="E1040" s="4" t="s">
        <v>1042</v>
      </c>
      <c r="F1040" s="4" t="s">
        <v>19</v>
      </c>
      <c r="G1040" s="4" t="s">
        <v>20</v>
      </c>
      <c r="H1040" s="5">
        <v>19586.57</v>
      </c>
      <c r="I1040" s="4" t="s">
        <v>21</v>
      </c>
      <c r="J1040" s="5">
        <f t="shared" si="16"/>
        <v>-82359.568192999999</v>
      </c>
      <c r="K1040" s="4" t="s">
        <v>24</v>
      </c>
      <c r="L1040" s="6">
        <v>4.2049000000000003</v>
      </c>
      <c r="M1040" s="6">
        <v>0.23780000000000001</v>
      </c>
      <c r="N1040" s="6">
        <v>4.2156000000000002</v>
      </c>
      <c r="O1040" s="6">
        <v>1</v>
      </c>
      <c r="P1040" s="5">
        <v>209.57629900000757</v>
      </c>
      <c r="Q1040" s="4" t="s">
        <v>1390</v>
      </c>
    </row>
    <row r="1041" spans="1:17" x14ac:dyDescent="0.3">
      <c r="A1041" s="2" t="s">
        <v>1389</v>
      </c>
      <c r="B1041" s="3">
        <v>155198</v>
      </c>
      <c r="C1041" s="3">
        <v>888822</v>
      </c>
      <c r="D1041" s="4" t="s">
        <v>81</v>
      </c>
      <c r="E1041" s="4" t="s">
        <v>730</v>
      </c>
      <c r="F1041" s="4" t="s">
        <v>87</v>
      </c>
      <c r="G1041" s="4" t="s">
        <v>20</v>
      </c>
      <c r="H1041" s="5">
        <v>200000</v>
      </c>
      <c r="I1041" s="4" t="s">
        <v>74</v>
      </c>
      <c r="J1041" s="5">
        <f t="shared" si="16"/>
        <v>-2357120</v>
      </c>
      <c r="K1041" s="4" t="s">
        <v>46</v>
      </c>
      <c r="L1041" s="6">
        <v>11.785600000000001</v>
      </c>
      <c r="M1041" s="6">
        <v>8.48E-2</v>
      </c>
      <c r="N1041" s="6">
        <v>4.2110000000000003</v>
      </c>
      <c r="O1041" s="6">
        <v>0.35720000000000002</v>
      </c>
      <c r="P1041" s="5">
        <v>238.16480000000001</v>
      </c>
      <c r="Q1041" s="4" t="s">
        <v>1396</v>
      </c>
    </row>
    <row r="1042" spans="1:17" x14ac:dyDescent="0.3">
      <c r="A1042" s="2" t="s">
        <v>1389</v>
      </c>
      <c r="B1042" s="3">
        <v>155200</v>
      </c>
      <c r="C1042" s="3">
        <v>888832</v>
      </c>
      <c r="D1042" s="4" t="s">
        <v>81</v>
      </c>
      <c r="E1042" s="4" t="s">
        <v>735</v>
      </c>
      <c r="F1042" s="4" t="s">
        <v>87</v>
      </c>
      <c r="G1042" s="4" t="s">
        <v>20</v>
      </c>
      <c r="H1042" s="5">
        <v>500000</v>
      </c>
      <c r="I1042" s="4" t="s">
        <v>21</v>
      </c>
      <c r="J1042" s="5">
        <f t="shared" si="16"/>
        <v>-2106300</v>
      </c>
      <c r="K1042" s="4" t="s">
        <v>29</v>
      </c>
      <c r="L1042" s="6">
        <v>4.2126000000000001</v>
      </c>
      <c r="M1042" s="6">
        <v>0.2374</v>
      </c>
      <c r="N1042" s="6">
        <v>4.2104999999999997</v>
      </c>
      <c r="O1042" s="6">
        <v>1</v>
      </c>
      <c r="P1042" s="5">
        <v>-1050</v>
      </c>
      <c r="Q1042" s="4" t="s">
        <v>1394</v>
      </c>
    </row>
    <row r="1043" spans="1:17" x14ac:dyDescent="0.3">
      <c r="A1043" s="2" t="s">
        <v>1389</v>
      </c>
      <c r="B1043" s="3">
        <v>155201</v>
      </c>
      <c r="C1043" s="3">
        <v>214730</v>
      </c>
      <c r="D1043" s="4" t="s">
        <v>17</v>
      </c>
      <c r="E1043" s="4" t="s">
        <v>972</v>
      </c>
      <c r="F1043" s="4" t="s">
        <v>19</v>
      </c>
      <c r="G1043" s="4" t="s">
        <v>84</v>
      </c>
      <c r="H1043" s="5">
        <v>98000</v>
      </c>
      <c r="I1043" s="4" t="s">
        <v>21</v>
      </c>
      <c r="J1043" s="5">
        <f t="shared" si="16"/>
        <v>-37877</v>
      </c>
      <c r="K1043" s="4" t="s">
        <v>24</v>
      </c>
      <c r="L1043" s="6">
        <v>0.38650000000000001</v>
      </c>
      <c r="M1043" s="6">
        <v>2.5872999999999999</v>
      </c>
      <c r="N1043" s="6">
        <v>0.3896</v>
      </c>
      <c r="O1043" s="6">
        <v>1</v>
      </c>
      <c r="P1043" s="5">
        <v>303.80000000000291</v>
      </c>
      <c r="Q1043" s="4" t="s">
        <v>1390</v>
      </c>
    </row>
    <row r="1044" spans="1:17" x14ac:dyDescent="0.3">
      <c r="A1044" s="2" t="s">
        <v>1389</v>
      </c>
      <c r="B1044" s="3">
        <v>155202</v>
      </c>
      <c r="C1044" s="3">
        <v>214732</v>
      </c>
      <c r="D1044" s="4" t="s">
        <v>17</v>
      </c>
      <c r="E1044" s="4" t="s">
        <v>959</v>
      </c>
      <c r="F1044" s="4" t="s">
        <v>32</v>
      </c>
      <c r="G1044" s="4" t="s">
        <v>20</v>
      </c>
      <c r="H1044" s="5">
        <v>-54373.52</v>
      </c>
      <c r="I1044" s="4" t="s">
        <v>21</v>
      </c>
      <c r="J1044" s="5">
        <f t="shared" si="16"/>
        <v>230027.17635999998</v>
      </c>
      <c r="K1044" s="4" t="s">
        <v>24</v>
      </c>
      <c r="L1044" s="6">
        <v>4.2305000000000001</v>
      </c>
      <c r="M1044" s="6">
        <v>0.2364</v>
      </c>
      <c r="N1044" s="6">
        <v>4.2156000000000002</v>
      </c>
      <c r="O1044" s="6">
        <v>1</v>
      </c>
      <c r="P1044" s="5">
        <v>782.97908800000005</v>
      </c>
      <c r="Q1044" s="4" t="s">
        <v>1390</v>
      </c>
    </row>
    <row r="1045" spans="1:17" x14ac:dyDescent="0.3">
      <c r="A1045" s="2" t="s">
        <v>1389</v>
      </c>
      <c r="B1045" s="3">
        <v>155207</v>
      </c>
      <c r="C1045" s="3">
        <v>214738</v>
      </c>
      <c r="D1045" s="4" t="s">
        <v>17</v>
      </c>
      <c r="E1045" s="4" t="s">
        <v>770</v>
      </c>
      <c r="F1045" s="4" t="s">
        <v>32</v>
      </c>
      <c r="G1045" s="4" t="s">
        <v>20</v>
      </c>
      <c r="H1045" s="5">
        <v>-12309</v>
      </c>
      <c r="I1045" s="4" t="s">
        <v>21</v>
      </c>
      <c r="J1045" s="5">
        <f t="shared" si="16"/>
        <v>51945.210900000005</v>
      </c>
      <c r="K1045" s="4" t="s">
        <v>24</v>
      </c>
      <c r="L1045" s="6">
        <v>4.2201000000000004</v>
      </c>
      <c r="M1045" s="6">
        <v>0.23699999999999999</v>
      </c>
      <c r="N1045" s="6">
        <v>4.2156000000000002</v>
      </c>
      <c r="O1045" s="6">
        <v>1</v>
      </c>
      <c r="P1045" s="5">
        <v>49.239600000000003</v>
      </c>
      <c r="Q1045" s="4" t="s">
        <v>1390</v>
      </c>
    </row>
    <row r="1046" spans="1:17" x14ac:dyDescent="0.3">
      <c r="A1046" s="2" t="s">
        <v>1389</v>
      </c>
      <c r="B1046" s="3">
        <v>155208</v>
      </c>
      <c r="C1046" s="3">
        <v>214741</v>
      </c>
      <c r="D1046" s="4" t="s">
        <v>17</v>
      </c>
      <c r="E1046" s="4" t="s">
        <v>1238</v>
      </c>
      <c r="F1046" s="4" t="s">
        <v>19</v>
      </c>
      <c r="G1046" s="4" t="s">
        <v>20</v>
      </c>
      <c r="H1046" s="5">
        <v>200000</v>
      </c>
      <c r="I1046" s="4" t="s">
        <v>21</v>
      </c>
      <c r="J1046" s="5">
        <f t="shared" si="16"/>
        <v>-842160</v>
      </c>
      <c r="K1046" s="4" t="s">
        <v>24</v>
      </c>
      <c r="L1046" s="6">
        <v>4.2107999999999999</v>
      </c>
      <c r="M1046" s="6">
        <v>0.23749999999999999</v>
      </c>
      <c r="N1046" s="6">
        <v>4.2156000000000002</v>
      </c>
      <c r="O1046" s="6">
        <v>1</v>
      </c>
      <c r="P1046" s="5">
        <v>960</v>
      </c>
      <c r="Q1046" s="4" t="s">
        <v>1390</v>
      </c>
    </row>
    <row r="1047" spans="1:17" x14ac:dyDescent="0.3">
      <c r="A1047" s="2" t="s">
        <v>1389</v>
      </c>
      <c r="B1047" s="3">
        <v>155209</v>
      </c>
      <c r="C1047" s="3">
        <v>888877</v>
      </c>
      <c r="D1047" s="4" t="s">
        <v>81</v>
      </c>
      <c r="E1047" s="4" t="s">
        <v>742</v>
      </c>
      <c r="F1047" s="4" t="s">
        <v>83</v>
      </c>
      <c r="G1047" s="4" t="s">
        <v>20</v>
      </c>
      <c r="H1047" s="5">
        <v>-500000</v>
      </c>
      <c r="I1047" s="4" t="s">
        <v>21</v>
      </c>
      <c r="J1047" s="5">
        <f t="shared" si="16"/>
        <v>2106850</v>
      </c>
      <c r="K1047" s="4" t="s">
        <v>29</v>
      </c>
      <c r="L1047" s="6">
        <v>4.2137000000000002</v>
      </c>
      <c r="M1047" s="6">
        <v>0.23730000000000001</v>
      </c>
      <c r="N1047" s="6">
        <v>4.2104999999999997</v>
      </c>
      <c r="O1047" s="6">
        <v>1</v>
      </c>
      <c r="P1047" s="5">
        <v>1620</v>
      </c>
      <c r="Q1047" s="4" t="s">
        <v>1396</v>
      </c>
    </row>
    <row r="1048" spans="1:17" x14ac:dyDescent="0.3">
      <c r="A1048" s="2" t="s">
        <v>1389</v>
      </c>
      <c r="B1048" s="3">
        <v>155210</v>
      </c>
      <c r="C1048" s="3">
        <v>214745</v>
      </c>
      <c r="D1048" s="4" t="s">
        <v>17</v>
      </c>
      <c r="E1048" s="4" t="s">
        <v>862</v>
      </c>
      <c r="F1048" s="4" t="s">
        <v>19</v>
      </c>
      <c r="G1048" s="4" t="s">
        <v>91</v>
      </c>
      <c r="H1048" s="5">
        <v>10929.73</v>
      </c>
      <c r="I1048" s="4" t="s">
        <v>21</v>
      </c>
      <c r="J1048" s="5">
        <f t="shared" si="16"/>
        <v>-52899.893199999999</v>
      </c>
      <c r="K1048" s="4" t="s">
        <v>24</v>
      </c>
      <c r="L1048" s="6">
        <v>4.84</v>
      </c>
      <c r="M1048" s="6">
        <v>0.20660000000000001</v>
      </c>
      <c r="N1048" s="6">
        <v>4.8391000000000002</v>
      </c>
      <c r="O1048" s="6">
        <v>1</v>
      </c>
      <c r="P1048" s="5">
        <v>-9.8367569999973057</v>
      </c>
      <c r="Q1048" s="4" t="s">
        <v>1390</v>
      </c>
    </row>
    <row r="1049" spans="1:17" x14ac:dyDescent="0.3">
      <c r="A1049" s="2" t="s">
        <v>1389</v>
      </c>
      <c r="B1049" s="3">
        <v>155212</v>
      </c>
      <c r="C1049" s="3">
        <v>214752</v>
      </c>
      <c r="D1049" s="4" t="s">
        <v>17</v>
      </c>
      <c r="E1049" s="4" t="s">
        <v>1070</v>
      </c>
      <c r="F1049" s="4" t="s">
        <v>32</v>
      </c>
      <c r="G1049" s="4" t="s">
        <v>34</v>
      </c>
      <c r="H1049" s="5">
        <v>-50000</v>
      </c>
      <c r="I1049" s="4" t="s">
        <v>21</v>
      </c>
      <c r="J1049" s="5">
        <f t="shared" si="16"/>
        <v>180575</v>
      </c>
      <c r="K1049" s="4" t="s">
        <v>24</v>
      </c>
      <c r="L1049" s="6">
        <v>3.6114999999999999</v>
      </c>
      <c r="M1049" s="6">
        <v>0.27689999999999998</v>
      </c>
      <c r="N1049" s="6">
        <v>3.5962999999999998</v>
      </c>
      <c r="O1049" s="6">
        <v>1</v>
      </c>
      <c r="P1049" s="5">
        <v>760</v>
      </c>
      <c r="Q1049" s="4" t="s">
        <v>1390</v>
      </c>
    </row>
    <row r="1050" spans="1:17" x14ac:dyDescent="0.3">
      <c r="A1050" s="2" t="s">
        <v>1389</v>
      </c>
      <c r="B1050" s="3">
        <v>155213</v>
      </c>
      <c r="C1050" s="3">
        <v>888916</v>
      </c>
      <c r="D1050" s="4" t="s">
        <v>81</v>
      </c>
      <c r="E1050" s="4" t="s">
        <v>732</v>
      </c>
      <c r="F1050" s="4" t="s">
        <v>83</v>
      </c>
      <c r="G1050" s="4" t="s">
        <v>20</v>
      </c>
      <c r="H1050" s="5">
        <v>-1000000</v>
      </c>
      <c r="I1050" s="4" t="s">
        <v>21</v>
      </c>
      <c r="J1050" s="5">
        <f t="shared" si="16"/>
        <v>4216100</v>
      </c>
      <c r="K1050" s="4" t="s">
        <v>29</v>
      </c>
      <c r="L1050" s="6">
        <v>4.2161</v>
      </c>
      <c r="M1050" s="6">
        <v>0.23719999999999999</v>
      </c>
      <c r="N1050" s="6">
        <v>4.2104999999999997</v>
      </c>
      <c r="O1050" s="6">
        <v>1</v>
      </c>
      <c r="P1050" s="5">
        <v>5620</v>
      </c>
      <c r="Q1050" s="4" t="s">
        <v>1394</v>
      </c>
    </row>
    <row r="1051" spans="1:17" x14ac:dyDescent="0.3">
      <c r="A1051" s="2" t="s">
        <v>1389</v>
      </c>
      <c r="B1051" s="3">
        <v>155214</v>
      </c>
      <c r="C1051" s="3">
        <v>214754</v>
      </c>
      <c r="D1051" s="4" t="s">
        <v>17</v>
      </c>
      <c r="E1051" s="4" t="s">
        <v>818</v>
      </c>
      <c r="F1051" s="4" t="s">
        <v>19</v>
      </c>
      <c r="G1051" s="4" t="s">
        <v>34</v>
      </c>
      <c r="H1051" s="5">
        <v>150000</v>
      </c>
      <c r="I1051" s="4" t="s">
        <v>21</v>
      </c>
      <c r="J1051" s="5">
        <f t="shared" si="16"/>
        <v>-540750</v>
      </c>
      <c r="K1051" s="4" t="s">
        <v>24</v>
      </c>
      <c r="L1051" s="6">
        <v>3.605</v>
      </c>
      <c r="M1051" s="6">
        <v>0.27739999999999998</v>
      </c>
      <c r="N1051" s="6">
        <v>3.5962999999999998</v>
      </c>
      <c r="O1051" s="6">
        <v>1</v>
      </c>
      <c r="P1051" s="5">
        <v>-1305</v>
      </c>
      <c r="Q1051" s="4" t="s">
        <v>1390</v>
      </c>
    </row>
    <row r="1052" spans="1:17" x14ac:dyDescent="0.3">
      <c r="A1052" s="2" t="s">
        <v>1389</v>
      </c>
      <c r="B1052" s="3">
        <v>155215</v>
      </c>
      <c r="C1052" s="3">
        <v>214758</v>
      </c>
      <c r="D1052" s="4" t="s">
        <v>17</v>
      </c>
      <c r="E1052" s="4" t="s">
        <v>1138</v>
      </c>
      <c r="F1052" s="4" t="s">
        <v>19</v>
      </c>
      <c r="G1052" s="4" t="s">
        <v>20</v>
      </c>
      <c r="H1052" s="5">
        <v>18161</v>
      </c>
      <c r="I1052" s="4" t="s">
        <v>34</v>
      </c>
      <c r="J1052" s="5">
        <f t="shared" si="16"/>
        <v>-21206.599699999999</v>
      </c>
      <c r="K1052" s="4" t="s">
        <v>24</v>
      </c>
      <c r="L1052" s="6">
        <v>1.1677</v>
      </c>
      <c r="M1052" s="6">
        <v>0.85640000000000005</v>
      </c>
      <c r="N1052" s="6">
        <v>4.2156000000000002</v>
      </c>
      <c r="O1052" s="6">
        <v>3.5962999999999998</v>
      </c>
      <c r="P1052" s="5">
        <v>294.2170988900034</v>
      </c>
      <c r="Q1052" s="4" t="s">
        <v>1390</v>
      </c>
    </row>
    <row r="1053" spans="1:17" x14ac:dyDescent="0.3">
      <c r="A1053" s="2" t="s">
        <v>1389</v>
      </c>
      <c r="B1053" s="3">
        <v>155216</v>
      </c>
      <c r="C1053" s="3">
        <v>888933</v>
      </c>
      <c r="D1053" s="4" t="s">
        <v>81</v>
      </c>
      <c r="E1053" s="4" t="s">
        <v>1114</v>
      </c>
      <c r="F1053" s="4" t="s">
        <v>83</v>
      </c>
      <c r="G1053" s="4" t="s">
        <v>20</v>
      </c>
      <c r="H1053" s="5">
        <v>-200000</v>
      </c>
      <c r="I1053" s="4" t="s">
        <v>21</v>
      </c>
      <c r="J1053" s="5">
        <f t="shared" si="16"/>
        <v>843600</v>
      </c>
      <c r="K1053" s="4" t="s">
        <v>29</v>
      </c>
      <c r="L1053" s="6">
        <v>4.218</v>
      </c>
      <c r="M1053" s="6">
        <v>0.23710000000000001</v>
      </c>
      <c r="N1053" s="6">
        <v>4.2104999999999997</v>
      </c>
      <c r="O1053" s="6">
        <v>1</v>
      </c>
      <c r="P1053" s="5">
        <v>1500</v>
      </c>
      <c r="Q1053" s="4" t="s">
        <v>1390</v>
      </c>
    </row>
    <row r="1054" spans="1:17" x14ac:dyDescent="0.3">
      <c r="A1054" s="2" t="s">
        <v>1389</v>
      </c>
      <c r="B1054" s="3">
        <v>155217</v>
      </c>
      <c r="C1054" s="3">
        <v>214760</v>
      </c>
      <c r="D1054" s="4" t="s">
        <v>17</v>
      </c>
      <c r="E1054" s="4" t="s">
        <v>885</v>
      </c>
      <c r="F1054" s="4" t="s">
        <v>19</v>
      </c>
      <c r="G1054" s="4" t="s">
        <v>20</v>
      </c>
      <c r="H1054" s="5">
        <v>4400</v>
      </c>
      <c r="I1054" s="4" t="s">
        <v>21</v>
      </c>
      <c r="J1054" s="5">
        <f t="shared" si="16"/>
        <v>-18392</v>
      </c>
      <c r="K1054" s="4" t="s">
        <v>24</v>
      </c>
      <c r="L1054" s="6">
        <v>4.18</v>
      </c>
      <c r="M1054" s="6">
        <v>0.2392</v>
      </c>
      <c r="N1054" s="6">
        <v>4.2156000000000002</v>
      </c>
      <c r="O1054" s="6">
        <v>1</v>
      </c>
      <c r="P1054" s="5">
        <v>156.63999999999942</v>
      </c>
      <c r="Q1054" s="4" t="s">
        <v>1390</v>
      </c>
    </row>
    <row r="1055" spans="1:17" x14ac:dyDescent="0.3">
      <c r="A1055" s="2" t="s">
        <v>1389</v>
      </c>
      <c r="B1055" s="3">
        <v>155218</v>
      </c>
      <c r="C1055" s="3">
        <v>888940</v>
      </c>
      <c r="D1055" s="4" t="s">
        <v>81</v>
      </c>
      <c r="E1055" s="4" t="s">
        <v>732</v>
      </c>
      <c r="F1055" s="4" t="s">
        <v>87</v>
      </c>
      <c r="G1055" s="4" t="s">
        <v>20</v>
      </c>
      <c r="H1055" s="5">
        <v>1000000</v>
      </c>
      <c r="I1055" s="4" t="s">
        <v>21</v>
      </c>
      <c r="J1055" s="5">
        <f t="shared" si="16"/>
        <v>-4216700</v>
      </c>
      <c r="K1055" s="4" t="s">
        <v>29</v>
      </c>
      <c r="L1055" s="6">
        <v>4.2167000000000003</v>
      </c>
      <c r="M1055" s="6">
        <v>0.23719999999999999</v>
      </c>
      <c r="N1055" s="6">
        <v>4.2104999999999997</v>
      </c>
      <c r="O1055" s="6">
        <v>1</v>
      </c>
      <c r="P1055" s="5">
        <v>-6200</v>
      </c>
      <c r="Q1055" s="4" t="s">
        <v>1394</v>
      </c>
    </row>
    <row r="1056" spans="1:17" x14ac:dyDescent="0.3">
      <c r="A1056" s="2" t="s">
        <v>1389</v>
      </c>
      <c r="B1056" s="3">
        <v>155219</v>
      </c>
      <c r="C1056" s="3">
        <v>214762</v>
      </c>
      <c r="D1056" s="4" t="s">
        <v>17</v>
      </c>
      <c r="E1056" s="4" t="s">
        <v>1342</v>
      </c>
      <c r="F1056" s="4" t="s">
        <v>32</v>
      </c>
      <c r="G1056" s="4" t="s">
        <v>20</v>
      </c>
      <c r="H1056" s="5">
        <v>-10000</v>
      </c>
      <c r="I1056" s="4" t="s">
        <v>21</v>
      </c>
      <c r="J1056" s="5">
        <f t="shared" si="16"/>
        <v>42422.000000000007</v>
      </c>
      <c r="K1056" s="4" t="s">
        <v>24</v>
      </c>
      <c r="L1056" s="6">
        <v>4.2422000000000004</v>
      </c>
      <c r="M1056" s="6">
        <v>0.23569999999999999</v>
      </c>
      <c r="N1056" s="6">
        <v>4.2156000000000002</v>
      </c>
      <c r="O1056" s="6">
        <v>1</v>
      </c>
      <c r="P1056" s="5">
        <v>261</v>
      </c>
      <c r="Q1056" s="4" t="s">
        <v>1390</v>
      </c>
    </row>
    <row r="1057" spans="1:17" x14ac:dyDescent="0.3">
      <c r="A1057" s="2" t="s">
        <v>1389</v>
      </c>
      <c r="B1057" s="3">
        <v>155220</v>
      </c>
      <c r="C1057" s="3">
        <v>214763</v>
      </c>
      <c r="D1057" s="4" t="s">
        <v>17</v>
      </c>
      <c r="E1057" s="4" t="s">
        <v>851</v>
      </c>
      <c r="F1057" s="4" t="s">
        <v>19</v>
      </c>
      <c r="G1057" s="4" t="s">
        <v>34</v>
      </c>
      <c r="H1057" s="5">
        <v>6000</v>
      </c>
      <c r="I1057" s="4" t="s">
        <v>21</v>
      </c>
      <c r="J1057" s="5">
        <f t="shared" si="16"/>
        <v>-21571.200000000001</v>
      </c>
      <c r="K1057" s="4" t="s">
        <v>24</v>
      </c>
      <c r="L1057" s="6">
        <v>3.5952000000000002</v>
      </c>
      <c r="M1057" s="6">
        <v>0.27810000000000001</v>
      </c>
      <c r="N1057" s="6">
        <v>3.5962999999999998</v>
      </c>
      <c r="O1057" s="6">
        <v>1</v>
      </c>
      <c r="P1057" s="5">
        <v>6.5999999999985448</v>
      </c>
      <c r="Q1057" s="4" t="s">
        <v>1390</v>
      </c>
    </row>
    <row r="1058" spans="1:17" x14ac:dyDescent="0.3">
      <c r="A1058" s="2" t="s">
        <v>1389</v>
      </c>
      <c r="B1058" s="3">
        <v>155221</v>
      </c>
      <c r="C1058" s="3">
        <v>214765</v>
      </c>
      <c r="D1058" s="4" t="s">
        <v>17</v>
      </c>
      <c r="E1058" s="4" t="s">
        <v>1237</v>
      </c>
      <c r="F1058" s="4" t="s">
        <v>32</v>
      </c>
      <c r="G1058" s="4" t="s">
        <v>89</v>
      </c>
      <c r="H1058" s="5">
        <v>-300000</v>
      </c>
      <c r="I1058" s="4" t="s">
        <v>21</v>
      </c>
      <c r="J1058" s="5">
        <f t="shared" si="16"/>
        <v>169920</v>
      </c>
      <c r="K1058" s="4" t="s">
        <v>24</v>
      </c>
      <c r="L1058" s="6">
        <v>0.56640000000000001</v>
      </c>
      <c r="M1058" s="6">
        <v>1.7655000000000001</v>
      </c>
      <c r="N1058" s="6">
        <v>0.56440000000000001</v>
      </c>
      <c r="O1058" s="6">
        <v>1</v>
      </c>
      <c r="P1058" s="5">
        <v>600</v>
      </c>
      <c r="Q1058" s="4" t="s">
        <v>1390</v>
      </c>
    </row>
    <row r="1059" spans="1:17" x14ac:dyDescent="0.3">
      <c r="A1059" s="2" t="s">
        <v>1389</v>
      </c>
      <c r="B1059" s="3">
        <v>155223</v>
      </c>
      <c r="C1059" s="3">
        <v>214766</v>
      </c>
      <c r="D1059" s="4" t="s">
        <v>17</v>
      </c>
      <c r="E1059" s="4" t="s">
        <v>1185</v>
      </c>
      <c r="F1059" s="4" t="s">
        <v>19</v>
      </c>
      <c r="G1059" s="4" t="s">
        <v>20</v>
      </c>
      <c r="H1059" s="5">
        <v>16646.849999999999</v>
      </c>
      <c r="I1059" s="4" t="s">
        <v>21</v>
      </c>
      <c r="J1059" s="5">
        <f t="shared" si="16"/>
        <v>-70008.327674999993</v>
      </c>
      <c r="K1059" s="4" t="s">
        <v>24</v>
      </c>
      <c r="L1059" s="6">
        <v>4.2054999999999998</v>
      </c>
      <c r="M1059" s="6">
        <v>0.23780000000000001</v>
      </c>
      <c r="N1059" s="6">
        <v>4.2156000000000002</v>
      </c>
      <c r="O1059" s="6">
        <v>1</v>
      </c>
      <c r="P1059" s="5">
        <v>168.13318499999878</v>
      </c>
      <c r="Q1059" s="4" t="s">
        <v>1390</v>
      </c>
    </row>
    <row r="1060" spans="1:17" x14ac:dyDescent="0.3">
      <c r="A1060" s="2" t="s">
        <v>1389</v>
      </c>
      <c r="B1060" s="3">
        <v>155224</v>
      </c>
      <c r="C1060" s="3">
        <v>888984</v>
      </c>
      <c r="D1060" s="4" t="s">
        <v>81</v>
      </c>
      <c r="E1060" s="4" t="s">
        <v>725</v>
      </c>
      <c r="F1060" s="4" t="s">
        <v>87</v>
      </c>
      <c r="G1060" s="4" t="s">
        <v>34</v>
      </c>
      <c r="H1060" s="5">
        <v>1000000</v>
      </c>
      <c r="I1060" s="4" t="s">
        <v>21</v>
      </c>
      <c r="J1060" s="5">
        <f t="shared" si="16"/>
        <v>-3607100</v>
      </c>
      <c r="K1060" s="4" t="s">
        <v>29</v>
      </c>
      <c r="L1060" s="6">
        <v>3.6071</v>
      </c>
      <c r="M1060" s="6">
        <v>0.2772</v>
      </c>
      <c r="N1060" s="6">
        <v>3.6034999999999999</v>
      </c>
      <c r="O1060" s="6">
        <v>1</v>
      </c>
      <c r="P1060" s="5">
        <v>-3650</v>
      </c>
      <c r="Q1060" s="4" t="s">
        <v>1392</v>
      </c>
    </row>
    <row r="1061" spans="1:17" x14ac:dyDescent="0.3">
      <c r="A1061" s="2" t="s">
        <v>1389</v>
      </c>
      <c r="B1061" s="3">
        <v>155225</v>
      </c>
      <c r="C1061" s="3">
        <v>214773</v>
      </c>
      <c r="D1061" s="4" t="s">
        <v>17</v>
      </c>
      <c r="E1061" s="4" t="s">
        <v>1042</v>
      </c>
      <c r="F1061" s="4" t="s">
        <v>19</v>
      </c>
      <c r="G1061" s="4" t="s">
        <v>20</v>
      </c>
      <c r="H1061" s="5">
        <v>12475.84</v>
      </c>
      <c r="I1061" s="4" t="s">
        <v>21</v>
      </c>
      <c r="J1061" s="5">
        <f t="shared" si="16"/>
        <v>-52495.839551999998</v>
      </c>
      <c r="K1061" s="4" t="s">
        <v>24</v>
      </c>
      <c r="L1061" s="6">
        <v>4.2077999999999998</v>
      </c>
      <c r="M1061" s="6">
        <v>0.23769999999999999</v>
      </c>
      <c r="N1061" s="6">
        <v>4.2156000000000002</v>
      </c>
      <c r="O1061" s="6">
        <v>1</v>
      </c>
      <c r="P1061" s="5">
        <v>97.311552000006486</v>
      </c>
      <c r="Q1061" s="4" t="s">
        <v>1390</v>
      </c>
    </row>
    <row r="1062" spans="1:17" x14ac:dyDescent="0.3">
      <c r="A1062" s="2" t="s">
        <v>1389</v>
      </c>
      <c r="B1062" s="3">
        <v>155226</v>
      </c>
      <c r="C1062" s="3">
        <v>888997</v>
      </c>
      <c r="D1062" s="4" t="s">
        <v>81</v>
      </c>
      <c r="E1062" s="4" t="s">
        <v>730</v>
      </c>
      <c r="F1062" s="4" t="s">
        <v>87</v>
      </c>
      <c r="G1062" s="4" t="s">
        <v>20</v>
      </c>
      <c r="H1062" s="5">
        <v>150000</v>
      </c>
      <c r="I1062" s="4" t="s">
        <v>84</v>
      </c>
      <c r="J1062" s="5">
        <f t="shared" si="16"/>
        <v>-1616324.9999999998</v>
      </c>
      <c r="K1062" s="4" t="s">
        <v>29</v>
      </c>
      <c r="L1062" s="6">
        <v>10.775499999999999</v>
      </c>
      <c r="M1062" s="6">
        <v>9.2799999999999994E-2</v>
      </c>
      <c r="N1062" s="6">
        <v>4.2104999999999997</v>
      </c>
      <c r="O1062" s="6">
        <v>0.39150000000000001</v>
      </c>
      <c r="P1062" s="5">
        <v>-1214.4757500000001</v>
      </c>
      <c r="Q1062" s="4" t="s">
        <v>1396</v>
      </c>
    </row>
    <row r="1063" spans="1:17" x14ac:dyDescent="0.3">
      <c r="A1063" s="2" t="s">
        <v>1389</v>
      </c>
      <c r="B1063" s="3">
        <v>155227</v>
      </c>
      <c r="C1063" s="3">
        <v>889006</v>
      </c>
      <c r="D1063" s="4" t="s">
        <v>81</v>
      </c>
      <c r="E1063" s="4" t="s">
        <v>743</v>
      </c>
      <c r="F1063" s="4" t="s">
        <v>87</v>
      </c>
      <c r="G1063" s="4" t="s">
        <v>34</v>
      </c>
      <c r="H1063" s="5">
        <v>500000</v>
      </c>
      <c r="I1063" s="4" t="s">
        <v>21</v>
      </c>
      <c r="J1063" s="5">
        <f t="shared" si="16"/>
        <v>-1804050</v>
      </c>
      <c r="K1063" s="4" t="s">
        <v>29</v>
      </c>
      <c r="L1063" s="6">
        <v>3.6080999999999999</v>
      </c>
      <c r="M1063" s="6">
        <v>0.2772</v>
      </c>
      <c r="N1063" s="6">
        <v>3.6034999999999999</v>
      </c>
      <c r="O1063" s="6">
        <v>1</v>
      </c>
      <c r="P1063" s="5">
        <v>-2320</v>
      </c>
      <c r="Q1063" s="4" t="s">
        <v>1395</v>
      </c>
    </row>
    <row r="1064" spans="1:17" x14ac:dyDescent="0.3">
      <c r="A1064" s="2" t="s">
        <v>1389</v>
      </c>
      <c r="B1064" s="3">
        <v>155228</v>
      </c>
      <c r="C1064" s="3">
        <v>214778</v>
      </c>
      <c r="D1064" s="4" t="s">
        <v>17</v>
      </c>
      <c r="E1064" s="4" t="s">
        <v>1059</v>
      </c>
      <c r="F1064" s="4" t="s">
        <v>19</v>
      </c>
      <c r="G1064" s="4" t="s">
        <v>20</v>
      </c>
      <c r="H1064" s="5">
        <v>76000</v>
      </c>
      <c r="I1064" s="4" t="s">
        <v>21</v>
      </c>
      <c r="J1064" s="5">
        <f t="shared" si="16"/>
        <v>-320043.59999999998</v>
      </c>
      <c r="K1064" s="4" t="s">
        <v>24</v>
      </c>
      <c r="L1064" s="6">
        <v>4.2111000000000001</v>
      </c>
      <c r="M1064" s="6">
        <v>0.23749999999999999</v>
      </c>
      <c r="N1064" s="6">
        <v>4.2156000000000002</v>
      </c>
      <c r="O1064" s="6">
        <v>1</v>
      </c>
      <c r="P1064" s="5">
        <v>342.00000000005821</v>
      </c>
      <c r="Q1064" s="4" t="s">
        <v>1390</v>
      </c>
    </row>
    <row r="1065" spans="1:17" x14ac:dyDescent="0.3">
      <c r="A1065" s="2" t="s">
        <v>1389</v>
      </c>
      <c r="B1065" s="3">
        <v>155229</v>
      </c>
      <c r="C1065" s="3">
        <v>889013</v>
      </c>
      <c r="D1065" s="4" t="s">
        <v>81</v>
      </c>
      <c r="E1065" s="4" t="s">
        <v>730</v>
      </c>
      <c r="F1065" s="4" t="s">
        <v>87</v>
      </c>
      <c r="G1065" s="4" t="s">
        <v>34</v>
      </c>
      <c r="H1065" s="5">
        <v>500000</v>
      </c>
      <c r="I1065" s="4" t="s">
        <v>21</v>
      </c>
      <c r="J1065" s="5">
        <f t="shared" si="16"/>
        <v>-1803950</v>
      </c>
      <c r="K1065" s="4" t="s">
        <v>29</v>
      </c>
      <c r="L1065" s="6">
        <v>3.6078999999999999</v>
      </c>
      <c r="M1065" s="6">
        <v>0.2772</v>
      </c>
      <c r="N1065" s="6">
        <v>3.6034999999999999</v>
      </c>
      <c r="O1065" s="6">
        <v>1</v>
      </c>
      <c r="P1065" s="5">
        <v>-2220</v>
      </c>
      <c r="Q1065" s="4" t="s">
        <v>1396</v>
      </c>
    </row>
    <row r="1066" spans="1:17" x14ac:dyDescent="0.3">
      <c r="A1066" s="2" t="s">
        <v>1389</v>
      </c>
      <c r="B1066" s="3">
        <v>155230</v>
      </c>
      <c r="C1066" s="3">
        <v>214783</v>
      </c>
      <c r="D1066" s="4" t="s">
        <v>17</v>
      </c>
      <c r="E1066" s="4" t="s">
        <v>1363</v>
      </c>
      <c r="F1066" s="4" t="s">
        <v>32</v>
      </c>
      <c r="G1066" s="4" t="s">
        <v>20</v>
      </c>
      <c r="H1066" s="5">
        <v>-60000</v>
      </c>
      <c r="I1066" s="4" t="s">
        <v>21</v>
      </c>
      <c r="J1066" s="5">
        <f t="shared" si="16"/>
        <v>253865.99999999997</v>
      </c>
      <c r="K1066" s="4" t="s">
        <v>24</v>
      </c>
      <c r="L1066" s="6">
        <v>4.2310999999999996</v>
      </c>
      <c r="M1066" s="6">
        <v>0.23630000000000001</v>
      </c>
      <c r="N1066" s="6">
        <v>4.2156000000000002</v>
      </c>
      <c r="O1066" s="6">
        <v>1</v>
      </c>
      <c r="P1066" s="5">
        <v>900</v>
      </c>
      <c r="Q1066" s="4" t="s">
        <v>1390</v>
      </c>
    </row>
    <row r="1067" spans="1:17" x14ac:dyDescent="0.3">
      <c r="A1067" s="2" t="s">
        <v>1389</v>
      </c>
      <c r="B1067" s="3">
        <v>155231</v>
      </c>
      <c r="C1067" s="3">
        <v>889027</v>
      </c>
      <c r="D1067" s="4" t="s">
        <v>81</v>
      </c>
      <c r="E1067" s="4" t="s">
        <v>735</v>
      </c>
      <c r="F1067" s="4" t="s">
        <v>83</v>
      </c>
      <c r="G1067" s="4" t="s">
        <v>20</v>
      </c>
      <c r="H1067" s="5">
        <v>-500000</v>
      </c>
      <c r="I1067" s="4" t="s">
        <v>21</v>
      </c>
      <c r="J1067" s="5">
        <f t="shared" si="16"/>
        <v>2107600</v>
      </c>
      <c r="K1067" s="4" t="s">
        <v>29</v>
      </c>
      <c r="L1067" s="6">
        <v>4.2152000000000003</v>
      </c>
      <c r="M1067" s="6">
        <v>0.23719999999999999</v>
      </c>
      <c r="N1067" s="6">
        <v>4.2104999999999997</v>
      </c>
      <c r="O1067" s="6">
        <v>1</v>
      </c>
      <c r="P1067" s="5">
        <v>2350</v>
      </c>
      <c r="Q1067" s="4" t="s">
        <v>1394</v>
      </c>
    </row>
    <row r="1068" spans="1:17" x14ac:dyDescent="0.3">
      <c r="A1068" s="2" t="s">
        <v>1389</v>
      </c>
      <c r="B1068" s="3">
        <v>155232</v>
      </c>
      <c r="C1068" s="3">
        <v>889028</v>
      </c>
      <c r="D1068" s="4" t="s">
        <v>81</v>
      </c>
      <c r="E1068" s="4" t="s">
        <v>734</v>
      </c>
      <c r="F1068" s="4" t="s">
        <v>83</v>
      </c>
      <c r="G1068" s="4" t="s">
        <v>20</v>
      </c>
      <c r="H1068" s="5">
        <v>-500000</v>
      </c>
      <c r="I1068" s="4" t="s">
        <v>21</v>
      </c>
      <c r="J1068" s="5">
        <f t="shared" si="16"/>
        <v>2107500</v>
      </c>
      <c r="K1068" s="4" t="s">
        <v>29</v>
      </c>
      <c r="L1068" s="6">
        <v>4.2149999999999999</v>
      </c>
      <c r="M1068" s="6">
        <v>0.23719999999999999</v>
      </c>
      <c r="N1068" s="6">
        <v>4.2104999999999997</v>
      </c>
      <c r="O1068" s="6">
        <v>1</v>
      </c>
      <c r="P1068" s="5">
        <v>2250</v>
      </c>
      <c r="Q1068" s="4" t="s">
        <v>1393</v>
      </c>
    </row>
    <row r="1069" spans="1:17" x14ac:dyDescent="0.3">
      <c r="A1069" s="2" t="s">
        <v>1389</v>
      </c>
      <c r="B1069" s="3">
        <v>155233</v>
      </c>
      <c r="C1069" s="3">
        <v>214785</v>
      </c>
      <c r="D1069" s="4" t="s">
        <v>17</v>
      </c>
      <c r="E1069" s="4" t="s">
        <v>934</v>
      </c>
      <c r="F1069" s="4" t="s">
        <v>19</v>
      </c>
      <c r="G1069" s="4" t="s">
        <v>20</v>
      </c>
      <c r="H1069" s="5">
        <v>100000</v>
      </c>
      <c r="I1069" s="4" t="s">
        <v>21</v>
      </c>
      <c r="J1069" s="5">
        <f t="shared" si="16"/>
        <v>-420450.00000000006</v>
      </c>
      <c r="K1069" s="4" t="s">
        <v>24</v>
      </c>
      <c r="L1069" s="6">
        <v>4.2045000000000003</v>
      </c>
      <c r="M1069" s="6">
        <v>0.23780000000000001</v>
      </c>
      <c r="N1069" s="6">
        <v>4.2156000000000002</v>
      </c>
      <c r="O1069" s="6">
        <v>1</v>
      </c>
      <c r="P1069" s="5">
        <v>1109.9999999999418</v>
      </c>
      <c r="Q1069" s="4" t="s">
        <v>1390</v>
      </c>
    </row>
    <row r="1070" spans="1:17" x14ac:dyDescent="0.3">
      <c r="A1070" s="2" t="s">
        <v>1389</v>
      </c>
      <c r="B1070" s="3">
        <v>155234</v>
      </c>
      <c r="C1070" s="3">
        <v>889041</v>
      </c>
      <c r="D1070" s="4" t="s">
        <v>81</v>
      </c>
      <c r="E1070" s="4" t="s">
        <v>1305</v>
      </c>
      <c r="F1070" s="4" t="s">
        <v>87</v>
      </c>
      <c r="G1070" s="4" t="s">
        <v>20</v>
      </c>
      <c r="H1070" s="5">
        <v>115000</v>
      </c>
      <c r="I1070" s="4" t="s">
        <v>34</v>
      </c>
      <c r="J1070" s="5">
        <f t="shared" si="16"/>
        <v>-134274</v>
      </c>
      <c r="K1070" s="4" t="s">
        <v>29</v>
      </c>
      <c r="L1070" s="6">
        <v>1.1676</v>
      </c>
      <c r="M1070" s="6">
        <v>0.85650000000000004</v>
      </c>
      <c r="N1070" s="6">
        <v>4.2104999999999997</v>
      </c>
      <c r="O1070" s="6">
        <v>3.6034999999999999</v>
      </c>
      <c r="P1070" s="5">
        <v>351.14100000000002</v>
      </c>
      <c r="Q1070" s="4" t="s">
        <v>1390</v>
      </c>
    </row>
    <row r="1071" spans="1:17" x14ac:dyDescent="0.3">
      <c r="A1071" s="2" t="s">
        <v>1389</v>
      </c>
      <c r="B1071" s="3">
        <v>155236</v>
      </c>
      <c r="C1071" s="3">
        <v>889043</v>
      </c>
      <c r="D1071" s="4" t="s">
        <v>81</v>
      </c>
      <c r="E1071" s="4" t="s">
        <v>730</v>
      </c>
      <c r="F1071" s="4" t="s">
        <v>87</v>
      </c>
      <c r="G1071" s="4" t="s">
        <v>20</v>
      </c>
      <c r="H1071" s="5">
        <v>500000</v>
      </c>
      <c r="I1071" s="4" t="s">
        <v>21</v>
      </c>
      <c r="J1071" s="5">
        <f t="shared" si="16"/>
        <v>-2107800</v>
      </c>
      <c r="K1071" s="4" t="s">
        <v>29</v>
      </c>
      <c r="L1071" s="6">
        <v>4.2156000000000002</v>
      </c>
      <c r="M1071" s="6">
        <v>0.23719999999999999</v>
      </c>
      <c r="N1071" s="6">
        <v>4.2104999999999997</v>
      </c>
      <c r="O1071" s="6">
        <v>1</v>
      </c>
      <c r="P1071" s="5">
        <v>-2535</v>
      </c>
      <c r="Q1071" s="4" t="s">
        <v>1396</v>
      </c>
    </row>
    <row r="1072" spans="1:17" x14ac:dyDescent="0.3">
      <c r="A1072" s="2" t="s">
        <v>1389</v>
      </c>
      <c r="B1072" s="3">
        <v>155237</v>
      </c>
      <c r="C1072" s="3">
        <v>214787</v>
      </c>
      <c r="D1072" s="4" t="s">
        <v>17</v>
      </c>
      <c r="E1072" s="4" t="s">
        <v>984</v>
      </c>
      <c r="F1072" s="4" t="s">
        <v>32</v>
      </c>
      <c r="G1072" s="4" t="s">
        <v>20</v>
      </c>
      <c r="H1072" s="5">
        <v>-680000</v>
      </c>
      <c r="I1072" s="4" t="s">
        <v>21</v>
      </c>
      <c r="J1072" s="5">
        <f t="shared" si="16"/>
        <v>2867288</v>
      </c>
      <c r="K1072" s="4" t="s">
        <v>24</v>
      </c>
      <c r="L1072" s="6">
        <v>4.2165999999999997</v>
      </c>
      <c r="M1072" s="6">
        <v>0.23719999999999999</v>
      </c>
      <c r="N1072" s="6">
        <v>4.2156000000000002</v>
      </c>
      <c r="O1072" s="6">
        <v>1</v>
      </c>
      <c r="P1072" s="5">
        <v>272</v>
      </c>
      <c r="Q1072" s="4" t="s">
        <v>1390</v>
      </c>
    </row>
    <row r="1073" spans="1:17" x14ac:dyDescent="0.3">
      <c r="A1073" s="2" t="s">
        <v>1389</v>
      </c>
      <c r="B1073" s="3">
        <v>155243</v>
      </c>
      <c r="C1073" s="3">
        <v>889061</v>
      </c>
      <c r="D1073" s="4" t="s">
        <v>81</v>
      </c>
      <c r="E1073" s="4" t="s">
        <v>742</v>
      </c>
      <c r="F1073" s="4" t="s">
        <v>83</v>
      </c>
      <c r="G1073" s="4" t="s">
        <v>20</v>
      </c>
      <c r="H1073" s="5">
        <v>-300000</v>
      </c>
      <c r="I1073" s="4" t="s">
        <v>34</v>
      </c>
      <c r="J1073" s="5">
        <f t="shared" si="16"/>
        <v>350520.00000000006</v>
      </c>
      <c r="K1073" s="4" t="s">
        <v>46</v>
      </c>
      <c r="L1073" s="6">
        <v>1.1684000000000001</v>
      </c>
      <c r="M1073" s="6">
        <v>0.85589999999999999</v>
      </c>
      <c r="N1073" s="6">
        <v>4.2110000000000003</v>
      </c>
      <c r="O1073" s="6">
        <v>3.6044999999999998</v>
      </c>
      <c r="P1073" s="5">
        <v>149.34</v>
      </c>
      <c r="Q1073" s="4" t="s">
        <v>1396</v>
      </c>
    </row>
    <row r="1074" spans="1:17" x14ac:dyDescent="0.3">
      <c r="A1074" s="2" t="s">
        <v>1389</v>
      </c>
      <c r="B1074" s="3">
        <v>155245</v>
      </c>
      <c r="C1074" s="3">
        <v>889078</v>
      </c>
      <c r="D1074" s="4" t="s">
        <v>81</v>
      </c>
      <c r="E1074" s="4" t="s">
        <v>735</v>
      </c>
      <c r="F1074" s="4" t="s">
        <v>83</v>
      </c>
      <c r="G1074" s="4" t="s">
        <v>34</v>
      </c>
      <c r="H1074" s="5">
        <v>-500000</v>
      </c>
      <c r="I1074" s="4" t="s">
        <v>21</v>
      </c>
      <c r="J1074" s="5">
        <f t="shared" si="16"/>
        <v>1805100</v>
      </c>
      <c r="K1074" s="4" t="s">
        <v>29</v>
      </c>
      <c r="L1074" s="6">
        <v>3.6101999999999999</v>
      </c>
      <c r="M1074" s="6">
        <v>0.27700000000000002</v>
      </c>
      <c r="N1074" s="6">
        <v>3.6034999999999999</v>
      </c>
      <c r="O1074" s="6">
        <v>1</v>
      </c>
      <c r="P1074" s="5">
        <v>3350</v>
      </c>
      <c r="Q1074" s="4" t="s">
        <v>1394</v>
      </c>
    </row>
    <row r="1075" spans="1:17" x14ac:dyDescent="0.3">
      <c r="A1075" s="2" t="s">
        <v>1389</v>
      </c>
      <c r="B1075" s="3">
        <v>155247</v>
      </c>
      <c r="C1075" s="3">
        <v>214798</v>
      </c>
      <c r="D1075" s="4" t="s">
        <v>17</v>
      </c>
      <c r="E1075" s="4" t="s">
        <v>1180</v>
      </c>
      <c r="F1075" s="4" t="s">
        <v>19</v>
      </c>
      <c r="G1075" s="4" t="s">
        <v>20</v>
      </c>
      <c r="H1075" s="5">
        <v>73963.03</v>
      </c>
      <c r="I1075" s="4" t="s">
        <v>21</v>
      </c>
      <c r="J1075" s="5">
        <f t="shared" si="16"/>
        <v>-311384.35629999998</v>
      </c>
      <c r="K1075" s="4" t="s">
        <v>24</v>
      </c>
      <c r="L1075" s="6">
        <v>4.21</v>
      </c>
      <c r="M1075" s="6">
        <v>0.23749999999999999</v>
      </c>
      <c r="N1075" s="6">
        <v>4.2156000000000002</v>
      </c>
      <c r="O1075" s="6">
        <v>1</v>
      </c>
      <c r="P1075" s="5">
        <v>414.19296800001757</v>
      </c>
      <c r="Q1075" s="4" t="s">
        <v>1390</v>
      </c>
    </row>
    <row r="1076" spans="1:17" x14ac:dyDescent="0.3">
      <c r="A1076" s="2" t="s">
        <v>1389</v>
      </c>
      <c r="B1076" s="3">
        <v>155248</v>
      </c>
      <c r="C1076" s="3">
        <v>214799</v>
      </c>
      <c r="D1076" s="4" t="s">
        <v>17</v>
      </c>
      <c r="E1076" s="4" t="s">
        <v>1180</v>
      </c>
      <c r="F1076" s="4" t="s">
        <v>19</v>
      </c>
      <c r="G1076" s="4" t="s">
        <v>91</v>
      </c>
      <c r="H1076" s="5">
        <v>9920.2800000000007</v>
      </c>
      <c r="I1076" s="4" t="s">
        <v>21</v>
      </c>
      <c r="J1076" s="5">
        <f t="shared" si="16"/>
        <v>-48123.278280000006</v>
      </c>
      <c r="K1076" s="4" t="s">
        <v>24</v>
      </c>
      <c r="L1076" s="6">
        <v>4.851</v>
      </c>
      <c r="M1076" s="6">
        <v>0.20610000000000001</v>
      </c>
      <c r="N1076" s="6">
        <v>4.8391000000000002</v>
      </c>
      <c r="O1076" s="6">
        <v>1</v>
      </c>
      <c r="P1076" s="5">
        <v>-118.05133200000273</v>
      </c>
      <c r="Q1076" s="4" t="s">
        <v>1390</v>
      </c>
    </row>
    <row r="1077" spans="1:17" x14ac:dyDescent="0.3">
      <c r="A1077" s="2" t="s">
        <v>1389</v>
      </c>
      <c r="B1077" s="3">
        <v>155249</v>
      </c>
      <c r="C1077" s="3">
        <v>214800</v>
      </c>
      <c r="D1077" s="4" t="s">
        <v>17</v>
      </c>
      <c r="E1077" s="4" t="s">
        <v>1012</v>
      </c>
      <c r="F1077" s="4" t="s">
        <v>32</v>
      </c>
      <c r="G1077" s="4" t="s">
        <v>20</v>
      </c>
      <c r="H1077" s="5">
        <v>-320000</v>
      </c>
      <c r="I1077" s="4" t="s">
        <v>21</v>
      </c>
      <c r="J1077" s="5">
        <f t="shared" si="16"/>
        <v>1351360</v>
      </c>
      <c r="K1077" s="4" t="s">
        <v>24</v>
      </c>
      <c r="L1077" s="6">
        <v>4.2229999999999999</v>
      </c>
      <c r="M1077" s="6">
        <v>0.23680000000000001</v>
      </c>
      <c r="N1077" s="6">
        <v>4.2156000000000002</v>
      </c>
      <c r="O1077" s="6">
        <v>1</v>
      </c>
      <c r="P1077" s="5">
        <v>2368</v>
      </c>
      <c r="Q1077" s="4" t="s">
        <v>1390</v>
      </c>
    </row>
    <row r="1078" spans="1:17" x14ac:dyDescent="0.3">
      <c r="A1078" s="2" t="s">
        <v>1389</v>
      </c>
      <c r="B1078" s="3">
        <v>155256</v>
      </c>
      <c r="C1078" s="3">
        <v>214811</v>
      </c>
      <c r="D1078" s="4" t="s">
        <v>17</v>
      </c>
      <c r="E1078" s="4" t="s">
        <v>1156</v>
      </c>
      <c r="F1078" s="4" t="s">
        <v>19</v>
      </c>
      <c r="G1078" s="4" t="s">
        <v>20</v>
      </c>
      <c r="H1078" s="5">
        <v>10000</v>
      </c>
      <c r="I1078" s="4" t="s">
        <v>21</v>
      </c>
      <c r="J1078" s="5">
        <f t="shared" si="16"/>
        <v>-42100</v>
      </c>
      <c r="K1078" s="4" t="s">
        <v>24</v>
      </c>
      <c r="L1078" s="6">
        <v>4.21</v>
      </c>
      <c r="M1078" s="6">
        <v>0.23749999999999999</v>
      </c>
      <c r="N1078" s="6">
        <v>4.2156000000000002</v>
      </c>
      <c r="O1078" s="6">
        <v>1</v>
      </c>
      <c r="P1078" s="5">
        <v>56</v>
      </c>
      <c r="Q1078" s="4" t="s">
        <v>1390</v>
      </c>
    </row>
    <row r="1079" spans="1:17" x14ac:dyDescent="0.3">
      <c r="A1079" s="2" t="s">
        <v>1389</v>
      </c>
      <c r="B1079" s="3">
        <v>155257</v>
      </c>
      <c r="C1079" s="3">
        <v>214813</v>
      </c>
      <c r="D1079" s="4" t="s">
        <v>17</v>
      </c>
      <c r="E1079" s="4" t="s">
        <v>1308</v>
      </c>
      <c r="F1079" s="4" t="s">
        <v>19</v>
      </c>
      <c r="G1079" s="4" t="s">
        <v>20</v>
      </c>
      <c r="H1079" s="5">
        <v>12000</v>
      </c>
      <c r="I1079" s="4" t="s">
        <v>21</v>
      </c>
      <c r="J1079" s="5">
        <f t="shared" si="16"/>
        <v>-50520</v>
      </c>
      <c r="K1079" s="4" t="s">
        <v>24</v>
      </c>
      <c r="L1079" s="6">
        <v>4.21</v>
      </c>
      <c r="M1079" s="6">
        <v>0.23749999999999999</v>
      </c>
      <c r="N1079" s="6">
        <v>4.2156000000000002</v>
      </c>
      <c r="O1079" s="6">
        <v>1</v>
      </c>
      <c r="P1079" s="5">
        <v>67.200000000004366</v>
      </c>
      <c r="Q1079" s="4" t="s">
        <v>1390</v>
      </c>
    </row>
    <row r="1080" spans="1:17" x14ac:dyDescent="0.3">
      <c r="A1080" s="2" t="s">
        <v>1389</v>
      </c>
      <c r="B1080" s="3">
        <v>155259</v>
      </c>
      <c r="C1080" s="3">
        <v>889150</v>
      </c>
      <c r="D1080" s="4" t="s">
        <v>81</v>
      </c>
      <c r="E1080" s="4" t="s">
        <v>735</v>
      </c>
      <c r="F1080" s="4" t="s">
        <v>83</v>
      </c>
      <c r="G1080" s="4" t="s">
        <v>34</v>
      </c>
      <c r="H1080" s="5">
        <v>-500000</v>
      </c>
      <c r="I1080" s="4" t="s">
        <v>21</v>
      </c>
      <c r="J1080" s="5">
        <f t="shared" si="16"/>
        <v>1806250</v>
      </c>
      <c r="K1080" s="4" t="s">
        <v>29</v>
      </c>
      <c r="L1080" s="6">
        <v>3.6124999999999998</v>
      </c>
      <c r="M1080" s="6">
        <v>0.27679999999999999</v>
      </c>
      <c r="N1080" s="6">
        <v>3.6034999999999999</v>
      </c>
      <c r="O1080" s="6">
        <v>1</v>
      </c>
      <c r="P1080" s="5">
        <v>4500</v>
      </c>
      <c r="Q1080" s="4" t="s">
        <v>1394</v>
      </c>
    </row>
    <row r="1081" spans="1:17" x14ac:dyDescent="0.3">
      <c r="A1081" s="2" t="s">
        <v>1389</v>
      </c>
      <c r="B1081" s="3">
        <v>155260</v>
      </c>
      <c r="C1081" s="3">
        <v>214823</v>
      </c>
      <c r="D1081" s="4" t="s">
        <v>17</v>
      </c>
      <c r="E1081" s="4" t="s">
        <v>1199</v>
      </c>
      <c r="F1081" s="4" t="s">
        <v>32</v>
      </c>
      <c r="G1081" s="4" t="s">
        <v>20</v>
      </c>
      <c r="H1081" s="5">
        <v>-50000</v>
      </c>
      <c r="I1081" s="4" t="s">
        <v>34</v>
      </c>
      <c r="J1081" s="5">
        <f t="shared" si="16"/>
        <v>58380</v>
      </c>
      <c r="K1081" s="4" t="s">
        <v>24</v>
      </c>
      <c r="L1081" s="6">
        <v>1.1676</v>
      </c>
      <c r="M1081" s="6">
        <v>0.85650000000000004</v>
      </c>
      <c r="N1081" s="6">
        <v>4.2156000000000002</v>
      </c>
      <c r="O1081" s="6">
        <v>3.5962999999999998</v>
      </c>
      <c r="P1081" s="5">
        <v>-863.96900000000005</v>
      </c>
      <c r="Q1081" s="4" t="s">
        <v>1390</v>
      </c>
    </row>
    <row r="1082" spans="1:17" x14ac:dyDescent="0.3">
      <c r="A1082" s="2" t="s">
        <v>1389</v>
      </c>
      <c r="B1082" s="3">
        <v>155261</v>
      </c>
      <c r="C1082" s="3">
        <v>889164</v>
      </c>
      <c r="D1082" s="4" t="s">
        <v>81</v>
      </c>
      <c r="E1082" s="4" t="s">
        <v>732</v>
      </c>
      <c r="F1082" s="4" t="s">
        <v>83</v>
      </c>
      <c r="G1082" s="4" t="s">
        <v>91</v>
      </c>
      <c r="H1082" s="5">
        <v>-1000000</v>
      </c>
      <c r="I1082" s="4" t="s">
        <v>21</v>
      </c>
      <c r="J1082" s="5">
        <f t="shared" si="16"/>
        <v>4860600</v>
      </c>
      <c r="K1082" s="4" t="s">
        <v>29</v>
      </c>
      <c r="L1082" s="6">
        <v>4.8605999999999998</v>
      </c>
      <c r="M1082" s="6">
        <v>0.20569999999999999</v>
      </c>
      <c r="N1082" s="6">
        <v>4.8628999999999998</v>
      </c>
      <c r="O1082" s="6">
        <v>1</v>
      </c>
      <c r="P1082" s="5">
        <v>-2300</v>
      </c>
      <c r="Q1082" s="4" t="s">
        <v>1394</v>
      </c>
    </row>
    <row r="1083" spans="1:17" x14ac:dyDescent="0.3">
      <c r="A1083" s="2" t="s">
        <v>1389</v>
      </c>
      <c r="B1083" s="3">
        <v>155262</v>
      </c>
      <c r="C1083" s="3">
        <v>214825</v>
      </c>
      <c r="D1083" s="4" t="s">
        <v>17</v>
      </c>
      <c r="E1083" s="4" t="s">
        <v>1283</v>
      </c>
      <c r="F1083" s="4" t="s">
        <v>19</v>
      </c>
      <c r="G1083" s="4" t="s">
        <v>91</v>
      </c>
      <c r="H1083" s="5">
        <v>1000000</v>
      </c>
      <c r="I1083" s="4" t="s">
        <v>21</v>
      </c>
      <c r="J1083" s="5">
        <f t="shared" si="16"/>
        <v>-4858300</v>
      </c>
      <c r="K1083" s="4" t="s">
        <v>24</v>
      </c>
      <c r="L1083" s="6">
        <v>4.8582999999999998</v>
      </c>
      <c r="M1083" s="6">
        <v>0.20580000000000001</v>
      </c>
      <c r="N1083" s="6">
        <v>4.8391000000000002</v>
      </c>
      <c r="O1083" s="6">
        <v>1</v>
      </c>
      <c r="P1083" s="5">
        <v>-19200</v>
      </c>
      <c r="Q1083" s="4" t="s">
        <v>1390</v>
      </c>
    </row>
    <row r="1084" spans="1:17" x14ac:dyDescent="0.3">
      <c r="A1084" s="2" t="s">
        <v>1389</v>
      </c>
      <c r="B1084" s="3">
        <v>155263</v>
      </c>
      <c r="C1084" s="3">
        <v>889168</v>
      </c>
      <c r="D1084" s="4" t="s">
        <v>81</v>
      </c>
      <c r="E1084" s="4" t="s">
        <v>742</v>
      </c>
      <c r="F1084" s="4" t="s">
        <v>83</v>
      </c>
      <c r="G1084" s="4" t="s">
        <v>20</v>
      </c>
      <c r="H1084" s="5">
        <v>-500000</v>
      </c>
      <c r="I1084" s="4" t="s">
        <v>21</v>
      </c>
      <c r="J1084" s="5">
        <f t="shared" si="16"/>
        <v>2108200</v>
      </c>
      <c r="K1084" s="4" t="s">
        <v>29</v>
      </c>
      <c r="L1084" s="6">
        <v>4.2164000000000001</v>
      </c>
      <c r="M1084" s="6">
        <v>0.23719999999999999</v>
      </c>
      <c r="N1084" s="6">
        <v>4.2104999999999997</v>
      </c>
      <c r="O1084" s="6">
        <v>1</v>
      </c>
      <c r="P1084" s="5">
        <v>2955</v>
      </c>
      <c r="Q1084" s="4" t="s">
        <v>1396</v>
      </c>
    </row>
    <row r="1085" spans="1:17" x14ac:dyDescent="0.3">
      <c r="A1085" s="2" t="s">
        <v>1389</v>
      </c>
      <c r="B1085" s="3">
        <v>155266</v>
      </c>
      <c r="C1085" s="3">
        <v>889206</v>
      </c>
      <c r="D1085" s="4" t="s">
        <v>81</v>
      </c>
      <c r="E1085" s="4" t="s">
        <v>730</v>
      </c>
      <c r="F1085" s="4" t="s">
        <v>87</v>
      </c>
      <c r="G1085" s="4" t="s">
        <v>20</v>
      </c>
      <c r="H1085" s="5">
        <v>200000</v>
      </c>
      <c r="I1085" s="4" t="s">
        <v>34</v>
      </c>
      <c r="J1085" s="5">
        <f t="shared" si="16"/>
        <v>-233239.99999999997</v>
      </c>
      <c r="K1085" s="4" t="s">
        <v>46</v>
      </c>
      <c r="L1085" s="6">
        <v>1.1661999999999999</v>
      </c>
      <c r="M1085" s="6">
        <v>0.85750000000000004</v>
      </c>
      <c r="N1085" s="6">
        <v>4.2110000000000003</v>
      </c>
      <c r="O1085" s="6">
        <v>3.6044999999999998</v>
      </c>
      <c r="P1085" s="5">
        <v>1493.6289999999999</v>
      </c>
      <c r="Q1085" s="4" t="s">
        <v>1396</v>
      </c>
    </row>
    <row r="1086" spans="1:17" x14ac:dyDescent="0.3">
      <c r="A1086" s="2" t="s">
        <v>1389</v>
      </c>
      <c r="B1086" s="3">
        <v>155267</v>
      </c>
      <c r="C1086" s="3">
        <v>214837</v>
      </c>
      <c r="D1086" s="4" t="s">
        <v>17</v>
      </c>
      <c r="E1086" s="4" t="s">
        <v>1042</v>
      </c>
      <c r="F1086" s="4" t="s">
        <v>19</v>
      </c>
      <c r="G1086" s="4" t="s">
        <v>20</v>
      </c>
      <c r="H1086" s="5">
        <v>31632.51</v>
      </c>
      <c r="I1086" s="4" t="s">
        <v>21</v>
      </c>
      <c r="J1086" s="5">
        <f t="shared" si="16"/>
        <v>-133220.31586499998</v>
      </c>
      <c r="K1086" s="4" t="s">
        <v>24</v>
      </c>
      <c r="L1086" s="6">
        <v>4.2115</v>
      </c>
      <c r="M1086" s="6">
        <v>0.2374</v>
      </c>
      <c r="N1086" s="6">
        <v>4.2156000000000002</v>
      </c>
      <c r="O1086" s="6">
        <v>1</v>
      </c>
      <c r="P1086" s="5">
        <v>129.69329100003233</v>
      </c>
      <c r="Q1086" s="4" t="s">
        <v>1390</v>
      </c>
    </row>
    <row r="1087" spans="1:17" x14ac:dyDescent="0.3">
      <c r="A1087" s="2" t="s">
        <v>1389</v>
      </c>
      <c r="B1087" s="3">
        <v>155272</v>
      </c>
      <c r="C1087" s="3">
        <v>214850</v>
      </c>
      <c r="D1087" s="4" t="s">
        <v>17</v>
      </c>
      <c r="E1087" s="4" t="s">
        <v>885</v>
      </c>
      <c r="F1087" s="4" t="s">
        <v>19</v>
      </c>
      <c r="G1087" s="4" t="s">
        <v>20</v>
      </c>
      <c r="H1087" s="5">
        <v>7600</v>
      </c>
      <c r="I1087" s="4" t="s">
        <v>21</v>
      </c>
      <c r="J1087" s="5">
        <f t="shared" si="16"/>
        <v>-31767.999999999996</v>
      </c>
      <c r="K1087" s="4" t="s">
        <v>24</v>
      </c>
      <c r="L1087" s="6">
        <v>4.18</v>
      </c>
      <c r="M1087" s="6">
        <v>0.2392</v>
      </c>
      <c r="N1087" s="6">
        <v>4.2156000000000002</v>
      </c>
      <c r="O1087" s="6">
        <v>1</v>
      </c>
      <c r="P1087" s="5">
        <v>270.56000000000495</v>
      </c>
      <c r="Q1087" s="4" t="s">
        <v>1390</v>
      </c>
    </row>
    <row r="1088" spans="1:17" x14ac:dyDescent="0.3">
      <c r="A1088" s="2" t="s">
        <v>1389</v>
      </c>
      <c r="B1088" s="3">
        <v>155276</v>
      </c>
      <c r="C1088" s="3">
        <v>214851</v>
      </c>
      <c r="D1088" s="4" t="s">
        <v>17</v>
      </c>
      <c r="E1088" s="4" t="s">
        <v>951</v>
      </c>
      <c r="F1088" s="4" t="s">
        <v>32</v>
      </c>
      <c r="G1088" s="4" t="s">
        <v>20</v>
      </c>
      <c r="H1088" s="5">
        <v>-21360</v>
      </c>
      <c r="I1088" s="4" t="s">
        <v>21</v>
      </c>
      <c r="J1088" s="5">
        <f t="shared" si="16"/>
        <v>90109.296000000002</v>
      </c>
      <c r="K1088" s="4" t="s">
        <v>24</v>
      </c>
      <c r="L1088" s="6">
        <v>4.2186000000000003</v>
      </c>
      <c r="M1088" s="6">
        <v>0.23699999999999999</v>
      </c>
      <c r="N1088" s="6">
        <v>4.2156000000000002</v>
      </c>
      <c r="O1088" s="6">
        <v>1</v>
      </c>
      <c r="P1088" s="5">
        <v>55.533999999999999</v>
      </c>
      <c r="Q1088" s="4" t="s">
        <v>1390</v>
      </c>
    </row>
    <row r="1089" spans="1:17" x14ac:dyDescent="0.3">
      <c r="A1089" s="2" t="s">
        <v>1389</v>
      </c>
      <c r="B1089" s="3">
        <v>155277</v>
      </c>
      <c r="C1089" s="3">
        <v>889274</v>
      </c>
      <c r="D1089" s="4" t="s">
        <v>81</v>
      </c>
      <c r="E1089" s="4" t="s">
        <v>736</v>
      </c>
      <c r="F1089" s="4" t="s">
        <v>87</v>
      </c>
      <c r="G1089" s="4" t="s">
        <v>89</v>
      </c>
      <c r="H1089" s="5">
        <v>290000</v>
      </c>
      <c r="I1089" s="4" t="s">
        <v>21</v>
      </c>
      <c r="J1089" s="5">
        <f t="shared" si="16"/>
        <v>-163676</v>
      </c>
      <c r="K1089" s="4" t="s">
        <v>29</v>
      </c>
      <c r="L1089" s="6">
        <v>0.56440000000000001</v>
      </c>
      <c r="M1089" s="6">
        <v>1.7718</v>
      </c>
      <c r="N1089" s="6">
        <v>0.5635</v>
      </c>
      <c r="O1089" s="6">
        <v>1</v>
      </c>
      <c r="P1089" s="5">
        <v>-261</v>
      </c>
      <c r="Q1089" s="4" t="s">
        <v>1390</v>
      </c>
    </row>
    <row r="1090" spans="1:17" x14ac:dyDescent="0.3">
      <c r="A1090" s="2" t="s">
        <v>1389</v>
      </c>
      <c r="B1090" s="3">
        <v>155279</v>
      </c>
      <c r="C1090" s="3">
        <v>889281</v>
      </c>
      <c r="D1090" s="4" t="s">
        <v>81</v>
      </c>
      <c r="E1090" s="4" t="s">
        <v>734</v>
      </c>
      <c r="F1090" s="4" t="s">
        <v>83</v>
      </c>
      <c r="G1090" s="4" t="s">
        <v>20</v>
      </c>
      <c r="H1090" s="5">
        <v>-500000</v>
      </c>
      <c r="I1090" s="4" t="s">
        <v>34</v>
      </c>
      <c r="J1090" s="5">
        <f t="shared" si="16"/>
        <v>583750</v>
      </c>
      <c r="K1090" s="4" t="s">
        <v>46</v>
      </c>
      <c r="L1090" s="6">
        <v>1.1675</v>
      </c>
      <c r="M1090" s="6">
        <v>0.85650000000000004</v>
      </c>
      <c r="N1090" s="6">
        <v>4.2110000000000003</v>
      </c>
      <c r="O1090" s="6">
        <v>3.6044999999999998</v>
      </c>
      <c r="P1090" s="5">
        <v>-1391.1475</v>
      </c>
      <c r="Q1090" s="4" t="s">
        <v>1393</v>
      </c>
    </row>
    <row r="1091" spans="1:17" x14ac:dyDescent="0.3">
      <c r="A1091" s="2" t="s">
        <v>1389</v>
      </c>
      <c r="B1091" s="3">
        <v>155280</v>
      </c>
      <c r="C1091" s="3">
        <v>214857</v>
      </c>
      <c r="D1091" s="4" t="s">
        <v>17</v>
      </c>
      <c r="E1091" s="4" t="s">
        <v>846</v>
      </c>
      <c r="F1091" s="4" t="s">
        <v>19</v>
      </c>
      <c r="G1091" s="4" t="s">
        <v>20</v>
      </c>
      <c r="H1091" s="5">
        <v>20000</v>
      </c>
      <c r="I1091" s="4" t="s">
        <v>21</v>
      </c>
      <c r="J1091" s="5">
        <f t="shared" si="16"/>
        <v>-84282</v>
      </c>
      <c r="K1091" s="4" t="s">
        <v>24</v>
      </c>
      <c r="L1091" s="6">
        <v>4.2141000000000002</v>
      </c>
      <c r="M1091" s="6">
        <v>0.23730000000000001</v>
      </c>
      <c r="N1091" s="6">
        <v>4.2156000000000002</v>
      </c>
      <c r="O1091" s="6">
        <v>1</v>
      </c>
      <c r="P1091" s="5">
        <v>30</v>
      </c>
      <c r="Q1091" s="4" t="s">
        <v>1390</v>
      </c>
    </row>
    <row r="1092" spans="1:17" x14ac:dyDescent="0.3">
      <c r="A1092" s="2" t="s">
        <v>1389</v>
      </c>
      <c r="B1092" s="3">
        <v>155281</v>
      </c>
      <c r="C1092" s="3">
        <v>889295</v>
      </c>
      <c r="D1092" s="4" t="s">
        <v>81</v>
      </c>
      <c r="E1092" s="4" t="s">
        <v>735</v>
      </c>
      <c r="F1092" s="4" t="s">
        <v>83</v>
      </c>
      <c r="G1092" s="4" t="s">
        <v>20</v>
      </c>
      <c r="H1092" s="5">
        <v>-500000</v>
      </c>
      <c r="I1092" s="4" t="s">
        <v>21</v>
      </c>
      <c r="J1092" s="5">
        <f t="shared" ref="J1092:J1155" si="17">-H1092*L1092</f>
        <v>2108250</v>
      </c>
      <c r="K1092" s="4" t="s">
        <v>29</v>
      </c>
      <c r="L1092" s="6">
        <v>4.2164999999999999</v>
      </c>
      <c r="M1092" s="6">
        <v>0.23719999999999999</v>
      </c>
      <c r="N1092" s="6">
        <v>4.2104999999999997</v>
      </c>
      <c r="O1092" s="6">
        <v>1</v>
      </c>
      <c r="P1092" s="5">
        <v>3000</v>
      </c>
      <c r="Q1092" s="4" t="s">
        <v>1394</v>
      </c>
    </row>
    <row r="1093" spans="1:17" x14ac:dyDescent="0.3">
      <c r="A1093" s="2" t="s">
        <v>1389</v>
      </c>
      <c r="B1093" s="3">
        <v>155282</v>
      </c>
      <c r="C1093" s="3">
        <v>889308</v>
      </c>
      <c r="D1093" s="4" t="s">
        <v>81</v>
      </c>
      <c r="E1093" s="4" t="s">
        <v>735</v>
      </c>
      <c r="F1093" s="4" t="s">
        <v>83</v>
      </c>
      <c r="G1093" s="4" t="s">
        <v>34</v>
      </c>
      <c r="H1093" s="5">
        <v>-500000</v>
      </c>
      <c r="I1093" s="4" t="s">
        <v>21</v>
      </c>
      <c r="J1093" s="5">
        <f t="shared" si="17"/>
        <v>1804300</v>
      </c>
      <c r="K1093" s="4" t="s">
        <v>29</v>
      </c>
      <c r="L1093" s="6">
        <v>3.6086</v>
      </c>
      <c r="M1093" s="6">
        <v>0.27710000000000001</v>
      </c>
      <c r="N1093" s="6">
        <v>3.6034999999999999</v>
      </c>
      <c r="O1093" s="6">
        <v>1</v>
      </c>
      <c r="P1093" s="5">
        <v>2550</v>
      </c>
      <c r="Q1093" s="4" t="s">
        <v>1394</v>
      </c>
    </row>
    <row r="1094" spans="1:17" x14ac:dyDescent="0.3">
      <c r="A1094" s="2" t="s">
        <v>1389</v>
      </c>
      <c r="B1094" s="3">
        <v>155283</v>
      </c>
      <c r="C1094" s="3">
        <v>214862</v>
      </c>
      <c r="D1094" s="4" t="s">
        <v>17</v>
      </c>
      <c r="E1094" s="4" t="s">
        <v>1088</v>
      </c>
      <c r="F1094" s="4" t="s">
        <v>19</v>
      </c>
      <c r="G1094" s="4" t="s">
        <v>20</v>
      </c>
      <c r="H1094" s="5">
        <v>150000</v>
      </c>
      <c r="I1094" s="4" t="s">
        <v>21</v>
      </c>
      <c r="J1094" s="5">
        <f t="shared" si="17"/>
        <v>-630000</v>
      </c>
      <c r="K1094" s="4" t="s">
        <v>24</v>
      </c>
      <c r="L1094" s="6">
        <v>4.2</v>
      </c>
      <c r="M1094" s="6">
        <v>0.23810000000000001</v>
      </c>
      <c r="N1094" s="6">
        <v>4.2156000000000002</v>
      </c>
      <c r="O1094" s="6">
        <v>1</v>
      </c>
      <c r="P1094" s="5">
        <v>2340</v>
      </c>
      <c r="Q1094" s="4" t="s">
        <v>1390</v>
      </c>
    </row>
    <row r="1095" spans="1:17" x14ac:dyDescent="0.3">
      <c r="A1095" s="2" t="s">
        <v>1389</v>
      </c>
      <c r="B1095" s="3">
        <v>155285</v>
      </c>
      <c r="C1095" s="3">
        <v>889350</v>
      </c>
      <c r="D1095" s="4" t="s">
        <v>81</v>
      </c>
      <c r="E1095" s="4" t="s">
        <v>735</v>
      </c>
      <c r="F1095" s="4" t="s">
        <v>83</v>
      </c>
      <c r="G1095" s="4" t="s">
        <v>20</v>
      </c>
      <c r="H1095" s="5">
        <v>-500000</v>
      </c>
      <c r="I1095" s="4" t="s">
        <v>21</v>
      </c>
      <c r="J1095" s="5">
        <f t="shared" si="17"/>
        <v>2106100</v>
      </c>
      <c r="K1095" s="4" t="s">
        <v>29</v>
      </c>
      <c r="L1095" s="6">
        <v>4.2122000000000002</v>
      </c>
      <c r="M1095" s="6">
        <v>0.2374</v>
      </c>
      <c r="N1095" s="6">
        <v>4.2104999999999997</v>
      </c>
      <c r="O1095" s="6">
        <v>1</v>
      </c>
      <c r="P1095" s="5">
        <v>850</v>
      </c>
      <c r="Q1095" s="4" t="s">
        <v>1394</v>
      </c>
    </row>
    <row r="1096" spans="1:17" x14ac:dyDescent="0.3">
      <c r="A1096" s="2" t="s">
        <v>1389</v>
      </c>
      <c r="B1096" s="3">
        <v>155292</v>
      </c>
      <c r="C1096" s="3">
        <v>214866</v>
      </c>
      <c r="D1096" s="4" t="s">
        <v>17</v>
      </c>
      <c r="E1096" s="4" t="s">
        <v>1155</v>
      </c>
      <c r="F1096" s="4" t="s">
        <v>32</v>
      </c>
      <c r="G1096" s="4" t="s">
        <v>20</v>
      </c>
      <c r="H1096" s="5">
        <v>-200000</v>
      </c>
      <c r="I1096" s="4" t="s">
        <v>74</v>
      </c>
      <c r="J1096" s="5">
        <f t="shared" si="17"/>
        <v>2355420</v>
      </c>
      <c r="K1096" s="4" t="s">
        <v>42</v>
      </c>
      <c r="L1096" s="6">
        <v>11.777100000000001</v>
      </c>
      <c r="M1096" s="6">
        <v>8.4900000000000003E-2</v>
      </c>
      <c r="N1096" s="6">
        <v>4.2119</v>
      </c>
      <c r="O1096" s="6">
        <v>0.35630000000000001</v>
      </c>
      <c r="P1096" s="5">
        <v>-3108.2240000000002</v>
      </c>
      <c r="Q1096" s="4" t="s">
        <v>1390</v>
      </c>
    </row>
    <row r="1097" spans="1:17" x14ac:dyDescent="0.3">
      <c r="A1097" s="2" t="s">
        <v>1389</v>
      </c>
      <c r="B1097" s="3">
        <v>155293</v>
      </c>
      <c r="C1097" s="3">
        <v>889362</v>
      </c>
      <c r="D1097" s="4" t="s">
        <v>81</v>
      </c>
      <c r="E1097" s="4" t="s">
        <v>730</v>
      </c>
      <c r="F1097" s="4" t="s">
        <v>87</v>
      </c>
      <c r="G1097" s="4" t="s">
        <v>20</v>
      </c>
      <c r="H1097" s="5">
        <v>100000</v>
      </c>
      <c r="I1097" s="4" t="s">
        <v>74</v>
      </c>
      <c r="J1097" s="5">
        <f t="shared" si="17"/>
        <v>-1176460</v>
      </c>
      <c r="K1097" s="4" t="s">
        <v>46</v>
      </c>
      <c r="L1097" s="6">
        <v>11.7646</v>
      </c>
      <c r="M1097" s="6">
        <v>8.5000000000000006E-2</v>
      </c>
      <c r="N1097" s="6">
        <v>4.2110000000000003</v>
      </c>
      <c r="O1097" s="6">
        <v>0.35720000000000002</v>
      </c>
      <c r="P1097" s="5">
        <v>867.41639999999995</v>
      </c>
      <c r="Q1097" s="4" t="s">
        <v>1396</v>
      </c>
    </row>
    <row r="1098" spans="1:17" x14ac:dyDescent="0.3">
      <c r="A1098" s="2" t="s">
        <v>1389</v>
      </c>
      <c r="B1098" s="3">
        <v>155294</v>
      </c>
      <c r="C1098" s="3">
        <v>889363</v>
      </c>
      <c r="D1098" s="4" t="s">
        <v>81</v>
      </c>
      <c r="E1098" s="4" t="s">
        <v>742</v>
      </c>
      <c r="F1098" s="4" t="s">
        <v>87</v>
      </c>
      <c r="G1098" s="4" t="s">
        <v>20</v>
      </c>
      <c r="H1098" s="5">
        <v>100000</v>
      </c>
      <c r="I1098" s="4" t="s">
        <v>74</v>
      </c>
      <c r="J1098" s="5">
        <f t="shared" si="17"/>
        <v>-1176730</v>
      </c>
      <c r="K1098" s="4" t="s">
        <v>46</v>
      </c>
      <c r="L1098" s="6">
        <v>11.767300000000001</v>
      </c>
      <c r="M1098" s="6">
        <v>8.5000000000000006E-2</v>
      </c>
      <c r="N1098" s="6">
        <v>4.2110000000000003</v>
      </c>
      <c r="O1098" s="6">
        <v>0.35720000000000002</v>
      </c>
      <c r="P1098" s="5">
        <v>772.04399999999998</v>
      </c>
      <c r="Q1098" s="4" t="s">
        <v>1396</v>
      </c>
    </row>
    <row r="1099" spans="1:17" x14ac:dyDescent="0.3">
      <c r="A1099" s="2" t="s">
        <v>1389</v>
      </c>
      <c r="B1099" s="3">
        <v>155297</v>
      </c>
      <c r="C1099" s="3">
        <v>214872</v>
      </c>
      <c r="D1099" s="4" t="s">
        <v>17</v>
      </c>
      <c r="E1099" s="4" t="s">
        <v>1338</v>
      </c>
      <c r="F1099" s="4" t="s">
        <v>32</v>
      </c>
      <c r="G1099" s="4" t="s">
        <v>20</v>
      </c>
      <c r="H1099" s="5">
        <v>-60000</v>
      </c>
      <c r="I1099" s="4" t="s">
        <v>21</v>
      </c>
      <c r="J1099" s="5">
        <f t="shared" si="17"/>
        <v>253680</v>
      </c>
      <c r="K1099" s="4" t="s">
        <v>24</v>
      </c>
      <c r="L1099" s="6">
        <v>4.2279999999999998</v>
      </c>
      <c r="M1099" s="6">
        <v>0.23649999999999999</v>
      </c>
      <c r="N1099" s="6">
        <v>4.2156000000000002</v>
      </c>
      <c r="O1099" s="6">
        <v>1</v>
      </c>
      <c r="P1099" s="5">
        <v>744</v>
      </c>
      <c r="Q1099" s="4" t="s">
        <v>1390</v>
      </c>
    </row>
    <row r="1100" spans="1:17" x14ac:dyDescent="0.3">
      <c r="A1100" s="2" t="s">
        <v>1389</v>
      </c>
      <c r="B1100" s="3">
        <v>155298</v>
      </c>
      <c r="C1100" s="3">
        <v>889397</v>
      </c>
      <c r="D1100" s="4" t="s">
        <v>81</v>
      </c>
      <c r="E1100" s="4" t="s">
        <v>735</v>
      </c>
      <c r="F1100" s="4" t="s">
        <v>83</v>
      </c>
      <c r="G1100" s="4" t="s">
        <v>20</v>
      </c>
      <c r="H1100" s="5">
        <v>-500000</v>
      </c>
      <c r="I1100" s="4" t="s">
        <v>21</v>
      </c>
      <c r="J1100" s="5">
        <f t="shared" si="17"/>
        <v>2105800</v>
      </c>
      <c r="K1100" s="4" t="s">
        <v>29</v>
      </c>
      <c r="L1100" s="6">
        <v>4.2115999999999998</v>
      </c>
      <c r="M1100" s="6">
        <v>0.2374</v>
      </c>
      <c r="N1100" s="6">
        <v>4.2104999999999997</v>
      </c>
      <c r="O1100" s="6">
        <v>1</v>
      </c>
      <c r="P1100" s="5">
        <v>550</v>
      </c>
      <c r="Q1100" s="4" t="s">
        <v>1394</v>
      </c>
    </row>
    <row r="1101" spans="1:17" x14ac:dyDescent="0.3">
      <c r="A1101" s="2" t="s">
        <v>1389</v>
      </c>
      <c r="B1101" s="3">
        <v>155299</v>
      </c>
      <c r="C1101" s="3">
        <v>889398</v>
      </c>
      <c r="D1101" s="4" t="s">
        <v>81</v>
      </c>
      <c r="E1101" s="4" t="s">
        <v>734</v>
      </c>
      <c r="F1101" s="4" t="s">
        <v>83</v>
      </c>
      <c r="G1101" s="4" t="s">
        <v>20</v>
      </c>
      <c r="H1101" s="5">
        <v>-500000</v>
      </c>
      <c r="I1101" s="4" t="s">
        <v>21</v>
      </c>
      <c r="J1101" s="5">
        <f t="shared" si="17"/>
        <v>2105850</v>
      </c>
      <c r="K1101" s="4" t="s">
        <v>29</v>
      </c>
      <c r="L1101" s="6">
        <v>4.2117000000000004</v>
      </c>
      <c r="M1101" s="6">
        <v>0.2374</v>
      </c>
      <c r="N1101" s="6">
        <v>4.2104999999999997</v>
      </c>
      <c r="O1101" s="6">
        <v>1</v>
      </c>
      <c r="P1101" s="5">
        <v>600</v>
      </c>
      <c r="Q1101" s="4" t="s">
        <v>1393</v>
      </c>
    </row>
    <row r="1102" spans="1:17" x14ac:dyDescent="0.3">
      <c r="A1102" s="2" t="s">
        <v>1389</v>
      </c>
      <c r="B1102" s="3">
        <v>155300</v>
      </c>
      <c r="C1102" s="3">
        <v>889436</v>
      </c>
      <c r="D1102" s="4" t="s">
        <v>81</v>
      </c>
      <c r="E1102" s="4" t="s">
        <v>730</v>
      </c>
      <c r="F1102" s="4" t="s">
        <v>87</v>
      </c>
      <c r="G1102" s="4" t="s">
        <v>20</v>
      </c>
      <c r="H1102" s="5">
        <v>100000</v>
      </c>
      <c r="I1102" s="4" t="s">
        <v>84</v>
      </c>
      <c r="J1102" s="5">
        <f t="shared" si="17"/>
        <v>-1078800</v>
      </c>
      <c r="K1102" s="4" t="s">
        <v>29</v>
      </c>
      <c r="L1102" s="6">
        <v>10.788</v>
      </c>
      <c r="M1102" s="6">
        <v>9.2700000000000005E-2</v>
      </c>
      <c r="N1102" s="6">
        <v>4.2104999999999997</v>
      </c>
      <c r="O1102" s="6">
        <v>0.39150000000000001</v>
      </c>
      <c r="P1102" s="5">
        <v>-1298.2425000000001</v>
      </c>
      <c r="Q1102" s="4" t="s">
        <v>1396</v>
      </c>
    </row>
    <row r="1103" spans="1:17" x14ac:dyDescent="0.3">
      <c r="A1103" s="2" t="s">
        <v>1389</v>
      </c>
      <c r="B1103" s="3">
        <v>155301</v>
      </c>
      <c r="C1103" s="3">
        <v>214876</v>
      </c>
      <c r="D1103" s="4" t="s">
        <v>17</v>
      </c>
      <c r="E1103" s="4" t="s">
        <v>1240</v>
      </c>
      <c r="F1103" s="4" t="s">
        <v>19</v>
      </c>
      <c r="G1103" s="4" t="s">
        <v>20</v>
      </c>
      <c r="H1103" s="5">
        <v>150000</v>
      </c>
      <c r="I1103" s="4" t="s">
        <v>21</v>
      </c>
      <c r="J1103" s="5">
        <f t="shared" si="17"/>
        <v>-631095</v>
      </c>
      <c r="K1103" s="4" t="s">
        <v>46</v>
      </c>
      <c r="L1103" s="6">
        <v>4.2073</v>
      </c>
      <c r="M1103" s="6">
        <v>0.23769999999999999</v>
      </c>
      <c r="N1103" s="6">
        <v>4.2110000000000003</v>
      </c>
      <c r="O1103" s="6">
        <v>1</v>
      </c>
      <c r="P1103" s="5">
        <v>555</v>
      </c>
      <c r="Q1103" s="4" t="s">
        <v>1390</v>
      </c>
    </row>
    <row r="1104" spans="1:17" x14ac:dyDescent="0.3">
      <c r="A1104" s="2" t="s">
        <v>1389</v>
      </c>
      <c r="B1104" s="3">
        <v>155302</v>
      </c>
      <c r="C1104" s="3">
        <v>889447</v>
      </c>
      <c r="D1104" s="4" t="s">
        <v>81</v>
      </c>
      <c r="E1104" s="4" t="s">
        <v>730</v>
      </c>
      <c r="F1104" s="4" t="s">
        <v>87</v>
      </c>
      <c r="G1104" s="4" t="s">
        <v>34</v>
      </c>
      <c r="H1104" s="5">
        <v>500000</v>
      </c>
      <c r="I1104" s="4" t="s">
        <v>21</v>
      </c>
      <c r="J1104" s="5">
        <f t="shared" si="17"/>
        <v>-1800200</v>
      </c>
      <c r="K1104" s="4" t="s">
        <v>29</v>
      </c>
      <c r="L1104" s="6">
        <v>3.6004</v>
      </c>
      <c r="M1104" s="6">
        <v>0.2777</v>
      </c>
      <c r="N1104" s="6">
        <v>3.6034999999999999</v>
      </c>
      <c r="O1104" s="6">
        <v>1</v>
      </c>
      <c r="P1104" s="5">
        <v>1565</v>
      </c>
      <c r="Q1104" s="4" t="s">
        <v>1396</v>
      </c>
    </row>
    <row r="1105" spans="1:17" x14ac:dyDescent="0.3">
      <c r="A1105" s="2" t="s">
        <v>1389</v>
      </c>
      <c r="B1105" s="3">
        <v>155303</v>
      </c>
      <c r="C1105" s="3">
        <v>214877</v>
      </c>
      <c r="D1105" s="4" t="s">
        <v>17</v>
      </c>
      <c r="E1105" s="4" t="s">
        <v>1380</v>
      </c>
      <c r="F1105" s="4" t="s">
        <v>32</v>
      </c>
      <c r="G1105" s="4" t="s">
        <v>20</v>
      </c>
      <c r="H1105" s="5">
        <v>-1500</v>
      </c>
      <c r="I1105" s="4" t="s">
        <v>21</v>
      </c>
      <c r="J1105" s="5">
        <f t="shared" si="17"/>
        <v>6367.9500000000007</v>
      </c>
      <c r="K1105" s="4" t="s">
        <v>24</v>
      </c>
      <c r="L1105" s="6">
        <v>4.2453000000000003</v>
      </c>
      <c r="M1105" s="6">
        <v>0.2356</v>
      </c>
      <c r="N1105" s="6">
        <v>4.2156000000000002</v>
      </c>
      <c r="O1105" s="6">
        <v>1</v>
      </c>
      <c r="P1105" s="5">
        <v>44.1</v>
      </c>
      <c r="Q1105" s="4" t="s">
        <v>1390</v>
      </c>
    </row>
    <row r="1106" spans="1:17" x14ac:dyDescent="0.3">
      <c r="A1106" s="2" t="s">
        <v>1389</v>
      </c>
      <c r="B1106" s="3">
        <v>155304</v>
      </c>
      <c r="C1106" s="3">
        <v>889455</v>
      </c>
      <c r="D1106" s="4" t="s">
        <v>81</v>
      </c>
      <c r="E1106" s="4" t="s">
        <v>730</v>
      </c>
      <c r="F1106" s="4" t="s">
        <v>87</v>
      </c>
      <c r="G1106" s="4" t="s">
        <v>20</v>
      </c>
      <c r="H1106" s="5">
        <v>150000</v>
      </c>
      <c r="I1106" s="4" t="s">
        <v>89</v>
      </c>
      <c r="J1106" s="5">
        <f t="shared" si="17"/>
        <v>-1120440</v>
      </c>
      <c r="K1106" s="4" t="s">
        <v>46</v>
      </c>
      <c r="L1106" s="6">
        <v>7.4695999999999998</v>
      </c>
      <c r="M1106" s="6">
        <v>0.13389999999999999</v>
      </c>
      <c r="N1106" s="6">
        <v>4.2110000000000003</v>
      </c>
      <c r="O1106" s="6">
        <v>0.56369999999999998</v>
      </c>
      <c r="P1106" s="5">
        <v>58.817549999999997</v>
      </c>
      <c r="Q1106" s="4" t="s">
        <v>1396</v>
      </c>
    </row>
    <row r="1107" spans="1:17" x14ac:dyDescent="0.3">
      <c r="A1107" s="2" t="s">
        <v>1389</v>
      </c>
      <c r="B1107" s="3">
        <v>155309</v>
      </c>
      <c r="C1107" s="3">
        <v>214880</v>
      </c>
      <c r="D1107" s="4" t="s">
        <v>17</v>
      </c>
      <c r="E1107" s="4" t="s">
        <v>757</v>
      </c>
      <c r="F1107" s="4" t="s">
        <v>19</v>
      </c>
      <c r="G1107" s="4" t="s">
        <v>20</v>
      </c>
      <c r="H1107" s="5">
        <v>5000</v>
      </c>
      <c r="I1107" s="4" t="s">
        <v>21</v>
      </c>
      <c r="J1107" s="5">
        <f t="shared" si="17"/>
        <v>-20950.000000000004</v>
      </c>
      <c r="K1107" s="4" t="s">
        <v>24</v>
      </c>
      <c r="L1107" s="6">
        <v>4.1900000000000004</v>
      </c>
      <c r="M1107" s="6">
        <v>0.2387</v>
      </c>
      <c r="N1107" s="6">
        <v>4.2156000000000002</v>
      </c>
      <c r="O1107" s="6">
        <v>1</v>
      </c>
      <c r="P1107" s="5">
        <v>127.99999999999636</v>
      </c>
      <c r="Q1107" s="4" t="s">
        <v>1390</v>
      </c>
    </row>
    <row r="1108" spans="1:17" x14ac:dyDescent="0.3">
      <c r="A1108" s="2" t="s">
        <v>1389</v>
      </c>
      <c r="B1108" s="3">
        <v>155312</v>
      </c>
      <c r="C1108" s="3">
        <v>214881</v>
      </c>
      <c r="D1108" s="4" t="s">
        <v>17</v>
      </c>
      <c r="E1108" s="4" t="s">
        <v>946</v>
      </c>
      <c r="F1108" s="4" t="s">
        <v>19</v>
      </c>
      <c r="G1108" s="4" t="s">
        <v>20</v>
      </c>
      <c r="H1108" s="5">
        <v>10300</v>
      </c>
      <c r="I1108" s="4" t="s">
        <v>21</v>
      </c>
      <c r="J1108" s="5">
        <f t="shared" si="17"/>
        <v>-43234.25</v>
      </c>
      <c r="K1108" s="4" t="s">
        <v>24</v>
      </c>
      <c r="L1108" s="6">
        <v>4.1974999999999998</v>
      </c>
      <c r="M1108" s="6">
        <v>0.2382</v>
      </c>
      <c r="N1108" s="6">
        <v>4.2156000000000002</v>
      </c>
      <c r="O1108" s="6">
        <v>1</v>
      </c>
      <c r="P1108" s="5">
        <v>186.43000000000029</v>
      </c>
      <c r="Q1108" s="4" t="s">
        <v>1390</v>
      </c>
    </row>
    <row r="1109" spans="1:17" x14ac:dyDescent="0.3">
      <c r="A1109" s="2" t="s">
        <v>1389</v>
      </c>
      <c r="B1109" s="3">
        <v>155313</v>
      </c>
      <c r="C1109" s="3">
        <v>214882</v>
      </c>
      <c r="D1109" s="4" t="s">
        <v>17</v>
      </c>
      <c r="E1109" s="4" t="s">
        <v>1106</v>
      </c>
      <c r="F1109" s="4" t="s">
        <v>32</v>
      </c>
      <c r="G1109" s="4" t="s">
        <v>34</v>
      </c>
      <c r="H1109" s="5">
        <v>-30000</v>
      </c>
      <c r="I1109" s="4" t="s">
        <v>21</v>
      </c>
      <c r="J1109" s="5">
        <f t="shared" si="17"/>
        <v>108450</v>
      </c>
      <c r="K1109" s="4" t="s">
        <v>24</v>
      </c>
      <c r="L1109" s="6">
        <v>3.6150000000000002</v>
      </c>
      <c r="M1109" s="6">
        <v>0.27660000000000001</v>
      </c>
      <c r="N1109" s="6">
        <v>3.5962999999999998</v>
      </c>
      <c r="O1109" s="6">
        <v>1</v>
      </c>
      <c r="P1109" s="5">
        <v>561</v>
      </c>
      <c r="Q1109" s="4" t="s">
        <v>1390</v>
      </c>
    </row>
    <row r="1110" spans="1:17" x14ac:dyDescent="0.3">
      <c r="A1110" s="2" t="s">
        <v>1389</v>
      </c>
      <c r="B1110" s="3">
        <v>155314</v>
      </c>
      <c r="C1110" s="3">
        <v>214884</v>
      </c>
      <c r="D1110" s="4" t="s">
        <v>17</v>
      </c>
      <c r="E1110" s="4" t="s">
        <v>1042</v>
      </c>
      <c r="F1110" s="4" t="s">
        <v>19</v>
      </c>
      <c r="G1110" s="4" t="s">
        <v>20</v>
      </c>
      <c r="H1110" s="5">
        <v>180102</v>
      </c>
      <c r="I1110" s="4" t="s">
        <v>21</v>
      </c>
      <c r="J1110" s="5">
        <f t="shared" si="17"/>
        <v>-756824.62440000009</v>
      </c>
      <c r="K1110" s="4" t="s">
        <v>24</v>
      </c>
      <c r="L1110" s="6">
        <v>4.2022000000000004</v>
      </c>
      <c r="M1110" s="6">
        <v>0.23799999999999999</v>
      </c>
      <c r="N1110" s="6">
        <v>4.2156000000000002</v>
      </c>
      <c r="O1110" s="6">
        <v>1</v>
      </c>
      <c r="P1110" s="5">
        <v>2413.3667999999598</v>
      </c>
      <c r="Q1110" s="4" t="s">
        <v>1390</v>
      </c>
    </row>
    <row r="1111" spans="1:17" x14ac:dyDescent="0.3">
      <c r="A1111" s="2" t="s">
        <v>1389</v>
      </c>
      <c r="B1111" s="3">
        <v>155315</v>
      </c>
      <c r="C1111" s="3">
        <v>889495</v>
      </c>
      <c r="D1111" s="4" t="s">
        <v>81</v>
      </c>
      <c r="E1111" s="4" t="s">
        <v>735</v>
      </c>
      <c r="F1111" s="4" t="s">
        <v>83</v>
      </c>
      <c r="G1111" s="4" t="s">
        <v>20</v>
      </c>
      <c r="H1111" s="5">
        <v>-100269.92</v>
      </c>
      <c r="I1111" s="4" t="s">
        <v>21</v>
      </c>
      <c r="J1111" s="5">
        <f t="shared" si="17"/>
        <v>422316.84905600001</v>
      </c>
      <c r="K1111" s="4" t="s">
        <v>29</v>
      </c>
      <c r="L1111" s="6">
        <v>4.2118000000000002</v>
      </c>
      <c r="M1111" s="6">
        <v>0.2374</v>
      </c>
      <c r="N1111" s="6">
        <v>4.2104999999999997</v>
      </c>
      <c r="O1111" s="6">
        <v>1</v>
      </c>
      <c r="P1111" s="5">
        <v>130.35184000000001</v>
      </c>
      <c r="Q1111" s="4" t="s">
        <v>1394</v>
      </c>
    </row>
    <row r="1112" spans="1:17" x14ac:dyDescent="0.3">
      <c r="A1112" s="2" t="s">
        <v>1389</v>
      </c>
      <c r="B1112" s="3">
        <v>155316</v>
      </c>
      <c r="C1112" s="3">
        <v>889497</v>
      </c>
      <c r="D1112" s="4" t="s">
        <v>81</v>
      </c>
      <c r="E1112" s="4" t="s">
        <v>735</v>
      </c>
      <c r="F1112" s="4" t="s">
        <v>83</v>
      </c>
      <c r="G1112" s="4" t="s">
        <v>93</v>
      </c>
      <c r="H1112" s="5">
        <v>-1875.97</v>
      </c>
      <c r="I1112" s="4" t="s">
        <v>21</v>
      </c>
      <c r="J1112" s="5">
        <f t="shared" si="17"/>
        <v>8508.2743380000011</v>
      </c>
      <c r="K1112" s="4" t="s">
        <v>29</v>
      </c>
      <c r="L1112" s="6">
        <v>4.5354000000000001</v>
      </c>
      <c r="M1112" s="6">
        <v>0.2205</v>
      </c>
      <c r="N1112" s="6">
        <v>4.5278999999999998</v>
      </c>
      <c r="O1112" s="6">
        <v>1</v>
      </c>
      <c r="P1112" s="5">
        <v>14.065436999999999</v>
      </c>
      <c r="Q1112" s="4" t="s">
        <v>1394</v>
      </c>
    </row>
    <row r="1113" spans="1:17" x14ac:dyDescent="0.3">
      <c r="A1113" s="2" t="s">
        <v>1389</v>
      </c>
      <c r="B1113" s="3">
        <v>155317</v>
      </c>
      <c r="C1113" s="3">
        <v>889498</v>
      </c>
      <c r="D1113" s="4" t="s">
        <v>81</v>
      </c>
      <c r="E1113" s="4" t="s">
        <v>735</v>
      </c>
      <c r="F1113" s="4" t="s">
        <v>83</v>
      </c>
      <c r="G1113" s="4" t="s">
        <v>34</v>
      </c>
      <c r="H1113" s="5">
        <v>-11806.97</v>
      </c>
      <c r="I1113" s="4" t="s">
        <v>21</v>
      </c>
      <c r="J1113" s="5">
        <f t="shared" si="17"/>
        <v>42434.250179999995</v>
      </c>
      <c r="K1113" s="4" t="s">
        <v>29</v>
      </c>
      <c r="L1113" s="6">
        <v>3.5939999999999999</v>
      </c>
      <c r="M1113" s="6">
        <v>0.2782</v>
      </c>
      <c r="N1113" s="6">
        <v>3.6034999999999999</v>
      </c>
      <c r="O1113" s="6">
        <v>1</v>
      </c>
      <c r="P1113" s="5">
        <v>-112.16639499999999</v>
      </c>
      <c r="Q1113" s="4" t="s">
        <v>1394</v>
      </c>
    </row>
    <row r="1114" spans="1:17" x14ac:dyDescent="0.3">
      <c r="A1114" s="2" t="s">
        <v>1389</v>
      </c>
      <c r="B1114" s="3">
        <v>155318</v>
      </c>
      <c r="C1114" s="3">
        <v>889499</v>
      </c>
      <c r="D1114" s="4" t="s">
        <v>81</v>
      </c>
      <c r="E1114" s="4" t="s">
        <v>735</v>
      </c>
      <c r="F1114" s="4" t="s">
        <v>83</v>
      </c>
      <c r="G1114" s="4" t="s">
        <v>20</v>
      </c>
      <c r="H1114" s="5">
        <v>-3422.39</v>
      </c>
      <c r="I1114" s="4" t="s">
        <v>21</v>
      </c>
      <c r="J1114" s="5">
        <f t="shared" si="17"/>
        <v>14409.288617</v>
      </c>
      <c r="K1114" s="4" t="s">
        <v>29</v>
      </c>
      <c r="L1114" s="6">
        <v>4.2103000000000002</v>
      </c>
      <c r="M1114" s="6">
        <v>0.23749999999999999</v>
      </c>
      <c r="N1114" s="6">
        <v>4.2104999999999997</v>
      </c>
      <c r="O1114" s="6">
        <v>1</v>
      </c>
      <c r="P1114" s="5">
        <v>-0.68309500000000001</v>
      </c>
      <c r="Q1114" s="4" t="s">
        <v>1394</v>
      </c>
    </row>
    <row r="1115" spans="1:17" x14ac:dyDescent="0.3">
      <c r="A1115" s="2" t="s">
        <v>1389</v>
      </c>
      <c r="B1115" s="3">
        <v>155319</v>
      </c>
      <c r="C1115" s="3">
        <v>889500</v>
      </c>
      <c r="D1115" s="4" t="s">
        <v>81</v>
      </c>
      <c r="E1115" s="4" t="s">
        <v>735</v>
      </c>
      <c r="F1115" s="4" t="s">
        <v>83</v>
      </c>
      <c r="G1115" s="4" t="s">
        <v>91</v>
      </c>
      <c r="H1115" s="5">
        <v>-6767.97</v>
      </c>
      <c r="I1115" s="4" t="s">
        <v>21</v>
      </c>
      <c r="J1115" s="5">
        <f t="shared" si="17"/>
        <v>32898.425372999998</v>
      </c>
      <c r="K1115" s="4" t="s">
        <v>29</v>
      </c>
      <c r="L1115" s="6">
        <v>4.8609</v>
      </c>
      <c r="M1115" s="6">
        <v>0.20569999999999999</v>
      </c>
      <c r="N1115" s="6">
        <v>4.8628999999999998</v>
      </c>
      <c r="O1115" s="6">
        <v>1</v>
      </c>
      <c r="P1115" s="5">
        <v>-13.531313000000001</v>
      </c>
      <c r="Q1115" s="4" t="s">
        <v>1394</v>
      </c>
    </row>
    <row r="1116" spans="1:17" x14ac:dyDescent="0.3">
      <c r="A1116" s="2" t="s">
        <v>1389</v>
      </c>
      <c r="B1116" s="3">
        <v>155320</v>
      </c>
      <c r="C1116" s="3">
        <v>889505</v>
      </c>
      <c r="D1116" s="4" t="s">
        <v>81</v>
      </c>
      <c r="E1116" s="4" t="s">
        <v>734</v>
      </c>
      <c r="F1116" s="4" t="s">
        <v>83</v>
      </c>
      <c r="G1116" s="4" t="s">
        <v>20</v>
      </c>
      <c r="H1116" s="5">
        <v>-102496.65</v>
      </c>
      <c r="I1116" s="4" t="s">
        <v>21</v>
      </c>
      <c r="J1116" s="5">
        <f t="shared" si="17"/>
        <v>431603.14348499995</v>
      </c>
      <c r="K1116" s="4" t="s">
        <v>29</v>
      </c>
      <c r="L1116" s="6">
        <v>4.2108999999999996</v>
      </c>
      <c r="M1116" s="6">
        <v>0.23749999999999999</v>
      </c>
      <c r="N1116" s="6">
        <v>4.2104999999999997</v>
      </c>
      <c r="O1116" s="6">
        <v>1</v>
      </c>
      <c r="P1116" s="5">
        <v>45.095174999999998</v>
      </c>
      <c r="Q1116" s="4" t="s">
        <v>1393</v>
      </c>
    </row>
    <row r="1117" spans="1:17" x14ac:dyDescent="0.3">
      <c r="A1117" s="2" t="s">
        <v>1389</v>
      </c>
      <c r="B1117" s="3">
        <v>155321</v>
      </c>
      <c r="C1117" s="3">
        <v>214888</v>
      </c>
      <c r="D1117" s="4" t="s">
        <v>17</v>
      </c>
      <c r="E1117" s="4" t="s">
        <v>735</v>
      </c>
      <c r="F1117" s="4" t="s">
        <v>19</v>
      </c>
      <c r="G1117" s="4" t="s">
        <v>20</v>
      </c>
      <c r="H1117" s="5">
        <v>13200</v>
      </c>
      <c r="I1117" s="4" t="s">
        <v>21</v>
      </c>
      <c r="J1117" s="5">
        <f t="shared" si="17"/>
        <v>-55594.44</v>
      </c>
      <c r="K1117" s="4" t="s">
        <v>46</v>
      </c>
      <c r="L1117" s="6">
        <v>4.2117000000000004</v>
      </c>
      <c r="M1117" s="6">
        <v>0.2374</v>
      </c>
      <c r="N1117" s="6">
        <v>4.2110000000000003</v>
      </c>
      <c r="O1117" s="6">
        <v>1</v>
      </c>
      <c r="P1117" s="5">
        <v>-9.2399999999979627</v>
      </c>
      <c r="Q1117" s="4" t="s">
        <v>1394</v>
      </c>
    </row>
    <row r="1118" spans="1:17" x14ac:dyDescent="0.3">
      <c r="A1118" s="2" t="s">
        <v>1389</v>
      </c>
      <c r="B1118" s="3">
        <v>155322</v>
      </c>
      <c r="C1118" s="3">
        <v>214889</v>
      </c>
      <c r="D1118" s="4" t="s">
        <v>17</v>
      </c>
      <c r="E1118" s="4" t="s">
        <v>1069</v>
      </c>
      <c r="F1118" s="4" t="s">
        <v>32</v>
      </c>
      <c r="G1118" s="4" t="s">
        <v>20</v>
      </c>
      <c r="H1118" s="5">
        <v>-13200</v>
      </c>
      <c r="I1118" s="4" t="s">
        <v>21</v>
      </c>
      <c r="J1118" s="5">
        <f t="shared" si="17"/>
        <v>55842.6</v>
      </c>
      <c r="K1118" s="4" t="s">
        <v>46</v>
      </c>
      <c r="L1118" s="6">
        <v>4.2305000000000001</v>
      </c>
      <c r="M1118" s="6">
        <v>0.2364</v>
      </c>
      <c r="N1118" s="6">
        <v>4.2110000000000003</v>
      </c>
      <c r="O1118" s="6">
        <v>1</v>
      </c>
      <c r="P1118" s="5">
        <v>256.08</v>
      </c>
      <c r="Q1118" s="4" t="s">
        <v>1390</v>
      </c>
    </row>
    <row r="1119" spans="1:17" x14ac:dyDescent="0.3">
      <c r="A1119" s="2" t="s">
        <v>1389</v>
      </c>
      <c r="B1119" s="3">
        <v>155323</v>
      </c>
      <c r="C1119" s="3">
        <v>889511</v>
      </c>
      <c r="D1119" s="4" t="s">
        <v>81</v>
      </c>
      <c r="E1119" s="4" t="s">
        <v>734</v>
      </c>
      <c r="F1119" s="4" t="s">
        <v>83</v>
      </c>
      <c r="G1119" s="4" t="s">
        <v>34</v>
      </c>
      <c r="H1119" s="5">
        <v>-36084.61</v>
      </c>
      <c r="I1119" s="4" t="s">
        <v>21</v>
      </c>
      <c r="J1119" s="5">
        <f t="shared" si="17"/>
        <v>129572.61758800001</v>
      </c>
      <c r="K1119" s="4" t="s">
        <v>29</v>
      </c>
      <c r="L1119" s="6">
        <v>3.5908000000000002</v>
      </c>
      <c r="M1119" s="6">
        <v>0.27850000000000003</v>
      </c>
      <c r="N1119" s="6">
        <v>3.6034999999999999</v>
      </c>
      <c r="O1119" s="6">
        <v>1</v>
      </c>
      <c r="P1119" s="5">
        <v>-459.72213499999998</v>
      </c>
      <c r="Q1119" s="4" t="s">
        <v>1393</v>
      </c>
    </row>
    <row r="1120" spans="1:17" x14ac:dyDescent="0.3">
      <c r="A1120" s="2" t="s">
        <v>1389</v>
      </c>
      <c r="B1120" s="3">
        <v>155324</v>
      </c>
      <c r="C1120" s="3">
        <v>889512</v>
      </c>
      <c r="D1120" s="4" t="s">
        <v>81</v>
      </c>
      <c r="E1120" s="4" t="s">
        <v>735</v>
      </c>
      <c r="F1120" s="4" t="s">
        <v>83</v>
      </c>
      <c r="G1120" s="4" t="s">
        <v>91</v>
      </c>
      <c r="H1120" s="5">
        <v>-35414.870000000003</v>
      </c>
      <c r="I1120" s="4" t="s">
        <v>21</v>
      </c>
      <c r="J1120" s="5">
        <f t="shared" si="17"/>
        <v>172222.51281000001</v>
      </c>
      <c r="K1120" s="4" t="s">
        <v>29</v>
      </c>
      <c r="L1120" s="6">
        <v>4.8630000000000004</v>
      </c>
      <c r="M1120" s="6">
        <v>0.2056</v>
      </c>
      <c r="N1120" s="6">
        <v>4.8628999999999998</v>
      </c>
      <c r="O1120" s="6">
        <v>1</v>
      </c>
      <c r="P1120" s="5">
        <v>3.5386769999999999</v>
      </c>
      <c r="Q1120" s="4" t="s">
        <v>1394</v>
      </c>
    </row>
    <row r="1121" spans="1:17" x14ac:dyDescent="0.3">
      <c r="A1121" s="2" t="s">
        <v>1389</v>
      </c>
      <c r="B1121" s="3">
        <v>155325</v>
      </c>
      <c r="C1121" s="3">
        <v>889513</v>
      </c>
      <c r="D1121" s="4" t="s">
        <v>81</v>
      </c>
      <c r="E1121" s="4" t="s">
        <v>734</v>
      </c>
      <c r="F1121" s="4" t="s">
        <v>87</v>
      </c>
      <c r="G1121" s="4" t="s">
        <v>20</v>
      </c>
      <c r="H1121" s="5">
        <v>56875.56</v>
      </c>
      <c r="I1121" s="4" t="s">
        <v>21</v>
      </c>
      <c r="J1121" s="5">
        <f t="shared" si="17"/>
        <v>-239554.171164</v>
      </c>
      <c r="K1121" s="4" t="s">
        <v>29</v>
      </c>
      <c r="L1121" s="6">
        <v>4.2119</v>
      </c>
      <c r="M1121" s="6">
        <v>0.2374</v>
      </c>
      <c r="N1121" s="6">
        <v>4.2104999999999997</v>
      </c>
      <c r="O1121" s="6">
        <v>1</v>
      </c>
      <c r="P1121" s="5">
        <v>-76.784620000000004</v>
      </c>
      <c r="Q1121" s="4" t="s">
        <v>1393</v>
      </c>
    </row>
    <row r="1122" spans="1:17" x14ac:dyDescent="0.3">
      <c r="A1122" s="2" t="s">
        <v>1389</v>
      </c>
      <c r="B1122" s="3">
        <v>155326</v>
      </c>
      <c r="C1122" s="3">
        <v>889514</v>
      </c>
      <c r="D1122" s="4" t="s">
        <v>81</v>
      </c>
      <c r="E1122" s="4" t="s">
        <v>734</v>
      </c>
      <c r="F1122" s="4" t="s">
        <v>83</v>
      </c>
      <c r="G1122" s="4" t="s">
        <v>93</v>
      </c>
      <c r="H1122" s="5">
        <v>-4786.08</v>
      </c>
      <c r="I1122" s="4" t="s">
        <v>21</v>
      </c>
      <c r="J1122" s="5">
        <f t="shared" si="17"/>
        <v>21713.487744000002</v>
      </c>
      <c r="K1122" s="4" t="s">
        <v>29</v>
      </c>
      <c r="L1122" s="6">
        <v>4.5368000000000004</v>
      </c>
      <c r="M1122" s="6">
        <v>0.22040000000000001</v>
      </c>
      <c r="N1122" s="6">
        <v>4.5278999999999998</v>
      </c>
      <c r="O1122" s="6">
        <v>1</v>
      </c>
      <c r="P1122" s="5">
        <v>42.688367999999997</v>
      </c>
      <c r="Q1122" s="4" t="s">
        <v>1393</v>
      </c>
    </row>
    <row r="1123" spans="1:17" x14ac:dyDescent="0.3">
      <c r="A1123" s="2" t="s">
        <v>1389</v>
      </c>
      <c r="B1123" s="3">
        <v>155327</v>
      </c>
      <c r="C1123" s="3">
        <v>889519</v>
      </c>
      <c r="D1123" s="4" t="s">
        <v>81</v>
      </c>
      <c r="E1123" s="4" t="s">
        <v>735</v>
      </c>
      <c r="F1123" s="4" t="s">
        <v>87</v>
      </c>
      <c r="G1123" s="4" t="s">
        <v>20</v>
      </c>
      <c r="H1123" s="5">
        <v>1866.28</v>
      </c>
      <c r="I1123" s="4" t="s">
        <v>21</v>
      </c>
      <c r="J1123" s="5">
        <f t="shared" si="17"/>
        <v>-7860.3981039999999</v>
      </c>
      <c r="K1123" s="4" t="s">
        <v>29</v>
      </c>
      <c r="L1123" s="6">
        <v>4.2118000000000002</v>
      </c>
      <c r="M1123" s="6">
        <v>0.2374</v>
      </c>
      <c r="N1123" s="6">
        <v>4.2104999999999997</v>
      </c>
      <c r="O1123" s="6">
        <v>1</v>
      </c>
      <c r="P1123" s="5">
        <v>-2.4280599999999999</v>
      </c>
      <c r="Q1123" s="4" t="s">
        <v>1394</v>
      </c>
    </row>
    <row r="1124" spans="1:17" x14ac:dyDescent="0.3">
      <c r="A1124" s="2" t="s">
        <v>1389</v>
      </c>
      <c r="B1124" s="3">
        <v>155328</v>
      </c>
      <c r="C1124" s="3">
        <v>889520</v>
      </c>
      <c r="D1124" s="4" t="s">
        <v>81</v>
      </c>
      <c r="E1124" s="4" t="s">
        <v>743</v>
      </c>
      <c r="F1124" s="4" t="s">
        <v>83</v>
      </c>
      <c r="G1124" s="4" t="s">
        <v>91</v>
      </c>
      <c r="H1124" s="5">
        <v>-947.84</v>
      </c>
      <c r="I1124" s="4" t="s">
        <v>21</v>
      </c>
      <c r="J1124" s="5">
        <f t="shared" si="17"/>
        <v>4609.914624</v>
      </c>
      <c r="K1124" s="4" t="s">
        <v>29</v>
      </c>
      <c r="L1124" s="6">
        <v>4.8635999999999999</v>
      </c>
      <c r="M1124" s="6">
        <v>0.2056</v>
      </c>
      <c r="N1124" s="6">
        <v>4.8628999999999998</v>
      </c>
      <c r="O1124" s="6">
        <v>1</v>
      </c>
      <c r="P1124" s="5">
        <v>0.67886400000000002</v>
      </c>
      <c r="Q1124" s="4" t="s">
        <v>1395</v>
      </c>
    </row>
    <row r="1125" spans="1:17" x14ac:dyDescent="0.3">
      <c r="A1125" s="2" t="s">
        <v>1389</v>
      </c>
      <c r="B1125" s="3">
        <v>155329</v>
      </c>
      <c r="C1125" s="3">
        <v>889521</v>
      </c>
      <c r="D1125" s="4" t="s">
        <v>81</v>
      </c>
      <c r="E1125" s="4" t="s">
        <v>739</v>
      </c>
      <c r="F1125" s="4" t="s">
        <v>87</v>
      </c>
      <c r="G1125" s="4" t="s">
        <v>34</v>
      </c>
      <c r="H1125" s="5">
        <v>3217.62</v>
      </c>
      <c r="I1125" s="4" t="s">
        <v>21</v>
      </c>
      <c r="J1125" s="5">
        <f t="shared" si="17"/>
        <v>-11558.012801999999</v>
      </c>
      <c r="K1125" s="4" t="s">
        <v>29</v>
      </c>
      <c r="L1125" s="6">
        <v>3.5920999999999998</v>
      </c>
      <c r="M1125" s="6">
        <v>0.27839999999999998</v>
      </c>
      <c r="N1125" s="6">
        <v>3.6034999999999999</v>
      </c>
      <c r="O1125" s="6">
        <v>1</v>
      </c>
      <c r="P1125" s="5">
        <v>36.773670000000003</v>
      </c>
      <c r="Q1125" s="4" t="s">
        <v>1391</v>
      </c>
    </row>
    <row r="1126" spans="1:17" x14ac:dyDescent="0.3">
      <c r="A1126" s="2" t="s">
        <v>1389</v>
      </c>
      <c r="B1126" s="3">
        <v>155330</v>
      </c>
      <c r="C1126" s="3">
        <v>889570</v>
      </c>
      <c r="D1126" s="4" t="s">
        <v>81</v>
      </c>
      <c r="E1126" s="4" t="s">
        <v>730</v>
      </c>
      <c r="F1126" s="4" t="s">
        <v>83</v>
      </c>
      <c r="G1126" s="4" t="s">
        <v>20</v>
      </c>
      <c r="H1126" s="5">
        <v>-100461.07</v>
      </c>
      <c r="I1126" s="4" t="s">
        <v>21</v>
      </c>
      <c r="J1126" s="5">
        <f t="shared" si="17"/>
        <v>422750.22866700002</v>
      </c>
      <c r="K1126" s="4" t="s">
        <v>42</v>
      </c>
      <c r="L1126" s="6">
        <v>4.2081</v>
      </c>
      <c r="M1126" s="6">
        <v>0.23760000000000001</v>
      </c>
      <c r="N1126" s="6">
        <v>4.2119</v>
      </c>
      <c r="O1126" s="6">
        <v>1</v>
      </c>
      <c r="P1126" s="5">
        <v>-382.76073300000002</v>
      </c>
      <c r="Q1126" s="4" t="s">
        <v>1396</v>
      </c>
    </row>
    <row r="1127" spans="1:17" x14ac:dyDescent="0.3">
      <c r="A1127" s="2" t="s">
        <v>1389</v>
      </c>
      <c r="B1127" s="3">
        <v>155331</v>
      </c>
      <c r="C1127" s="3">
        <v>889571</v>
      </c>
      <c r="D1127" s="4" t="s">
        <v>81</v>
      </c>
      <c r="E1127" s="4" t="s">
        <v>730</v>
      </c>
      <c r="F1127" s="4" t="s">
        <v>83</v>
      </c>
      <c r="G1127" s="4" t="s">
        <v>20</v>
      </c>
      <c r="H1127" s="5">
        <v>-43694.15</v>
      </c>
      <c r="I1127" s="4" t="s">
        <v>21</v>
      </c>
      <c r="J1127" s="5">
        <f t="shared" si="17"/>
        <v>183869.35261500001</v>
      </c>
      <c r="K1127" s="4" t="s">
        <v>42</v>
      </c>
      <c r="L1127" s="6">
        <v>4.2081</v>
      </c>
      <c r="M1127" s="6">
        <v>0.23760000000000001</v>
      </c>
      <c r="N1127" s="6">
        <v>4.2119</v>
      </c>
      <c r="O1127" s="6">
        <v>1</v>
      </c>
      <c r="P1127" s="5">
        <v>-166.47038499999999</v>
      </c>
      <c r="Q1127" s="4" t="s">
        <v>1396</v>
      </c>
    </row>
    <row r="1128" spans="1:17" x14ac:dyDescent="0.3">
      <c r="A1128" s="2" t="s">
        <v>1389</v>
      </c>
      <c r="B1128" s="3">
        <v>155332</v>
      </c>
      <c r="C1128" s="3">
        <v>889572</v>
      </c>
      <c r="D1128" s="4" t="s">
        <v>81</v>
      </c>
      <c r="E1128" s="4" t="s">
        <v>730</v>
      </c>
      <c r="F1128" s="4" t="s">
        <v>83</v>
      </c>
      <c r="G1128" s="4" t="s">
        <v>91</v>
      </c>
      <c r="H1128" s="5">
        <v>-90102.85</v>
      </c>
      <c r="I1128" s="4" t="s">
        <v>21</v>
      </c>
      <c r="J1128" s="5">
        <f t="shared" si="17"/>
        <v>437935.89214000007</v>
      </c>
      <c r="K1128" s="4" t="s">
        <v>42</v>
      </c>
      <c r="L1128" s="6">
        <v>4.8604000000000003</v>
      </c>
      <c r="M1128" s="6">
        <v>0.20569999999999999</v>
      </c>
      <c r="N1128" s="6">
        <v>4.8471000000000002</v>
      </c>
      <c r="O1128" s="6">
        <v>1</v>
      </c>
      <c r="P1128" s="5">
        <v>1197.4657649999999</v>
      </c>
      <c r="Q1128" s="4" t="s">
        <v>1396</v>
      </c>
    </row>
    <row r="1129" spans="1:17" x14ac:dyDescent="0.3">
      <c r="A1129" s="2" t="s">
        <v>1389</v>
      </c>
      <c r="B1129" s="3">
        <v>155333</v>
      </c>
      <c r="C1129" s="3">
        <v>889573</v>
      </c>
      <c r="D1129" s="4" t="s">
        <v>81</v>
      </c>
      <c r="E1129" s="4" t="s">
        <v>730</v>
      </c>
      <c r="F1129" s="4" t="s">
        <v>83</v>
      </c>
      <c r="G1129" s="4" t="s">
        <v>20</v>
      </c>
      <c r="H1129" s="5">
        <v>-117844.95</v>
      </c>
      <c r="I1129" s="4" t="s">
        <v>21</v>
      </c>
      <c r="J1129" s="5">
        <f t="shared" si="17"/>
        <v>495903.334095</v>
      </c>
      <c r="K1129" s="4" t="s">
        <v>42</v>
      </c>
      <c r="L1129" s="6">
        <v>4.2081</v>
      </c>
      <c r="M1129" s="6">
        <v>0.23760000000000001</v>
      </c>
      <c r="N1129" s="6">
        <v>4.2119</v>
      </c>
      <c r="O1129" s="6">
        <v>1</v>
      </c>
      <c r="P1129" s="5">
        <v>-448.98490500000003</v>
      </c>
      <c r="Q1129" s="4" t="s">
        <v>1396</v>
      </c>
    </row>
    <row r="1130" spans="1:17" x14ac:dyDescent="0.3">
      <c r="A1130" s="2" t="s">
        <v>1389</v>
      </c>
      <c r="B1130" s="3">
        <v>155334</v>
      </c>
      <c r="C1130" s="3">
        <v>889574</v>
      </c>
      <c r="D1130" s="4" t="s">
        <v>81</v>
      </c>
      <c r="E1130" s="4" t="s">
        <v>730</v>
      </c>
      <c r="F1130" s="4" t="s">
        <v>83</v>
      </c>
      <c r="G1130" s="4" t="s">
        <v>20</v>
      </c>
      <c r="H1130" s="5">
        <v>-100083.09</v>
      </c>
      <c r="I1130" s="4" t="s">
        <v>21</v>
      </c>
      <c r="J1130" s="5">
        <f t="shared" si="17"/>
        <v>421159.651029</v>
      </c>
      <c r="K1130" s="4" t="s">
        <v>42</v>
      </c>
      <c r="L1130" s="6">
        <v>4.2081</v>
      </c>
      <c r="M1130" s="6">
        <v>0.23760000000000001</v>
      </c>
      <c r="N1130" s="6">
        <v>4.2119</v>
      </c>
      <c r="O1130" s="6">
        <v>1</v>
      </c>
      <c r="P1130" s="5">
        <v>-381.31677100000002</v>
      </c>
      <c r="Q1130" s="4" t="s">
        <v>1396</v>
      </c>
    </row>
    <row r="1131" spans="1:17" x14ac:dyDescent="0.3">
      <c r="A1131" s="2" t="s">
        <v>1389</v>
      </c>
      <c r="B1131" s="3">
        <v>155335</v>
      </c>
      <c r="C1131" s="3">
        <v>889575</v>
      </c>
      <c r="D1131" s="4" t="s">
        <v>81</v>
      </c>
      <c r="E1131" s="4" t="s">
        <v>730</v>
      </c>
      <c r="F1131" s="4" t="s">
        <v>83</v>
      </c>
      <c r="G1131" s="4" t="s">
        <v>34</v>
      </c>
      <c r="H1131" s="5">
        <v>-142219.56</v>
      </c>
      <c r="I1131" s="4" t="s">
        <v>21</v>
      </c>
      <c r="J1131" s="5">
        <f t="shared" si="17"/>
        <v>511976.19404399995</v>
      </c>
      <c r="K1131" s="4" t="s">
        <v>42</v>
      </c>
      <c r="L1131" s="6">
        <v>3.5998999999999999</v>
      </c>
      <c r="M1131" s="6">
        <v>0.27779999999999999</v>
      </c>
      <c r="N1131" s="6">
        <v>3.6070000000000002</v>
      </c>
      <c r="O1131" s="6">
        <v>1</v>
      </c>
      <c r="P1131" s="5">
        <v>-1004.07292</v>
      </c>
      <c r="Q1131" s="4" t="s">
        <v>1396</v>
      </c>
    </row>
    <row r="1132" spans="1:17" x14ac:dyDescent="0.3">
      <c r="A1132" s="2" t="s">
        <v>1389</v>
      </c>
      <c r="B1132" s="3">
        <v>155336</v>
      </c>
      <c r="C1132" s="3">
        <v>889576</v>
      </c>
      <c r="D1132" s="4" t="s">
        <v>81</v>
      </c>
      <c r="E1132" s="4" t="s">
        <v>730</v>
      </c>
      <c r="F1132" s="4" t="s">
        <v>83</v>
      </c>
      <c r="G1132" s="4" t="s">
        <v>20</v>
      </c>
      <c r="H1132" s="5">
        <v>-1540</v>
      </c>
      <c r="I1132" s="4" t="s">
        <v>21</v>
      </c>
      <c r="J1132" s="5">
        <f t="shared" si="17"/>
        <v>6480.4740000000002</v>
      </c>
      <c r="K1132" s="4" t="s">
        <v>42</v>
      </c>
      <c r="L1132" s="6">
        <v>4.2081</v>
      </c>
      <c r="M1132" s="6">
        <v>0.23760000000000001</v>
      </c>
      <c r="N1132" s="6">
        <v>4.2119</v>
      </c>
      <c r="O1132" s="6">
        <v>1</v>
      </c>
      <c r="P1132" s="5">
        <v>-5.8659999999999997</v>
      </c>
      <c r="Q1132" s="4" t="s">
        <v>1396</v>
      </c>
    </row>
    <row r="1133" spans="1:17" x14ac:dyDescent="0.3">
      <c r="A1133" s="2" t="s">
        <v>1389</v>
      </c>
      <c r="B1133" s="3">
        <v>155337</v>
      </c>
      <c r="C1133" s="3">
        <v>889577</v>
      </c>
      <c r="D1133" s="4" t="s">
        <v>81</v>
      </c>
      <c r="E1133" s="4" t="s">
        <v>730</v>
      </c>
      <c r="F1133" s="4" t="s">
        <v>83</v>
      </c>
      <c r="G1133" s="4" t="s">
        <v>34</v>
      </c>
      <c r="H1133" s="5">
        <v>-111088.4</v>
      </c>
      <c r="I1133" s="4" t="s">
        <v>21</v>
      </c>
      <c r="J1133" s="5">
        <f t="shared" si="17"/>
        <v>399907.13115999999</v>
      </c>
      <c r="K1133" s="4" t="s">
        <v>42</v>
      </c>
      <c r="L1133" s="6">
        <v>3.5998999999999999</v>
      </c>
      <c r="M1133" s="6">
        <v>0.27779999999999999</v>
      </c>
      <c r="N1133" s="6">
        <v>3.6070000000000002</v>
      </c>
      <c r="O1133" s="6">
        <v>1</v>
      </c>
      <c r="P1133" s="5">
        <v>-784.28880000000004</v>
      </c>
      <c r="Q1133" s="4" t="s">
        <v>1396</v>
      </c>
    </row>
    <row r="1134" spans="1:17" x14ac:dyDescent="0.3">
      <c r="A1134" s="2" t="s">
        <v>1389</v>
      </c>
      <c r="B1134" s="3">
        <v>155338</v>
      </c>
      <c r="C1134" s="3">
        <v>889578</v>
      </c>
      <c r="D1134" s="4" t="s">
        <v>81</v>
      </c>
      <c r="E1134" s="4" t="s">
        <v>734</v>
      </c>
      <c r="F1134" s="4" t="s">
        <v>83</v>
      </c>
      <c r="G1134" s="4" t="s">
        <v>93</v>
      </c>
      <c r="H1134" s="5">
        <v>-23462.65</v>
      </c>
      <c r="I1134" s="4" t="s">
        <v>21</v>
      </c>
      <c r="J1134" s="5">
        <f t="shared" si="17"/>
        <v>106128.604745</v>
      </c>
      <c r="K1134" s="4" t="s">
        <v>42</v>
      </c>
      <c r="L1134" s="6">
        <v>4.5232999999999999</v>
      </c>
      <c r="M1134" s="6">
        <v>0.22109999999999999</v>
      </c>
      <c r="N1134" s="6">
        <v>4.5228000000000002</v>
      </c>
      <c r="O1134" s="6">
        <v>1</v>
      </c>
      <c r="P1134" s="5">
        <v>12.196580000000001</v>
      </c>
      <c r="Q1134" s="4" t="s">
        <v>1393</v>
      </c>
    </row>
    <row r="1135" spans="1:17" x14ac:dyDescent="0.3">
      <c r="A1135" s="2" t="s">
        <v>1389</v>
      </c>
      <c r="B1135" s="3">
        <v>155339</v>
      </c>
      <c r="C1135" s="3">
        <v>889579</v>
      </c>
      <c r="D1135" s="4" t="s">
        <v>81</v>
      </c>
      <c r="E1135" s="4" t="s">
        <v>734</v>
      </c>
      <c r="F1135" s="4" t="s">
        <v>83</v>
      </c>
      <c r="G1135" s="4" t="s">
        <v>20</v>
      </c>
      <c r="H1135" s="5">
        <v>-131986.60999999999</v>
      </c>
      <c r="I1135" s="4" t="s">
        <v>21</v>
      </c>
      <c r="J1135" s="5">
        <f t="shared" si="17"/>
        <v>555399.65487999993</v>
      </c>
      <c r="K1135" s="4" t="s">
        <v>42</v>
      </c>
      <c r="L1135" s="6">
        <v>4.2080000000000002</v>
      </c>
      <c r="M1135" s="6">
        <v>0.23760000000000001</v>
      </c>
      <c r="N1135" s="6">
        <v>4.2119</v>
      </c>
      <c r="O1135" s="6">
        <v>1</v>
      </c>
      <c r="P1135" s="5">
        <v>-517.38265899999999</v>
      </c>
      <c r="Q1135" s="4" t="s">
        <v>1393</v>
      </c>
    </row>
    <row r="1136" spans="1:17" x14ac:dyDescent="0.3">
      <c r="A1136" s="2" t="s">
        <v>1389</v>
      </c>
      <c r="B1136" s="3">
        <v>155340</v>
      </c>
      <c r="C1136" s="3">
        <v>889580</v>
      </c>
      <c r="D1136" s="4" t="s">
        <v>81</v>
      </c>
      <c r="E1136" s="4" t="s">
        <v>743</v>
      </c>
      <c r="F1136" s="4" t="s">
        <v>87</v>
      </c>
      <c r="G1136" s="4" t="s">
        <v>34</v>
      </c>
      <c r="H1136" s="5">
        <v>110211.43</v>
      </c>
      <c r="I1136" s="4" t="s">
        <v>21</v>
      </c>
      <c r="J1136" s="5">
        <f t="shared" si="17"/>
        <v>-397058.71886099997</v>
      </c>
      <c r="K1136" s="4" t="s">
        <v>42</v>
      </c>
      <c r="L1136" s="6">
        <v>3.6027</v>
      </c>
      <c r="M1136" s="6">
        <v>0.27760000000000001</v>
      </c>
      <c r="N1136" s="6">
        <v>3.6070000000000002</v>
      </c>
      <c r="O1136" s="6">
        <v>1</v>
      </c>
      <c r="P1136" s="5">
        <v>476.11801000000003</v>
      </c>
      <c r="Q1136" s="4" t="s">
        <v>1395</v>
      </c>
    </row>
    <row r="1137" spans="1:17" x14ac:dyDescent="0.3">
      <c r="A1137" s="2" t="s">
        <v>1389</v>
      </c>
      <c r="B1137" s="3">
        <v>155341</v>
      </c>
      <c r="C1137" s="3">
        <v>889601</v>
      </c>
      <c r="D1137" s="4" t="s">
        <v>81</v>
      </c>
      <c r="E1137" s="4" t="s">
        <v>730</v>
      </c>
      <c r="F1137" s="4" t="s">
        <v>83</v>
      </c>
      <c r="G1137" s="4" t="s">
        <v>34</v>
      </c>
      <c r="H1137" s="5">
        <v>-2939.12</v>
      </c>
      <c r="I1137" s="4" t="s">
        <v>21</v>
      </c>
      <c r="J1137" s="5">
        <f t="shared" si="17"/>
        <v>10582.007647999999</v>
      </c>
      <c r="K1137" s="4" t="s">
        <v>42</v>
      </c>
      <c r="L1137" s="6">
        <v>3.6004</v>
      </c>
      <c r="M1137" s="6">
        <v>0.2777</v>
      </c>
      <c r="N1137" s="6">
        <v>3.6070000000000002</v>
      </c>
      <c r="O1137" s="6">
        <v>1</v>
      </c>
      <c r="P1137" s="5">
        <v>-19.335840000000001</v>
      </c>
      <c r="Q1137" s="4" t="s">
        <v>1396</v>
      </c>
    </row>
    <row r="1138" spans="1:17" x14ac:dyDescent="0.3">
      <c r="A1138" s="2" t="s">
        <v>1389</v>
      </c>
      <c r="B1138" s="3">
        <v>155342</v>
      </c>
      <c r="C1138" s="3">
        <v>889602</v>
      </c>
      <c r="D1138" s="4" t="s">
        <v>81</v>
      </c>
      <c r="E1138" s="4" t="s">
        <v>743</v>
      </c>
      <c r="F1138" s="4" t="s">
        <v>83</v>
      </c>
      <c r="G1138" s="4" t="s">
        <v>20</v>
      </c>
      <c r="H1138" s="5">
        <v>-19741.73</v>
      </c>
      <c r="I1138" s="4" t="s">
        <v>21</v>
      </c>
      <c r="J1138" s="5">
        <f t="shared" si="17"/>
        <v>83096.889916</v>
      </c>
      <c r="K1138" s="4" t="s">
        <v>42</v>
      </c>
      <c r="L1138" s="6">
        <v>4.2092000000000001</v>
      </c>
      <c r="M1138" s="6">
        <v>0.23760000000000001</v>
      </c>
      <c r="N1138" s="6">
        <v>4.2119</v>
      </c>
      <c r="O1138" s="6">
        <v>1</v>
      </c>
      <c r="P1138" s="5">
        <v>-52.512587000000003</v>
      </c>
      <c r="Q1138" s="4" t="s">
        <v>1395</v>
      </c>
    </row>
    <row r="1139" spans="1:17" x14ac:dyDescent="0.3">
      <c r="A1139" s="2" t="s">
        <v>1389</v>
      </c>
      <c r="B1139" s="3">
        <v>155343</v>
      </c>
      <c r="C1139" s="3">
        <v>214890</v>
      </c>
      <c r="D1139" s="4" t="s">
        <v>17</v>
      </c>
      <c r="E1139" s="4" t="s">
        <v>730</v>
      </c>
      <c r="F1139" s="4" t="s">
        <v>32</v>
      </c>
      <c r="G1139" s="4" t="s">
        <v>20</v>
      </c>
      <c r="H1139" s="5">
        <v>-3262.16</v>
      </c>
      <c r="I1139" s="4" t="s">
        <v>21</v>
      </c>
      <c r="J1139" s="5">
        <f t="shared" si="17"/>
        <v>13733.041168000002</v>
      </c>
      <c r="K1139" s="4" t="s">
        <v>46</v>
      </c>
      <c r="L1139" s="6">
        <v>4.2098000000000004</v>
      </c>
      <c r="M1139" s="6">
        <v>0.23749999999999999</v>
      </c>
      <c r="N1139" s="6">
        <v>4.2110000000000003</v>
      </c>
      <c r="O1139" s="6">
        <v>1</v>
      </c>
      <c r="P1139" s="5">
        <v>-7.3357599999999996</v>
      </c>
      <c r="Q1139" s="4" t="s">
        <v>1396</v>
      </c>
    </row>
    <row r="1140" spans="1:17" x14ac:dyDescent="0.3">
      <c r="A1140" s="2" t="s">
        <v>1389</v>
      </c>
      <c r="B1140" s="3">
        <v>155344</v>
      </c>
      <c r="C1140" s="3">
        <v>214892</v>
      </c>
      <c r="D1140" s="4" t="s">
        <v>17</v>
      </c>
      <c r="E1140" s="4" t="s">
        <v>743</v>
      </c>
      <c r="F1140" s="4" t="s">
        <v>19</v>
      </c>
      <c r="G1140" s="4" t="s">
        <v>20</v>
      </c>
      <c r="H1140" s="5">
        <v>400000</v>
      </c>
      <c r="I1140" s="4" t="s">
        <v>21</v>
      </c>
      <c r="J1140" s="5">
        <f t="shared" si="17"/>
        <v>-1684440</v>
      </c>
      <c r="K1140" s="4" t="s">
        <v>46</v>
      </c>
      <c r="L1140" s="6">
        <v>4.2111000000000001</v>
      </c>
      <c r="M1140" s="6">
        <v>0.23749999999999999</v>
      </c>
      <c r="N1140" s="6">
        <v>4.2110000000000003</v>
      </c>
      <c r="O1140" s="6">
        <v>1</v>
      </c>
      <c r="P1140" s="5">
        <v>-39.999999999767169</v>
      </c>
      <c r="Q1140" s="4" t="s">
        <v>1395</v>
      </c>
    </row>
    <row r="1141" spans="1:17" x14ac:dyDescent="0.3">
      <c r="A1141" s="2" t="s">
        <v>1389</v>
      </c>
      <c r="B1141" s="3">
        <v>155345</v>
      </c>
      <c r="C1141" s="3">
        <v>214894</v>
      </c>
      <c r="D1141" s="4" t="s">
        <v>17</v>
      </c>
      <c r="E1141" s="4" t="s">
        <v>727</v>
      </c>
      <c r="F1141" s="4" t="s">
        <v>32</v>
      </c>
      <c r="G1141" s="4" t="s">
        <v>20</v>
      </c>
      <c r="H1141" s="5">
        <v>-5000</v>
      </c>
      <c r="I1141" s="4" t="s">
        <v>21</v>
      </c>
      <c r="J1141" s="5">
        <f t="shared" si="17"/>
        <v>21042</v>
      </c>
      <c r="K1141" s="4" t="s">
        <v>46</v>
      </c>
      <c r="L1141" s="6">
        <v>4.2084000000000001</v>
      </c>
      <c r="M1141" s="6">
        <v>0.23760000000000001</v>
      </c>
      <c r="N1141" s="6">
        <v>4.2110000000000003</v>
      </c>
      <c r="O1141" s="6">
        <v>1</v>
      </c>
      <c r="P1141" s="5">
        <v>-16.100000000000001</v>
      </c>
      <c r="Q1141" s="4" t="s">
        <v>1397</v>
      </c>
    </row>
    <row r="1142" spans="1:17" x14ac:dyDescent="0.3">
      <c r="A1142" s="2" t="s">
        <v>1389</v>
      </c>
      <c r="B1142" s="3">
        <v>155346</v>
      </c>
      <c r="C1142" s="3">
        <v>214896</v>
      </c>
      <c r="D1142" s="4" t="s">
        <v>17</v>
      </c>
      <c r="E1142" s="4" t="s">
        <v>727</v>
      </c>
      <c r="F1142" s="4" t="s">
        <v>19</v>
      </c>
      <c r="G1142" s="4" t="s">
        <v>20</v>
      </c>
      <c r="H1142" s="5">
        <v>5000</v>
      </c>
      <c r="I1142" s="4" t="s">
        <v>21</v>
      </c>
      <c r="J1142" s="5">
        <f t="shared" si="17"/>
        <v>-21050</v>
      </c>
      <c r="K1142" s="4" t="s">
        <v>46</v>
      </c>
      <c r="L1142" s="6">
        <v>4.21</v>
      </c>
      <c r="M1142" s="6">
        <v>0.23749999999999999</v>
      </c>
      <c r="N1142" s="6">
        <v>4.2110000000000003</v>
      </c>
      <c r="O1142" s="6">
        <v>1</v>
      </c>
      <c r="P1142" s="5">
        <v>5</v>
      </c>
      <c r="Q1142" s="4" t="s">
        <v>1397</v>
      </c>
    </row>
    <row r="1143" spans="1:17" x14ac:dyDescent="0.3">
      <c r="A1143" s="2" t="s">
        <v>1389</v>
      </c>
      <c r="B1143" s="3">
        <v>155347</v>
      </c>
      <c r="C1143" s="3">
        <v>214898</v>
      </c>
      <c r="D1143" s="4" t="s">
        <v>17</v>
      </c>
      <c r="E1143" s="4" t="s">
        <v>727</v>
      </c>
      <c r="F1143" s="4" t="s">
        <v>32</v>
      </c>
      <c r="G1143" s="4" t="s">
        <v>20</v>
      </c>
      <c r="H1143" s="5">
        <v>-2500</v>
      </c>
      <c r="I1143" s="4" t="s">
        <v>21</v>
      </c>
      <c r="J1143" s="5">
        <f t="shared" si="17"/>
        <v>10522.75</v>
      </c>
      <c r="K1143" s="4" t="s">
        <v>46</v>
      </c>
      <c r="L1143" s="6">
        <v>4.2091000000000003</v>
      </c>
      <c r="M1143" s="6">
        <v>0.23760000000000001</v>
      </c>
      <c r="N1143" s="6">
        <v>4.2110000000000003</v>
      </c>
      <c r="O1143" s="6">
        <v>1</v>
      </c>
      <c r="P1143" s="5">
        <v>-6.45</v>
      </c>
      <c r="Q1143" s="4" t="s">
        <v>1397</v>
      </c>
    </row>
    <row r="1144" spans="1:17" x14ac:dyDescent="0.3">
      <c r="A1144" s="2" t="s">
        <v>1389</v>
      </c>
      <c r="B1144" s="3">
        <v>155348</v>
      </c>
      <c r="C1144" s="3">
        <v>214900</v>
      </c>
      <c r="D1144" s="4" t="s">
        <v>17</v>
      </c>
      <c r="E1144" s="4" t="s">
        <v>743</v>
      </c>
      <c r="F1144" s="4" t="s">
        <v>32</v>
      </c>
      <c r="G1144" s="4" t="s">
        <v>20</v>
      </c>
      <c r="H1144" s="5">
        <v>-2000</v>
      </c>
      <c r="I1144" s="4" t="s">
        <v>21</v>
      </c>
      <c r="J1144" s="5">
        <f t="shared" si="17"/>
        <v>8418.2000000000007</v>
      </c>
      <c r="K1144" s="4" t="s">
        <v>46</v>
      </c>
      <c r="L1144" s="6">
        <v>4.2091000000000003</v>
      </c>
      <c r="M1144" s="6">
        <v>0.23760000000000001</v>
      </c>
      <c r="N1144" s="6">
        <v>4.2110000000000003</v>
      </c>
      <c r="O1144" s="6">
        <v>1</v>
      </c>
      <c r="P1144" s="5">
        <v>-5.12</v>
      </c>
      <c r="Q1144" s="4" t="s">
        <v>1395</v>
      </c>
    </row>
    <row r="1145" spans="1:17" x14ac:dyDescent="0.3">
      <c r="A1145" s="2" t="s">
        <v>1389</v>
      </c>
      <c r="B1145" s="3">
        <v>155349</v>
      </c>
      <c r="C1145" s="3">
        <v>889629</v>
      </c>
      <c r="D1145" s="4" t="s">
        <v>81</v>
      </c>
      <c r="E1145" s="4" t="s">
        <v>743</v>
      </c>
      <c r="F1145" s="4" t="s">
        <v>83</v>
      </c>
      <c r="G1145" s="4" t="s">
        <v>20</v>
      </c>
      <c r="H1145" s="5">
        <v>-84660.22</v>
      </c>
      <c r="I1145" s="4" t="s">
        <v>21</v>
      </c>
      <c r="J1145" s="5">
        <f t="shared" si="17"/>
        <v>356360.26404599997</v>
      </c>
      <c r="K1145" s="4" t="s">
        <v>42</v>
      </c>
      <c r="L1145" s="6">
        <v>4.2092999999999998</v>
      </c>
      <c r="M1145" s="6">
        <v>0.23760000000000001</v>
      </c>
      <c r="N1145" s="6">
        <v>4.2119</v>
      </c>
      <c r="O1145" s="6">
        <v>1</v>
      </c>
      <c r="P1145" s="5">
        <v>-222.660618</v>
      </c>
      <c r="Q1145" s="4" t="s">
        <v>1395</v>
      </c>
    </row>
    <row r="1146" spans="1:17" x14ac:dyDescent="0.3">
      <c r="A1146" s="2" t="s">
        <v>1389</v>
      </c>
      <c r="B1146" s="3">
        <v>155350</v>
      </c>
      <c r="C1146" s="3">
        <v>889630</v>
      </c>
      <c r="D1146" s="4" t="s">
        <v>81</v>
      </c>
      <c r="E1146" s="4" t="s">
        <v>743</v>
      </c>
      <c r="F1146" s="4" t="s">
        <v>87</v>
      </c>
      <c r="G1146" s="4" t="s">
        <v>34</v>
      </c>
      <c r="H1146" s="5">
        <v>9043.98</v>
      </c>
      <c r="I1146" s="4" t="s">
        <v>21</v>
      </c>
      <c r="J1146" s="5">
        <f t="shared" si="17"/>
        <v>-32561.945592</v>
      </c>
      <c r="K1146" s="4" t="s">
        <v>42</v>
      </c>
      <c r="L1146" s="6">
        <v>3.6004</v>
      </c>
      <c r="M1146" s="6">
        <v>0.2777</v>
      </c>
      <c r="N1146" s="6">
        <v>3.6070000000000002</v>
      </c>
      <c r="O1146" s="6">
        <v>1</v>
      </c>
      <c r="P1146" s="5">
        <v>59.415860000000002</v>
      </c>
      <c r="Q1146" s="4" t="s">
        <v>1395</v>
      </c>
    </row>
    <row r="1147" spans="1:17" x14ac:dyDescent="0.3">
      <c r="A1147" s="2" t="s">
        <v>1389</v>
      </c>
      <c r="B1147" s="3">
        <v>155351</v>
      </c>
      <c r="C1147" s="3">
        <v>889634</v>
      </c>
      <c r="D1147" s="4" t="s">
        <v>81</v>
      </c>
      <c r="E1147" s="4" t="s">
        <v>735</v>
      </c>
      <c r="F1147" s="4" t="s">
        <v>83</v>
      </c>
      <c r="G1147" s="4" t="s">
        <v>91</v>
      </c>
      <c r="H1147" s="5">
        <v>-100000</v>
      </c>
      <c r="I1147" s="4" t="s">
        <v>21</v>
      </c>
      <c r="J1147" s="5">
        <f t="shared" si="17"/>
        <v>486340.00000000006</v>
      </c>
      <c r="K1147" s="4" t="s">
        <v>42</v>
      </c>
      <c r="L1147" s="6">
        <v>4.8634000000000004</v>
      </c>
      <c r="M1147" s="6">
        <v>0.2056</v>
      </c>
      <c r="N1147" s="6">
        <v>4.8471000000000002</v>
      </c>
      <c r="O1147" s="6">
        <v>1</v>
      </c>
      <c r="P1147" s="5">
        <v>1630</v>
      </c>
      <c r="Q1147" s="4" t="s">
        <v>1394</v>
      </c>
    </row>
    <row r="1148" spans="1:17" x14ac:dyDescent="0.3">
      <c r="A1148" s="2" t="s">
        <v>1389</v>
      </c>
      <c r="B1148" s="3">
        <v>155352</v>
      </c>
      <c r="C1148" s="3">
        <v>889635</v>
      </c>
      <c r="D1148" s="4" t="s">
        <v>81</v>
      </c>
      <c r="E1148" s="4" t="s">
        <v>734</v>
      </c>
      <c r="F1148" s="4" t="s">
        <v>87</v>
      </c>
      <c r="G1148" s="4" t="s">
        <v>20</v>
      </c>
      <c r="H1148" s="5">
        <v>100000</v>
      </c>
      <c r="I1148" s="4" t="s">
        <v>93</v>
      </c>
      <c r="J1148" s="5">
        <f t="shared" si="17"/>
        <v>-92980</v>
      </c>
      <c r="K1148" s="4" t="s">
        <v>42</v>
      </c>
      <c r="L1148" s="6">
        <v>0.92979999999999996</v>
      </c>
      <c r="M1148" s="6">
        <v>1.0754999999999999</v>
      </c>
      <c r="N1148" s="6">
        <v>4.2119</v>
      </c>
      <c r="O1148" s="6">
        <v>4.5228000000000002</v>
      </c>
      <c r="P1148" s="5">
        <v>678.1472</v>
      </c>
      <c r="Q1148" s="4" t="s">
        <v>1393</v>
      </c>
    </row>
    <row r="1149" spans="1:17" x14ac:dyDescent="0.3">
      <c r="A1149" s="2" t="s">
        <v>1389</v>
      </c>
      <c r="B1149" s="3">
        <v>155353</v>
      </c>
      <c r="C1149" s="3">
        <v>214902</v>
      </c>
      <c r="D1149" s="4" t="s">
        <v>17</v>
      </c>
      <c r="E1149" s="4" t="s">
        <v>743</v>
      </c>
      <c r="F1149" s="4" t="s">
        <v>32</v>
      </c>
      <c r="G1149" s="4" t="s">
        <v>20</v>
      </c>
      <c r="H1149" s="5">
        <v>-40000</v>
      </c>
      <c r="I1149" s="4" t="s">
        <v>21</v>
      </c>
      <c r="J1149" s="5">
        <f t="shared" si="17"/>
        <v>168368</v>
      </c>
      <c r="K1149" s="4" t="s">
        <v>46</v>
      </c>
      <c r="L1149" s="6">
        <v>4.2092000000000001</v>
      </c>
      <c r="M1149" s="6">
        <v>0.23760000000000001</v>
      </c>
      <c r="N1149" s="6">
        <v>4.2110000000000003</v>
      </c>
      <c r="O1149" s="6">
        <v>1</v>
      </c>
      <c r="P1149" s="5">
        <v>-97.2</v>
      </c>
      <c r="Q1149" s="4" t="s">
        <v>1395</v>
      </c>
    </row>
    <row r="1150" spans="1:17" x14ac:dyDescent="0.3">
      <c r="A1150" s="2" t="s">
        <v>1389</v>
      </c>
      <c r="B1150" s="3">
        <v>155354</v>
      </c>
      <c r="C1150" s="3">
        <v>889643</v>
      </c>
      <c r="D1150" s="4" t="s">
        <v>81</v>
      </c>
      <c r="E1150" s="4" t="s">
        <v>734</v>
      </c>
      <c r="F1150" s="4" t="s">
        <v>87</v>
      </c>
      <c r="G1150" s="4" t="s">
        <v>20</v>
      </c>
      <c r="H1150" s="5">
        <v>500000</v>
      </c>
      <c r="I1150" s="4" t="s">
        <v>21</v>
      </c>
      <c r="J1150" s="5">
        <f t="shared" si="17"/>
        <v>-2105350</v>
      </c>
      <c r="K1150" s="4" t="s">
        <v>42</v>
      </c>
      <c r="L1150" s="6">
        <v>4.2107000000000001</v>
      </c>
      <c r="M1150" s="6">
        <v>0.23749999999999999</v>
      </c>
      <c r="N1150" s="6">
        <v>4.2119</v>
      </c>
      <c r="O1150" s="6">
        <v>1</v>
      </c>
      <c r="P1150" s="5">
        <v>600</v>
      </c>
      <c r="Q1150" s="4" t="s">
        <v>1393</v>
      </c>
    </row>
    <row r="1151" spans="1:17" x14ac:dyDescent="0.3">
      <c r="A1151" s="2" t="s">
        <v>1389</v>
      </c>
      <c r="B1151" s="3">
        <v>155355</v>
      </c>
      <c r="C1151" s="3">
        <v>214904</v>
      </c>
      <c r="D1151" s="4" t="s">
        <v>17</v>
      </c>
      <c r="E1151" s="4" t="s">
        <v>735</v>
      </c>
      <c r="F1151" s="4" t="s">
        <v>32</v>
      </c>
      <c r="G1151" s="4" t="s">
        <v>20</v>
      </c>
      <c r="H1151" s="5">
        <v>-1000</v>
      </c>
      <c r="I1151" s="4" t="s">
        <v>21</v>
      </c>
      <c r="J1151" s="5">
        <f t="shared" si="17"/>
        <v>4210.3999999999996</v>
      </c>
      <c r="K1151" s="4" t="s">
        <v>29</v>
      </c>
      <c r="L1151" s="6">
        <v>4.2103999999999999</v>
      </c>
      <c r="M1151" s="6">
        <v>0.23749999999999999</v>
      </c>
      <c r="N1151" s="6">
        <v>4.2104999999999997</v>
      </c>
      <c r="O1151" s="6">
        <v>1</v>
      </c>
      <c r="P1151" s="5">
        <v>-0.3</v>
      </c>
      <c r="Q1151" s="4" t="s">
        <v>1394</v>
      </c>
    </row>
    <row r="1152" spans="1:17" x14ac:dyDescent="0.3">
      <c r="A1152" s="2" t="s">
        <v>1389</v>
      </c>
      <c r="B1152" s="3">
        <v>155356</v>
      </c>
      <c r="C1152" s="3">
        <v>214905</v>
      </c>
      <c r="D1152" s="4" t="s">
        <v>17</v>
      </c>
      <c r="E1152" s="4" t="s">
        <v>1262</v>
      </c>
      <c r="F1152" s="4" t="s">
        <v>19</v>
      </c>
      <c r="G1152" s="4" t="s">
        <v>20</v>
      </c>
      <c r="H1152" s="5">
        <v>1000</v>
      </c>
      <c r="I1152" s="4" t="s">
        <v>21</v>
      </c>
      <c r="J1152" s="5">
        <f t="shared" si="17"/>
        <v>-4199.0999999999995</v>
      </c>
      <c r="K1152" s="4" t="s">
        <v>29</v>
      </c>
      <c r="L1152" s="6">
        <v>4.1990999999999996</v>
      </c>
      <c r="M1152" s="6">
        <v>0.23810000000000001</v>
      </c>
      <c r="N1152" s="6">
        <v>4.2104999999999997</v>
      </c>
      <c r="O1152" s="6">
        <v>1</v>
      </c>
      <c r="P1152" s="5">
        <v>11.400000000000546</v>
      </c>
      <c r="Q1152" s="4" t="s">
        <v>1390</v>
      </c>
    </row>
    <row r="1153" spans="1:17" x14ac:dyDescent="0.3">
      <c r="A1153" s="2" t="s">
        <v>1389</v>
      </c>
      <c r="B1153" s="3">
        <v>155357</v>
      </c>
      <c r="C1153" s="3">
        <v>214907</v>
      </c>
      <c r="D1153" s="4" t="s">
        <v>17</v>
      </c>
      <c r="E1153" s="4" t="s">
        <v>739</v>
      </c>
      <c r="F1153" s="4" t="s">
        <v>19</v>
      </c>
      <c r="G1153" s="4" t="s">
        <v>20</v>
      </c>
      <c r="H1153" s="5">
        <v>2000</v>
      </c>
      <c r="I1153" s="4" t="s">
        <v>21</v>
      </c>
      <c r="J1153" s="5">
        <f t="shared" si="17"/>
        <v>-8421.7999999999993</v>
      </c>
      <c r="K1153" s="4" t="s">
        <v>46</v>
      </c>
      <c r="L1153" s="6">
        <v>4.2108999999999996</v>
      </c>
      <c r="M1153" s="6">
        <v>0.23749999999999999</v>
      </c>
      <c r="N1153" s="6">
        <v>4.2110000000000003</v>
      </c>
      <c r="O1153" s="6">
        <v>1</v>
      </c>
      <c r="P1153" s="5">
        <v>0.2000000000007276</v>
      </c>
      <c r="Q1153" s="4" t="s">
        <v>1391</v>
      </c>
    </row>
    <row r="1154" spans="1:17" x14ac:dyDescent="0.3">
      <c r="A1154" s="2" t="s">
        <v>1389</v>
      </c>
      <c r="B1154" s="3">
        <v>155358</v>
      </c>
      <c r="C1154" s="3">
        <v>214909</v>
      </c>
      <c r="D1154" s="4" t="s">
        <v>17</v>
      </c>
      <c r="E1154" s="4" t="s">
        <v>735</v>
      </c>
      <c r="F1154" s="4" t="s">
        <v>32</v>
      </c>
      <c r="G1154" s="4" t="s">
        <v>20</v>
      </c>
      <c r="H1154" s="5">
        <v>-100000</v>
      </c>
      <c r="I1154" s="4" t="s">
        <v>21</v>
      </c>
      <c r="J1154" s="5">
        <f t="shared" si="17"/>
        <v>421040</v>
      </c>
      <c r="K1154" s="4" t="s">
        <v>46</v>
      </c>
      <c r="L1154" s="6">
        <v>4.2103999999999999</v>
      </c>
      <c r="M1154" s="6">
        <v>0.23749999999999999</v>
      </c>
      <c r="N1154" s="6">
        <v>4.2110000000000003</v>
      </c>
      <c r="O1154" s="6">
        <v>1</v>
      </c>
      <c r="P1154" s="5">
        <v>-98.89</v>
      </c>
      <c r="Q1154" s="4" t="s">
        <v>1394</v>
      </c>
    </row>
    <row r="1155" spans="1:17" x14ac:dyDescent="0.3">
      <c r="A1155" s="2" t="s">
        <v>1389</v>
      </c>
      <c r="B1155" s="3">
        <v>155359</v>
      </c>
      <c r="C1155" s="3">
        <v>214911</v>
      </c>
      <c r="D1155" s="4" t="s">
        <v>17</v>
      </c>
      <c r="E1155" s="4" t="s">
        <v>739</v>
      </c>
      <c r="F1155" s="4" t="s">
        <v>19</v>
      </c>
      <c r="G1155" s="4" t="s">
        <v>20</v>
      </c>
      <c r="H1155" s="5">
        <v>24000</v>
      </c>
      <c r="I1155" s="4" t="s">
        <v>21</v>
      </c>
      <c r="J1155" s="5">
        <f t="shared" si="17"/>
        <v>-101061.59999999999</v>
      </c>
      <c r="K1155" s="4" t="s">
        <v>46</v>
      </c>
      <c r="L1155" s="6">
        <v>4.2108999999999996</v>
      </c>
      <c r="M1155" s="6">
        <v>0.23749999999999999</v>
      </c>
      <c r="N1155" s="6">
        <v>4.2110000000000003</v>
      </c>
      <c r="O1155" s="6">
        <v>1</v>
      </c>
      <c r="P1155" s="5">
        <v>2.4000000000087311</v>
      </c>
      <c r="Q1155" s="4" t="s">
        <v>1391</v>
      </c>
    </row>
    <row r="1156" spans="1:17" x14ac:dyDescent="0.3">
      <c r="A1156" s="2" t="s">
        <v>1389</v>
      </c>
      <c r="B1156" s="3">
        <v>155360</v>
      </c>
      <c r="C1156" s="3">
        <v>214913</v>
      </c>
      <c r="D1156" s="4" t="s">
        <v>17</v>
      </c>
      <c r="E1156" s="4" t="s">
        <v>735</v>
      </c>
      <c r="F1156" s="4" t="s">
        <v>32</v>
      </c>
      <c r="G1156" s="4" t="s">
        <v>91</v>
      </c>
      <c r="H1156" s="5">
        <v>-3300</v>
      </c>
      <c r="I1156" s="4" t="s">
        <v>21</v>
      </c>
      <c r="J1156" s="5">
        <f t="shared" ref="J1156:J1219" si="18">-H1156*L1156</f>
        <v>16046.910000000002</v>
      </c>
      <c r="K1156" s="4" t="s">
        <v>46</v>
      </c>
      <c r="L1156" s="6">
        <v>4.8627000000000002</v>
      </c>
      <c r="M1156" s="6">
        <v>0.2056</v>
      </c>
      <c r="N1156" s="6">
        <v>4.8457999999999997</v>
      </c>
      <c r="O1156" s="6">
        <v>1</v>
      </c>
      <c r="P1156" s="5">
        <v>55.9</v>
      </c>
      <c r="Q1156" s="4" t="s">
        <v>1394</v>
      </c>
    </row>
    <row r="1157" spans="1:17" x14ac:dyDescent="0.3">
      <c r="A1157" s="2" t="s">
        <v>1389</v>
      </c>
      <c r="B1157" s="3">
        <v>155361</v>
      </c>
      <c r="C1157" s="3">
        <v>214923</v>
      </c>
      <c r="D1157" s="4" t="s">
        <v>17</v>
      </c>
      <c r="E1157" s="4" t="s">
        <v>1221</v>
      </c>
      <c r="F1157" s="4" t="s">
        <v>32</v>
      </c>
      <c r="G1157" s="4" t="s">
        <v>34</v>
      </c>
      <c r="H1157" s="5">
        <v>-100000</v>
      </c>
      <c r="I1157" s="4" t="s">
        <v>21</v>
      </c>
      <c r="J1157" s="5">
        <f t="shared" si="18"/>
        <v>359000</v>
      </c>
      <c r="K1157" s="4" t="s">
        <v>46</v>
      </c>
      <c r="L1157" s="6">
        <v>3.59</v>
      </c>
      <c r="M1157" s="6">
        <v>0.27860000000000001</v>
      </c>
      <c r="N1157" s="6">
        <v>3.6044999999999998</v>
      </c>
      <c r="O1157" s="6">
        <v>1</v>
      </c>
      <c r="P1157" s="5">
        <v>-1450</v>
      </c>
      <c r="Q1157" s="4" t="s">
        <v>1390</v>
      </c>
    </row>
    <row r="1158" spans="1:17" x14ac:dyDescent="0.3">
      <c r="A1158" s="2" t="s">
        <v>1389</v>
      </c>
      <c r="B1158" s="3">
        <v>155362</v>
      </c>
      <c r="C1158" s="3">
        <v>214926</v>
      </c>
      <c r="D1158" s="4" t="s">
        <v>17</v>
      </c>
      <c r="E1158" s="4" t="s">
        <v>896</v>
      </c>
      <c r="F1158" s="4" t="s">
        <v>19</v>
      </c>
      <c r="G1158" s="4" t="s">
        <v>20</v>
      </c>
      <c r="H1158" s="5">
        <v>21400.45</v>
      </c>
      <c r="I1158" s="4" t="s">
        <v>34</v>
      </c>
      <c r="J1158" s="5">
        <f t="shared" si="18"/>
        <v>-24653.3184</v>
      </c>
      <c r="K1158" s="4" t="s">
        <v>46</v>
      </c>
      <c r="L1158" s="6">
        <v>1.1519999999999999</v>
      </c>
      <c r="M1158" s="6">
        <v>0.86809999999999998</v>
      </c>
      <c r="N1158" s="6">
        <v>4.2110000000000003</v>
      </c>
      <c r="O1158" s="6">
        <v>3.6044999999999998</v>
      </c>
      <c r="P1158" s="5">
        <v>1254.4087772000203</v>
      </c>
      <c r="Q1158" s="4" t="s">
        <v>1390</v>
      </c>
    </row>
    <row r="1159" spans="1:17" x14ac:dyDescent="0.3">
      <c r="A1159" s="2" t="s">
        <v>1389</v>
      </c>
      <c r="B1159" s="3">
        <v>155363</v>
      </c>
      <c r="C1159" s="3">
        <v>889725</v>
      </c>
      <c r="D1159" s="4" t="s">
        <v>81</v>
      </c>
      <c r="E1159" s="4" t="s">
        <v>732</v>
      </c>
      <c r="F1159" s="4" t="s">
        <v>87</v>
      </c>
      <c r="G1159" s="4" t="s">
        <v>20</v>
      </c>
      <c r="H1159" s="5">
        <v>1000000</v>
      </c>
      <c r="I1159" s="4" t="s">
        <v>21</v>
      </c>
      <c r="J1159" s="5">
        <f t="shared" si="18"/>
        <v>-4210200</v>
      </c>
      <c r="K1159" s="4" t="s">
        <v>42</v>
      </c>
      <c r="L1159" s="6">
        <v>4.2102000000000004</v>
      </c>
      <c r="M1159" s="6">
        <v>0.23749999999999999</v>
      </c>
      <c r="N1159" s="6">
        <v>4.2119</v>
      </c>
      <c r="O1159" s="6">
        <v>1</v>
      </c>
      <c r="P1159" s="5">
        <v>1700</v>
      </c>
      <c r="Q1159" s="4" t="s">
        <v>1394</v>
      </c>
    </row>
    <row r="1160" spans="1:17" x14ac:dyDescent="0.3">
      <c r="A1160" s="2" t="s">
        <v>1389</v>
      </c>
      <c r="B1160" s="3">
        <v>155364</v>
      </c>
      <c r="C1160" s="3">
        <v>214934</v>
      </c>
      <c r="D1160" s="4" t="s">
        <v>17</v>
      </c>
      <c r="E1160" s="4" t="s">
        <v>793</v>
      </c>
      <c r="F1160" s="4" t="s">
        <v>19</v>
      </c>
      <c r="G1160" s="4" t="s">
        <v>20</v>
      </c>
      <c r="H1160" s="5">
        <v>70000</v>
      </c>
      <c r="I1160" s="4" t="s">
        <v>21</v>
      </c>
      <c r="J1160" s="5">
        <f t="shared" si="18"/>
        <v>-291270</v>
      </c>
      <c r="K1160" s="4" t="s">
        <v>46</v>
      </c>
      <c r="L1160" s="6">
        <v>4.1609999999999996</v>
      </c>
      <c r="M1160" s="6">
        <v>0.24030000000000001</v>
      </c>
      <c r="N1160" s="6">
        <v>4.2110000000000003</v>
      </c>
      <c r="O1160" s="6">
        <v>1</v>
      </c>
      <c r="P1160" s="5">
        <v>3500</v>
      </c>
      <c r="Q1160" s="4" t="s">
        <v>1390</v>
      </c>
    </row>
    <row r="1161" spans="1:17" x14ac:dyDescent="0.3">
      <c r="A1161" s="2" t="s">
        <v>1389</v>
      </c>
      <c r="B1161" s="3">
        <v>155365</v>
      </c>
      <c r="C1161" s="3">
        <v>214936</v>
      </c>
      <c r="D1161" s="4" t="s">
        <v>17</v>
      </c>
      <c r="E1161" s="4" t="s">
        <v>1221</v>
      </c>
      <c r="F1161" s="4" t="s">
        <v>19</v>
      </c>
      <c r="G1161" s="4" t="s">
        <v>34</v>
      </c>
      <c r="H1161" s="5">
        <v>100000</v>
      </c>
      <c r="I1161" s="4" t="s">
        <v>21</v>
      </c>
      <c r="J1161" s="5">
        <f t="shared" si="18"/>
        <v>-360200</v>
      </c>
      <c r="K1161" s="4" t="s">
        <v>46</v>
      </c>
      <c r="L1161" s="6">
        <v>3.6019999999999999</v>
      </c>
      <c r="M1161" s="6">
        <v>0.27760000000000001</v>
      </c>
      <c r="N1161" s="6">
        <v>3.6044999999999998</v>
      </c>
      <c r="O1161" s="6">
        <v>1</v>
      </c>
      <c r="P1161" s="5">
        <v>250</v>
      </c>
      <c r="Q1161" s="4" t="s">
        <v>1390</v>
      </c>
    </row>
    <row r="1162" spans="1:17" x14ac:dyDescent="0.3">
      <c r="A1162" s="2" t="s">
        <v>1389</v>
      </c>
      <c r="B1162" s="3">
        <v>155366</v>
      </c>
      <c r="C1162" s="3">
        <v>214938</v>
      </c>
      <c r="D1162" s="4" t="s">
        <v>17</v>
      </c>
      <c r="E1162" s="4" t="s">
        <v>1111</v>
      </c>
      <c r="F1162" s="4" t="s">
        <v>19</v>
      </c>
      <c r="G1162" s="4" t="s">
        <v>20</v>
      </c>
      <c r="H1162" s="5">
        <v>100000</v>
      </c>
      <c r="I1162" s="4" t="s">
        <v>21</v>
      </c>
      <c r="J1162" s="5">
        <f t="shared" si="18"/>
        <v>-415500</v>
      </c>
      <c r="K1162" s="4" t="s">
        <v>46</v>
      </c>
      <c r="L1162" s="6">
        <v>4.1550000000000002</v>
      </c>
      <c r="M1162" s="6">
        <v>0.2407</v>
      </c>
      <c r="N1162" s="6">
        <v>4.2110000000000003</v>
      </c>
      <c r="O1162" s="6">
        <v>1</v>
      </c>
      <c r="P1162" s="5">
        <v>5600.0000000000582</v>
      </c>
      <c r="Q1162" s="4" t="s">
        <v>1390</v>
      </c>
    </row>
    <row r="1163" spans="1:17" x14ac:dyDescent="0.3">
      <c r="A1163" s="2" t="s">
        <v>1389</v>
      </c>
      <c r="B1163" s="3">
        <v>155367</v>
      </c>
      <c r="C1163" s="3">
        <v>214940</v>
      </c>
      <c r="D1163" s="4" t="s">
        <v>17</v>
      </c>
      <c r="E1163" s="4" t="s">
        <v>867</v>
      </c>
      <c r="F1163" s="4" t="s">
        <v>32</v>
      </c>
      <c r="G1163" s="4" t="s">
        <v>20</v>
      </c>
      <c r="H1163" s="5">
        <v>-500000</v>
      </c>
      <c r="I1163" s="4" t="s">
        <v>21</v>
      </c>
      <c r="J1163" s="5">
        <f t="shared" si="18"/>
        <v>2106750</v>
      </c>
      <c r="K1163" s="4" t="s">
        <v>46</v>
      </c>
      <c r="L1163" s="6">
        <v>4.2134999999999998</v>
      </c>
      <c r="M1163" s="6">
        <v>0.23730000000000001</v>
      </c>
      <c r="N1163" s="6">
        <v>4.2110000000000003</v>
      </c>
      <c r="O1163" s="6">
        <v>1</v>
      </c>
      <c r="P1163" s="5">
        <v>1100</v>
      </c>
      <c r="Q1163" s="4" t="s">
        <v>1390</v>
      </c>
    </row>
    <row r="1164" spans="1:17" x14ac:dyDescent="0.3">
      <c r="A1164" s="2" t="s">
        <v>1389</v>
      </c>
      <c r="B1164" s="3">
        <v>155368</v>
      </c>
      <c r="C1164" s="3">
        <v>889750</v>
      </c>
      <c r="D1164" s="4" t="s">
        <v>81</v>
      </c>
      <c r="E1164" s="4" t="s">
        <v>730</v>
      </c>
      <c r="F1164" s="4" t="s">
        <v>87</v>
      </c>
      <c r="G1164" s="4" t="s">
        <v>20</v>
      </c>
      <c r="H1164" s="5">
        <v>500000</v>
      </c>
      <c r="I1164" s="4" t="s">
        <v>21</v>
      </c>
      <c r="J1164" s="5">
        <f t="shared" si="18"/>
        <v>-2105500</v>
      </c>
      <c r="K1164" s="4" t="s">
        <v>42</v>
      </c>
      <c r="L1164" s="6">
        <v>4.2110000000000003</v>
      </c>
      <c r="M1164" s="6">
        <v>0.23749999999999999</v>
      </c>
      <c r="N1164" s="6">
        <v>4.2119</v>
      </c>
      <c r="O1164" s="6">
        <v>1</v>
      </c>
      <c r="P1164" s="5">
        <v>475</v>
      </c>
      <c r="Q1164" s="4" t="s">
        <v>1396</v>
      </c>
    </row>
    <row r="1165" spans="1:17" x14ac:dyDescent="0.3">
      <c r="A1165" s="2" t="s">
        <v>1389</v>
      </c>
      <c r="B1165" s="3">
        <v>155369</v>
      </c>
      <c r="C1165" s="3">
        <v>214941</v>
      </c>
      <c r="D1165" s="4" t="s">
        <v>17</v>
      </c>
      <c r="E1165" s="4" t="s">
        <v>867</v>
      </c>
      <c r="F1165" s="4" t="s">
        <v>32</v>
      </c>
      <c r="G1165" s="4" t="s">
        <v>20</v>
      </c>
      <c r="H1165" s="5">
        <v>-500000</v>
      </c>
      <c r="I1165" s="4" t="s">
        <v>21</v>
      </c>
      <c r="J1165" s="5">
        <f t="shared" si="18"/>
        <v>2106750</v>
      </c>
      <c r="K1165" s="4" t="s">
        <v>46</v>
      </c>
      <c r="L1165" s="6">
        <v>4.2134999999999998</v>
      </c>
      <c r="M1165" s="6">
        <v>0.23730000000000001</v>
      </c>
      <c r="N1165" s="6">
        <v>4.2110000000000003</v>
      </c>
      <c r="O1165" s="6">
        <v>1</v>
      </c>
      <c r="P1165" s="5">
        <v>1100</v>
      </c>
      <c r="Q1165" s="4" t="s">
        <v>1390</v>
      </c>
    </row>
    <row r="1166" spans="1:17" x14ac:dyDescent="0.3">
      <c r="A1166" s="2" t="s">
        <v>1389</v>
      </c>
      <c r="B1166" s="3">
        <v>155370</v>
      </c>
      <c r="C1166" s="3">
        <v>889763</v>
      </c>
      <c r="D1166" s="4" t="s">
        <v>81</v>
      </c>
      <c r="E1166" s="4" t="s">
        <v>738</v>
      </c>
      <c r="F1166" s="4" t="s">
        <v>87</v>
      </c>
      <c r="G1166" s="4" t="s">
        <v>20</v>
      </c>
      <c r="H1166" s="5">
        <v>1000000</v>
      </c>
      <c r="I1166" s="4" t="s">
        <v>21</v>
      </c>
      <c r="J1166" s="5">
        <f t="shared" si="18"/>
        <v>-4211000</v>
      </c>
      <c r="K1166" s="4" t="s">
        <v>42</v>
      </c>
      <c r="L1166" s="6">
        <v>4.2110000000000003</v>
      </c>
      <c r="M1166" s="6">
        <v>0.23749999999999999</v>
      </c>
      <c r="N1166" s="6">
        <v>4.2119</v>
      </c>
      <c r="O1166" s="6">
        <v>1</v>
      </c>
      <c r="P1166" s="5">
        <v>900</v>
      </c>
      <c r="Q1166" s="4" t="s">
        <v>1390</v>
      </c>
    </row>
    <row r="1167" spans="1:17" x14ac:dyDescent="0.3">
      <c r="A1167" s="2" t="s">
        <v>1389</v>
      </c>
      <c r="B1167" s="3">
        <v>155371</v>
      </c>
      <c r="C1167" s="3">
        <v>214945</v>
      </c>
      <c r="D1167" s="4" t="s">
        <v>17</v>
      </c>
      <c r="E1167" s="4" t="s">
        <v>867</v>
      </c>
      <c r="F1167" s="4" t="s">
        <v>32</v>
      </c>
      <c r="G1167" s="4" t="s">
        <v>20</v>
      </c>
      <c r="H1167" s="5">
        <v>-500000</v>
      </c>
      <c r="I1167" s="4" t="s">
        <v>21</v>
      </c>
      <c r="J1167" s="5">
        <f t="shared" si="18"/>
        <v>2106900</v>
      </c>
      <c r="K1167" s="4" t="s">
        <v>46</v>
      </c>
      <c r="L1167" s="6">
        <v>4.2138</v>
      </c>
      <c r="M1167" s="6">
        <v>0.23730000000000001</v>
      </c>
      <c r="N1167" s="6">
        <v>4.2110000000000003</v>
      </c>
      <c r="O1167" s="6">
        <v>1</v>
      </c>
      <c r="P1167" s="5">
        <v>1250</v>
      </c>
      <c r="Q1167" s="4" t="s">
        <v>1390</v>
      </c>
    </row>
    <row r="1168" spans="1:17" x14ac:dyDescent="0.3">
      <c r="A1168" s="2" t="s">
        <v>1389</v>
      </c>
      <c r="B1168" s="3">
        <v>155372</v>
      </c>
      <c r="C1168" s="3">
        <v>214947</v>
      </c>
      <c r="D1168" s="4" t="s">
        <v>17</v>
      </c>
      <c r="E1168" s="4" t="s">
        <v>867</v>
      </c>
      <c r="F1168" s="4" t="s">
        <v>32</v>
      </c>
      <c r="G1168" s="4" t="s">
        <v>20</v>
      </c>
      <c r="H1168" s="5">
        <v>-500000</v>
      </c>
      <c r="I1168" s="4" t="s">
        <v>21</v>
      </c>
      <c r="J1168" s="5">
        <f t="shared" si="18"/>
        <v>2107200</v>
      </c>
      <c r="K1168" s="4" t="s">
        <v>46</v>
      </c>
      <c r="L1168" s="6">
        <v>4.2144000000000004</v>
      </c>
      <c r="M1168" s="6">
        <v>0.23730000000000001</v>
      </c>
      <c r="N1168" s="6">
        <v>4.2110000000000003</v>
      </c>
      <c r="O1168" s="6">
        <v>1</v>
      </c>
      <c r="P1168" s="5">
        <v>1550</v>
      </c>
      <c r="Q1168" s="4" t="s">
        <v>1390</v>
      </c>
    </row>
    <row r="1169" spans="1:17" x14ac:dyDescent="0.3">
      <c r="A1169" s="2" t="s">
        <v>1389</v>
      </c>
      <c r="B1169" s="3">
        <v>155373</v>
      </c>
      <c r="C1169" s="3">
        <v>889773</v>
      </c>
      <c r="D1169" s="4" t="s">
        <v>81</v>
      </c>
      <c r="E1169" s="4" t="s">
        <v>730</v>
      </c>
      <c r="F1169" s="4" t="s">
        <v>87</v>
      </c>
      <c r="G1169" s="4" t="s">
        <v>20</v>
      </c>
      <c r="H1169" s="5">
        <v>500000</v>
      </c>
      <c r="I1169" s="4" t="s">
        <v>21</v>
      </c>
      <c r="J1169" s="5">
        <f t="shared" si="18"/>
        <v>-2105800</v>
      </c>
      <c r="K1169" s="4" t="s">
        <v>42</v>
      </c>
      <c r="L1169" s="6">
        <v>4.2115999999999998</v>
      </c>
      <c r="M1169" s="6">
        <v>0.2374</v>
      </c>
      <c r="N1169" s="6">
        <v>4.2119</v>
      </c>
      <c r="O1169" s="6">
        <v>1</v>
      </c>
      <c r="P1169" s="5">
        <v>165</v>
      </c>
      <c r="Q1169" s="4" t="s">
        <v>1396</v>
      </c>
    </row>
    <row r="1170" spans="1:17" x14ac:dyDescent="0.3">
      <c r="A1170" s="2" t="s">
        <v>1389</v>
      </c>
      <c r="B1170" s="3">
        <v>155374</v>
      </c>
      <c r="C1170" s="3">
        <v>214948</v>
      </c>
      <c r="D1170" s="4" t="s">
        <v>17</v>
      </c>
      <c r="E1170" s="4" t="s">
        <v>867</v>
      </c>
      <c r="F1170" s="4" t="s">
        <v>32</v>
      </c>
      <c r="G1170" s="4" t="s">
        <v>20</v>
      </c>
      <c r="H1170" s="5">
        <v>-500000</v>
      </c>
      <c r="I1170" s="4" t="s">
        <v>21</v>
      </c>
      <c r="J1170" s="5">
        <f t="shared" si="18"/>
        <v>2107200</v>
      </c>
      <c r="K1170" s="4" t="s">
        <v>46</v>
      </c>
      <c r="L1170" s="6">
        <v>4.2144000000000004</v>
      </c>
      <c r="M1170" s="6">
        <v>0.23730000000000001</v>
      </c>
      <c r="N1170" s="6">
        <v>4.2110000000000003</v>
      </c>
      <c r="O1170" s="6">
        <v>1</v>
      </c>
      <c r="P1170" s="5">
        <v>1550</v>
      </c>
      <c r="Q1170" s="4" t="s">
        <v>1390</v>
      </c>
    </row>
    <row r="1171" spans="1:17" x14ac:dyDescent="0.3">
      <c r="A1171" s="2" t="s">
        <v>1389</v>
      </c>
      <c r="B1171" s="3">
        <v>155375</v>
      </c>
      <c r="C1171" s="3">
        <v>889777</v>
      </c>
      <c r="D1171" s="4" t="s">
        <v>81</v>
      </c>
      <c r="E1171" s="4" t="s">
        <v>735</v>
      </c>
      <c r="F1171" s="4" t="s">
        <v>87</v>
      </c>
      <c r="G1171" s="4" t="s">
        <v>20</v>
      </c>
      <c r="H1171" s="5">
        <v>500000</v>
      </c>
      <c r="I1171" s="4" t="s">
        <v>21</v>
      </c>
      <c r="J1171" s="5">
        <f t="shared" si="18"/>
        <v>-2105900</v>
      </c>
      <c r="K1171" s="4" t="s">
        <v>42</v>
      </c>
      <c r="L1171" s="6">
        <v>4.2118000000000002</v>
      </c>
      <c r="M1171" s="6">
        <v>0.2374</v>
      </c>
      <c r="N1171" s="6">
        <v>4.2119</v>
      </c>
      <c r="O1171" s="6">
        <v>1</v>
      </c>
      <c r="P1171" s="5">
        <v>50</v>
      </c>
      <c r="Q1171" s="4" t="s">
        <v>1394</v>
      </c>
    </row>
    <row r="1172" spans="1:17" x14ac:dyDescent="0.3">
      <c r="A1172" s="2" t="s">
        <v>1389</v>
      </c>
      <c r="B1172" s="3">
        <v>155376</v>
      </c>
      <c r="C1172" s="3">
        <v>214949</v>
      </c>
      <c r="D1172" s="4" t="s">
        <v>17</v>
      </c>
      <c r="E1172" s="4" t="s">
        <v>867</v>
      </c>
      <c r="F1172" s="4" t="s">
        <v>32</v>
      </c>
      <c r="G1172" s="4" t="s">
        <v>20</v>
      </c>
      <c r="H1172" s="5">
        <v>-500000</v>
      </c>
      <c r="I1172" s="4" t="s">
        <v>21</v>
      </c>
      <c r="J1172" s="5">
        <f t="shared" si="18"/>
        <v>2107200</v>
      </c>
      <c r="K1172" s="4" t="s">
        <v>46</v>
      </c>
      <c r="L1172" s="6">
        <v>4.2144000000000004</v>
      </c>
      <c r="M1172" s="6">
        <v>0.23730000000000001</v>
      </c>
      <c r="N1172" s="6">
        <v>4.2110000000000003</v>
      </c>
      <c r="O1172" s="6">
        <v>1</v>
      </c>
      <c r="P1172" s="5">
        <v>1550</v>
      </c>
      <c r="Q1172" s="4" t="s">
        <v>1390</v>
      </c>
    </row>
    <row r="1173" spans="1:17" x14ac:dyDescent="0.3">
      <c r="A1173" s="2" t="s">
        <v>1389</v>
      </c>
      <c r="B1173" s="3">
        <v>155377</v>
      </c>
      <c r="C1173" s="3">
        <v>889781</v>
      </c>
      <c r="D1173" s="4" t="s">
        <v>81</v>
      </c>
      <c r="E1173" s="4" t="s">
        <v>730</v>
      </c>
      <c r="F1173" s="4" t="s">
        <v>87</v>
      </c>
      <c r="G1173" s="4" t="s">
        <v>20</v>
      </c>
      <c r="H1173" s="5">
        <v>500000</v>
      </c>
      <c r="I1173" s="4" t="s">
        <v>21</v>
      </c>
      <c r="J1173" s="5">
        <f t="shared" si="18"/>
        <v>-2105850</v>
      </c>
      <c r="K1173" s="4" t="s">
        <v>42</v>
      </c>
      <c r="L1173" s="6">
        <v>4.2117000000000004</v>
      </c>
      <c r="M1173" s="6">
        <v>0.2374</v>
      </c>
      <c r="N1173" s="6">
        <v>4.2119</v>
      </c>
      <c r="O1173" s="6">
        <v>1</v>
      </c>
      <c r="P1173" s="5">
        <v>85</v>
      </c>
      <c r="Q1173" s="4" t="s">
        <v>1396</v>
      </c>
    </row>
    <row r="1174" spans="1:17" x14ac:dyDescent="0.3">
      <c r="A1174" s="2" t="s">
        <v>1389</v>
      </c>
      <c r="B1174" s="3">
        <v>155378</v>
      </c>
      <c r="C1174" s="3">
        <v>214950</v>
      </c>
      <c r="D1174" s="4" t="s">
        <v>17</v>
      </c>
      <c r="E1174" s="4" t="s">
        <v>867</v>
      </c>
      <c r="F1174" s="4" t="s">
        <v>32</v>
      </c>
      <c r="G1174" s="4" t="s">
        <v>20</v>
      </c>
      <c r="H1174" s="5">
        <v>-500000</v>
      </c>
      <c r="I1174" s="4" t="s">
        <v>21</v>
      </c>
      <c r="J1174" s="5">
        <f t="shared" si="18"/>
        <v>2107300</v>
      </c>
      <c r="K1174" s="4" t="s">
        <v>46</v>
      </c>
      <c r="L1174" s="6">
        <v>4.2145999999999999</v>
      </c>
      <c r="M1174" s="6">
        <v>0.23730000000000001</v>
      </c>
      <c r="N1174" s="6">
        <v>4.2110000000000003</v>
      </c>
      <c r="O1174" s="6">
        <v>1</v>
      </c>
      <c r="P1174" s="5">
        <v>1650</v>
      </c>
      <c r="Q1174" s="4" t="s">
        <v>1390</v>
      </c>
    </row>
    <row r="1175" spans="1:17" x14ac:dyDescent="0.3">
      <c r="A1175" s="2" t="s">
        <v>1389</v>
      </c>
      <c r="B1175" s="3">
        <v>155379</v>
      </c>
      <c r="C1175" s="3">
        <v>889785</v>
      </c>
      <c r="D1175" s="4" t="s">
        <v>81</v>
      </c>
      <c r="E1175" s="4" t="s">
        <v>732</v>
      </c>
      <c r="F1175" s="4" t="s">
        <v>87</v>
      </c>
      <c r="G1175" s="4" t="s">
        <v>20</v>
      </c>
      <c r="H1175" s="5">
        <v>500000</v>
      </c>
      <c r="I1175" s="4" t="s">
        <v>21</v>
      </c>
      <c r="J1175" s="5">
        <f t="shared" si="18"/>
        <v>-2105900</v>
      </c>
      <c r="K1175" s="4" t="s">
        <v>42</v>
      </c>
      <c r="L1175" s="6">
        <v>4.2118000000000002</v>
      </c>
      <c r="M1175" s="6">
        <v>0.2374</v>
      </c>
      <c r="N1175" s="6">
        <v>4.2119</v>
      </c>
      <c r="O1175" s="6">
        <v>1</v>
      </c>
      <c r="P1175" s="5">
        <v>40</v>
      </c>
      <c r="Q1175" s="4" t="s">
        <v>1394</v>
      </c>
    </row>
    <row r="1176" spans="1:17" x14ac:dyDescent="0.3">
      <c r="A1176" s="2" t="s">
        <v>1389</v>
      </c>
      <c r="B1176" s="3">
        <v>155380</v>
      </c>
      <c r="C1176" s="3">
        <v>214951</v>
      </c>
      <c r="D1176" s="4" t="s">
        <v>17</v>
      </c>
      <c r="E1176" s="4" t="s">
        <v>984</v>
      </c>
      <c r="F1176" s="4" t="s">
        <v>32</v>
      </c>
      <c r="G1176" s="4" t="s">
        <v>20</v>
      </c>
      <c r="H1176" s="5">
        <v>-720000</v>
      </c>
      <c r="I1176" s="4" t="s">
        <v>21</v>
      </c>
      <c r="J1176" s="5">
        <f t="shared" si="18"/>
        <v>3033360</v>
      </c>
      <c r="K1176" s="4" t="s">
        <v>46</v>
      </c>
      <c r="L1176" s="6">
        <v>4.2130000000000001</v>
      </c>
      <c r="M1176" s="6">
        <v>0.2374</v>
      </c>
      <c r="N1176" s="6">
        <v>4.2110000000000003</v>
      </c>
      <c r="O1176" s="6">
        <v>1</v>
      </c>
      <c r="P1176" s="5">
        <v>1440</v>
      </c>
      <c r="Q1176" s="4" t="s">
        <v>1390</v>
      </c>
    </row>
    <row r="1177" spans="1:17" x14ac:dyDescent="0.3">
      <c r="A1177" s="2" t="s">
        <v>1389</v>
      </c>
      <c r="B1177" s="3">
        <v>155381</v>
      </c>
      <c r="C1177" s="3">
        <v>214952</v>
      </c>
      <c r="D1177" s="4" t="s">
        <v>17</v>
      </c>
      <c r="E1177" s="4" t="s">
        <v>867</v>
      </c>
      <c r="F1177" s="4" t="s">
        <v>32</v>
      </c>
      <c r="G1177" s="4" t="s">
        <v>20</v>
      </c>
      <c r="H1177" s="5">
        <v>-500000</v>
      </c>
      <c r="I1177" s="4" t="s">
        <v>21</v>
      </c>
      <c r="J1177" s="5">
        <f t="shared" si="18"/>
        <v>2107300</v>
      </c>
      <c r="K1177" s="4" t="s">
        <v>46</v>
      </c>
      <c r="L1177" s="6">
        <v>4.2145999999999999</v>
      </c>
      <c r="M1177" s="6">
        <v>0.23730000000000001</v>
      </c>
      <c r="N1177" s="6">
        <v>4.2110000000000003</v>
      </c>
      <c r="O1177" s="6">
        <v>1</v>
      </c>
      <c r="P1177" s="5">
        <v>1650</v>
      </c>
      <c r="Q1177" s="4" t="s">
        <v>1390</v>
      </c>
    </row>
    <row r="1178" spans="1:17" x14ac:dyDescent="0.3">
      <c r="A1178" s="2" t="s">
        <v>1389</v>
      </c>
      <c r="B1178" s="3">
        <v>155382</v>
      </c>
      <c r="C1178" s="3">
        <v>889792</v>
      </c>
      <c r="D1178" s="4" t="s">
        <v>81</v>
      </c>
      <c r="E1178" s="4" t="s">
        <v>730</v>
      </c>
      <c r="F1178" s="4" t="s">
        <v>87</v>
      </c>
      <c r="G1178" s="4" t="s">
        <v>20</v>
      </c>
      <c r="H1178" s="5">
        <v>500000</v>
      </c>
      <c r="I1178" s="4" t="s">
        <v>21</v>
      </c>
      <c r="J1178" s="5">
        <f t="shared" si="18"/>
        <v>-2105850</v>
      </c>
      <c r="K1178" s="4" t="s">
        <v>42</v>
      </c>
      <c r="L1178" s="6">
        <v>4.2117000000000004</v>
      </c>
      <c r="M1178" s="6">
        <v>0.2374</v>
      </c>
      <c r="N1178" s="6">
        <v>4.2119</v>
      </c>
      <c r="O1178" s="6">
        <v>1</v>
      </c>
      <c r="P1178" s="5">
        <v>85</v>
      </c>
      <c r="Q1178" s="4" t="s">
        <v>1396</v>
      </c>
    </row>
    <row r="1179" spans="1:17" x14ac:dyDescent="0.3">
      <c r="A1179" s="2" t="s">
        <v>1389</v>
      </c>
      <c r="B1179" s="3">
        <v>155383</v>
      </c>
      <c r="C1179" s="3">
        <v>214953</v>
      </c>
      <c r="D1179" s="4" t="s">
        <v>17</v>
      </c>
      <c r="E1179" s="4" t="s">
        <v>867</v>
      </c>
      <c r="F1179" s="4" t="s">
        <v>32</v>
      </c>
      <c r="G1179" s="4" t="s">
        <v>20</v>
      </c>
      <c r="H1179" s="5">
        <v>-500000</v>
      </c>
      <c r="I1179" s="4" t="s">
        <v>21</v>
      </c>
      <c r="J1179" s="5">
        <f t="shared" si="18"/>
        <v>2107200</v>
      </c>
      <c r="K1179" s="4" t="s">
        <v>46</v>
      </c>
      <c r="L1179" s="6">
        <v>4.2144000000000004</v>
      </c>
      <c r="M1179" s="6">
        <v>0.23730000000000001</v>
      </c>
      <c r="N1179" s="6">
        <v>4.2110000000000003</v>
      </c>
      <c r="O1179" s="6">
        <v>1</v>
      </c>
      <c r="P1179" s="5">
        <v>1550</v>
      </c>
      <c r="Q1179" s="4" t="s">
        <v>1390</v>
      </c>
    </row>
    <row r="1180" spans="1:17" x14ac:dyDescent="0.3">
      <c r="A1180" s="2" t="s">
        <v>1389</v>
      </c>
      <c r="B1180" s="3">
        <v>155384</v>
      </c>
      <c r="C1180" s="3">
        <v>889796</v>
      </c>
      <c r="D1180" s="4" t="s">
        <v>81</v>
      </c>
      <c r="E1180" s="4" t="s">
        <v>734</v>
      </c>
      <c r="F1180" s="4" t="s">
        <v>87</v>
      </c>
      <c r="G1180" s="4" t="s">
        <v>20</v>
      </c>
      <c r="H1180" s="5">
        <v>500000</v>
      </c>
      <c r="I1180" s="4" t="s">
        <v>21</v>
      </c>
      <c r="J1180" s="5">
        <f t="shared" si="18"/>
        <v>-2105850</v>
      </c>
      <c r="K1180" s="4" t="s">
        <v>42</v>
      </c>
      <c r="L1180" s="6">
        <v>4.2117000000000004</v>
      </c>
      <c r="M1180" s="6">
        <v>0.2374</v>
      </c>
      <c r="N1180" s="6">
        <v>4.2119</v>
      </c>
      <c r="O1180" s="6">
        <v>1</v>
      </c>
      <c r="P1180" s="5">
        <v>100</v>
      </c>
      <c r="Q1180" s="4" t="s">
        <v>1393</v>
      </c>
    </row>
    <row r="1181" spans="1:17" x14ac:dyDescent="0.3">
      <c r="A1181" s="2" t="s">
        <v>1389</v>
      </c>
      <c r="B1181" s="3">
        <v>155385</v>
      </c>
      <c r="C1181" s="3">
        <v>889797</v>
      </c>
      <c r="D1181" s="4" t="s">
        <v>81</v>
      </c>
      <c r="E1181" s="4" t="s">
        <v>734</v>
      </c>
      <c r="F1181" s="4" t="s">
        <v>87</v>
      </c>
      <c r="G1181" s="4" t="s">
        <v>20</v>
      </c>
      <c r="H1181" s="5">
        <v>500000</v>
      </c>
      <c r="I1181" s="4" t="s">
        <v>21</v>
      </c>
      <c r="J1181" s="5">
        <f t="shared" si="18"/>
        <v>-2105850</v>
      </c>
      <c r="K1181" s="4" t="s">
        <v>42</v>
      </c>
      <c r="L1181" s="6">
        <v>4.2117000000000004</v>
      </c>
      <c r="M1181" s="6">
        <v>0.2374</v>
      </c>
      <c r="N1181" s="6">
        <v>4.2119</v>
      </c>
      <c r="O1181" s="6">
        <v>1</v>
      </c>
      <c r="P1181" s="5">
        <v>100</v>
      </c>
      <c r="Q1181" s="4" t="s">
        <v>1393</v>
      </c>
    </row>
    <row r="1182" spans="1:17" x14ac:dyDescent="0.3">
      <c r="A1182" s="2" t="s">
        <v>1389</v>
      </c>
      <c r="B1182" s="3">
        <v>155386</v>
      </c>
      <c r="C1182" s="3">
        <v>214954</v>
      </c>
      <c r="D1182" s="4" t="s">
        <v>17</v>
      </c>
      <c r="E1182" s="4" t="s">
        <v>867</v>
      </c>
      <c r="F1182" s="4" t="s">
        <v>32</v>
      </c>
      <c r="G1182" s="4" t="s">
        <v>20</v>
      </c>
      <c r="H1182" s="5">
        <v>-500000</v>
      </c>
      <c r="I1182" s="4" t="s">
        <v>21</v>
      </c>
      <c r="J1182" s="5">
        <f t="shared" si="18"/>
        <v>2107150</v>
      </c>
      <c r="K1182" s="4" t="s">
        <v>46</v>
      </c>
      <c r="L1182" s="6">
        <v>4.2142999999999997</v>
      </c>
      <c r="M1182" s="6">
        <v>0.23730000000000001</v>
      </c>
      <c r="N1182" s="6">
        <v>4.2110000000000003</v>
      </c>
      <c r="O1182" s="6">
        <v>1</v>
      </c>
      <c r="P1182" s="5">
        <v>1500</v>
      </c>
      <c r="Q1182" s="4" t="s">
        <v>1390</v>
      </c>
    </row>
    <row r="1183" spans="1:17" x14ac:dyDescent="0.3">
      <c r="A1183" s="2" t="s">
        <v>1389</v>
      </c>
      <c r="B1183" s="3">
        <v>155387</v>
      </c>
      <c r="C1183" s="3">
        <v>889801</v>
      </c>
      <c r="D1183" s="4" t="s">
        <v>81</v>
      </c>
      <c r="E1183" s="4" t="s">
        <v>733</v>
      </c>
      <c r="F1183" s="4" t="s">
        <v>87</v>
      </c>
      <c r="G1183" s="4" t="s">
        <v>20</v>
      </c>
      <c r="H1183" s="5">
        <v>500000</v>
      </c>
      <c r="I1183" s="4" t="s">
        <v>21</v>
      </c>
      <c r="J1183" s="5">
        <f t="shared" si="18"/>
        <v>-2105700</v>
      </c>
      <c r="K1183" s="4" t="s">
        <v>42</v>
      </c>
      <c r="L1183" s="6">
        <v>4.2114000000000003</v>
      </c>
      <c r="M1183" s="6">
        <v>0.2374</v>
      </c>
      <c r="N1183" s="6">
        <v>4.2119</v>
      </c>
      <c r="O1183" s="6">
        <v>1</v>
      </c>
      <c r="P1183" s="5">
        <v>235</v>
      </c>
      <c r="Q1183" s="4" t="s">
        <v>1391</v>
      </c>
    </row>
    <row r="1184" spans="1:17" x14ac:dyDescent="0.3">
      <c r="A1184" s="2" t="s">
        <v>1389</v>
      </c>
      <c r="B1184" s="3">
        <v>155388</v>
      </c>
      <c r="C1184" s="3">
        <v>214955</v>
      </c>
      <c r="D1184" s="4" t="s">
        <v>17</v>
      </c>
      <c r="E1184" s="4" t="s">
        <v>1329</v>
      </c>
      <c r="F1184" s="4" t="s">
        <v>19</v>
      </c>
      <c r="G1184" s="4" t="s">
        <v>20</v>
      </c>
      <c r="H1184" s="5">
        <v>7000</v>
      </c>
      <c r="I1184" s="4" t="s">
        <v>21</v>
      </c>
      <c r="J1184" s="5">
        <f t="shared" si="18"/>
        <v>-29435</v>
      </c>
      <c r="K1184" s="4" t="s">
        <v>46</v>
      </c>
      <c r="L1184" s="6">
        <v>4.2050000000000001</v>
      </c>
      <c r="M1184" s="6">
        <v>0.23780000000000001</v>
      </c>
      <c r="N1184" s="6">
        <v>4.2110000000000003</v>
      </c>
      <c r="O1184" s="6">
        <v>1</v>
      </c>
      <c r="P1184" s="5">
        <v>42.000000000003638</v>
      </c>
      <c r="Q1184" s="4" t="s">
        <v>1390</v>
      </c>
    </row>
    <row r="1185" spans="1:17" x14ac:dyDescent="0.3">
      <c r="A1185" s="2" t="s">
        <v>1389</v>
      </c>
      <c r="B1185" s="3">
        <v>155389</v>
      </c>
      <c r="C1185" s="3">
        <v>214956</v>
      </c>
      <c r="D1185" s="4" t="s">
        <v>17</v>
      </c>
      <c r="E1185" s="4" t="s">
        <v>867</v>
      </c>
      <c r="F1185" s="4" t="s">
        <v>32</v>
      </c>
      <c r="G1185" s="4" t="s">
        <v>20</v>
      </c>
      <c r="H1185" s="5">
        <v>-500000</v>
      </c>
      <c r="I1185" s="4" t="s">
        <v>21</v>
      </c>
      <c r="J1185" s="5">
        <f t="shared" si="18"/>
        <v>2107250</v>
      </c>
      <c r="K1185" s="4" t="s">
        <v>46</v>
      </c>
      <c r="L1185" s="6">
        <v>4.2145000000000001</v>
      </c>
      <c r="M1185" s="6">
        <v>0.23730000000000001</v>
      </c>
      <c r="N1185" s="6">
        <v>4.2110000000000003</v>
      </c>
      <c r="O1185" s="6">
        <v>1</v>
      </c>
      <c r="P1185" s="5">
        <v>1600</v>
      </c>
      <c r="Q1185" s="4" t="s">
        <v>1390</v>
      </c>
    </row>
    <row r="1186" spans="1:17" x14ac:dyDescent="0.3">
      <c r="A1186" s="2" t="s">
        <v>1389</v>
      </c>
      <c r="B1186" s="3">
        <v>155390</v>
      </c>
      <c r="C1186" s="3">
        <v>889808</v>
      </c>
      <c r="D1186" s="4" t="s">
        <v>81</v>
      </c>
      <c r="E1186" s="4" t="s">
        <v>730</v>
      </c>
      <c r="F1186" s="4" t="s">
        <v>87</v>
      </c>
      <c r="G1186" s="4" t="s">
        <v>20</v>
      </c>
      <c r="H1186" s="5">
        <v>500000</v>
      </c>
      <c r="I1186" s="4" t="s">
        <v>21</v>
      </c>
      <c r="J1186" s="5">
        <f t="shared" si="18"/>
        <v>-2105850</v>
      </c>
      <c r="K1186" s="4" t="s">
        <v>42</v>
      </c>
      <c r="L1186" s="6">
        <v>4.2117000000000004</v>
      </c>
      <c r="M1186" s="6">
        <v>0.2374</v>
      </c>
      <c r="N1186" s="6">
        <v>4.2119</v>
      </c>
      <c r="O1186" s="6">
        <v>1</v>
      </c>
      <c r="P1186" s="5">
        <v>95</v>
      </c>
      <c r="Q1186" s="4" t="s">
        <v>1396</v>
      </c>
    </row>
    <row r="1187" spans="1:17" x14ac:dyDescent="0.3">
      <c r="A1187" s="2" t="s">
        <v>1389</v>
      </c>
      <c r="B1187" s="3">
        <v>155391</v>
      </c>
      <c r="C1187" s="3">
        <v>214957</v>
      </c>
      <c r="D1187" s="4" t="s">
        <v>17</v>
      </c>
      <c r="E1187" s="4" t="s">
        <v>867</v>
      </c>
      <c r="F1187" s="4" t="s">
        <v>32</v>
      </c>
      <c r="G1187" s="4" t="s">
        <v>20</v>
      </c>
      <c r="H1187" s="5">
        <v>-500000</v>
      </c>
      <c r="I1187" s="4" t="s">
        <v>21</v>
      </c>
      <c r="J1187" s="5">
        <f t="shared" si="18"/>
        <v>2107200</v>
      </c>
      <c r="K1187" s="4" t="s">
        <v>46</v>
      </c>
      <c r="L1187" s="6">
        <v>4.2144000000000004</v>
      </c>
      <c r="M1187" s="6">
        <v>0.23730000000000001</v>
      </c>
      <c r="N1187" s="6">
        <v>4.2110000000000003</v>
      </c>
      <c r="O1187" s="6">
        <v>1</v>
      </c>
      <c r="P1187" s="5">
        <v>1550</v>
      </c>
      <c r="Q1187" s="4" t="s">
        <v>1390</v>
      </c>
    </row>
    <row r="1188" spans="1:17" x14ac:dyDescent="0.3">
      <c r="A1188" s="2" t="s">
        <v>1389</v>
      </c>
      <c r="B1188" s="3">
        <v>155392</v>
      </c>
      <c r="C1188" s="3">
        <v>214958</v>
      </c>
      <c r="D1188" s="4" t="s">
        <v>17</v>
      </c>
      <c r="E1188" s="4" t="s">
        <v>867</v>
      </c>
      <c r="F1188" s="4" t="s">
        <v>32</v>
      </c>
      <c r="G1188" s="4" t="s">
        <v>20</v>
      </c>
      <c r="H1188" s="5">
        <v>-500000</v>
      </c>
      <c r="I1188" s="4" t="s">
        <v>21</v>
      </c>
      <c r="J1188" s="5">
        <f t="shared" si="18"/>
        <v>2107200</v>
      </c>
      <c r="K1188" s="4" t="s">
        <v>46</v>
      </c>
      <c r="L1188" s="6">
        <v>4.2144000000000004</v>
      </c>
      <c r="M1188" s="6">
        <v>0.23730000000000001</v>
      </c>
      <c r="N1188" s="6">
        <v>4.2110000000000003</v>
      </c>
      <c r="O1188" s="6">
        <v>1</v>
      </c>
      <c r="P1188" s="5">
        <v>1550</v>
      </c>
      <c r="Q1188" s="4" t="s">
        <v>1390</v>
      </c>
    </row>
    <row r="1189" spans="1:17" x14ac:dyDescent="0.3">
      <c r="A1189" s="2" t="s">
        <v>1389</v>
      </c>
      <c r="B1189" s="3">
        <v>155393</v>
      </c>
      <c r="C1189" s="3">
        <v>889815</v>
      </c>
      <c r="D1189" s="4" t="s">
        <v>81</v>
      </c>
      <c r="E1189" s="4" t="s">
        <v>732</v>
      </c>
      <c r="F1189" s="4" t="s">
        <v>87</v>
      </c>
      <c r="G1189" s="4" t="s">
        <v>20</v>
      </c>
      <c r="H1189" s="5">
        <v>1000000</v>
      </c>
      <c r="I1189" s="4" t="s">
        <v>21</v>
      </c>
      <c r="J1189" s="5">
        <f t="shared" si="18"/>
        <v>-4211400</v>
      </c>
      <c r="K1189" s="4" t="s">
        <v>42</v>
      </c>
      <c r="L1189" s="6">
        <v>4.2114000000000003</v>
      </c>
      <c r="M1189" s="6">
        <v>0.23749999999999999</v>
      </c>
      <c r="N1189" s="6">
        <v>4.2119</v>
      </c>
      <c r="O1189" s="6">
        <v>1</v>
      </c>
      <c r="P1189" s="5">
        <v>530</v>
      </c>
      <c r="Q1189" s="4" t="s">
        <v>1394</v>
      </c>
    </row>
    <row r="1190" spans="1:17" x14ac:dyDescent="0.3">
      <c r="A1190" s="2" t="s">
        <v>1389</v>
      </c>
      <c r="B1190" s="3">
        <v>155394</v>
      </c>
      <c r="C1190" s="3">
        <v>889843</v>
      </c>
      <c r="D1190" s="4" t="s">
        <v>81</v>
      </c>
      <c r="E1190" s="4" t="s">
        <v>730</v>
      </c>
      <c r="F1190" s="4" t="s">
        <v>87</v>
      </c>
      <c r="G1190" s="4" t="s">
        <v>20</v>
      </c>
      <c r="H1190" s="5">
        <v>150000</v>
      </c>
      <c r="I1190" s="4" t="s">
        <v>84</v>
      </c>
      <c r="J1190" s="5">
        <f t="shared" si="18"/>
        <v>-1613955</v>
      </c>
      <c r="K1190" s="4" t="s">
        <v>42</v>
      </c>
      <c r="L1190" s="6">
        <v>10.7597</v>
      </c>
      <c r="M1190" s="6">
        <v>9.2899999999999996E-2</v>
      </c>
      <c r="N1190" s="6">
        <v>4.2119</v>
      </c>
      <c r="O1190" s="6">
        <v>0.39119999999999999</v>
      </c>
      <c r="P1190" s="5">
        <v>408.738</v>
      </c>
      <c r="Q1190" s="4" t="s">
        <v>1396</v>
      </c>
    </row>
    <row r="1191" spans="1:17" x14ac:dyDescent="0.3">
      <c r="A1191" s="2" t="s">
        <v>1389</v>
      </c>
      <c r="B1191" s="3">
        <v>155395</v>
      </c>
      <c r="C1191" s="3">
        <v>214970</v>
      </c>
      <c r="D1191" s="4" t="s">
        <v>17</v>
      </c>
      <c r="E1191" s="4" t="s">
        <v>1133</v>
      </c>
      <c r="F1191" s="4" t="s">
        <v>19</v>
      </c>
      <c r="G1191" s="4" t="s">
        <v>20</v>
      </c>
      <c r="H1191" s="5">
        <v>32000</v>
      </c>
      <c r="I1191" s="4" t="s">
        <v>34</v>
      </c>
      <c r="J1191" s="5">
        <f t="shared" si="18"/>
        <v>-37312</v>
      </c>
      <c r="K1191" s="4" t="s">
        <v>46</v>
      </c>
      <c r="L1191" s="6">
        <v>1.1659999999999999</v>
      </c>
      <c r="M1191" s="6">
        <v>0.85760000000000003</v>
      </c>
      <c r="N1191" s="6">
        <v>4.2110000000000003</v>
      </c>
      <c r="O1191" s="6">
        <v>3.6044999999999998</v>
      </c>
      <c r="P1191" s="5">
        <v>260.89600000000792</v>
      </c>
      <c r="Q1191" s="4" t="s">
        <v>1390</v>
      </c>
    </row>
    <row r="1192" spans="1:17" x14ac:dyDescent="0.3">
      <c r="A1192" s="2" t="s">
        <v>1389</v>
      </c>
      <c r="B1192" s="3">
        <v>155397</v>
      </c>
      <c r="C1192" s="3">
        <v>214974</v>
      </c>
      <c r="D1192" s="4" t="s">
        <v>17</v>
      </c>
      <c r="E1192" s="4" t="s">
        <v>1306</v>
      </c>
      <c r="F1192" s="4" t="s">
        <v>19</v>
      </c>
      <c r="G1192" s="4" t="s">
        <v>20</v>
      </c>
      <c r="H1192" s="5">
        <v>55000</v>
      </c>
      <c r="I1192" s="4" t="s">
        <v>21</v>
      </c>
      <c r="J1192" s="5">
        <f t="shared" si="18"/>
        <v>-231132</v>
      </c>
      <c r="K1192" s="4" t="s">
        <v>46</v>
      </c>
      <c r="L1192" s="6">
        <v>4.2023999999999999</v>
      </c>
      <c r="M1192" s="6">
        <v>0.23799999999999999</v>
      </c>
      <c r="N1192" s="6">
        <v>4.2110000000000003</v>
      </c>
      <c r="O1192" s="6">
        <v>1</v>
      </c>
      <c r="P1192" s="5">
        <v>473.0000000000291</v>
      </c>
      <c r="Q1192" s="4" t="s">
        <v>1390</v>
      </c>
    </row>
    <row r="1193" spans="1:17" x14ac:dyDescent="0.3">
      <c r="A1193" s="2" t="s">
        <v>1389</v>
      </c>
      <c r="B1193" s="3">
        <v>155398</v>
      </c>
      <c r="C1193" s="3">
        <v>214976</v>
      </c>
      <c r="D1193" s="4" t="s">
        <v>17</v>
      </c>
      <c r="E1193" s="4" t="s">
        <v>1253</v>
      </c>
      <c r="F1193" s="4" t="s">
        <v>32</v>
      </c>
      <c r="G1193" s="4" t="s">
        <v>20</v>
      </c>
      <c r="H1193" s="5">
        <v>-16000</v>
      </c>
      <c r="I1193" s="4" t="s">
        <v>21</v>
      </c>
      <c r="J1193" s="5">
        <f t="shared" si="18"/>
        <v>67582.400000000009</v>
      </c>
      <c r="K1193" s="4" t="s">
        <v>46</v>
      </c>
      <c r="L1193" s="6">
        <v>4.2239000000000004</v>
      </c>
      <c r="M1193" s="6">
        <v>0.23669999999999999</v>
      </c>
      <c r="N1193" s="6">
        <v>4.2110000000000003</v>
      </c>
      <c r="O1193" s="6">
        <v>1</v>
      </c>
      <c r="P1193" s="5">
        <v>200</v>
      </c>
      <c r="Q1193" s="4" t="s">
        <v>1390</v>
      </c>
    </row>
    <row r="1194" spans="1:17" x14ac:dyDescent="0.3">
      <c r="A1194" s="2" t="s">
        <v>1389</v>
      </c>
      <c r="B1194" s="3">
        <v>155399</v>
      </c>
      <c r="C1194" s="3">
        <v>889879</v>
      </c>
      <c r="D1194" s="4" t="s">
        <v>81</v>
      </c>
      <c r="E1194" s="4" t="s">
        <v>725</v>
      </c>
      <c r="F1194" s="4" t="s">
        <v>83</v>
      </c>
      <c r="G1194" s="4" t="s">
        <v>20</v>
      </c>
      <c r="H1194" s="5">
        <v>-1000000</v>
      </c>
      <c r="I1194" s="4" t="s">
        <v>21</v>
      </c>
      <c r="J1194" s="5">
        <f t="shared" si="18"/>
        <v>4212500</v>
      </c>
      <c r="K1194" s="4" t="s">
        <v>42</v>
      </c>
      <c r="L1194" s="6">
        <v>4.2125000000000004</v>
      </c>
      <c r="M1194" s="6">
        <v>0.2374</v>
      </c>
      <c r="N1194" s="6">
        <v>4.2119</v>
      </c>
      <c r="O1194" s="6">
        <v>1</v>
      </c>
      <c r="P1194" s="5">
        <v>620</v>
      </c>
      <c r="Q1194" s="4" t="s">
        <v>1392</v>
      </c>
    </row>
    <row r="1195" spans="1:17" x14ac:dyDescent="0.3">
      <c r="A1195" s="2" t="s">
        <v>1389</v>
      </c>
      <c r="B1195" s="3">
        <v>155402</v>
      </c>
      <c r="C1195" s="3">
        <v>214988</v>
      </c>
      <c r="D1195" s="4" t="s">
        <v>17</v>
      </c>
      <c r="E1195" s="4" t="s">
        <v>1383</v>
      </c>
      <c r="F1195" s="4" t="s">
        <v>19</v>
      </c>
      <c r="G1195" s="4" t="s">
        <v>20</v>
      </c>
      <c r="H1195" s="5">
        <v>250000</v>
      </c>
      <c r="I1195" s="4" t="s">
        <v>21</v>
      </c>
      <c r="J1195" s="5">
        <f t="shared" si="18"/>
        <v>-1050525</v>
      </c>
      <c r="K1195" s="4" t="s">
        <v>46</v>
      </c>
      <c r="L1195" s="6">
        <v>4.2020999999999997</v>
      </c>
      <c r="M1195" s="6">
        <v>0.23799999999999999</v>
      </c>
      <c r="N1195" s="6">
        <v>4.2110000000000003</v>
      </c>
      <c r="O1195" s="6">
        <v>1</v>
      </c>
      <c r="P1195" s="5">
        <v>2225</v>
      </c>
      <c r="Q1195" s="4" t="s">
        <v>1390</v>
      </c>
    </row>
    <row r="1196" spans="1:17" x14ac:dyDescent="0.3">
      <c r="A1196" s="2" t="s">
        <v>1389</v>
      </c>
      <c r="B1196" s="3">
        <v>155403</v>
      </c>
      <c r="C1196" s="3">
        <v>214992</v>
      </c>
      <c r="D1196" s="4" t="s">
        <v>17</v>
      </c>
      <c r="E1196" s="4" t="s">
        <v>1060</v>
      </c>
      <c r="F1196" s="4" t="s">
        <v>32</v>
      </c>
      <c r="G1196" s="4" t="s">
        <v>20</v>
      </c>
      <c r="H1196" s="5">
        <v>-25000</v>
      </c>
      <c r="I1196" s="4" t="s">
        <v>21</v>
      </c>
      <c r="J1196" s="5">
        <f t="shared" si="18"/>
        <v>105600</v>
      </c>
      <c r="K1196" s="4" t="s">
        <v>46</v>
      </c>
      <c r="L1196" s="6">
        <v>4.2240000000000002</v>
      </c>
      <c r="M1196" s="6">
        <v>0.23669999999999999</v>
      </c>
      <c r="N1196" s="6">
        <v>4.2110000000000003</v>
      </c>
      <c r="O1196" s="6">
        <v>1</v>
      </c>
      <c r="P1196" s="5">
        <v>325</v>
      </c>
      <c r="Q1196" s="4" t="s">
        <v>1390</v>
      </c>
    </row>
    <row r="1197" spans="1:17" x14ac:dyDescent="0.3">
      <c r="A1197" s="2" t="s">
        <v>1389</v>
      </c>
      <c r="B1197" s="3">
        <v>155404</v>
      </c>
      <c r="C1197" s="3">
        <v>214993</v>
      </c>
      <c r="D1197" s="4" t="s">
        <v>17</v>
      </c>
      <c r="E1197" s="4" t="s">
        <v>1267</v>
      </c>
      <c r="F1197" s="4" t="s">
        <v>32</v>
      </c>
      <c r="G1197" s="4" t="s">
        <v>20</v>
      </c>
      <c r="H1197" s="5">
        <v>-65000</v>
      </c>
      <c r="I1197" s="4" t="s">
        <v>21</v>
      </c>
      <c r="J1197" s="5">
        <f t="shared" si="18"/>
        <v>274488.5</v>
      </c>
      <c r="K1197" s="4" t="s">
        <v>46</v>
      </c>
      <c r="L1197" s="6">
        <v>4.2229000000000001</v>
      </c>
      <c r="M1197" s="6">
        <v>0.23680000000000001</v>
      </c>
      <c r="N1197" s="6">
        <v>4.2110000000000003</v>
      </c>
      <c r="O1197" s="6">
        <v>1</v>
      </c>
      <c r="P1197" s="5">
        <v>747.5</v>
      </c>
      <c r="Q1197" s="4" t="s">
        <v>1390</v>
      </c>
    </row>
    <row r="1198" spans="1:17" x14ac:dyDescent="0.3">
      <c r="A1198" s="2" t="s">
        <v>1389</v>
      </c>
      <c r="B1198" s="3">
        <v>155406</v>
      </c>
      <c r="C1198" s="3">
        <v>889950</v>
      </c>
      <c r="D1198" s="4" t="s">
        <v>81</v>
      </c>
      <c r="E1198" s="4" t="s">
        <v>1062</v>
      </c>
      <c r="F1198" s="4" t="s">
        <v>87</v>
      </c>
      <c r="G1198" s="4" t="s">
        <v>20</v>
      </c>
      <c r="H1198" s="5">
        <v>40000</v>
      </c>
      <c r="I1198" s="4" t="s">
        <v>21</v>
      </c>
      <c r="J1198" s="5">
        <f t="shared" si="18"/>
        <v>-168236</v>
      </c>
      <c r="K1198" s="4" t="s">
        <v>42</v>
      </c>
      <c r="L1198" s="6">
        <v>4.2058999999999997</v>
      </c>
      <c r="M1198" s="6">
        <v>0.23780000000000001</v>
      </c>
      <c r="N1198" s="6">
        <v>4.2119</v>
      </c>
      <c r="O1198" s="6">
        <v>1</v>
      </c>
      <c r="P1198" s="5">
        <v>240</v>
      </c>
      <c r="Q1198" s="4" t="s">
        <v>1390</v>
      </c>
    </row>
    <row r="1199" spans="1:17" x14ac:dyDescent="0.3">
      <c r="A1199" s="2" t="s">
        <v>1389</v>
      </c>
      <c r="B1199" s="3">
        <v>155407</v>
      </c>
      <c r="C1199" s="3">
        <v>889951</v>
      </c>
      <c r="D1199" s="4" t="s">
        <v>81</v>
      </c>
      <c r="E1199" s="4" t="s">
        <v>1062</v>
      </c>
      <c r="F1199" s="4" t="s">
        <v>87</v>
      </c>
      <c r="G1199" s="4" t="s">
        <v>20</v>
      </c>
      <c r="H1199" s="5">
        <v>40000</v>
      </c>
      <c r="I1199" s="4" t="s">
        <v>21</v>
      </c>
      <c r="J1199" s="5">
        <f t="shared" si="18"/>
        <v>-168236</v>
      </c>
      <c r="K1199" s="4" t="s">
        <v>42</v>
      </c>
      <c r="L1199" s="6">
        <v>4.2058999999999997</v>
      </c>
      <c r="M1199" s="6">
        <v>0.23780000000000001</v>
      </c>
      <c r="N1199" s="6">
        <v>4.2119</v>
      </c>
      <c r="O1199" s="6">
        <v>1</v>
      </c>
      <c r="P1199" s="5">
        <v>240</v>
      </c>
      <c r="Q1199" s="4" t="s">
        <v>1390</v>
      </c>
    </row>
    <row r="1200" spans="1:17" x14ac:dyDescent="0.3">
      <c r="A1200" s="2" t="s">
        <v>1389</v>
      </c>
      <c r="B1200" s="3">
        <v>155408</v>
      </c>
      <c r="C1200" s="3">
        <v>889952</v>
      </c>
      <c r="D1200" s="4" t="s">
        <v>81</v>
      </c>
      <c r="E1200" s="4" t="s">
        <v>1062</v>
      </c>
      <c r="F1200" s="4" t="s">
        <v>87</v>
      </c>
      <c r="G1200" s="4" t="s">
        <v>20</v>
      </c>
      <c r="H1200" s="5">
        <v>40000</v>
      </c>
      <c r="I1200" s="4" t="s">
        <v>21</v>
      </c>
      <c r="J1200" s="5">
        <f t="shared" si="18"/>
        <v>-168244</v>
      </c>
      <c r="K1200" s="4" t="s">
        <v>42</v>
      </c>
      <c r="L1200" s="6">
        <v>4.2061000000000002</v>
      </c>
      <c r="M1200" s="6">
        <v>0.23769999999999999</v>
      </c>
      <c r="N1200" s="6">
        <v>4.2119</v>
      </c>
      <c r="O1200" s="6">
        <v>1</v>
      </c>
      <c r="P1200" s="5">
        <v>232</v>
      </c>
      <c r="Q1200" s="4" t="s">
        <v>1390</v>
      </c>
    </row>
    <row r="1201" spans="1:17" x14ac:dyDescent="0.3">
      <c r="A1201" s="2" t="s">
        <v>1389</v>
      </c>
      <c r="B1201" s="3">
        <v>155409</v>
      </c>
      <c r="C1201" s="3">
        <v>889953</v>
      </c>
      <c r="D1201" s="4" t="s">
        <v>81</v>
      </c>
      <c r="E1201" s="4" t="s">
        <v>1062</v>
      </c>
      <c r="F1201" s="4" t="s">
        <v>87</v>
      </c>
      <c r="G1201" s="4" t="s">
        <v>20</v>
      </c>
      <c r="H1201" s="5">
        <v>40000</v>
      </c>
      <c r="I1201" s="4" t="s">
        <v>21</v>
      </c>
      <c r="J1201" s="5">
        <f t="shared" si="18"/>
        <v>-168244</v>
      </c>
      <c r="K1201" s="4" t="s">
        <v>42</v>
      </c>
      <c r="L1201" s="6">
        <v>4.2061000000000002</v>
      </c>
      <c r="M1201" s="6">
        <v>0.23769999999999999</v>
      </c>
      <c r="N1201" s="6">
        <v>4.2119</v>
      </c>
      <c r="O1201" s="6">
        <v>1</v>
      </c>
      <c r="P1201" s="5">
        <v>232</v>
      </c>
      <c r="Q1201" s="4" t="s">
        <v>1390</v>
      </c>
    </row>
    <row r="1202" spans="1:17" x14ac:dyDescent="0.3">
      <c r="A1202" s="2" t="s">
        <v>1389</v>
      </c>
      <c r="B1202" s="3">
        <v>155410</v>
      </c>
      <c r="C1202" s="3">
        <v>889957</v>
      </c>
      <c r="D1202" s="4" t="s">
        <v>81</v>
      </c>
      <c r="E1202" s="4" t="s">
        <v>1062</v>
      </c>
      <c r="F1202" s="4" t="s">
        <v>87</v>
      </c>
      <c r="G1202" s="4" t="s">
        <v>20</v>
      </c>
      <c r="H1202" s="5">
        <v>20000</v>
      </c>
      <c r="I1202" s="4" t="s">
        <v>21</v>
      </c>
      <c r="J1202" s="5">
        <f t="shared" si="18"/>
        <v>-84122</v>
      </c>
      <c r="K1202" s="4" t="s">
        <v>42</v>
      </c>
      <c r="L1202" s="6">
        <v>4.2061000000000002</v>
      </c>
      <c r="M1202" s="6">
        <v>0.23769999999999999</v>
      </c>
      <c r="N1202" s="6">
        <v>4.2119</v>
      </c>
      <c r="O1202" s="6">
        <v>1</v>
      </c>
      <c r="P1202" s="5">
        <v>116</v>
      </c>
      <c r="Q1202" s="4" t="s">
        <v>1390</v>
      </c>
    </row>
    <row r="1203" spans="1:17" x14ac:dyDescent="0.3">
      <c r="A1203" s="2" t="s">
        <v>1389</v>
      </c>
      <c r="B1203" s="3">
        <v>155411</v>
      </c>
      <c r="C1203" s="3">
        <v>214999</v>
      </c>
      <c r="D1203" s="4" t="s">
        <v>17</v>
      </c>
      <c r="E1203" s="4" t="s">
        <v>1050</v>
      </c>
      <c r="F1203" s="4" t="s">
        <v>32</v>
      </c>
      <c r="G1203" s="4" t="s">
        <v>34</v>
      </c>
      <c r="H1203" s="5">
        <v>-15000</v>
      </c>
      <c r="I1203" s="4" t="s">
        <v>21</v>
      </c>
      <c r="J1203" s="5">
        <f t="shared" si="18"/>
        <v>54103.5</v>
      </c>
      <c r="K1203" s="4" t="s">
        <v>46</v>
      </c>
      <c r="L1203" s="6">
        <v>3.6069</v>
      </c>
      <c r="M1203" s="6">
        <v>0.2772</v>
      </c>
      <c r="N1203" s="6">
        <v>3.6044999999999998</v>
      </c>
      <c r="O1203" s="6">
        <v>1</v>
      </c>
      <c r="P1203" s="5">
        <v>36</v>
      </c>
      <c r="Q1203" s="4" t="s">
        <v>1390</v>
      </c>
    </row>
    <row r="1204" spans="1:17" x14ac:dyDescent="0.3">
      <c r="A1204" s="2" t="s">
        <v>1389</v>
      </c>
      <c r="B1204" s="3">
        <v>155412</v>
      </c>
      <c r="C1204" s="3">
        <v>889964</v>
      </c>
      <c r="D1204" s="4" t="s">
        <v>81</v>
      </c>
      <c r="E1204" s="4" t="s">
        <v>1062</v>
      </c>
      <c r="F1204" s="4" t="s">
        <v>87</v>
      </c>
      <c r="G1204" s="4" t="s">
        <v>20</v>
      </c>
      <c r="H1204" s="5">
        <v>20000</v>
      </c>
      <c r="I1204" s="4" t="s">
        <v>21</v>
      </c>
      <c r="J1204" s="5">
        <f t="shared" si="18"/>
        <v>-84124</v>
      </c>
      <c r="K1204" s="4" t="s">
        <v>42</v>
      </c>
      <c r="L1204" s="6">
        <v>4.2061999999999999</v>
      </c>
      <c r="M1204" s="6">
        <v>0.23769999999999999</v>
      </c>
      <c r="N1204" s="6">
        <v>4.2119</v>
      </c>
      <c r="O1204" s="6">
        <v>1</v>
      </c>
      <c r="P1204" s="5">
        <v>114</v>
      </c>
      <c r="Q1204" s="4" t="s">
        <v>1390</v>
      </c>
    </row>
    <row r="1205" spans="1:17" x14ac:dyDescent="0.3">
      <c r="A1205" s="2" t="s">
        <v>1389</v>
      </c>
      <c r="B1205" s="3">
        <v>155413</v>
      </c>
      <c r="C1205" s="3">
        <v>215012</v>
      </c>
      <c r="D1205" s="4" t="s">
        <v>17</v>
      </c>
      <c r="E1205" s="4" t="s">
        <v>1356</v>
      </c>
      <c r="F1205" s="4" t="s">
        <v>19</v>
      </c>
      <c r="G1205" s="4" t="s">
        <v>20</v>
      </c>
      <c r="H1205" s="5">
        <v>27000</v>
      </c>
      <c r="I1205" s="4" t="s">
        <v>21</v>
      </c>
      <c r="J1205" s="5">
        <f t="shared" si="18"/>
        <v>-113227.2</v>
      </c>
      <c r="K1205" s="4" t="s">
        <v>46</v>
      </c>
      <c r="L1205" s="6">
        <v>4.1936</v>
      </c>
      <c r="M1205" s="6">
        <v>0.23849999999999999</v>
      </c>
      <c r="N1205" s="6">
        <v>4.2110000000000003</v>
      </c>
      <c r="O1205" s="6">
        <v>1</v>
      </c>
      <c r="P1205" s="5">
        <v>469.80000000001746</v>
      </c>
      <c r="Q1205" s="4" t="s">
        <v>1390</v>
      </c>
    </row>
    <row r="1206" spans="1:17" x14ac:dyDescent="0.3">
      <c r="A1206" s="2" t="s">
        <v>1389</v>
      </c>
      <c r="B1206" s="3">
        <v>155414</v>
      </c>
      <c r="C1206" s="3">
        <v>215017</v>
      </c>
      <c r="D1206" s="4" t="s">
        <v>17</v>
      </c>
      <c r="E1206" s="4" t="s">
        <v>1131</v>
      </c>
      <c r="F1206" s="4" t="s">
        <v>32</v>
      </c>
      <c r="G1206" s="4" t="s">
        <v>20</v>
      </c>
      <c r="H1206" s="5">
        <v>-260000</v>
      </c>
      <c r="I1206" s="4" t="s">
        <v>21</v>
      </c>
      <c r="J1206" s="5">
        <f t="shared" si="18"/>
        <v>1097200</v>
      </c>
      <c r="K1206" s="4" t="s">
        <v>46</v>
      </c>
      <c r="L1206" s="6">
        <v>4.22</v>
      </c>
      <c r="M1206" s="6">
        <v>0.23699999999999999</v>
      </c>
      <c r="N1206" s="6">
        <v>4.2110000000000003</v>
      </c>
      <c r="O1206" s="6">
        <v>1</v>
      </c>
      <c r="P1206" s="5">
        <v>2340</v>
      </c>
      <c r="Q1206" s="4" t="s">
        <v>1390</v>
      </c>
    </row>
    <row r="1207" spans="1:17" x14ac:dyDescent="0.3">
      <c r="A1207" s="2" t="s">
        <v>1389</v>
      </c>
      <c r="B1207" s="3">
        <v>155415</v>
      </c>
      <c r="C1207" s="3">
        <v>215019</v>
      </c>
      <c r="D1207" s="4" t="s">
        <v>17</v>
      </c>
      <c r="E1207" s="4" t="s">
        <v>981</v>
      </c>
      <c r="F1207" s="4" t="s">
        <v>19</v>
      </c>
      <c r="G1207" s="4" t="s">
        <v>20</v>
      </c>
      <c r="H1207" s="5">
        <v>85000</v>
      </c>
      <c r="I1207" s="4" t="s">
        <v>21</v>
      </c>
      <c r="J1207" s="5">
        <f t="shared" si="18"/>
        <v>-357425</v>
      </c>
      <c r="K1207" s="4" t="s">
        <v>46</v>
      </c>
      <c r="L1207" s="6">
        <v>4.2050000000000001</v>
      </c>
      <c r="M1207" s="6">
        <v>0.23780000000000001</v>
      </c>
      <c r="N1207" s="6">
        <v>4.2110000000000003</v>
      </c>
      <c r="O1207" s="6">
        <v>1</v>
      </c>
      <c r="P1207" s="5">
        <v>510</v>
      </c>
      <c r="Q1207" s="4" t="s">
        <v>1390</v>
      </c>
    </row>
    <row r="1208" spans="1:17" x14ac:dyDescent="0.3">
      <c r="A1208" s="2" t="s">
        <v>1389</v>
      </c>
      <c r="B1208" s="3">
        <v>155416</v>
      </c>
      <c r="C1208" s="3">
        <v>215032</v>
      </c>
      <c r="D1208" s="4" t="s">
        <v>17</v>
      </c>
      <c r="E1208" s="4" t="s">
        <v>1131</v>
      </c>
      <c r="F1208" s="4" t="s">
        <v>32</v>
      </c>
      <c r="G1208" s="4" t="s">
        <v>20</v>
      </c>
      <c r="H1208" s="5">
        <v>-280400</v>
      </c>
      <c r="I1208" s="4" t="s">
        <v>21</v>
      </c>
      <c r="J1208" s="5">
        <f t="shared" si="18"/>
        <v>1183007.6000000001</v>
      </c>
      <c r="K1208" s="4" t="s">
        <v>46</v>
      </c>
      <c r="L1208" s="6">
        <v>4.2190000000000003</v>
      </c>
      <c r="M1208" s="6">
        <v>0.23699999999999999</v>
      </c>
      <c r="N1208" s="6">
        <v>4.2110000000000003</v>
      </c>
      <c r="O1208" s="6">
        <v>1</v>
      </c>
      <c r="P1208" s="5">
        <v>2243.1999999999998</v>
      </c>
      <c r="Q1208" s="4" t="s">
        <v>1390</v>
      </c>
    </row>
    <row r="1209" spans="1:17" x14ac:dyDescent="0.3">
      <c r="A1209" s="2" t="s">
        <v>1389</v>
      </c>
      <c r="B1209" s="3">
        <v>155417</v>
      </c>
      <c r="C1209" s="3">
        <v>890094</v>
      </c>
      <c r="D1209" s="4" t="s">
        <v>81</v>
      </c>
      <c r="E1209" s="4" t="s">
        <v>735</v>
      </c>
      <c r="F1209" s="4" t="s">
        <v>83</v>
      </c>
      <c r="G1209" s="4" t="s">
        <v>91</v>
      </c>
      <c r="H1209" s="5">
        <v>-400000</v>
      </c>
      <c r="I1209" s="4" t="s">
        <v>21</v>
      </c>
      <c r="J1209" s="5">
        <f t="shared" si="18"/>
        <v>1945240</v>
      </c>
      <c r="K1209" s="4" t="s">
        <v>42</v>
      </c>
      <c r="L1209" s="6">
        <v>4.8631000000000002</v>
      </c>
      <c r="M1209" s="6">
        <v>0.2056</v>
      </c>
      <c r="N1209" s="6">
        <v>4.8471000000000002</v>
      </c>
      <c r="O1209" s="6">
        <v>1</v>
      </c>
      <c r="P1209" s="5">
        <v>6400</v>
      </c>
      <c r="Q1209" s="4" t="s">
        <v>1394</v>
      </c>
    </row>
    <row r="1210" spans="1:17" x14ac:dyDescent="0.3">
      <c r="A1210" s="2" t="s">
        <v>1389</v>
      </c>
      <c r="B1210" s="3">
        <v>155418</v>
      </c>
      <c r="C1210" s="3">
        <v>215053</v>
      </c>
      <c r="D1210" s="4" t="s">
        <v>17</v>
      </c>
      <c r="E1210" s="4" t="s">
        <v>1118</v>
      </c>
      <c r="F1210" s="4" t="s">
        <v>19</v>
      </c>
      <c r="G1210" s="4" t="s">
        <v>20</v>
      </c>
      <c r="H1210" s="5">
        <v>9000</v>
      </c>
      <c r="I1210" s="4" t="s">
        <v>21</v>
      </c>
      <c r="J1210" s="5">
        <f t="shared" si="18"/>
        <v>-37800</v>
      </c>
      <c r="K1210" s="4" t="s">
        <v>46</v>
      </c>
      <c r="L1210" s="6">
        <v>4.2</v>
      </c>
      <c r="M1210" s="6">
        <v>0.23810000000000001</v>
      </c>
      <c r="N1210" s="6">
        <v>4.2110000000000003</v>
      </c>
      <c r="O1210" s="6">
        <v>1</v>
      </c>
      <c r="P1210" s="5">
        <v>99</v>
      </c>
      <c r="Q1210" s="4" t="s">
        <v>1390</v>
      </c>
    </row>
    <row r="1211" spans="1:17" x14ac:dyDescent="0.3">
      <c r="A1211" s="2" t="s">
        <v>1389</v>
      </c>
      <c r="B1211" s="3">
        <v>155419</v>
      </c>
      <c r="C1211" s="3">
        <v>215054</v>
      </c>
      <c r="D1211" s="4" t="s">
        <v>17</v>
      </c>
      <c r="E1211" s="4" t="s">
        <v>762</v>
      </c>
      <c r="F1211" s="4" t="s">
        <v>32</v>
      </c>
      <c r="G1211" s="4" t="s">
        <v>34</v>
      </c>
      <c r="H1211" s="5">
        <v>-1000000</v>
      </c>
      <c r="I1211" s="4" t="s">
        <v>21</v>
      </c>
      <c r="J1211" s="5">
        <f t="shared" si="18"/>
        <v>3605800</v>
      </c>
      <c r="K1211" s="4" t="s">
        <v>46</v>
      </c>
      <c r="L1211" s="6">
        <v>3.6057999999999999</v>
      </c>
      <c r="M1211" s="6">
        <v>0.27729999999999999</v>
      </c>
      <c r="N1211" s="6">
        <v>3.6044999999999998</v>
      </c>
      <c r="O1211" s="6">
        <v>1</v>
      </c>
      <c r="P1211" s="5">
        <v>1500</v>
      </c>
      <c r="Q1211" s="4" t="s">
        <v>1390</v>
      </c>
    </row>
    <row r="1212" spans="1:17" x14ac:dyDescent="0.3">
      <c r="A1212" s="2" t="s">
        <v>1389</v>
      </c>
      <c r="B1212" s="3">
        <v>155420</v>
      </c>
      <c r="C1212" s="3">
        <v>890144</v>
      </c>
      <c r="D1212" s="4" t="s">
        <v>81</v>
      </c>
      <c r="E1212" s="4" t="s">
        <v>734</v>
      </c>
      <c r="F1212" s="4" t="s">
        <v>83</v>
      </c>
      <c r="G1212" s="4" t="s">
        <v>20</v>
      </c>
      <c r="H1212" s="5">
        <v>-800000</v>
      </c>
      <c r="I1212" s="4" t="s">
        <v>34</v>
      </c>
      <c r="J1212" s="5">
        <f t="shared" si="18"/>
        <v>934880.00000000012</v>
      </c>
      <c r="K1212" s="4" t="s">
        <v>42</v>
      </c>
      <c r="L1212" s="6">
        <v>1.1686000000000001</v>
      </c>
      <c r="M1212" s="6">
        <v>0.85570000000000002</v>
      </c>
      <c r="N1212" s="6">
        <v>4.2119</v>
      </c>
      <c r="O1212" s="6">
        <v>3.6070000000000002</v>
      </c>
      <c r="P1212" s="5">
        <v>2534.4479999999999</v>
      </c>
      <c r="Q1212" s="4" t="s">
        <v>1393</v>
      </c>
    </row>
    <row r="1213" spans="1:17" x14ac:dyDescent="0.3">
      <c r="A1213" s="2" t="s">
        <v>1389</v>
      </c>
      <c r="B1213" s="3">
        <v>155421</v>
      </c>
      <c r="C1213" s="3">
        <v>215059</v>
      </c>
      <c r="D1213" s="4" t="s">
        <v>17</v>
      </c>
      <c r="E1213" s="4" t="s">
        <v>856</v>
      </c>
      <c r="F1213" s="4" t="s">
        <v>32</v>
      </c>
      <c r="G1213" s="4" t="s">
        <v>20</v>
      </c>
      <c r="H1213" s="5">
        <v>-60000</v>
      </c>
      <c r="I1213" s="4" t="s">
        <v>21</v>
      </c>
      <c r="J1213" s="5">
        <f t="shared" si="18"/>
        <v>252690</v>
      </c>
      <c r="K1213" s="4" t="s">
        <v>46</v>
      </c>
      <c r="L1213" s="6">
        <v>4.2115</v>
      </c>
      <c r="M1213" s="6">
        <v>0.2374</v>
      </c>
      <c r="N1213" s="6">
        <v>4.2110000000000003</v>
      </c>
      <c r="O1213" s="6">
        <v>1</v>
      </c>
      <c r="P1213" s="5">
        <v>30</v>
      </c>
      <c r="Q1213" s="4" t="s">
        <v>1390</v>
      </c>
    </row>
    <row r="1214" spans="1:17" x14ac:dyDescent="0.3">
      <c r="A1214" s="2" t="s">
        <v>1389</v>
      </c>
      <c r="B1214" s="3">
        <v>155422</v>
      </c>
      <c r="C1214" s="3">
        <v>215061</v>
      </c>
      <c r="D1214" s="4" t="s">
        <v>17</v>
      </c>
      <c r="E1214" s="4" t="s">
        <v>1042</v>
      </c>
      <c r="F1214" s="4" t="s">
        <v>19</v>
      </c>
      <c r="G1214" s="4" t="s">
        <v>20</v>
      </c>
      <c r="H1214" s="5">
        <v>185939.56</v>
      </c>
      <c r="I1214" s="4" t="s">
        <v>21</v>
      </c>
      <c r="J1214" s="5">
        <f t="shared" si="18"/>
        <v>-781522.56463599997</v>
      </c>
      <c r="K1214" s="4" t="s">
        <v>46</v>
      </c>
      <c r="L1214" s="6">
        <v>4.2031000000000001</v>
      </c>
      <c r="M1214" s="6">
        <v>0.2379</v>
      </c>
      <c r="N1214" s="6">
        <v>4.2110000000000003</v>
      </c>
      <c r="O1214" s="6">
        <v>1</v>
      </c>
      <c r="P1214" s="5">
        <v>1468.9225240000524</v>
      </c>
      <c r="Q1214" s="4" t="s">
        <v>1390</v>
      </c>
    </row>
    <row r="1215" spans="1:17" x14ac:dyDescent="0.3">
      <c r="A1215" s="2" t="s">
        <v>1389</v>
      </c>
      <c r="B1215" s="3">
        <v>155423</v>
      </c>
      <c r="C1215" s="3">
        <v>215063</v>
      </c>
      <c r="D1215" s="4" t="s">
        <v>17</v>
      </c>
      <c r="E1215" s="4" t="s">
        <v>1218</v>
      </c>
      <c r="F1215" s="4" t="s">
        <v>19</v>
      </c>
      <c r="G1215" s="4" t="s">
        <v>20</v>
      </c>
      <c r="H1215" s="5">
        <v>40000</v>
      </c>
      <c r="I1215" s="4" t="s">
        <v>21</v>
      </c>
      <c r="J1215" s="5">
        <f t="shared" si="18"/>
        <v>-168020</v>
      </c>
      <c r="K1215" s="4" t="s">
        <v>46</v>
      </c>
      <c r="L1215" s="6">
        <v>4.2004999999999999</v>
      </c>
      <c r="M1215" s="6">
        <v>0.23810000000000001</v>
      </c>
      <c r="N1215" s="6">
        <v>4.2110000000000003</v>
      </c>
      <c r="O1215" s="6">
        <v>1</v>
      </c>
      <c r="P1215" s="5">
        <v>420</v>
      </c>
      <c r="Q1215" s="4" t="s">
        <v>1390</v>
      </c>
    </row>
    <row r="1216" spans="1:17" x14ac:dyDescent="0.3">
      <c r="A1216" s="2" t="s">
        <v>1389</v>
      </c>
      <c r="B1216" s="3">
        <v>155424</v>
      </c>
      <c r="C1216" s="3">
        <v>215066</v>
      </c>
      <c r="D1216" s="4" t="s">
        <v>17</v>
      </c>
      <c r="E1216" s="4" t="s">
        <v>1252</v>
      </c>
      <c r="F1216" s="4" t="s">
        <v>19</v>
      </c>
      <c r="G1216" s="4" t="s">
        <v>20</v>
      </c>
      <c r="H1216" s="5">
        <v>23500</v>
      </c>
      <c r="I1216" s="4" t="s">
        <v>21</v>
      </c>
      <c r="J1216" s="5">
        <f t="shared" si="18"/>
        <v>-98817.5</v>
      </c>
      <c r="K1216" s="4" t="s">
        <v>46</v>
      </c>
      <c r="L1216" s="6">
        <v>4.2050000000000001</v>
      </c>
      <c r="M1216" s="6">
        <v>0.23780000000000001</v>
      </c>
      <c r="N1216" s="6">
        <v>4.2110000000000003</v>
      </c>
      <c r="O1216" s="6">
        <v>1</v>
      </c>
      <c r="P1216" s="5">
        <v>141</v>
      </c>
      <c r="Q1216" s="4" t="s">
        <v>1390</v>
      </c>
    </row>
    <row r="1217" spans="1:17" x14ac:dyDescent="0.3">
      <c r="A1217" s="2" t="s">
        <v>1389</v>
      </c>
      <c r="B1217" s="3">
        <v>155426</v>
      </c>
      <c r="C1217" s="3">
        <v>215067</v>
      </c>
      <c r="D1217" s="4" t="s">
        <v>17</v>
      </c>
      <c r="E1217" s="4" t="s">
        <v>1351</v>
      </c>
      <c r="F1217" s="4" t="s">
        <v>19</v>
      </c>
      <c r="G1217" s="4" t="s">
        <v>20</v>
      </c>
      <c r="H1217" s="5">
        <v>71000</v>
      </c>
      <c r="I1217" s="4" t="s">
        <v>21</v>
      </c>
      <c r="J1217" s="5">
        <f t="shared" si="18"/>
        <v>-297887.59999999998</v>
      </c>
      <c r="K1217" s="4" t="s">
        <v>46</v>
      </c>
      <c r="L1217" s="6">
        <v>4.1955999999999998</v>
      </c>
      <c r="M1217" s="6">
        <v>0.23830000000000001</v>
      </c>
      <c r="N1217" s="6">
        <v>4.2110000000000003</v>
      </c>
      <c r="O1217" s="6">
        <v>1</v>
      </c>
      <c r="P1217" s="5">
        <v>1093.4000000000233</v>
      </c>
      <c r="Q1217" s="4" t="s">
        <v>1390</v>
      </c>
    </row>
    <row r="1218" spans="1:17" x14ac:dyDescent="0.3">
      <c r="A1218" s="2" t="s">
        <v>1389</v>
      </c>
      <c r="B1218" s="3">
        <v>155427</v>
      </c>
      <c r="C1218" s="3">
        <v>215068</v>
      </c>
      <c r="D1218" s="4" t="s">
        <v>17</v>
      </c>
      <c r="E1218" s="4" t="s">
        <v>949</v>
      </c>
      <c r="F1218" s="4" t="s">
        <v>19</v>
      </c>
      <c r="G1218" s="4" t="s">
        <v>20</v>
      </c>
      <c r="H1218" s="5">
        <v>33000</v>
      </c>
      <c r="I1218" s="4" t="s">
        <v>21</v>
      </c>
      <c r="J1218" s="5">
        <f t="shared" si="18"/>
        <v>-138613.20000000001</v>
      </c>
      <c r="K1218" s="4" t="s">
        <v>46</v>
      </c>
      <c r="L1218" s="6">
        <v>4.2004000000000001</v>
      </c>
      <c r="M1218" s="6">
        <v>0.23810000000000001</v>
      </c>
      <c r="N1218" s="6">
        <v>4.2110000000000003</v>
      </c>
      <c r="O1218" s="6">
        <v>1</v>
      </c>
      <c r="P1218" s="5">
        <v>349.79999999998836</v>
      </c>
      <c r="Q1218" s="4" t="s">
        <v>1390</v>
      </c>
    </row>
    <row r="1219" spans="1:17" x14ac:dyDescent="0.3">
      <c r="A1219" s="2" t="s">
        <v>1389</v>
      </c>
      <c r="B1219" s="3">
        <v>155429</v>
      </c>
      <c r="C1219" s="3">
        <v>215069</v>
      </c>
      <c r="D1219" s="4" t="s">
        <v>17</v>
      </c>
      <c r="E1219" s="4" t="s">
        <v>959</v>
      </c>
      <c r="F1219" s="4" t="s">
        <v>32</v>
      </c>
      <c r="G1219" s="4" t="s">
        <v>20</v>
      </c>
      <c r="H1219" s="5">
        <v>-23668.639999999999</v>
      </c>
      <c r="I1219" s="4" t="s">
        <v>21</v>
      </c>
      <c r="J1219" s="5">
        <f t="shared" si="18"/>
        <v>100011.83832000001</v>
      </c>
      <c r="K1219" s="4" t="s">
        <v>46</v>
      </c>
      <c r="L1219" s="6">
        <v>4.2255000000000003</v>
      </c>
      <c r="M1219" s="6">
        <v>0.23669999999999999</v>
      </c>
      <c r="N1219" s="6">
        <v>4.2110000000000003</v>
      </c>
      <c r="O1219" s="6">
        <v>1</v>
      </c>
      <c r="P1219" s="5">
        <v>331.35696000000002</v>
      </c>
      <c r="Q1219" s="4" t="s">
        <v>1390</v>
      </c>
    </row>
    <row r="1220" spans="1:17" x14ac:dyDescent="0.3">
      <c r="A1220" s="2" t="s">
        <v>1389</v>
      </c>
      <c r="B1220" s="3">
        <v>155430</v>
      </c>
      <c r="C1220" s="3">
        <v>890190</v>
      </c>
      <c r="D1220" s="4" t="s">
        <v>81</v>
      </c>
      <c r="E1220" s="4" t="s">
        <v>740</v>
      </c>
      <c r="F1220" s="4" t="s">
        <v>83</v>
      </c>
      <c r="G1220" s="4" t="s">
        <v>20</v>
      </c>
      <c r="H1220" s="5">
        <v>-100000</v>
      </c>
      <c r="I1220" s="4" t="s">
        <v>21</v>
      </c>
      <c r="J1220" s="5">
        <f t="shared" ref="J1220:J1283" si="19">-H1220*L1220</f>
        <v>420960</v>
      </c>
      <c r="K1220" s="4" t="s">
        <v>42</v>
      </c>
      <c r="L1220" s="6">
        <v>4.2096</v>
      </c>
      <c r="M1220" s="6">
        <v>0.23760000000000001</v>
      </c>
      <c r="N1220" s="6">
        <v>4.2119</v>
      </c>
      <c r="O1220" s="6">
        <v>1</v>
      </c>
      <c r="P1220" s="5">
        <v>-230</v>
      </c>
      <c r="Q1220" s="4" t="s">
        <v>1390</v>
      </c>
    </row>
    <row r="1221" spans="1:17" x14ac:dyDescent="0.3">
      <c r="A1221" s="2" t="s">
        <v>1389</v>
      </c>
      <c r="B1221" s="3">
        <v>155431</v>
      </c>
      <c r="C1221" s="3">
        <v>215070</v>
      </c>
      <c r="D1221" s="4" t="s">
        <v>17</v>
      </c>
      <c r="E1221" s="4" t="s">
        <v>842</v>
      </c>
      <c r="F1221" s="4" t="s">
        <v>32</v>
      </c>
      <c r="G1221" s="4" t="s">
        <v>20</v>
      </c>
      <c r="H1221" s="5">
        <v>-24500</v>
      </c>
      <c r="I1221" s="4" t="s">
        <v>21</v>
      </c>
      <c r="J1221" s="5">
        <f t="shared" si="19"/>
        <v>103475.74999999999</v>
      </c>
      <c r="K1221" s="4" t="s">
        <v>46</v>
      </c>
      <c r="L1221" s="6">
        <v>4.2234999999999996</v>
      </c>
      <c r="M1221" s="6">
        <v>0.23680000000000001</v>
      </c>
      <c r="N1221" s="6">
        <v>4.2110000000000003</v>
      </c>
      <c r="O1221" s="6">
        <v>1</v>
      </c>
      <c r="P1221" s="5">
        <v>294</v>
      </c>
      <c r="Q1221" s="4" t="s">
        <v>1390</v>
      </c>
    </row>
    <row r="1222" spans="1:17" x14ac:dyDescent="0.3">
      <c r="A1222" s="2" t="s">
        <v>1389</v>
      </c>
      <c r="B1222" s="3">
        <v>155432</v>
      </c>
      <c r="C1222" s="3">
        <v>215076</v>
      </c>
      <c r="D1222" s="4" t="s">
        <v>17</v>
      </c>
      <c r="E1222" s="4" t="s">
        <v>1289</v>
      </c>
      <c r="F1222" s="4" t="s">
        <v>19</v>
      </c>
      <c r="G1222" s="4" t="s">
        <v>20</v>
      </c>
      <c r="H1222" s="5">
        <v>10000</v>
      </c>
      <c r="I1222" s="4" t="s">
        <v>21</v>
      </c>
      <c r="J1222" s="5">
        <f t="shared" si="19"/>
        <v>-42000</v>
      </c>
      <c r="K1222" s="4" t="s">
        <v>46</v>
      </c>
      <c r="L1222" s="6">
        <v>4.2</v>
      </c>
      <c r="M1222" s="6">
        <v>0.23810000000000001</v>
      </c>
      <c r="N1222" s="6">
        <v>4.2110000000000003</v>
      </c>
      <c r="O1222" s="6">
        <v>1</v>
      </c>
      <c r="P1222" s="5">
        <v>110</v>
      </c>
      <c r="Q1222" s="4" t="s">
        <v>1390</v>
      </c>
    </row>
    <row r="1223" spans="1:17" x14ac:dyDescent="0.3">
      <c r="A1223" s="2" t="s">
        <v>1389</v>
      </c>
      <c r="B1223" s="3">
        <v>155433</v>
      </c>
      <c r="C1223" s="3">
        <v>215079</v>
      </c>
      <c r="D1223" s="4" t="s">
        <v>17</v>
      </c>
      <c r="E1223" s="4" t="s">
        <v>1108</v>
      </c>
      <c r="F1223" s="4" t="s">
        <v>19</v>
      </c>
      <c r="G1223" s="4" t="s">
        <v>20</v>
      </c>
      <c r="H1223" s="5">
        <v>60000</v>
      </c>
      <c r="I1223" s="4" t="s">
        <v>21</v>
      </c>
      <c r="J1223" s="5">
        <f t="shared" si="19"/>
        <v>-252030</v>
      </c>
      <c r="K1223" s="4" t="s">
        <v>46</v>
      </c>
      <c r="L1223" s="6">
        <v>4.2004999999999999</v>
      </c>
      <c r="M1223" s="6">
        <v>0.23810000000000001</v>
      </c>
      <c r="N1223" s="6">
        <v>4.2110000000000003</v>
      </c>
      <c r="O1223" s="6">
        <v>1</v>
      </c>
      <c r="P1223" s="5">
        <v>630.0000000000291</v>
      </c>
      <c r="Q1223" s="4" t="s">
        <v>1390</v>
      </c>
    </row>
    <row r="1224" spans="1:17" x14ac:dyDescent="0.3">
      <c r="A1224" s="2" t="s">
        <v>1389</v>
      </c>
      <c r="B1224" s="3">
        <v>155434</v>
      </c>
      <c r="C1224" s="3">
        <v>215081</v>
      </c>
      <c r="D1224" s="4" t="s">
        <v>17</v>
      </c>
      <c r="E1224" s="4" t="s">
        <v>1266</v>
      </c>
      <c r="F1224" s="4" t="s">
        <v>32</v>
      </c>
      <c r="G1224" s="4" t="s">
        <v>93</v>
      </c>
      <c r="H1224" s="5">
        <v>-10000</v>
      </c>
      <c r="I1224" s="4" t="s">
        <v>21</v>
      </c>
      <c r="J1224" s="5">
        <f t="shared" si="19"/>
        <v>45413</v>
      </c>
      <c r="K1224" s="4" t="s">
        <v>46</v>
      </c>
      <c r="L1224" s="6">
        <v>4.5412999999999997</v>
      </c>
      <c r="M1224" s="6">
        <v>0.22020000000000001</v>
      </c>
      <c r="N1224" s="6">
        <v>4.5263</v>
      </c>
      <c r="O1224" s="6">
        <v>1</v>
      </c>
      <c r="P1224" s="5">
        <v>137</v>
      </c>
      <c r="Q1224" s="4" t="s">
        <v>1390</v>
      </c>
    </row>
    <row r="1225" spans="1:17" x14ac:dyDescent="0.3">
      <c r="A1225" s="2" t="s">
        <v>1389</v>
      </c>
      <c r="B1225" s="3">
        <v>155435</v>
      </c>
      <c r="C1225" s="3">
        <v>215090</v>
      </c>
      <c r="D1225" s="4" t="s">
        <v>17</v>
      </c>
      <c r="E1225" s="4" t="s">
        <v>1132</v>
      </c>
      <c r="F1225" s="4" t="s">
        <v>19</v>
      </c>
      <c r="G1225" s="4" t="s">
        <v>20</v>
      </c>
      <c r="H1225" s="5">
        <v>60000</v>
      </c>
      <c r="I1225" s="4" t="s">
        <v>21</v>
      </c>
      <c r="J1225" s="5">
        <f t="shared" si="19"/>
        <v>-252300</v>
      </c>
      <c r="K1225" s="4" t="s">
        <v>46</v>
      </c>
      <c r="L1225" s="6">
        <v>4.2050000000000001</v>
      </c>
      <c r="M1225" s="6">
        <v>0.23780000000000001</v>
      </c>
      <c r="N1225" s="6">
        <v>4.2110000000000003</v>
      </c>
      <c r="O1225" s="6">
        <v>1</v>
      </c>
      <c r="P1225" s="5">
        <v>360.0000000000291</v>
      </c>
      <c r="Q1225" s="4" t="s">
        <v>1390</v>
      </c>
    </row>
    <row r="1226" spans="1:17" x14ac:dyDescent="0.3">
      <c r="A1226" s="2" t="s">
        <v>1389</v>
      </c>
      <c r="B1226" s="3">
        <v>155436</v>
      </c>
      <c r="C1226" s="3">
        <v>215092</v>
      </c>
      <c r="D1226" s="4" t="s">
        <v>17</v>
      </c>
      <c r="E1226" s="4" t="s">
        <v>1180</v>
      </c>
      <c r="F1226" s="4" t="s">
        <v>19</v>
      </c>
      <c r="G1226" s="4" t="s">
        <v>20</v>
      </c>
      <c r="H1226" s="5">
        <v>14200</v>
      </c>
      <c r="I1226" s="4" t="s">
        <v>21</v>
      </c>
      <c r="J1226" s="5">
        <f t="shared" si="19"/>
        <v>-59682.600000000006</v>
      </c>
      <c r="K1226" s="4" t="s">
        <v>46</v>
      </c>
      <c r="L1226" s="6">
        <v>4.2030000000000003</v>
      </c>
      <c r="M1226" s="6">
        <v>0.2379</v>
      </c>
      <c r="N1226" s="6">
        <v>4.2110000000000003</v>
      </c>
      <c r="O1226" s="6">
        <v>1</v>
      </c>
      <c r="P1226" s="5">
        <v>113.59999999999854</v>
      </c>
      <c r="Q1226" s="4" t="s">
        <v>1390</v>
      </c>
    </row>
    <row r="1227" spans="1:17" x14ac:dyDescent="0.3">
      <c r="A1227" s="2" t="s">
        <v>1389</v>
      </c>
      <c r="B1227" s="3">
        <v>155437</v>
      </c>
      <c r="C1227" s="3">
        <v>215098</v>
      </c>
      <c r="D1227" s="4" t="s">
        <v>17</v>
      </c>
      <c r="E1227" s="4" t="s">
        <v>1337</v>
      </c>
      <c r="F1227" s="4" t="s">
        <v>32</v>
      </c>
      <c r="G1227" s="4" t="s">
        <v>20</v>
      </c>
      <c r="H1227" s="5">
        <v>-5000</v>
      </c>
      <c r="I1227" s="4" t="s">
        <v>21</v>
      </c>
      <c r="J1227" s="5">
        <f t="shared" si="19"/>
        <v>21090</v>
      </c>
      <c r="K1227" s="4" t="s">
        <v>46</v>
      </c>
      <c r="L1227" s="6">
        <v>4.218</v>
      </c>
      <c r="M1227" s="6">
        <v>0.23710000000000001</v>
      </c>
      <c r="N1227" s="6">
        <v>4.2110000000000003</v>
      </c>
      <c r="O1227" s="6">
        <v>1</v>
      </c>
      <c r="P1227" s="5">
        <v>35</v>
      </c>
      <c r="Q1227" s="4" t="s">
        <v>1390</v>
      </c>
    </row>
    <row r="1228" spans="1:17" x14ac:dyDescent="0.3">
      <c r="A1228" s="2" t="s">
        <v>1389</v>
      </c>
      <c r="B1228" s="3">
        <v>155438</v>
      </c>
      <c r="C1228" s="3">
        <v>215108</v>
      </c>
      <c r="D1228" s="4" t="s">
        <v>17</v>
      </c>
      <c r="E1228" s="4" t="s">
        <v>768</v>
      </c>
      <c r="F1228" s="4" t="s">
        <v>32</v>
      </c>
      <c r="G1228" s="4" t="s">
        <v>20</v>
      </c>
      <c r="H1228" s="5">
        <v>-11091.72</v>
      </c>
      <c r="I1228" s="4" t="s">
        <v>21</v>
      </c>
      <c r="J1228" s="5">
        <f t="shared" si="19"/>
        <v>46795.966679999998</v>
      </c>
      <c r="K1228" s="4" t="s">
        <v>46</v>
      </c>
      <c r="L1228" s="6">
        <v>4.2190000000000003</v>
      </c>
      <c r="M1228" s="6">
        <v>0.23699999999999999</v>
      </c>
      <c r="N1228" s="6">
        <v>4.2110000000000003</v>
      </c>
      <c r="O1228" s="6">
        <v>1</v>
      </c>
      <c r="P1228" s="5">
        <v>88.737080000000006</v>
      </c>
      <c r="Q1228" s="4" t="s">
        <v>1390</v>
      </c>
    </row>
    <row r="1229" spans="1:17" x14ac:dyDescent="0.3">
      <c r="A1229" s="2" t="s">
        <v>1389</v>
      </c>
      <c r="B1229" s="3">
        <v>155439</v>
      </c>
      <c r="C1229" s="3">
        <v>890335</v>
      </c>
      <c r="D1229" s="4" t="s">
        <v>81</v>
      </c>
      <c r="E1229" s="4" t="s">
        <v>742</v>
      </c>
      <c r="F1229" s="4" t="s">
        <v>83</v>
      </c>
      <c r="G1229" s="4" t="s">
        <v>20</v>
      </c>
      <c r="H1229" s="5">
        <v>-400000</v>
      </c>
      <c r="I1229" s="4" t="s">
        <v>34</v>
      </c>
      <c r="J1229" s="5">
        <f t="shared" si="19"/>
        <v>467640</v>
      </c>
      <c r="K1229" s="4" t="s">
        <v>42</v>
      </c>
      <c r="L1229" s="6">
        <v>1.1691</v>
      </c>
      <c r="M1229" s="6">
        <v>0.85540000000000005</v>
      </c>
      <c r="N1229" s="6">
        <v>4.2119</v>
      </c>
      <c r="O1229" s="6">
        <v>3.6070000000000002</v>
      </c>
      <c r="P1229" s="5">
        <v>1959.768</v>
      </c>
      <c r="Q1229" s="4" t="s">
        <v>1396</v>
      </c>
    </row>
    <row r="1230" spans="1:17" x14ac:dyDescent="0.3">
      <c r="A1230" s="2" t="s">
        <v>1389</v>
      </c>
      <c r="B1230" s="3">
        <v>155440</v>
      </c>
      <c r="C1230" s="3">
        <v>215112</v>
      </c>
      <c r="D1230" s="4" t="s">
        <v>17</v>
      </c>
      <c r="E1230" s="4" t="s">
        <v>1156</v>
      </c>
      <c r="F1230" s="4" t="s">
        <v>19</v>
      </c>
      <c r="G1230" s="4" t="s">
        <v>20</v>
      </c>
      <c r="H1230" s="5">
        <v>3000</v>
      </c>
      <c r="I1230" s="4" t="s">
        <v>21</v>
      </c>
      <c r="J1230" s="5">
        <f t="shared" si="19"/>
        <v>-12615</v>
      </c>
      <c r="K1230" s="4" t="s">
        <v>46</v>
      </c>
      <c r="L1230" s="6">
        <v>4.2050000000000001</v>
      </c>
      <c r="M1230" s="6">
        <v>0.23780000000000001</v>
      </c>
      <c r="N1230" s="6">
        <v>4.2110000000000003</v>
      </c>
      <c r="O1230" s="6">
        <v>1</v>
      </c>
      <c r="P1230" s="5">
        <v>18</v>
      </c>
      <c r="Q1230" s="4" t="s">
        <v>1390</v>
      </c>
    </row>
    <row r="1231" spans="1:17" x14ac:dyDescent="0.3">
      <c r="A1231" s="2" t="s">
        <v>1389</v>
      </c>
      <c r="B1231" s="3">
        <v>155445</v>
      </c>
      <c r="C1231" s="3">
        <v>215115</v>
      </c>
      <c r="D1231" s="4" t="s">
        <v>17</v>
      </c>
      <c r="E1231" s="4" t="s">
        <v>1224</v>
      </c>
      <c r="F1231" s="4" t="s">
        <v>32</v>
      </c>
      <c r="G1231" s="4" t="s">
        <v>20</v>
      </c>
      <c r="H1231" s="5">
        <v>-10000</v>
      </c>
      <c r="I1231" s="4" t="s">
        <v>21</v>
      </c>
      <c r="J1231" s="5">
        <f t="shared" si="19"/>
        <v>42138</v>
      </c>
      <c r="K1231" s="4" t="s">
        <v>46</v>
      </c>
      <c r="L1231" s="6">
        <v>4.2138</v>
      </c>
      <c r="M1231" s="6">
        <v>0.23730000000000001</v>
      </c>
      <c r="N1231" s="6">
        <v>4.2110000000000003</v>
      </c>
      <c r="O1231" s="6">
        <v>1</v>
      </c>
      <c r="P1231" s="5">
        <v>26</v>
      </c>
      <c r="Q1231" s="4" t="s">
        <v>1390</v>
      </c>
    </row>
    <row r="1232" spans="1:17" x14ac:dyDescent="0.3">
      <c r="A1232" s="2" t="s">
        <v>1389</v>
      </c>
      <c r="B1232" s="3">
        <v>155446</v>
      </c>
      <c r="C1232" s="3">
        <v>215116</v>
      </c>
      <c r="D1232" s="4" t="s">
        <v>17</v>
      </c>
      <c r="E1232" s="4" t="s">
        <v>1224</v>
      </c>
      <c r="F1232" s="4" t="s">
        <v>32</v>
      </c>
      <c r="G1232" s="4" t="s">
        <v>20</v>
      </c>
      <c r="H1232" s="5">
        <v>-10000</v>
      </c>
      <c r="I1232" s="4" t="s">
        <v>21</v>
      </c>
      <c r="J1232" s="5">
        <f t="shared" si="19"/>
        <v>42140.000000000007</v>
      </c>
      <c r="K1232" s="4" t="s">
        <v>46</v>
      </c>
      <c r="L1232" s="6">
        <v>4.2140000000000004</v>
      </c>
      <c r="M1232" s="6">
        <v>0.23730000000000001</v>
      </c>
      <c r="N1232" s="6">
        <v>4.2110000000000003</v>
      </c>
      <c r="O1232" s="6">
        <v>1</v>
      </c>
      <c r="P1232" s="5">
        <v>28</v>
      </c>
      <c r="Q1232" s="4" t="s">
        <v>1390</v>
      </c>
    </row>
    <row r="1233" spans="1:17" x14ac:dyDescent="0.3">
      <c r="A1233" s="2" t="s">
        <v>1389</v>
      </c>
      <c r="B1233" s="3">
        <v>155447</v>
      </c>
      <c r="C1233" s="3">
        <v>215117</v>
      </c>
      <c r="D1233" s="4" t="s">
        <v>17</v>
      </c>
      <c r="E1233" s="4" t="s">
        <v>1061</v>
      </c>
      <c r="F1233" s="4" t="s">
        <v>19</v>
      </c>
      <c r="G1233" s="4" t="s">
        <v>20</v>
      </c>
      <c r="H1233" s="5">
        <v>365440</v>
      </c>
      <c r="I1233" s="4" t="s">
        <v>21</v>
      </c>
      <c r="J1233" s="5">
        <f t="shared" si="19"/>
        <v>-1536894.4639999999</v>
      </c>
      <c r="K1233" s="4" t="s">
        <v>46</v>
      </c>
      <c r="L1233" s="6">
        <v>4.2055999999999996</v>
      </c>
      <c r="M1233" s="6">
        <v>0.23780000000000001</v>
      </c>
      <c r="N1233" s="6">
        <v>4.2110000000000003</v>
      </c>
      <c r="O1233" s="6">
        <v>1</v>
      </c>
      <c r="P1233" s="5">
        <v>1973.3760000001639</v>
      </c>
      <c r="Q1233" s="4" t="s">
        <v>1390</v>
      </c>
    </row>
    <row r="1234" spans="1:17" x14ac:dyDescent="0.3">
      <c r="A1234" s="2" t="s">
        <v>1389</v>
      </c>
      <c r="B1234" s="3">
        <v>155448</v>
      </c>
      <c r="C1234" s="3">
        <v>215119</v>
      </c>
      <c r="D1234" s="4" t="s">
        <v>17</v>
      </c>
      <c r="E1234" s="4" t="s">
        <v>1001</v>
      </c>
      <c r="F1234" s="4" t="s">
        <v>32</v>
      </c>
      <c r="G1234" s="4" t="s">
        <v>20</v>
      </c>
      <c r="H1234" s="5">
        <v>-23000</v>
      </c>
      <c r="I1234" s="4" t="s">
        <v>21</v>
      </c>
      <c r="J1234" s="5">
        <f t="shared" si="19"/>
        <v>96924.3</v>
      </c>
      <c r="K1234" s="4" t="s">
        <v>46</v>
      </c>
      <c r="L1234" s="6">
        <v>4.2141000000000002</v>
      </c>
      <c r="M1234" s="6">
        <v>0.23730000000000001</v>
      </c>
      <c r="N1234" s="6">
        <v>4.2110000000000003</v>
      </c>
      <c r="O1234" s="6">
        <v>1</v>
      </c>
      <c r="P1234" s="5">
        <v>66.7</v>
      </c>
      <c r="Q1234" s="4" t="s">
        <v>1390</v>
      </c>
    </row>
    <row r="1235" spans="1:17" x14ac:dyDescent="0.3">
      <c r="A1235" s="2" t="s">
        <v>1389</v>
      </c>
      <c r="B1235" s="3">
        <v>155449</v>
      </c>
      <c r="C1235" s="3">
        <v>890365</v>
      </c>
      <c r="D1235" s="4" t="s">
        <v>81</v>
      </c>
      <c r="E1235" s="4" t="s">
        <v>1077</v>
      </c>
      <c r="F1235" s="4" t="s">
        <v>87</v>
      </c>
      <c r="G1235" s="4" t="s">
        <v>20</v>
      </c>
      <c r="H1235" s="5">
        <v>25000</v>
      </c>
      <c r="I1235" s="4" t="s">
        <v>21</v>
      </c>
      <c r="J1235" s="5">
        <f t="shared" si="19"/>
        <v>-105214.99999999999</v>
      </c>
      <c r="K1235" s="4" t="s">
        <v>42</v>
      </c>
      <c r="L1235" s="6">
        <v>4.2085999999999997</v>
      </c>
      <c r="M1235" s="6">
        <v>0.23760000000000001</v>
      </c>
      <c r="N1235" s="6">
        <v>4.2119</v>
      </c>
      <c r="O1235" s="6">
        <v>1</v>
      </c>
      <c r="P1235" s="5">
        <v>82.5</v>
      </c>
      <c r="Q1235" s="4" t="s">
        <v>1390</v>
      </c>
    </row>
    <row r="1236" spans="1:17" x14ac:dyDescent="0.3">
      <c r="A1236" s="2" t="s">
        <v>1389</v>
      </c>
      <c r="B1236" s="3">
        <v>155450</v>
      </c>
      <c r="C1236" s="3">
        <v>215120</v>
      </c>
      <c r="D1236" s="4" t="s">
        <v>17</v>
      </c>
      <c r="E1236" s="4" t="s">
        <v>1001</v>
      </c>
      <c r="F1236" s="4" t="s">
        <v>32</v>
      </c>
      <c r="G1236" s="4" t="s">
        <v>20</v>
      </c>
      <c r="H1236" s="5">
        <v>-145000</v>
      </c>
      <c r="I1236" s="4" t="s">
        <v>21</v>
      </c>
      <c r="J1236" s="5">
        <f t="shared" si="19"/>
        <v>611030.00000000012</v>
      </c>
      <c r="K1236" s="4" t="s">
        <v>47</v>
      </c>
      <c r="L1236" s="6">
        <v>4.2140000000000004</v>
      </c>
      <c r="M1236" s="6">
        <v>0.23730000000000001</v>
      </c>
      <c r="N1236" s="6">
        <v>4.2126999999999999</v>
      </c>
      <c r="O1236" s="6">
        <v>1</v>
      </c>
      <c r="P1236" s="5">
        <v>275.5</v>
      </c>
      <c r="Q1236" s="4" t="s">
        <v>1390</v>
      </c>
    </row>
    <row r="1237" spans="1:17" x14ac:dyDescent="0.3">
      <c r="A1237" s="2" t="s">
        <v>1389</v>
      </c>
      <c r="B1237" s="3">
        <v>155451</v>
      </c>
      <c r="C1237" s="3">
        <v>215121</v>
      </c>
      <c r="D1237" s="4" t="s">
        <v>17</v>
      </c>
      <c r="E1237" s="4" t="s">
        <v>822</v>
      </c>
      <c r="F1237" s="4" t="s">
        <v>19</v>
      </c>
      <c r="G1237" s="4" t="s">
        <v>20</v>
      </c>
      <c r="H1237" s="5">
        <v>6000</v>
      </c>
      <c r="I1237" s="4" t="s">
        <v>21</v>
      </c>
      <c r="J1237" s="5">
        <f t="shared" si="19"/>
        <v>-25191</v>
      </c>
      <c r="K1237" s="4" t="s">
        <v>46</v>
      </c>
      <c r="L1237" s="6">
        <v>4.1985000000000001</v>
      </c>
      <c r="M1237" s="6">
        <v>0.2382</v>
      </c>
      <c r="N1237" s="6">
        <v>4.2110000000000003</v>
      </c>
      <c r="O1237" s="6">
        <v>1</v>
      </c>
      <c r="P1237" s="5">
        <v>75</v>
      </c>
      <c r="Q1237" s="4" t="s">
        <v>1390</v>
      </c>
    </row>
    <row r="1238" spans="1:17" x14ac:dyDescent="0.3">
      <c r="A1238" s="2" t="s">
        <v>1389</v>
      </c>
      <c r="B1238" s="3">
        <v>155453</v>
      </c>
      <c r="C1238" s="3">
        <v>215124</v>
      </c>
      <c r="D1238" s="4" t="s">
        <v>17</v>
      </c>
      <c r="E1238" s="4" t="s">
        <v>830</v>
      </c>
      <c r="F1238" s="4" t="s">
        <v>19</v>
      </c>
      <c r="G1238" s="4" t="s">
        <v>20</v>
      </c>
      <c r="H1238" s="5">
        <v>50000</v>
      </c>
      <c r="I1238" s="4" t="s">
        <v>21</v>
      </c>
      <c r="J1238" s="5">
        <f t="shared" si="19"/>
        <v>-209775</v>
      </c>
      <c r="K1238" s="4" t="s">
        <v>46</v>
      </c>
      <c r="L1238" s="6">
        <v>4.1955</v>
      </c>
      <c r="M1238" s="6">
        <v>0.2384</v>
      </c>
      <c r="N1238" s="6">
        <v>4.2110000000000003</v>
      </c>
      <c r="O1238" s="6">
        <v>1</v>
      </c>
      <c r="P1238" s="5">
        <v>775.0000000000291</v>
      </c>
      <c r="Q1238" s="4" t="s">
        <v>1390</v>
      </c>
    </row>
    <row r="1239" spans="1:17" x14ac:dyDescent="0.3">
      <c r="A1239" s="2" t="s">
        <v>1389</v>
      </c>
      <c r="B1239" s="3">
        <v>155454</v>
      </c>
      <c r="C1239" s="3">
        <v>215125</v>
      </c>
      <c r="D1239" s="4" t="s">
        <v>17</v>
      </c>
      <c r="E1239" s="4" t="s">
        <v>839</v>
      </c>
      <c r="F1239" s="4" t="s">
        <v>32</v>
      </c>
      <c r="G1239" s="4" t="s">
        <v>34</v>
      </c>
      <c r="H1239" s="5">
        <v>-26000</v>
      </c>
      <c r="I1239" s="4" t="s">
        <v>21</v>
      </c>
      <c r="J1239" s="5">
        <f t="shared" si="19"/>
        <v>93912</v>
      </c>
      <c r="K1239" s="4" t="s">
        <v>46</v>
      </c>
      <c r="L1239" s="6">
        <v>3.6120000000000001</v>
      </c>
      <c r="M1239" s="6">
        <v>0.27689999999999998</v>
      </c>
      <c r="N1239" s="6">
        <v>3.6044999999999998</v>
      </c>
      <c r="O1239" s="6">
        <v>1</v>
      </c>
      <c r="P1239" s="5">
        <v>195</v>
      </c>
      <c r="Q1239" s="4" t="s">
        <v>1390</v>
      </c>
    </row>
    <row r="1240" spans="1:17" x14ac:dyDescent="0.3">
      <c r="A1240" s="2" t="s">
        <v>1389</v>
      </c>
      <c r="B1240" s="3">
        <v>155455</v>
      </c>
      <c r="C1240" s="3">
        <v>215126</v>
      </c>
      <c r="D1240" s="4" t="s">
        <v>17</v>
      </c>
      <c r="E1240" s="4" t="s">
        <v>839</v>
      </c>
      <c r="F1240" s="4" t="s">
        <v>32</v>
      </c>
      <c r="G1240" s="4" t="s">
        <v>20</v>
      </c>
      <c r="H1240" s="5">
        <v>-115000</v>
      </c>
      <c r="I1240" s="4" t="s">
        <v>21</v>
      </c>
      <c r="J1240" s="5">
        <f t="shared" si="19"/>
        <v>485300</v>
      </c>
      <c r="K1240" s="4" t="s">
        <v>46</v>
      </c>
      <c r="L1240" s="6">
        <v>4.22</v>
      </c>
      <c r="M1240" s="6">
        <v>0.23699999999999999</v>
      </c>
      <c r="N1240" s="6">
        <v>4.2110000000000003</v>
      </c>
      <c r="O1240" s="6">
        <v>1</v>
      </c>
      <c r="P1240" s="5">
        <v>1035</v>
      </c>
      <c r="Q1240" s="4" t="s">
        <v>1390</v>
      </c>
    </row>
    <row r="1241" spans="1:17" x14ac:dyDescent="0.3">
      <c r="A1241" s="2" t="s">
        <v>1389</v>
      </c>
      <c r="B1241" s="3">
        <v>155456</v>
      </c>
      <c r="C1241" s="3">
        <v>215132</v>
      </c>
      <c r="D1241" s="4" t="s">
        <v>17</v>
      </c>
      <c r="E1241" s="4" t="s">
        <v>1154</v>
      </c>
      <c r="F1241" s="4" t="s">
        <v>32</v>
      </c>
      <c r="G1241" s="4" t="s">
        <v>20</v>
      </c>
      <c r="H1241" s="5">
        <v>-289500</v>
      </c>
      <c r="I1241" s="4" t="s">
        <v>21</v>
      </c>
      <c r="J1241" s="5">
        <f t="shared" si="19"/>
        <v>1219663.5</v>
      </c>
      <c r="K1241" s="4" t="s">
        <v>46</v>
      </c>
      <c r="L1241" s="6">
        <v>4.2130000000000001</v>
      </c>
      <c r="M1241" s="6">
        <v>0.2374</v>
      </c>
      <c r="N1241" s="6">
        <v>4.2110000000000003</v>
      </c>
      <c r="O1241" s="6">
        <v>1</v>
      </c>
      <c r="P1241" s="5">
        <v>521.1</v>
      </c>
      <c r="Q1241" s="4" t="s">
        <v>1390</v>
      </c>
    </row>
    <row r="1242" spans="1:17" x14ac:dyDescent="0.3">
      <c r="A1242" s="2" t="s">
        <v>1389</v>
      </c>
      <c r="B1242" s="3">
        <v>155457</v>
      </c>
      <c r="C1242" s="3">
        <v>890426</v>
      </c>
      <c r="D1242" s="4" t="s">
        <v>81</v>
      </c>
      <c r="E1242" s="4" t="s">
        <v>742</v>
      </c>
      <c r="F1242" s="4" t="s">
        <v>83</v>
      </c>
      <c r="G1242" s="4" t="s">
        <v>20</v>
      </c>
      <c r="H1242" s="5">
        <v>-300000</v>
      </c>
      <c r="I1242" s="4" t="s">
        <v>34</v>
      </c>
      <c r="J1242" s="5">
        <f t="shared" si="19"/>
        <v>350700</v>
      </c>
      <c r="K1242" s="4" t="s">
        <v>42</v>
      </c>
      <c r="L1242" s="6">
        <v>1.169</v>
      </c>
      <c r="M1242" s="6">
        <v>0.85540000000000005</v>
      </c>
      <c r="N1242" s="6">
        <v>4.2119</v>
      </c>
      <c r="O1242" s="6">
        <v>3.6070000000000002</v>
      </c>
      <c r="P1242" s="5">
        <v>1459.0050000000001</v>
      </c>
      <c r="Q1242" s="4" t="s">
        <v>1396</v>
      </c>
    </row>
    <row r="1243" spans="1:17" x14ac:dyDescent="0.3">
      <c r="A1243" s="2" t="s">
        <v>1389</v>
      </c>
      <c r="B1243" s="3">
        <v>155458</v>
      </c>
      <c r="C1243" s="3">
        <v>215138</v>
      </c>
      <c r="D1243" s="4" t="s">
        <v>17</v>
      </c>
      <c r="E1243" s="4" t="s">
        <v>1281</v>
      </c>
      <c r="F1243" s="4" t="s">
        <v>19</v>
      </c>
      <c r="G1243" s="4" t="s">
        <v>20</v>
      </c>
      <c r="H1243" s="5">
        <v>11500</v>
      </c>
      <c r="I1243" s="4" t="s">
        <v>21</v>
      </c>
      <c r="J1243" s="5">
        <f t="shared" si="19"/>
        <v>-47729.600000000006</v>
      </c>
      <c r="K1243" s="4" t="s">
        <v>46</v>
      </c>
      <c r="L1243" s="6">
        <v>4.1504000000000003</v>
      </c>
      <c r="M1243" s="6">
        <v>0.2409</v>
      </c>
      <c r="N1243" s="6">
        <v>4.2110000000000003</v>
      </c>
      <c r="O1243" s="6">
        <v>1</v>
      </c>
      <c r="P1243" s="5">
        <v>696.89999999999418</v>
      </c>
      <c r="Q1243" s="4" t="s">
        <v>1390</v>
      </c>
    </row>
    <row r="1244" spans="1:17" x14ac:dyDescent="0.3">
      <c r="A1244" s="2" t="s">
        <v>1389</v>
      </c>
      <c r="B1244" s="3">
        <v>155459</v>
      </c>
      <c r="C1244" s="3">
        <v>890430</v>
      </c>
      <c r="D1244" s="4" t="s">
        <v>81</v>
      </c>
      <c r="E1244" s="4" t="s">
        <v>1077</v>
      </c>
      <c r="F1244" s="4" t="s">
        <v>87</v>
      </c>
      <c r="G1244" s="4" t="s">
        <v>20</v>
      </c>
      <c r="H1244" s="5">
        <v>25000</v>
      </c>
      <c r="I1244" s="4" t="s">
        <v>21</v>
      </c>
      <c r="J1244" s="5">
        <f t="shared" si="19"/>
        <v>-105255.00000000001</v>
      </c>
      <c r="K1244" s="4" t="s">
        <v>42</v>
      </c>
      <c r="L1244" s="6">
        <v>4.2102000000000004</v>
      </c>
      <c r="M1244" s="6">
        <v>0.23749999999999999</v>
      </c>
      <c r="N1244" s="6">
        <v>4.2119</v>
      </c>
      <c r="O1244" s="6">
        <v>1</v>
      </c>
      <c r="P1244" s="5">
        <v>42.5</v>
      </c>
      <c r="Q1244" s="4" t="s">
        <v>1390</v>
      </c>
    </row>
    <row r="1245" spans="1:17" x14ac:dyDescent="0.3">
      <c r="A1245" s="2" t="s">
        <v>1389</v>
      </c>
      <c r="B1245" s="3">
        <v>155460</v>
      </c>
      <c r="C1245" s="3">
        <v>890437</v>
      </c>
      <c r="D1245" s="4" t="s">
        <v>81</v>
      </c>
      <c r="E1245" s="4" t="s">
        <v>1077</v>
      </c>
      <c r="F1245" s="4" t="s">
        <v>87</v>
      </c>
      <c r="G1245" s="4" t="s">
        <v>20</v>
      </c>
      <c r="H1245" s="5">
        <v>25000</v>
      </c>
      <c r="I1245" s="4" t="s">
        <v>21</v>
      </c>
      <c r="J1245" s="5">
        <f t="shared" si="19"/>
        <v>-105262.49999999999</v>
      </c>
      <c r="K1245" s="4" t="s">
        <v>42</v>
      </c>
      <c r="L1245" s="6">
        <v>4.2104999999999997</v>
      </c>
      <c r="M1245" s="6">
        <v>0.23749999999999999</v>
      </c>
      <c r="N1245" s="6">
        <v>4.2119</v>
      </c>
      <c r="O1245" s="6">
        <v>1</v>
      </c>
      <c r="P1245" s="5">
        <v>35</v>
      </c>
      <c r="Q1245" s="4" t="s">
        <v>1390</v>
      </c>
    </row>
    <row r="1246" spans="1:17" x14ac:dyDescent="0.3">
      <c r="A1246" s="2" t="s">
        <v>1389</v>
      </c>
      <c r="B1246" s="3">
        <v>155461</v>
      </c>
      <c r="C1246" s="3">
        <v>215140</v>
      </c>
      <c r="D1246" s="4" t="s">
        <v>17</v>
      </c>
      <c r="E1246" s="4" t="s">
        <v>775</v>
      </c>
      <c r="F1246" s="4" t="s">
        <v>32</v>
      </c>
      <c r="G1246" s="4" t="s">
        <v>20</v>
      </c>
      <c r="H1246" s="5">
        <v>-2607.6799999999998</v>
      </c>
      <c r="I1246" s="4" t="s">
        <v>21</v>
      </c>
      <c r="J1246" s="5">
        <f t="shared" si="19"/>
        <v>10993.978880000001</v>
      </c>
      <c r="K1246" s="4" t="s">
        <v>46</v>
      </c>
      <c r="L1246" s="6">
        <v>4.2160000000000002</v>
      </c>
      <c r="M1246" s="6">
        <v>0.23719999999999999</v>
      </c>
      <c r="N1246" s="6">
        <v>4.2110000000000003</v>
      </c>
      <c r="O1246" s="6">
        <v>1</v>
      </c>
      <c r="P1246" s="5">
        <v>13.03952</v>
      </c>
      <c r="Q1246" s="4" t="s">
        <v>1390</v>
      </c>
    </row>
    <row r="1247" spans="1:17" x14ac:dyDescent="0.3">
      <c r="A1247" s="2" t="s">
        <v>1389</v>
      </c>
      <c r="B1247" s="3">
        <v>155462</v>
      </c>
      <c r="C1247" s="3">
        <v>215142</v>
      </c>
      <c r="D1247" s="4" t="s">
        <v>17</v>
      </c>
      <c r="E1247" s="4" t="s">
        <v>1138</v>
      </c>
      <c r="F1247" s="4" t="s">
        <v>19</v>
      </c>
      <c r="G1247" s="4" t="s">
        <v>20</v>
      </c>
      <c r="H1247" s="5">
        <v>28400</v>
      </c>
      <c r="I1247" s="4" t="s">
        <v>34</v>
      </c>
      <c r="J1247" s="5">
        <f t="shared" si="19"/>
        <v>-33168.36</v>
      </c>
      <c r="K1247" s="4" t="s">
        <v>46</v>
      </c>
      <c r="L1247" s="6">
        <v>1.1678999999999999</v>
      </c>
      <c r="M1247" s="6">
        <v>0.85619999999999996</v>
      </c>
      <c r="N1247" s="6">
        <v>4.2110000000000003</v>
      </c>
      <c r="O1247" s="6">
        <v>3.6044999999999998</v>
      </c>
      <c r="P1247" s="5">
        <v>37.046380000014324</v>
      </c>
      <c r="Q1247" s="4" t="s">
        <v>1390</v>
      </c>
    </row>
    <row r="1248" spans="1:17" x14ac:dyDescent="0.3">
      <c r="A1248" s="2" t="s">
        <v>1389</v>
      </c>
      <c r="B1248" s="3">
        <v>155463</v>
      </c>
      <c r="C1248" s="3">
        <v>890454</v>
      </c>
      <c r="D1248" s="4" t="s">
        <v>81</v>
      </c>
      <c r="E1248" s="4" t="s">
        <v>1077</v>
      </c>
      <c r="F1248" s="4" t="s">
        <v>87</v>
      </c>
      <c r="G1248" s="4" t="s">
        <v>20</v>
      </c>
      <c r="H1248" s="5">
        <v>25000</v>
      </c>
      <c r="I1248" s="4" t="s">
        <v>21</v>
      </c>
      <c r="J1248" s="5">
        <f t="shared" si="19"/>
        <v>-105255.00000000001</v>
      </c>
      <c r="K1248" s="4" t="s">
        <v>42</v>
      </c>
      <c r="L1248" s="6">
        <v>4.2102000000000004</v>
      </c>
      <c r="M1248" s="6">
        <v>0.23749999999999999</v>
      </c>
      <c r="N1248" s="6">
        <v>4.2119</v>
      </c>
      <c r="O1248" s="6">
        <v>1</v>
      </c>
      <c r="P1248" s="5">
        <v>42.5</v>
      </c>
      <c r="Q1248" s="4" t="s">
        <v>1390</v>
      </c>
    </row>
    <row r="1249" spans="1:17" x14ac:dyDescent="0.3">
      <c r="A1249" s="2" t="s">
        <v>1389</v>
      </c>
      <c r="B1249" s="3">
        <v>155464</v>
      </c>
      <c r="C1249" s="3">
        <v>215145</v>
      </c>
      <c r="D1249" s="4" t="s">
        <v>17</v>
      </c>
      <c r="E1249" s="4" t="s">
        <v>832</v>
      </c>
      <c r="F1249" s="4" t="s">
        <v>32</v>
      </c>
      <c r="G1249" s="4" t="s">
        <v>20</v>
      </c>
      <c r="H1249" s="5">
        <v>-5000</v>
      </c>
      <c r="I1249" s="4" t="s">
        <v>21</v>
      </c>
      <c r="J1249" s="5">
        <f t="shared" si="19"/>
        <v>21126.999999999996</v>
      </c>
      <c r="K1249" s="4" t="s">
        <v>46</v>
      </c>
      <c r="L1249" s="6">
        <v>4.2253999999999996</v>
      </c>
      <c r="M1249" s="6">
        <v>0.23669999999999999</v>
      </c>
      <c r="N1249" s="6">
        <v>4.2110000000000003</v>
      </c>
      <c r="O1249" s="6">
        <v>1</v>
      </c>
      <c r="P1249" s="5">
        <v>70</v>
      </c>
      <c r="Q1249" s="4" t="s">
        <v>1390</v>
      </c>
    </row>
    <row r="1250" spans="1:17" x14ac:dyDescent="0.3">
      <c r="A1250" s="2" t="s">
        <v>1389</v>
      </c>
      <c r="B1250" s="3">
        <v>155465</v>
      </c>
      <c r="C1250" s="3">
        <v>215149</v>
      </c>
      <c r="D1250" s="4" t="s">
        <v>17</v>
      </c>
      <c r="E1250" s="4" t="s">
        <v>773</v>
      </c>
      <c r="F1250" s="4" t="s">
        <v>19</v>
      </c>
      <c r="G1250" s="4" t="s">
        <v>20</v>
      </c>
      <c r="H1250" s="5">
        <v>40500</v>
      </c>
      <c r="I1250" s="4" t="s">
        <v>21</v>
      </c>
      <c r="J1250" s="5">
        <f t="shared" si="19"/>
        <v>-170116.2</v>
      </c>
      <c r="K1250" s="4" t="s">
        <v>46</v>
      </c>
      <c r="L1250" s="6">
        <v>4.2004000000000001</v>
      </c>
      <c r="M1250" s="6">
        <v>0.23810000000000001</v>
      </c>
      <c r="N1250" s="6">
        <v>4.2110000000000003</v>
      </c>
      <c r="O1250" s="6">
        <v>1</v>
      </c>
      <c r="P1250" s="5">
        <v>429.29999999998836</v>
      </c>
      <c r="Q1250" s="4" t="s">
        <v>1390</v>
      </c>
    </row>
    <row r="1251" spans="1:17" x14ac:dyDescent="0.3">
      <c r="A1251" s="2" t="s">
        <v>1389</v>
      </c>
      <c r="B1251" s="3">
        <v>155466</v>
      </c>
      <c r="C1251" s="3">
        <v>890474</v>
      </c>
      <c r="D1251" s="4" t="s">
        <v>81</v>
      </c>
      <c r="E1251" s="4" t="s">
        <v>735</v>
      </c>
      <c r="F1251" s="4" t="s">
        <v>83</v>
      </c>
      <c r="G1251" s="4" t="s">
        <v>20</v>
      </c>
      <c r="H1251" s="5">
        <v>-500000</v>
      </c>
      <c r="I1251" s="4" t="s">
        <v>21</v>
      </c>
      <c r="J1251" s="5">
        <f t="shared" si="19"/>
        <v>2106200</v>
      </c>
      <c r="K1251" s="4" t="s">
        <v>42</v>
      </c>
      <c r="L1251" s="6">
        <v>4.2123999999999997</v>
      </c>
      <c r="M1251" s="6">
        <v>0.2374</v>
      </c>
      <c r="N1251" s="6">
        <v>4.2119</v>
      </c>
      <c r="O1251" s="6">
        <v>1</v>
      </c>
      <c r="P1251" s="5">
        <v>250</v>
      </c>
      <c r="Q1251" s="4" t="s">
        <v>1394</v>
      </c>
    </row>
    <row r="1252" spans="1:17" x14ac:dyDescent="0.3">
      <c r="A1252" s="2" t="s">
        <v>1389</v>
      </c>
      <c r="B1252" s="3">
        <v>155468</v>
      </c>
      <c r="C1252" s="3">
        <v>890490</v>
      </c>
      <c r="D1252" s="4" t="s">
        <v>81</v>
      </c>
      <c r="E1252" s="4" t="s">
        <v>919</v>
      </c>
      <c r="F1252" s="4" t="s">
        <v>87</v>
      </c>
      <c r="G1252" s="4" t="s">
        <v>20</v>
      </c>
      <c r="H1252" s="5">
        <v>190000</v>
      </c>
      <c r="I1252" s="4" t="s">
        <v>21</v>
      </c>
      <c r="J1252" s="5">
        <f t="shared" si="19"/>
        <v>-800166</v>
      </c>
      <c r="K1252" s="4" t="s">
        <v>42</v>
      </c>
      <c r="L1252" s="6">
        <v>4.2114000000000003</v>
      </c>
      <c r="M1252" s="6">
        <v>0.23749999999999999</v>
      </c>
      <c r="N1252" s="6">
        <v>4.2119</v>
      </c>
      <c r="O1252" s="6">
        <v>1</v>
      </c>
      <c r="P1252" s="5">
        <v>95</v>
      </c>
      <c r="Q1252" s="4" t="s">
        <v>1390</v>
      </c>
    </row>
    <row r="1253" spans="1:17" x14ac:dyDescent="0.3">
      <c r="A1253" s="2" t="s">
        <v>1389</v>
      </c>
      <c r="B1253" s="3">
        <v>155469</v>
      </c>
      <c r="C1253" s="3">
        <v>215161</v>
      </c>
      <c r="D1253" s="4" t="s">
        <v>17</v>
      </c>
      <c r="E1253" s="4" t="s">
        <v>873</v>
      </c>
      <c r="F1253" s="4" t="s">
        <v>19</v>
      </c>
      <c r="G1253" s="4" t="s">
        <v>34</v>
      </c>
      <c r="H1253" s="5">
        <v>15985.22</v>
      </c>
      <c r="I1253" s="4" t="s">
        <v>21</v>
      </c>
      <c r="J1253" s="5">
        <f t="shared" si="19"/>
        <v>-57420.508761999998</v>
      </c>
      <c r="K1253" s="4" t="s">
        <v>46</v>
      </c>
      <c r="L1253" s="6">
        <v>3.5920999999999998</v>
      </c>
      <c r="M1253" s="6">
        <v>0.27839999999999998</v>
      </c>
      <c r="N1253" s="6">
        <v>3.6044999999999998</v>
      </c>
      <c r="O1253" s="6">
        <v>1</v>
      </c>
      <c r="P1253" s="5">
        <v>198.21672799999942</v>
      </c>
      <c r="Q1253" s="4" t="s">
        <v>1390</v>
      </c>
    </row>
    <row r="1254" spans="1:17" x14ac:dyDescent="0.3">
      <c r="A1254" s="2" t="s">
        <v>1389</v>
      </c>
      <c r="B1254" s="3">
        <v>155470</v>
      </c>
      <c r="C1254" s="3">
        <v>215164</v>
      </c>
      <c r="D1254" s="4" t="s">
        <v>17</v>
      </c>
      <c r="E1254" s="4" t="s">
        <v>1287</v>
      </c>
      <c r="F1254" s="4" t="s">
        <v>32</v>
      </c>
      <c r="G1254" s="4" t="s">
        <v>20</v>
      </c>
      <c r="H1254" s="5">
        <v>-308000</v>
      </c>
      <c r="I1254" s="4" t="s">
        <v>34</v>
      </c>
      <c r="J1254" s="5">
        <f t="shared" si="19"/>
        <v>360267.6</v>
      </c>
      <c r="K1254" s="4" t="s">
        <v>46</v>
      </c>
      <c r="L1254" s="6">
        <v>1.1697</v>
      </c>
      <c r="M1254" s="6">
        <v>0.85489999999999999</v>
      </c>
      <c r="N1254" s="6">
        <v>4.2110000000000003</v>
      </c>
      <c r="O1254" s="6">
        <v>3.6044999999999998</v>
      </c>
      <c r="P1254" s="5">
        <v>1374.527</v>
      </c>
      <c r="Q1254" s="4" t="s">
        <v>1390</v>
      </c>
    </row>
    <row r="1255" spans="1:17" x14ac:dyDescent="0.3">
      <c r="A1255" s="2" t="s">
        <v>1389</v>
      </c>
      <c r="B1255" s="3">
        <v>155471</v>
      </c>
      <c r="C1255" s="3">
        <v>890522</v>
      </c>
      <c r="D1255" s="4" t="s">
        <v>81</v>
      </c>
      <c r="E1255" s="4" t="s">
        <v>919</v>
      </c>
      <c r="F1255" s="4" t="s">
        <v>87</v>
      </c>
      <c r="G1255" s="4" t="s">
        <v>20</v>
      </c>
      <c r="H1255" s="5">
        <v>160000</v>
      </c>
      <c r="I1255" s="4" t="s">
        <v>21</v>
      </c>
      <c r="J1255" s="5">
        <f t="shared" si="19"/>
        <v>-674016</v>
      </c>
      <c r="K1255" s="4" t="s">
        <v>42</v>
      </c>
      <c r="L1255" s="6">
        <v>4.2126000000000001</v>
      </c>
      <c r="M1255" s="6">
        <v>0.2374</v>
      </c>
      <c r="N1255" s="6">
        <v>4.2119</v>
      </c>
      <c r="O1255" s="6">
        <v>1</v>
      </c>
      <c r="P1255" s="5">
        <v>-112</v>
      </c>
      <c r="Q1255" s="4" t="s">
        <v>1390</v>
      </c>
    </row>
    <row r="1256" spans="1:17" x14ac:dyDescent="0.3">
      <c r="A1256" s="2" t="s">
        <v>1389</v>
      </c>
      <c r="B1256" s="3">
        <v>155472</v>
      </c>
      <c r="C1256" s="3">
        <v>890523</v>
      </c>
      <c r="D1256" s="4" t="s">
        <v>81</v>
      </c>
      <c r="E1256" s="4" t="s">
        <v>735</v>
      </c>
      <c r="F1256" s="4" t="s">
        <v>83</v>
      </c>
      <c r="G1256" s="4" t="s">
        <v>20</v>
      </c>
      <c r="H1256" s="5">
        <v>-500000</v>
      </c>
      <c r="I1256" s="4" t="s">
        <v>21</v>
      </c>
      <c r="J1256" s="5">
        <f t="shared" si="19"/>
        <v>2107000</v>
      </c>
      <c r="K1256" s="4" t="s">
        <v>42</v>
      </c>
      <c r="L1256" s="6">
        <v>4.2140000000000004</v>
      </c>
      <c r="M1256" s="6">
        <v>0.23730000000000001</v>
      </c>
      <c r="N1256" s="6">
        <v>4.2119</v>
      </c>
      <c r="O1256" s="6">
        <v>1</v>
      </c>
      <c r="P1256" s="5">
        <v>1050</v>
      </c>
      <c r="Q1256" s="4" t="s">
        <v>1394</v>
      </c>
    </row>
    <row r="1257" spans="1:17" x14ac:dyDescent="0.3">
      <c r="A1257" s="2" t="s">
        <v>1389</v>
      </c>
      <c r="B1257" s="3">
        <v>155473</v>
      </c>
      <c r="C1257" s="3">
        <v>890524</v>
      </c>
      <c r="D1257" s="4" t="s">
        <v>81</v>
      </c>
      <c r="E1257" s="4" t="s">
        <v>1262</v>
      </c>
      <c r="F1257" s="4" t="s">
        <v>87</v>
      </c>
      <c r="G1257" s="4" t="s">
        <v>20</v>
      </c>
      <c r="H1257" s="5">
        <v>4700</v>
      </c>
      <c r="I1257" s="4" t="s">
        <v>21</v>
      </c>
      <c r="J1257" s="5">
        <f t="shared" si="19"/>
        <v>-19779.95</v>
      </c>
      <c r="K1257" s="4" t="s">
        <v>42</v>
      </c>
      <c r="L1257" s="6">
        <v>4.2084999999999999</v>
      </c>
      <c r="M1257" s="6">
        <v>0.23760000000000001</v>
      </c>
      <c r="N1257" s="6">
        <v>4.2119</v>
      </c>
      <c r="O1257" s="6">
        <v>1</v>
      </c>
      <c r="P1257" s="5">
        <v>15.98</v>
      </c>
      <c r="Q1257" s="4" t="s">
        <v>1390</v>
      </c>
    </row>
    <row r="1258" spans="1:17" x14ac:dyDescent="0.3">
      <c r="A1258" s="2" t="s">
        <v>1389</v>
      </c>
      <c r="B1258" s="3">
        <v>155476</v>
      </c>
      <c r="C1258" s="3">
        <v>890528</v>
      </c>
      <c r="D1258" s="4" t="s">
        <v>81</v>
      </c>
      <c r="E1258" s="4" t="s">
        <v>1257</v>
      </c>
      <c r="F1258" s="4" t="s">
        <v>87</v>
      </c>
      <c r="G1258" s="4" t="s">
        <v>20</v>
      </c>
      <c r="H1258" s="5">
        <v>50000</v>
      </c>
      <c r="I1258" s="4" t="s">
        <v>21</v>
      </c>
      <c r="J1258" s="5">
        <f t="shared" si="19"/>
        <v>-210530.00000000003</v>
      </c>
      <c r="K1258" s="4" t="s">
        <v>42</v>
      </c>
      <c r="L1258" s="6">
        <v>4.2106000000000003</v>
      </c>
      <c r="M1258" s="6">
        <v>0.23749999999999999</v>
      </c>
      <c r="N1258" s="6">
        <v>4.2119</v>
      </c>
      <c r="O1258" s="6">
        <v>1</v>
      </c>
      <c r="P1258" s="5">
        <v>65</v>
      </c>
      <c r="Q1258" s="4" t="s">
        <v>1390</v>
      </c>
    </row>
    <row r="1259" spans="1:17" x14ac:dyDescent="0.3">
      <c r="A1259" s="2" t="s">
        <v>1389</v>
      </c>
      <c r="B1259" s="3">
        <v>155477</v>
      </c>
      <c r="C1259" s="3">
        <v>890532</v>
      </c>
      <c r="D1259" s="4" t="s">
        <v>81</v>
      </c>
      <c r="E1259" s="4" t="s">
        <v>735</v>
      </c>
      <c r="F1259" s="4" t="s">
        <v>83</v>
      </c>
      <c r="G1259" s="4" t="s">
        <v>20</v>
      </c>
      <c r="H1259" s="5">
        <v>-500000</v>
      </c>
      <c r="I1259" s="4" t="s">
        <v>21</v>
      </c>
      <c r="J1259" s="5">
        <f t="shared" si="19"/>
        <v>2106950</v>
      </c>
      <c r="K1259" s="4" t="s">
        <v>42</v>
      </c>
      <c r="L1259" s="6">
        <v>4.2138999999999998</v>
      </c>
      <c r="M1259" s="6">
        <v>0.23730000000000001</v>
      </c>
      <c r="N1259" s="6">
        <v>4.2119</v>
      </c>
      <c r="O1259" s="6">
        <v>1</v>
      </c>
      <c r="P1259" s="5">
        <v>1000</v>
      </c>
      <c r="Q1259" s="4" t="s">
        <v>1394</v>
      </c>
    </row>
    <row r="1260" spans="1:17" x14ac:dyDescent="0.3">
      <c r="A1260" s="2" t="s">
        <v>1389</v>
      </c>
      <c r="B1260" s="3">
        <v>155478</v>
      </c>
      <c r="C1260" s="3">
        <v>215166</v>
      </c>
      <c r="D1260" s="4" t="s">
        <v>17</v>
      </c>
      <c r="E1260" s="4" t="s">
        <v>1257</v>
      </c>
      <c r="F1260" s="4" t="s">
        <v>19</v>
      </c>
      <c r="G1260" s="4" t="s">
        <v>20</v>
      </c>
      <c r="H1260" s="5">
        <v>50000</v>
      </c>
      <c r="I1260" s="4" t="s">
        <v>21</v>
      </c>
      <c r="J1260" s="5">
        <f t="shared" si="19"/>
        <v>-210500</v>
      </c>
      <c r="K1260" s="4" t="s">
        <v>47</v>
      </c>
      <c r="L1260" s="6">
        <v>4.21</v>
      </c>
      <c r="M1260" s="6">
        <v>0.23749999999999999</v>
      </c>
      <c r="N1260" s="6">
        <v>4.2126999999999999</v>
      </c>
      <c r="O1260" s="6">
        <v>1</v>
      </c>
      <c r="P1260" s="5">
        <v>135</v>
      </c>
      <c r="Q1260" s="4" t="s">
        <v>1390</v>
      </c>
    </row>
    <row r="1261" spans="1:17" x14ac:dyDescent="0.3">
      <c r="A1261" s="2" t="s">
        <v>1389</v>
      </c>
      <c r="B1261" s="3">
        <v>155479</v>
      </c>
      <c r="C1261" s="3">
        <v>215168</v>
      </c>
      <c r="D1261" s="4" t="s">
        <v>17</v>
      </c>
      <c r="E1261" s="4" t="s">
        <v>1059</v>
      </c>
      <c r="F1261" s="4" t="s">
        <v>19</v>
      </c>
      <c r="G1261" s="4" t="s">
        <v>20</v>
      </c>
      <c r="H1261" s="5">
        <v>17344</v>
      </c>
      <c r="I1261" s="4" t="s">
        <v>34</v>
      </c>
      <c r="J1261" s="5">
        <f t="shared" si="19"/>
        <v>-20245.6512</v>
      </c>
      <c r="K1261" s="4" t="s">
        <v>46</v>
      </c>
      <c r="L1261" s="6">
        <v>1.1673</v>
      </c>
      <c r="M1261" s="6">
        <v>0.85670000000000002</v>
      </c>
      <c r="N1261" s="6">
        <v>4.2110000000000003</v>
      </c>
      <c r="O1261" s="6">
        <v>3.6044999999999998</v>
      </c>
      <c r="P1261" s="5">
        <v>60.134249599999748</v>
      </c>
      <c r="Q1261" s="4" t="s">
        <v>1390</v>
      </c>
    </row>
    <row r="1262" spans="1:17" x14ac:dyDescent="0.3">
      <c r="A1262" s="2" t="s">
        <v>1389</v>
      </c>
      <c r="B1262" s="3">
        <v>155481</v>
      </c>
      <c r="C1262" s="3">
        <v>890548</v>
      </c>
      <c r="D1262" s="4" t="s">
        <v>81</v>
      </c>
      <c r="E1262" s="4" t="s">
        <v>735</v>
      </c>
      <c r="F1262" s="4" t="s">
        <v>83</v>
      </c>
      <c r="G1262" s="4" t="s">
        <v>91</v>
      </c>
      <c r="H1262" s="5">
        <v>-100000</v>
      </c>
      <c r="I1262" s="4" t="s">
        <v>21</v>
      </c>
      <c r="J1262" s="5">
        <f t="shared" si="19"/>
        <v>486520</v>
      </c>
      <c r="K1262" s="4" t="s">
        <v>42</v>
      </c>
      <c r="L1262" s="6">
        <v>4.8651999999999997</v>
      </c>
      <c r="M1262" s="6">
        <v>0.20549999999999999</v>
      </c>
      <c r="N1262" s="6">
        <v>4.8471000000000002</v>
      </c>
      <c r="O1262" s="6">
        <v>1</v>
      </c>
      <c r="P1262" s="5">
        <v>1810</v>
      </c>
      <c r="Q1262" s="4" t="s">
        <v>1394</v>
      </c>
    </row>
    <row r="1263" spans="1:17" x14ac:dyDescent="0.3">
      <c r="A1263" s="2" t="s">
        <v>1389</v>
      </c>
      <c r="B1263" s="3">
        <v>155482</v>
      </c>
      <c r="C1263" s="3">
        <v>890549</v>
      </c>
      <c r="D1263" s="4" t="s">
        <v>81</v>
      </c>
      <c r="E1263" s="4" t="s">
        <v>730</v>
      </c>
      <c r="F1263" s="4" t="s">
        <v>83</v>
      </c>
      <c r="G1263" s="4" t="s">
        <v>20</v>
      </c>
      <c r="H1263" s="5">
        <v>-500000</v>
      </c>
      <c r="I1263" s="4" t="s">
        <v>21</v>
      </c>
      <c r="J1263" s="5">
        <f t="shared" si="19"/>
        <v>2106250</v>
      </c>
      <c r="K1263" s="4" t="s">
        <v>42</v>
      </c>
      <c r="L1263" s="6">
        <v>4.2125000000000004</v>
      </c>
      <c r="M1263" s="6">
        <v>0.2374</v>
      </c>
      <c r="N1263" s="6">
        <v>4.2119</v>
      </c>
      <c r="O1263" s="6">
        <v>1</v>
      </c>
      <c r="P1263" s="5">
        <v>300</v>
      </c>
      <c r="Q1263" s="4" t="s">
        <v>1396</v>
      </c>
    </row>
    <row r="1264" spans="1:17" x14ac:dyDescent="0.3">
      <c r="A1264" s="2" t="s">
        <v>1389</v>
      </c>
      <c r="B1264" s="3">
        <v>155484</v>
      </c>
      <c r="C1264" s="3">
        <v>215177</v>
      </c>
      <c r="D1264" s="4" t="s">
        <v>17</v>
      </c>
      <c r="E1264" s="4" t="s">
        <v>1131</v>
      </c>
      <c r="F1264" s="4" t="s">
        <v>32</v>
      </c>
      <c r="G1264" s="4" t="s">
        <v>20</v>
      </c>
      <c r="H1264" s="5">
        <v>-12000</v>
      </c>
      <c r="I1264" s="4" t="s">
        <v>21</v>
      </c>
      <c r="J1264" s="5">
        <f t="shared" si="19"/>
        <v>50634</v>
      </c>
      <c r="K1264" s="4" t="s">
        <v>46</v>
      </c>
      <c r="L1264" s="6">
        <v>4.2195</v>
      </c>
      <c r="M1264" s="6">
        <v>0.23699999999999999</v>
      </c>
      <c r="N1264" s="6">
        <v>4.2110000000000003</v>
      </c>
      <c r="O1264" s="6">
        <v>1</v>
      </c>
      <c r="P1264" s="5">
        <v>102</v>
      </c>
      <c r="Q1264" s="4" t="s">
        <v>1390</v>
      </c>
    </row>
    <row r="1265" spans="1:17" x14ac:dyDescent="0.3">
      <c r="A1265" s="2" t="s">
        <v>1389</v>
      </c>
      <c r="B1265" s="3">
        <v>155485</v>
      </c>
      <c r="C1265" s="3">
        <v>215178</v>
      </c>
      <c r="D1265" s="4" t="s">
        <v>17</v>
      </c>
      <c r="E1265" s="4" t="s">
        <v>1231</v>
      </c>
      <c r="F1265" s="4" t="s">
        <v>19</v>
      </c>
      <c r="G1265" s="4" t="s">
        <v>20</v>
      </c>
      <c r="H1265" s="5">
        <v>70000</v>
      </c>
      <c r="I1265" s="4" t="s">
        <v>21</v>
      </c>
      <c r="J1265" s="5">
        <f t="shared" si="19"/>
        <v>-294210</v>
      </c>
      <c r="K1265" s="4" t="s">
        <v>46</v>
      </c>
      <c r="L1265" s="6">
        <v>4.2030000000000003</v>
      </c>
      <c r="M1265" s="6">
        <v>0.2379</v>
      </c>
      <c r="N1265" s="6">
        <v>4.2110000000000003</v>
      </c>
      <c r="O1265" s="6">
        <v>1</v>
      </c>
      <c r="P1265" s="5">
        <v>560</v>
      </c>
      <c r="Q1265" s="4" t="s">
        <v>1390</v>
      </c>
    </row>
    <row r="1266" spans="1:17" x14ac:dyDescent="0.3">
      <c r="A1266" s="2" t="s">
        <v>1389</v>
      </c>
      <c r="B1266" s="3">
        <v>155486</v>
      </c>
      <c r="C1266" s="3">
        <v>890580</v>
      </c>
      <c r="D1266" s="4" t="s">
        <v>81</v>
      </c>
      <c r="E1266" s="4" t="s">
        <v>1114</v>
      </c>
      <c r="F1266" s="4" t="s">
        <v>83</v>
      </c>
      <c r="G1266" s="4" t="s">
        <v>20</v>
      </c>
      <c r="H1266" s="5">
        <v>-100000</v>
      </c>
      <c r="I1266" s="4" t="s">
        <v>21</v>
      </c>
      <c r="J1266" s="5">
        <f t="shared" si="19"/>
        <v>421450</v>
      </c>
      <c r="K1266" s="4" t="s">
        <v>42</v>
      </c>
      <c r="L1266" s="6">
        <v>4.2145000000000001</v>
      </c>
      <c r="M1266" s="6">
        <v>0.23730000000000001</v>
      </c>
      <c r="N1266" s="6">
        <v>4.2119</v>
      </c>
      <c r="O1266" s="6">
        <v>1</v>
      </c>
      <c r="P1266" s="5">
        <v>260</v>
      </c>
      <c r="Q1266" s="4" t="s">
        <v>1390</v>
      </c>
    </row>
    <row r="1267" spans="1:17" x14ac:dyDescent="0.3">
      <c r="A1267" s="2" t="s">
        <v>1389</v>
      </c>
      <c r="B1267" s="3">
        <v>155487</v>
      </c>
      <c r="C1267" s="3">
        <v>890591</v>
      </c>
      <c r="D1267" s="4" t="s">
        <v>81</v>
      </c>
      <c r="E1267" s="4" t="s">
        <v>1077</v>
      </c>
      <c r="F1267" s="4" t="s">
        <v>87</v>
      </c>
      <c r="G1267" s="4" t="s">
        <v>20</v>
      </c>
      <c r="H1267" s="5">
        <v>25000</v>
      </c>
      <c r="I1267" s="4" t="s">
        <v>21</v>
      </c>
      <c r="J1267" s="5">
        <f t="shared" si="19"/>
        <v>-105265.00000000001</v>
      </c>
      <c r="K1267" s="4" t="s">
        <v>42</v>
      </c>
      <c r="L1267" s="6">
        <v>4.2106000000000003</v>
      </c>
      <c r="M1267" s="6">
        <v>0.23749999999999999</v>
      </c>
      <c r="N1267" s="6">
        <v>4.2119</v>
      </c>
      <c r="O1267" s="6">
        <v>1</v>
      </c>
      <c r="P1267" s="5">
        <v>32.5</v>
      </c>
      <c r="Q1267" s="4" t="s">
        <v>1390</v>
      </c>
    </row>
    <row r="1268" spans="1:17" x14ac:dyDescent="0.3">
      <c r="A1268" s="2" t="s">
        <v>1389</v>
      </c>
      <c r="B1268" s="3">
        <v>155488</v>
      </c>
      <c r="C1268" s="3">
        <v>890592</v>
      </c>
      <c r="D1268" s="4" t="s">
        <v>81</v>
      </c>
      <c r="E1268" s="4" t="s">
        <v>734</v>
      </c>
      <c r="F1268" s="4" t="s">
        <v>83</v>
      </c>
      <c r="G1268" s="4" t="s">
        <v>20</v>
      </c>
      <c r="H1268" s="5">
        <v>-100000</v>
      </c>
      <c r="I1268" s="4" t="s">
        <v>91</v>
      </c>
      <c r="J1268" s="5">
        <f t="shared" si="19"/>
        <v>86620</v>
      </c>
      <c r="K1268" s="4" t="s">
        <v>42</v>
      </c>
      <c r="L1268" s="6">
        <v>0.86619999999999997</v>
      </c>
      <c r="M1268" s="6">
        <v>1.1544000000000001</v>
      </c>
      <c r="N1268" s="6">
        <v>4.2119</v>
      </c>
      <c r="O1268" s="6">
        <v>4.8471000000000002</v>
      </c>
      <c r="P1268" s="5">
        <v>-1314.8096</v>
      </c>
      <c r="Q1268" s="4" t="s">
        <v>1393</v>
      </c>
    </row>
    <row r="1269" spans="1:17" x14ac:dyDescent="0.3">
      <c r="A1269" s="2" t="s">
        <v>1389</v>
      </c>
      <c r="B1269" s="3">
        <v>155489</v>
      </c>
      <c r="C1269" s="3">
        <v>890599</v>
      </c>
      <c r="D1269" s="4" t="s">
        <v>81</v>
      </c>
      <c r="E1269" s="4" t="s">
        <v>735</v>
      </c>
      <c r="F1269" s="4" t="s">
        <v>83</v>
      </c>
      <c r="G1269" s="4" t="s">
        <v>34</v>
      </c>
      <c r="H1269" s="5">
        <v>-500000</v>
      </c>
      <c r="I1269" s="4" t="s">
        <v>21</v>
      </c>
      <c r="J1269" s="5">
        <f t="shared" si="19"/>
        <v>1802500</v>
      </c>
      <c r="K1269" s="4" t="s">
        <v>42</v>
      </c>
      <c r="L1269" s="6">
        <v>3.605</v>
      </c>
      <c r="M1269" s="6">
        <v>0.27739999999999998</v>
      </c>
      <c r="N1269" s="6">
        <v>3.6070000000000002</v>
      </c>
      <c r="O1269" s="6">
        <v>1</v>
      </c>
      <c r="P1269" s="5">
        <v>-1000</v>
      </c>
      <c r="Q1269" s="4" t="s">
        <v>1394</v>
      </c>
    </row>
    <row r="1270" spans="1:17" x14ac:dyDescent="0.3">
      <c r="A1270" s="2" t="s">
        <v>1389</v>
      </c>
      <c r="B1270" s="3">
        <v>155490</v>
      </c>
      <c r="C1270" s="3">
        <v>215186</v>
      </c>
      <c r="D1270" s="4" t="s">
        <v>17</v>
      </c>
      <c r="E1270" s="4" t="s">
        <v>860</v>
      </c>
      <c r="F1270" s="4" t="s">
        <v>32</v>
      </c>
      <c r="G1270" s="4" t="s">
        <v>20</v>
      </c>
      <c r="H1270" s="5">
        <v>-15000</v>
      </c>
      <c r="I1270" s="4" t="s">
        <v>21</v>
      </c>
      <c r="J1270" s="5">
        <f t="shared" si="19"/>
        <v>64230</v>
      </c>
      <c r="K1270" s="4" t="s">
        <v>46</v>
      </c>
      <c r="L1270" s="6">
        <v>4.282</v>
      </c>
      <c r="M1270" s="6">
        <v>0.23350000000000001</v>
      </c>
      <c r="N1270" s="6">
        <v>4.2110000000000003</v>
      </c>
      <c r="O1270" s="6">
        <v>1</v>
      </c>
      <c r="P1270" s="5">
        <v>1065</v>
      </c>
      <c r="Q1270" s="4" t="s">
        <v>1390</v>
      </c>
    </row>
    <row r="1271" spans="1:17" x14ac:dyDescent="0.3">
      <c r="A1271" s="2" t="s">
        <v>1389</v>
      </c>
      <c r="B1271" s="3">
        <v>155491</v>
      </c>
      <c r="C1271" s="3">
        <v>890616</v>
      </c>
      <c r="D1271" s="4" t="s">
        <v>81</v>
      </c>
      <c r="E1271" s="4" t="s">
        <v>732</v>
      </c>
      <c r="F1271" s="4" t="s">
        <v>87</v>
      </c>
      <c r="G1271" s="4" t="s">
        <v>20</v>
      </c>
      <c r="H1271" s="5">
        <v>500000</v>
      </c>
      <c r="I1271" s="4" t="s">
        <v>21</v>
      </c>
      <c r="J1271" s="5">
        <f t="shared" si="19"/>
        <v>-2106850</v>
      </c>
      <c r="K1271" s="4" t="s">
        <v>42</v>
      </c>
      <c r="L1271" s="6">
        <v>4.2137000000000002</v>
      </c>
      <c r="M1271" s="6">
        <v>0.23730000000000001</v>
      </c>
      <c r="N1271" s="6">
        <v>4.2119</v>
      </c>
      <c r="O1271" s="6">
        <v>1</v>
      </c>
      <c r="P1271" s="5">
        <v>-900</v>
      </c>
      <c r="Q1271" s="4" t="s">
        <v>1394</v>
      </c>
    </row>
    <row r="1272" spans="1:17" x14ac:dyDescent="0.3">
      <c r="A1272" s="2" t="s">
        <v>1389</v>
      </c>
      <c r="B1272" s="3">
        <v>155492</v>
      </c>
      <c r="C1272" s="3">
        <v>215194</v>
      </c>
      <c r="D1272" s="4" t="s">
        <v>17</v>
      </c>
      <c r="E1272" s="4" t="s">
        <v>1103</v>
      </c>
      <c r="F1272" s="4" t="s">
        <v>19</v>
      </c>
      <c r="G1272" s="4" t="s">
        <v>20</v>
      </c>
      <c r="H1272" s="5">
        <v>100000</v>
      </c>
      <c r="I1272" s="4" t="s">
        <v>21</v>
      </c>
      <c r="J1272" s="5">
        <f t="shared" si="19"/>
        <v>-420500</v>
      </c>
      <c r="K1272" s="4" t="s">
        <v>46</v>
      </c>
      <c r="L1272" s="6">
        <v>4.2050000000000001</v>
      </c>
      <c r="M1272" s="6">
        <v>0.23780000000000001</v>
      </c>
      <c r="N1272" s="6">
        <v>4.2110000000000003</v>
      </c>
      <c r="O1272" s="6">
        <v>1</v>
      </c>
      <c r="P1272" s="5">
        <v>600.00000000005821</v>
      </c>
      <c r="Q1272" s="4" t="s">
        <v>1390</v>
      </c>
    </row>
    <row r="1273" spans="1:17" x14ac:dyDescent="0.3">
      <c r="A1273" s="2" t="s">
        <v>1389</v>
      </c>
      <c r="B1273" s="3">
        <v>155493</v>
      </c>
      <c r="C1273" s="3">
        <v>215196</v>
      </c>
      <c r="D1273" s="4" t="s">
        <v>17</v>
      </c>
      <c r="E1273" s="4" t="s">
        <v>1248</v>
      </c>
      <c r="F1273" s="4" t="s">
        <v>19</v>
      </c>
      <c r="G1273" s="4" t="s">
        <v>20</v>
      </c>
      <c r="H1273" s="5">
        <v>23000</v>
      </c>
      <c r="I1273" s="4" t="s">
        <v>21</v>
      </c>
      <c r="J1273" s="5">
        <f t="shared" si="19"/>
        <v>-95219.999999999985</v>
      </c>
      <c r="K1273" s="4" t="s">
        <v>46</v>
      </c>
      <c r="L1273" s="6">
        <v>4.1399999999999997</v>
      </c>
      <c r="M1273" s="6">
        <v>0.24149999999999999</v>
      </c>
      <c r="N1273" s="6">
        <v>4.2110000000000003</v>
      </c>
      <c r="O1273" s="6">
        <v>1</v>
      </c>
      <c r="P1273" s="5">
        <v>1633.0000000000146</v>
      </c>
      <c r="Q1273" s="4" t="s">
        <v>1390</v>
      </c>
    </row>
    <row r="1274" spans="1:17" x14ac:dyDescent="0.3">
      <c r="A1274" s="2" t="s">
        <v>1389</v>
      </c>
      <c r="B1274" s="3">
        <v>155494</v>
      </c>
      <c r="C1274" s="3">
        <v>215197</v>
      </c>
      <c r="D1274" s="4" t="s">
        <v>17</v>
      </c>
      <c r="E1274" s="4" t="s">
        <v>779</v>
      </c>
      <c r="F1274" s="4" t="s">
        <v>32</v>
      </c>
      <c r="G1274" s="4" t="s">
        <v>34</v>
      </c>
      <c r="H1274" s="5">
        <v>-10647.8</v>
      </c>
      <c r="I1274" s="4" t="s">
        <v>21</v>
      </c>
      <c r="J1274" s="5">
        <f t="shared" si="19"/>
        <v>39343.620999999999</v>
      </c>
      <c r="K1274" s="4" t="s">
        <v>46</v>
      </c>
      <c r="L1274" s="6">
        <v>3.6949999999999998</v>
      </c>
      <c r="M1274" s="6">
        <v>0.27060000000000001</v>
      </c>
      <c r="N1274" s="6">
        <v>3.6044999999999998</v>
      </c>
      <c r="O1274" s="6">
        <v>1</v>
      </c>
      <c r="P1274" s="5">
        <v>4.8999999999999998E-3</v>
      </c>
      <c r="Q1274" s="4" t="s">
        <v>1390</v>
      </c>
    </row>
    <row r="1275" spans="1:17" x14ac:dyDescent="0.3">
      <c r="A1275" s="2" t="s">
        <v>1389</v>
      </c>
      <c r="B1275" s="3">
        <v>155495</v>
      </c>
      <c r="C1275" s="3">
        <v>215198</v>
      </c>
      <c r="D1275" s="4" t="s">
        <v>17</v>
      </c>
      <c r="E1275" s="4" t="s">
        <v>1208</v>
      </c>
      <c r="F1275" s="4" t="s">
        <v>32</v>
      </c>
      <c r="G1275" s="4" t="s">
        <v>20</v>
      </c>
      <c r="H1275" s="5">
        <v>-8400</v>
      </c>
      <c r="I1275" s="4" t="s">
        <v>21</v>
      </c>
      <c r="J1275" s="5">
        <f t="shared" si="19"/>
        <v>35439.600000000006</v>
      </c>
      <c r="K1275" s="4" t="s">
        <v>46</v>
      </c>
      <c r="L1275" s="6">
        <v>4.2190000000000003</v>
      </c>
      <c r="M1275" s="6">
        <v>0.23699999999999999</v>
      </c>
      <c r="N1275" s="6">
        <v>4.2110000000000003</v>
      </c>
      <c r="O1275" s="6">
        <v>1</v>
      </c>
      <c r="P1275" s="5">
        <v>67.2</v>
      </c>
      <c r="Q1275" s="4" t="s">
        <v>1390</v>
      </c>
    </row>
    <row r="1276" spans="1:17" x14ac:dyDescent="0.3">
      <c r="A1276" s="2" t="s">
        <v>1389</v>
      </c>
      <c r="B1276" s="3">
        <v>155496</v>
      </c>
      <c r="C1276" s="3">
        <v>890652</v>
      </c>
      <c r="D1276" s="4" t="s">
        <v>81</v>
      </c>
      <c r="E1276" s="4" t="s">
        <v>735</v>
      </c>
      <c r="F1276" s="4" t="s">
        <v>83</v>
      </c>
      <c r="G1276" s="4" t="s">
        <v>20</v>
      </c>
      <c r="H1276" s="5">
        <v>-1000000</v>
      </c>
      <c r="I1276" s="4" t="s">
        <v>21</v>
      </c>
      <c r="J1276" s="5">
        <f t="shared" si="19"/>
        <v>4212900</v>
      </c>
      <c r="K1276" s="4" t="s">
        <v>42</v>
      </c>
      <c r="L1276" s="6">
        <v>4.2129000000000003</v>
      </c>
      <c r="M1276" s="6">
        <v>0.2374</v>
      </c>
      <c r="N1276" s="6">
        <v>4.2119</v>
      </c>
      <c r="O1276" s="6">
        <v>1</v>
      </c>
      <c r="P1276" s="5">
        <v>1000</v>
      </c>
      <c r="Q1276" s="4" t="s">
        <v>1394</v>
      </c>
    </row>
    <row r="1277" spans="1:17" x14ac:dyDescent="0.3">
      <c r="A1277" s="2" t="s">
        <v>1389</v>
      </c>
      <c r="B1277" s="3">
        <v>155497</v>
      </c>
      <c r="C1277" s="3">
        <v>890653</v>
      </c>
      <c r="D1277" s="4" t="s">
        <v>81</v>
      </c>
      <c r="E1277" s="4" t="s">
        <v>725</v>
      </c>
      <c r="F1277" s="4" t="s">
        <v>83</v>
      </c>
      <c r="G1277" s="4" t="s">
        <v>20</v>
      </c>
      <c r="H1277" s="5">
        <v>-1000000</v>
      </c>
      <c r="I1277" s="4" t="s">
        <v>21</v>
      </c>
      <c r="J1277" s="5">
        <f t="shared" si="19"/>
        <v>4212700</v>
      </c>
      <c r="K1277" s="4" t="s">
        <v>42</v>
      </c>
      <c r="L1277" s="6">
        <v>4.2126999999999999</v>
      </c>
      <c r="M1277" s="6">
        <v>0.2374</v>
      </c>
      <c r="N1277" s="6">
        <v>4.2119</v>
      </c>
      <c r="O1277" s="6">
        <v>1</v>
      </c>
      <c r="P1277" s="5">
        <v>830</v>
      </c>
      <c r="Q1277" s="4" t="s">
        <v>1392</v>
      </c>
    </row>
    <row r="1278" spans="1:17" x14ac:dyDescent="0.3">
      <c r="A1278" s="2" t="s">
        <v>1389</v>
      </c>
      <c r="B1278" s="3">
        <v>155498</v>
      </c>
      <c r="C1278" s="3">
        <v>890654</v>
      </c>
      <c r="D1278" s="4" t="s">
        <v>81</v>
      </c>
      <c r="E1278" s="4" t="s">
        <v>735</v>
      </c>
      <c r="F1278" s="4" t="s">
        <v>83</v>
      </c>
      <c r="G1278" s="4" t="s">
        <v>20</v>
      </c>
      <c r="H1278" s="5">
        <v>-1000000</v>
      </c>
      <c r="I1278" s="4" t="s">
        <v>21</v>
      </c>
      <c r="J1278" s="5">
        <f t="shared" si="19"/>
        <v>4212800</v>
      </c>
      <c r="K1278" s="4" t="s">
        <v>42</v>
      </c>
      <c r="L1278" s="6">
        <v>4.2127999999999997</v>
      </c>
      <c r="M1278" s="6">
        <v>0.2374</v>
      </c>
      <c r="N1278" s="6">
        <v>4.2119</v>
      </c>
      <c r="O1278" s="6">
        <v>1</v>
      </c>
      <c r="P1278" s="5">
        <v>900</v>
      </c>
      <c r="Q1278" s="4" t="s">
        <v>1394</v>
      </c>
    </row>
    <row r="1279" spans="1:17" x14ac:dyDescent="0.3">
      <c r="A1279" s="2" t="s">
        <v>1389</v>
      </c>
      <c r="B1279" s="3">
        <v>155501</v>
      </c>
      <c r="C1279" s="3">
        <v>215200</v>
      </c>
      <c r="D1279" s="4" t="s">
        <v>17</v>
      </c>
      <c r="E1279" s="4" t="s">
        <v>1016</v>
      </c>
      <c r="F1279" s="4" t="s">
        <v>19</v>
      </c>
      <c r="G1279" s="4" t="s">
        <v>20</v>
      </c>
      <c r="H1279" s="5">
        <v>300000</v>
      </c>
      <c r="I1279" s="4" t="s">
        <v>21</v>
      </c>
      <c r="J1279" s="5">
        <f t="shared" si="19"/>
        <v>-1263300</v>
      </c>
      <c r="K1279" s="4" t="s">
        <v>46</v>
      </c>
      <c r="L1279" s="6">
        <v>4.2110000000000003</v>
      </c>
      <c r="M1279" s="6">
        <v>0.23749999999999999</v>
      </c>
      <c r="N1279" s="6">
        <v>4.2110000000000003</v>
      </c>
      <c r="O1279" s="6">
        <v>1</v>
      </c>
      <c r="P1279" s="5">
        <v>0</v>
      </c>
      <c r="Q1279" s="4" t="s">
        <v>1390</v>
      </c>
    </row>
    <row r="1280" spans="1:17" x14ac:dyDescent="0.3">
      <c r="A1280" s="2" t="s">
        <v>1389</v>
      </c>
      <c r="B1280" s="3">
        <v>155503</v>
      </c>
      <c r="C1280" s="3">
        <v>215201</v>
      </c>
      <c r="D1280" s="4" t="s">
        <v>17</v>
      </c>
      <c r="E1280" s="4" t="s">
        <v>1017</v>
      </c>
      <c r="F1280" s="4" t="s">
        <v>19</v>
      </c>
      <c r="G1280" s="4" t="s">
        <v>20</v>
      </c>
      <c r="H1280" s="5">
        <v>2500000</v>
      </c>
      <c r="I1280" s="4" t="s">
        <v>21</v>
      </c>
      <c r="J1280" s="5">
        <f t="shared" si="19"/>
        <v>-10527500</v>
      </c>
      <c r="K1280" s="4" t="s">
        <v>46</v>
      </c>
      <c r="L1280" s="6">
        <v>4.2110000000000003</v>
      </c>
      <c r="M1280" s="6">
        <v>0.23749999999999999</v>
      </c>
      <c r="N1280" s="6">
        <v>4.2110000000000003</v>
      </c>
      <c r="O1280" s="6">
        <v>1</v>
      </c>
      <c r="P1280" s="5">
        <v>0</v>
      </c>
      <c r="Q1280" s="4" t="s">
        <v>1390</v>
      </c>
    </row>
    <row r="1281" spans="1:17" x14ac:dyDescent="0.3">
      <c r="A1281" s="2" t="s">
        <v>1389</v>
      </c>
      <c r="B1281" s="3">
        <v>155507</v>
      </c>
      <c r="C1281" s="3">
        <v>890677</v>
      </c>
      <c r="D1281" s="4" t="s">
        <v>81</v>
      </c>
      <c r="E1281" s="4" t="s">
        <v>735</v>
      </c>
      <c r="F1281" s="4" t="s">
        <v>83</v>
      </c>
      <c r="G1281" s="4" t="s">
        <v>20</v>
      </c>
      <c r="H1281" s="5">
        <v>-500000</v>
      </c>
      <c r="I1281" s="4" t="s">
        <v>21</v>
      </c>
      <c r="J1281" s="5">
        <f t="shared" si="19"/>
        <v>2106550</v>
      </c>
      <c r="K1281" s="4" t="s">
        <v>42</v>
      </c>
      <c r="L1281" s="6">
        <v>4.2130999999999998</v>
      </c>
      <c r="M1281" s="6">
        <v>0.2374</v>
      </c>
      <c r="N1281" s="6">
        <v>4.2119</v>
      </c>
      <c r="O1281" s="6">
        <v>1</v>
      </c>
      <c r="P1281" s="5">
        <v>600</v>
      </c>
      <c r="Q1281" s="4" t="s">
        <v>1394</v>
      </c>
    </row>
    <row r="1282" spans="1:17" x14ac:dyDescent="0.3">
      <c r="A1282" s="2" t="s">
        <v>1389</v>
      </c>
      <c r="B1282" s="3">
        <v>155508</v>
      </c>
      <c r="C1282" s="3">
        <v>215206</v>
      </c>
      <c r="D1282" s="4" t="s">
        <v>17</v>
      </c>
      <c r="E1282" s="4" t="s">
        <v>1284</v>
      </c>
      <c r="F1282" s="4" t="s">
        <v>19</v>
      </c>
      <c r="G1282" s="4" t="s">
        <v>20</v>
      </c>
      <c r="H1282" s="5">
        <v>100000</v>
      </c>
      <c r="I1282" s="4" t="s">
        <v>21</v>
      </c>
      <c r="J1282" s="5">
        <f t="shared" si="19"/>
        <v>-420150</v>
      </c>
      <c r="K1282" s="4" t="s">
        <v>46</v>
      </c>
      <c r="L1282" s="6">
        <v>4.2015000000000002</v>
      </c>
      <c r="M1282" s="6">
        <v>0.23799999999999999</v>
      </c>
      <c r="N1282" s="6">
        <v>4.2110000000000003</v>
      </c>
      <c r="O1282" s="6">
        <v>1</v>
      </c>
      <c r="P1282" s="5">
        <v>950.00000000005821</v>
      </c>
      <c r="Q1282" s="4" t="s">
        <v>1390</v>
      </c>
    </row>
    <row r="1283" spans="1:17" x14ac:dyDescent="0.3">
      <c r="A1283" s="2" t="s">
        <v>1389</v>
      </c>
      <c r="B1283" s="3">
        <v>155509</v>
      </c>
      <c r="C1283" s="3">
        <v>215207</v>
      </c>
      <c r="D1283" s="4" t="s">
        <v>17</v>
      </c>
      <c r="E1283" s="4" t="s">
        <v>827</v>
      </c>
      <c r="F1283" s="4" t="s">
        <v>32</v>
      </c>
      <c r="G1283" s="4" t="s">
        <v>20</v>
      </c>
      <c r="H1283" s="5">
        <v>-50000</v>
      </c>
      <c r="I1283" s="4" t="s">
        <v>21</v>
      </c>
      <c r="J1283" s="5">
        <f t="shared" si="19"/>
        <v>210820</v>
      </c>
      <c r="K1283" s="4" t="s">
        <v>46</v>
      </c>
      <c r="L1283" s="6">
        <v>4.2164000000000001</v>
      </c>
      <c r="M1283" s="6">
        <v>0.23719999999999999</v>
      </c>
      <c r="N1283" s="6">
        <v>4.2110000000000003</v>
      </c>
      <c r="O1283" s="6">
        <v>1</v>
      </c>
      <c r="P1283" s="5">
        <v>250</v>
      </c>
      <c r="Q1283" s="4" t="s">
        <v>1390</v>
      </c>
    </row>
    <row r="1284" spans="1:17" x14ac:dyDescent="0.3">
      <c r="A1284" s="2" t="s">
        <v>1389</v>
      </c>
      <c r="B1284" s="3">
        <v>155510</v>
      </c>
      <c r="C1284" s="3">
        <v>890696</v>
      </c>
      <c r="D1284" s="4" t="s">
        <v>81</v>
      </c>
      <c r="E1284" s="4" t="s">
        <v>1037</v>
      </c>
      <c r="F1284" s="4" t="s">
        <v>87</v>
      </c>
      <c r="G1284" s="4" t="s">
        <v>34</v>
      </c>
      <c r="H1284" s="5">
        <v>11400</v>
      </c>
      <c r="I1284" s="4" t="s">
        <v>21</v>
      </c>
      <c r="J1284" s="5">
        <f t="shared" ref="J1284:J1347" si="20">-H1284*L1284</f>
        <v>-40920.300000000003</v>
      </c>
      <c r="K1284" s="4" t="s">
        <v>42</v>
      </c>
      <c r="L1284" s="6">
        <v>3.5895000000000001</v>
      </c>
      <c r="M1284" s="6">
        <v>0.27860000000000001</v>
      </c>
      <c r="N1284" s="6">
        <v>3.6070000000000002</v>
      </c>
      <c r="O1284" s="6">
        <v>1</v>
      </c>
      <c r="P1284" s="5">
        <v>199.5</v>
      </c>
      <c r="Q1284" s="4" t="s">
        <v>1390</v>
      </c>
    </row>
    <row r="1285" spans="1:17" x14ac:dyDescent="0.3">
      <c r="A1285" s="2" t="s">
        <v>1389</v>
      </c>
      <c r="B1285" s="3">
        <v>155511</v>
      </c>
      <c r="C1285" s="3">
        <v>890697</v>
      </c>
      <c r="D1285" s="4" t="s">
        <v>81</v>
      </c>
      <c r="E1285" s="4" t="s">
        <v>735</v>
      </c>
      <c r="F1285" s="4" t="s">
        <v>83</v>
      </c>
      <c r="G1285" s="4" t="s">
        <v>20</v>
      </c>
      <c r="H1285" s="5">
        <v>-500000</v>
      </c>
      <c r="I1285" s="4" t="s">
        <v>21</v>
      </c>
      <c r="J1285" s="5">
        <f t="shared" si="20"/>
        <v>2107200</v>
      </c>
      <c r="K1285" s="4" t="s">
        <v>42</v>
      </c>
      <c r="L1285" s="6">
        <v>4.2144000000000004</v>
      </c>
      <c r="M1285" s="6">
        <v>0.23730000000000001</v>
      </c>
      <c r="N1285" s="6">
        <v>4.2119</v>
      </c>
      <c r="O1285" s="6">
        <v>1</v>
      </c>
      <c r="P1285" s="5">
        <v>1250</v>
      </c>
      <c r="Q1285" s="4" t="s">
        <v>1394</v>
      </c>
    </row>
    <row r="1286" spans="1:17" x14ac:dyDescent="0.3">
      <c r="A1286" s="2" t="s">
        <v>1389</v>
      </c>
      <c r="B1286" s="3">
        <v>155512</v>
      </c>
      <c r="C1286" s="3">
        <v>215214</v>
      </c>
      <c r="D1286" s="4" t="s">
        <v>17</v>
      </c>
      <c r="E1286" s="4" t="s">
        <v>1169</v>
      </c>
      <c r="F1286" s="4" t="s">
        <v>19</v>
      </c>
      <c r="G1286" s="4" t="s">
        <v>20</v>
      </c>
      <c r="H1286" s="5">
        <v>200000</v>
      </c>
      <c r="I1286" s="4" t="s">
        <v>21</v>
      </c>
      <c r="J1286" s="5">
        <f t="shared" si="20"/>
        <v>-841660.00000000012</v>
      </c>
      <c r="K1286" s="4" t="s">
        <v>46</v>
      </c>
      <c r="L1286" s="6">
        <v>4.2083000000000004</v>
      </c>
      <c r="M1286" s="6">
        <v>0.23760000000000001</v>
      </c>
      <c r="N1286" s="6">
        <v>4.2110000000000003</v>
      </c>
      <c r="O1286" s="6">
        <v>1</v>
      </c>
      <c r="P1286" s="5">
        <v>540</v>
      </c>
      <c r="Q1286" s="4" t="s">
        <v>1390</v>
      </c>
    </row>
    <row r="1287" spans="1:17" x14ac:dyDescent="0.3">
      <c r="A1287" s="2" t="s">
        <v>1389</v>
      </c>
      <c r="B1287" s="3">
        <v>155513</v>
      </c>
      <c r="C1287" s="3">
        <v>215215</v>
      </c>
      <c r="D1287" s="4" t="s">
        <v>17</v>
      </c>
      <c r="E1287" s="4" t="s">
        <v>841</v>
      </c>
      <c r="F1287" s="4" t="s">
        <v>32</v>
      </c>
      <c r="G1287" s="4" t="s">
        <v>20</v>
      </c>
      <c r="H1287" s="5">
        <v>-25000</v>
      </c>
      <c r="I1287" s="4" t="s">
        <v>21</v>
      </c>
      <c r="J1287" s="5">
        <f t="shared" si="20"/>
        <v>105475.00000000001</v>
      </c>
      <c r="K1287" s="4" t="s">
        <v>46</v>
      </c>
      <c r="L1287" s="6">
        <v>4.2190000000000003</v>
      </c>
      <c r="M1287" s="6">
        <v>0.23699999999999999</v>
      </c>
      <c r="N1287" s="6">
        <v>4.2110000000000003</v>
      </c>
      <c r="O1287" s="6">
        <v>1</v>
      </c>
      <c r="P1287" s="5">
        <v>200</v>
      </c>
      <c r="Q1287" s="4" t="s">
        <v>1390</v>
      </c>
    </row>
    <row r="1288" spans="1:17" x14ac:dyDescent="0.3">
      <c r="A1288" s="2" t="s">
        <v>1389</v>
      </c>
      <c r="B1288" s="3">
        <v>155514</v>
      </c>
      <c r="C1288" s="3">
        <v>890713</v>
      </c>
      <c r="D1288" s="4" t="s">
        <v>81</v>
      </c>
      <c r="E1288" s="4" t="s">
        <v>734</v>
      </c>
      <c r="F1288" s="4" t="s">
        <v>87</v>
      </c>
      <c r="G1288" s="4" t="s">
        <v>20</v>
      </c>
      <c r="H1288" s="5">
        <v>500000</v>
      </c>
      <c r="I1288" s="4" t="s">
        <v>21</v>
      </c>
      <c r="J1288" s="5">
        <f t="shared" si="20"/>
        <v>-2107300</v>
      </c>
      <c r="K1288" s="4" t="s">
        <v>42</v>
      </c>
      <c r="L1288" s="6">
        <v>4.2145999999999999</v>
      </c>
      <c r="M1288" s="6">
        <v>0.23730000000000001</v>
      </c>
      <c r="N1288" s="6">
        <v>4.2119</v>
      </c>
      <c r="O1288" s="6">
        <v>1</v>
      </c>
      <c r="P1288" s="5">
        <v>-1350</v>
      </c>
      <c r="Q1288" s="4" t="s">
        <v>1393</v>
      </c>
    </row>
    <row r="1289" spans="1:17" x14ac:dyDescent="0.3">
      <c r="A1289" s="2" t="s">
        <v>1389</v>
      </c>
      <c r="B1289" s="3">
        <v>155515</v>
      </c>
      <c r="C1289" s="3">
        <v>215218</v>
      </c>
      <c r="D1289" s="4" t="s">
        <v>17</v>
      </c>
      <c r="E1289" s="4" t="s">
        <v>1188</v>
      </c>
      <c r="F1289" s="4" t="s">
        <v>19</v>
      </c>
      <c r="G1289" s="4" t="s">
        <v>20</v>
      </c>
      <c r="H1289" s="5">
        <v>6000</v>
      </c>
      <c r="I1289" s="4" t="s">
        <v>21</v>
      </c>
      <c r="J1289" s="5">
        <f t="shared" si="20"/>
        <v>-25258.800000000003</v>
      </c>
      <c r="K1289" s="4" t="s">
        <v>46</v>
      </c>
      <c r="L1289" s="6">
        <v>4.2098000000000004</v>
      </c>
      <c r="M1289" s="6">
        <v>0.23749999999999999</v>
      </c>
      <c r="N1289" s="6">
        <v>4.2110000000000003</v>
      </c>
      <c r="O1289" s="6">
        <v>1</v>
      </c>
      <c r="P1289" s="5">
        <v>7.1999999999970896</v>
      </c>
      <c r="Q1289" s="4" t="s">
        <v>1390</v>
      </c>
    </row>
    <row r="1290" spans="1:17" x14ac:dyDescent="0.3">
      <c r="A1290" s="2" t="s">
        <v>1389</v>
      </c>
      <c r="B1290" s="3">
        <v>155518</v>
      </c>
      <c r="C1290" s="3">
        <v>890741</v>
      </c>
      <c r="D1290" s="4" t="s">
        <v>81</v>
      </c>
      <c r="E1290" s="4" t="s">
        <v>1077</v>
      </c>
      <c r="F1290" s="4" t="s">
        <v>87</v>
      </c>
      <c r="G1290" s="4" t="s">
        <v>20</v>
      </c>
      <c r="H1290" s="5">
        <v>25000</v>
      </c>
      <c r="I1290" s="4" t="s">
        <v>21</v>
      </c>
      <c r="J1290" s="5">
        <f t="shared" si="20"/>
        <v>-105280</v>
      </c>
      <c r="K1290" s="4" t="s">
        <v>42</v>
      </c>
      <c r="L1290" s="6">
        <v>4.2111999999999998</v>
      </c>
      <c r="M1290" s="6">
        <v>0.23749999999999999</v>
      </c>
      <c r="N1290" s="6">
        <v>4.2119</v>
      </c>
      <c r="O1290" s="6">
        <v>1</v>
      </c>
      <c r="P1290" s="5">
        <v>17.5</v>
      </c>
      <c r="Q1290" s="4" t="s">
        <v>1390</v>
      </c>
    </row>
    <row r="1291" spans="1:17" x14ac:dyDescent="0.3">
      <c r="A1291" s="2" t="s">
        <v>1389</v>
      </c>
      <c r="B1291" s="3">
        <v>155519</v>
      </c>
      <c r="C1291" s="3">
        <v>215225</v>
      </c>
      <c r="D1291" s="4" t="s">
        <v>17</v>
      </c>
      <c r="E1291" s="4" t="s">
        <v>1180</v>
      </c>
      <c r="F1291" s="4" t="s">
        <v>19</v>
      </c>
      <c r="G1291" s="4" t="s">
        <v>91</v>
      </c>
      <c r="H1291" s="5">
        <v>51217.5</v>
      </c>
      <c r="I1291" s="4" t="s">
        <v>21</v>
      </c>
      <c r="J1291" s="5">
        <f t="shared" si="20"/>
        <v>-248660.96250000002</v>
      </c>
      <c r="K1291" s="4" t="s">
        <v>46</v>
      </c>
      <c r="L1291" s="6">
        <v>4.8550000000000004</v>
      </c>
      <c r="M1291" s="6">
        <v>0.20599999999999999</v>
      </c>
      <c r="N1291" s="6">
        <v>4.8457999999999997</v>
      </c>
      <c r="O1291" s="6">
        <v>1</v>
      </c>
      <c r="P1291" s="5">
        <v>-471.20100000003004</v>
      </c>
      <c r="Q1291" s="4" t="s">
        <v>1390</v>
      </c>
    </row>
    <row r="1292" spans="1:17" x14ac:dyDescent="0.3">
      <c r="A1292" s="2" t="s">
        <v>1389</v>
      </c>
      <c r="B1292" s="3">
        <v>155520</v>
      </c>
      <c r="C1292" s="3">
        <v>890748</v>
      </c>
      <c r="D1292" s="4" t="s">
        <v>81</v>
      </c>
      <c r="E1292" s="4" t="s">
        <v>734</v>
      </c>
      <c r="F1292" s="4" t="s">
        <v>87</v>
      </c>
      <c r="G1292" s="4" t="s">
        <v>20</v>
      </c>
      <c r="H1292" s="5">
        <v>100000</v>
      </c>
      <c r="I1292" s="4" t="s">
        <v>91</v>
      </c>
      <c r="J1292" s="5">
        <f t="shared" si="20"/>
        <v>-86620</v>
      </c>
      <c r="K1292" s="4" t="s">
        <v>42</v>
      </c>
      <c r="L1292" s="6">
        <v>0.86619999999999997</v>
      </c>
      <c r="M1292" s="6">
        <v>1.1545000000000001</v>
      </c>
      <c r="N1292" s="6">
        <v>4.2119</v>
      </c>
      <c r="O1292" s="6">
        <v>4.8471000000000002</v>
      </c>
      <c r="P1292" s="5">
        <v>1334.1980000000001</v>
      </c>
      <c r="Q1292" s="4" t="s">
        <v>1393</v>
      </c>
    </row>
    <row r="1293" spans="1:17" x14ac:dyDescent="0.3">
      <c r="A1293" s="2" t="s">
        <v>1389</v>
      </c>
      <c r="B1293" s="3">
        <v>155521</v>
      </c>
      <c r="C1293" s="3">
        <v>215232</v>
      </c>
      <c r="D1293" s="4" t="s">
        <v>17</v>
      </c>
      <c r="E1293" s="4" t="s">
        <v>846</v>
      </c>
      <c r="F1293" s="4" t="s">
        <v>19</v>
      </c>
      <c r="G1293" s="4" t="s">
        <v>20</v>
      </c>
      <c r="H1293" s="5">
        <v>30000</v>
      </c>
      <c r="I1293" s="4" t="s">
        <v>21</v>
      </c>
      <c r="J1293" s="5">
        <f t="shared" si="20"/>
        <v>-126366</v>
      </c>
      <c r="K1293" s="4" t="s">
        <v>46</v>
      </c>
      <c r="L1293" s="6">
        <v>4.2122000000000002</v>
      </c>
      <c r="M1293" s="6">
        <v>0.2374</v>
      </c>
      <c r="N1293" s="6">
        <v>4.2110000000000003</v>
      </c>
      <c r="O1293" s="6">
        <v>1</v>
      </c>
      <c r="P1293" s="5">
        <v>-35.999999999985448</v>
      </c>
      <c r="Q1293" s="4" t="s">
        <v>1390</v>
      </c>
    </row>
    <row r="1294" spans="1:17" x14ac:dyDescent="0.3">
      <c r="A1294" s="2" t="s">
        <v>1389</v>
      </c>
      <c r="B1294" s="3">
        <v>155530</v>
      </c>
      <c r="C1294" s="3">
        <v>215234</v>
      </c>
      <c r="D1294" s="4" t="s">
        <v>17</v>
      </c>
      <c r="E1294" s="4" t="s">
        <v>1345</v>
      </c>
      <c r="F1294" s="4" t="s">
        <v>19</v>
      </c>
      <c r="G1294" s="4" t="s">
        <v>20</v>
      </c>
      <c r="H1294" s="5">
        <v>50000</v>
      </c>
      <c r="I1294" s="4" t="s">
        <v>21</v>
      </c>
      <c r="J1294" s="5">
        <f t="shared" si="20"/>
        <v>-209925</v>
      </c>
      <c r="K1294" s="4" t="s">
        <v>46</v>
      </c>
      <c r="L1294" s="6">
        <v>4.1985000000000001</v>
      </c>
      <c r="M1294" s="6">
        <v>0.2382</v>
      </c>
      <c r="N1294" s="6">
        <v>4.2110000000000003</v>
      </c>
      <c r="O1294" s="6">
        <v>1</v>
      </c>
      <c r="P1294" s="5">
        <v>625.0000000000291</v>
      </c>
      <c r="Q1294" s="4" t="s">
        <v>1390</v>
      </c>
    </row>
    <row r="1295" spans="1:17" x14ac:dyDescent="0.3">
      <c r="A1295" s="2" t="s">
        <v>1389</v>
      </c>
      <c r="B1295" s="3">
        <v>155531</v>
      </c>
      <c r="C1295" s="3">
        <v>215237</v>
      </c>
      <c r="D1295" s="4" t="s">
        <v>17</v>
      </c>
      <c r="E1295" s="4" t="s">
        <v>1233</v>
      </c>
      <c r="F1295" s="4" t="s">
        <v>32</v>
      </c>
      <c r="G1295" s="4" t="s">
        <v>34</v>
      </c>
      <c r="H1295" s="5">
        <v>-5000</v>
      </c>
      <c r="I1295" s="4" t="s">
        <v>21</v>
      </c>
      <c r="J1295" s="5">
        <f t="shared" si="20"/>
        <v>18031.5</v>
      </c>
      <c r="K1295" s="4" t="s">
        <v>46</v>
      </c>
      <c r="L1295" s="6">
        <v>3.6063000000000001</v>
      </c>
      <c r="M1295" s="6">
        <v>0.27729999999999999</v>
      </c>
      <c r="N1295" s="6">
        <v>3.6044999999999998</v>
      </c>
      <c r="O1295" s="6">
        <v>1</v>
      </c>
      <c r="P1295" s="5">
        <v>9.5</v>
      </c>
      <c r="Q1295" s="4" t="s">
        <v>1390</v>
      </c>
    </row>
    <row r="1296" spans="1:17" x14ac:dyDescent="0.3">
      <c r="A1296" s="2" t="s">
        <v>1389</v>
      </c>
      <c r="B1296" s="3">
        <v>155532</v>
      </c>
      <c r="C1296" s="3">
        <v>890785</v>
      </c>
      <c r="D1296" s="4" t="s">
        <v>81</v>
      </c>
      <c r="E1296" s="4" t="s">
        <v>732</v>
      </c>
      <c r="F1296" s="4" t="s">
        <v>83</v>
      </c>
      <c r="G1296" s="4" t="s">
        <v>20</v>
      </c>
      <c r="H1296" s="5">
        <v>-500000</v>
      </c>
      <c r="I1296" s="4" t="s">
        <v>21</v>
      </c>
      <c r="J1296" s="5">
        <f t="shared" si="20"/>
        <v>2106900</v>
      </c>
      <c r="K1296" s="4" t="s">
        <v>42</v>
      </c>
      <c r="L1296" s="6">
        <v>4.2138</v>
      </c>
      <c r="M1296" s="6">
        <v>0.23730000000000001</v>
      </c>
      <c r="N1296" s="6">
        <v>4.2119</v>
      </c>
      <c r="O1296" s="6">
        <v>1</v>
      </c>
      <c r="P1296" s="5">
        <v>950</v>
      </c>
      <c r="Q1296" s="4" t="s">
        <v>1394</v>
      </c>
    </row>
    <row r="1297" spans="1:17" x14ac:dyDescent="0.3">
      <c r="A1297" s="2" t="s">
        <v>1389</v>
      </c>
      <c r="B1297" s="3">
        <v>155534</v>
      </c>
      <c r="C1297" s="3">
        <v>215241</v>
      </c>
      <c r="D1297" s="4" t="s">
        <v>17</v>
      </c>
      <c r="E1297" s="4" t="s">
        <v>1215</v>
      </c>
      <c r="F1297" s="4" t="s">
        <v>32</v>
      </c>
      <c r="G1297" s="4" t="s">
        <v>20</v>
      </c>
      <c r="H1297" s="5">
        <v>-35589</v>
      </c>
      <c r="I1297" s="4" t="s">
        <v>21</v>
      </c>
      <c r="J1297" s="5">
        <f t="shared" si="20"/>
        <v>150007.63500000001</v>
      </c>
      <c r="K1297" s="4" t="s">
        <v>46</v>
      </c>
      <c r="L1297" s="6">
        <v>4.2149999999999999</v>
      </c>
      <c r="M1297" s="6">
        <v>0.23719999999999999</v>
      </c>
      <c r="N1297" s="6">
        <v>4.2110000000000003</v>
      </c>
      <c r="O1297" s="6">
        <v>1</v>
      </c>
      <c r="P1297" s="5">
        <v>142.36099999999999</v>
      </c>
      <c r="Q1297" s="4" t="s">
        <v>1390</v>
      </c>
    </row>
    <row r="1298" spans="1:17" x14ac:dyDescent="0.3">
      <c r="A1298" s="2" t="s">
        <v>1389</v>
      </c>
      <c r="B1298" s="3">
        <v>155535</v>
      </c>
      <c r="C1298" s="3">
        <v>890801</v>
      </c>
      <c r="D1298" s="4" t="s">
        <v>81</v>
      </c>
      <c r="E1298" s="4" t="s">
        <v>734</v>
      </c>
      <c r="F1298" s="4" t="s">
        <v>83</v>
      </c>
      <c r="G1298" s="4" t="s">
        <v>20</v>
      </c>
      <c r="H1298" s="5">
        <v>-500000</v>
      </c>
      <c r="I1298" s="4" t="s">
        <v>21</v>
      </c>
      <c r="J1298" s="5">
        <f t="shared" si="20"/>
        <v>2107400</v>
      </c>
      <c r="K1298" s="4" t="s">
        <v>42</v>
      </c>
      <c r="L1298" s="6">
        <v>4.2148000000000003</v>
      </c>
      <c r="M1298" s="6">
        <v>0.23730000000000001</v>
      </c>
      <c r="N1298" s="6">
        <v>4.2119</v>
      </c>
      <c r="O1298" s="6">
        <v>1</v>
      </c>
      <c r="P1298" s="5">
        <v>1450</v>
      </c>
      <c r="Q1298" s="4" t="s">
        <v>1393</v>
      </c>
    </row>
    <row r="1299" spans="1:17" x14ac:dyDescent="0.3">
      <c r="A1299" s="2" t="s">
        <v>1389</v>
      </c>
      <c r="B1299" s="3">
        <v>155538</v>
      </c>
      <c r="C1299" s="3">
        <v>215244</v>
      </c>
      <c r="D1299" s="4" t="s">
        <v>17</v>
      </c>
      <c r="E1299" s="4" t="s">
        <v>1203</v>
      </c>
      <c r="F1299" s="4" t="s">
        <v>19</v>
      </c>
      <c r="G1299" s="4" t="s">
        <v>20</v>
      </c>
      <c r="H1299" s="5">
        <v>405000</v>
      </c>
      <c r="I1299" s="4" t="s">
        <v>21</v>
      </c>
      <c r="J1299" s="5">
        <f t="shared" si="20"/>
        <v>-1701972</v>
      </c>
      <c r="K1299" s="4" t="s">
        <v>46</v>
      </c>
      <c r="L1299" s="6">
        <v>4.2023999999999999</v>
      </c>
      <c r="M1299" s="6">
        <v>0.23799999999999999</v>
      </c>
      <c r="N1299" s="6">
        <v>4.2110000000000003</v>
      </c>
      <c r="O1299" s="6">
        <v>1</v>
      </c>
      <c r="P1299" s="5">
        <v>3483.0000000002328</v>
      </c>
      <c r="Q1299" s="4" t="s">
        <v>1390</v>
      </c>
    </row>
    <row r="1300" spans="1:17" x14ac:dyDescent="0.3">
      <c r="A1300" s="2" t="s">
        <v>1389</v>
      </c>
      <c r="B1300" s="3">
        <v>155539</v>
      </c>
      <c r="C1300" s="3">
        <v>215247</v>
      </c>
      <c r="D1300" s="4" t="s">
        <v>17</v>
      </c>
      <c r="E1300" s="4" t="s">
        <v>1083</v>
      </c>
      <c r="F1300" s="4" t="s">
        <v>19</v>
      </c>
      <c r="G1300" s="4" t="s">
        <v>20</v>
      </c>
      <c r="H1300" s="5">
        <v>48000</v>
      </c>
      <c r="I1300" s="4" t="s">
        <v>21</v>
      </c>
      <c r="J1300" s="5">
        <f t="shared" si="20"/>
        <v>-201715.19999999998</v>
      </c>
      <c r="K1300" s="4" t="s">
        <v>46</v>
      </c>
      <c r="L1300" s="6">
        <v>4.2023999999999999</v>
      </c>
      <c r="M1300" s="6">
        <v>0.23799999999999999</v>
      </c>
      <c r="N1300" s="6">
        <v>4.2110000000000003</v>
      </c>
      <c r="O1300" s="6">
        <v>1</v>
      </c>
      <c r="P1300" s="5">
        <v>412.80000000001746</v>
      </c>
      <c r="Q1300" s="4" t="s">
        <v>1390</v>
      </c>
    </row>
    <row r="1301" spans="1:17" x14ac:dyDescent="0.3">
      <c r="A1301" s="2" t="s">
        <v>1389</v>
      </c>
      <c r="B1301" s="3">
        <v>155540</v>
      </c>
      <c r="C1301" s="3">
        <v>215248</v>
      </c>
      <c r="D1301" s="4" t="s">
        <v>17</v>
      </c>
      <c r="E1301" s="4" t="s">
        <v>1152</v>
      </c>
      <c r="F1301" s="4" t="s">
        <v>32</v>
      </c>
      <c r="G1301" s="4" t="s">
        <v>20</v>
      </c>
      <c r="H1301" s="5">
        <v>-25000</v>
      </c>
      <c r="I1301" s="4" t="s">
        <v>21</v>
      </c>
      <c r="J1301" s="5">
        <f t="shared" si="20"/>
        <v>105760.00000000001</v>
      </c>
      <c r="K1301" s="4" t="s">
        <v>46</v>
      </c>
      <c r="L1301" s="6">
        <v>4.2304000000000004</v>
      </c>
      <c r="M1301" s="6">
        <v>0.2364</v>
      </c>
      <c r="N1301" s="6">
        <v>4.2110000000000003</v>
      </c>
      <c r="O1301" s="6">
        <v>1</v>
      </c>
      <c r="P1301" s="5">
        <v>475</v>
      </c>
      <c r="Q1301" s="4" t="s">
        <v>1390</v>
      </c>
    </row>
    <row r="1302" spans="1:17" x14ac:dyDescent="0.3">
      <c r="A1302" s="2" t="s">
        <v>1389</v>
      </c>
      <c r="B1302" s="3">
        <v>155541</v>
      </c>
      <c r="C1302" s="3">
        <v>215252</v>
      </c>
      <c r="D1302" s="4" t="s">
        <v>17</v>
      </c>
      <c r="E1302" s="4" t="s">
        <v>1240</v>
      </c>
      <c r="F1302" s="4" t="s">
        <v>19</v>
      </c>
      <c r="G1302" s="4" t="s">
        <v>20</v>
      </c>
      <c r="H1302" s="5">
        <v>150000</v>
      </c>
      <c r="I1302" s="4" t="s">
        <v>21</v>
      </c>
      <c r="J1302" s="5">
        <f t="shared" si="20"/>
        <v>-631665</v>
      </c>
      <c r="K1302" s="4" t="s">
        <v>29</v>
      </c>
      <c r="L1302" s="6">
        <v>4.2111000000000001</v>
      </c>
      <c r="M1302" s="6">
        <v>0.23749999999999999</v>
      </c>
      <c r="N1302" s="6">
        <v>4.2104999999999997</v>
      </c>
      <c r="O1302" s="6">
        <v>1</v>
      </c>
      <c r="P1302" s="5">
        <v>-90</v>
      </c>
      <c r="Q1302" s="4" t="s">
        <v>1390</v>
      </c>
    </row>
    <row r="1303" spans="1:17" x14ac:dyDescent="0.3">
      <c r="A1303" s="2" t="s">
        <v>1389</v>
      </c>
      <c r="B1303" s="3">
        <v>155542</v>
      </c>
      <c r="C1303" s="3">
        <v>215254</v>
      </c>
      <c r="D1303" s="4" t="s">
        <v>17</v>
      </c>
      <c r="E1303" s="4" t="s">
        <v>1170</v>
      </c>
      <c r="F1303" s="4" t="s">
        <v>32</v>
      </c>
      <c r="G1303" s="4" t="s">
        <v>20</v>
      </c>
      <c r="H1303" s="5">
        <v>-50000</v>
      </c>
      <c r="I1303" s="4" t="s">
        <v>21</v>
      </c>
      <c r="J1303" s="5">
        <f t="shared" si="20"/>
        <v>210825</v>
      </c>
      <c r="K1303" s="4" t="s">
        <v>46</v>
      </c>
      <c r="L1303" s="6">
        <v>4.2164999999999999</v>
      </c>
      <c r="M1303" s="6">
        <v>0.23719999999999999</v>
      </c>
      <c r="N1303" s="6">
        <v>4.2110000000000003</v>
      </c>
      <c r="O1303" s="6">
        <v>1</v>
      </c>
      <c r="P1303" s="5">
        <v>275</v>
      </c>
      <c r="Q1303" s="4" t="s">
        <v>1390</v>
      </c>
    </row>
    <row r="1304" spans="1:17" x14ac:dyDescent="0.3">
      <c r="A1304" s="2" t="s">
        <v>1389</v>
      </c>
      <c r="B1304" s="3">
        <v>155544</v>
      </c>
      <c r="C1304" s="3">
        <v>890895</v>
      </c>
      <c r="D1304" s="4" t="s">
        <v>81</v>
      </c>
      <c r="E1304" s="4" t="s">
        <v>742</v>
      </c>
      <c r="F1304" s="4" t="s">
        <v>83</v>
      </c>
      <c r="G1304" s="4" t="s">
        <v>20</v>
      </c>
      <c r="H1304" s="5">
        <v>-1000000</v>
      </c>
      <c r="I1304" s="4" t="s">
        <v>21</v>
      </c>
      <c r="J1304" s="5">
        <f t="shared" si="20"/>
        <v>4213400</v>
      </c>
      <c r="K1304" s="4" t="s">
        <v>42</v>
      </c>
      <c r="L1304" s="6">
        <v>4.2134</v>
      </c>
      <c r="M1304" s="6">
        <v>0.23730000000000001</v>
      </c>
      <c r="N1304" s="6">
        <v>4.2119</v>
      </c>
      <c r="O1304" s="6">
        <v>1</v>
      </c>
      <c r="P1304" s="5">
        <v>1500</v>
      </c>
      <c r="Q1304" s="4" t="s">
        <v>1396</v>
      </c>
    </row>
    <row r="1305" spans="1:17" x14ac:dyDescent="0.3">
      <c r="A1305" s="2" t="s">
        <v>1389</v>
      </c>
      <c r="B1305" s="3">
        <v>155546</v>
      </c>
      <c r="C1305" s="3">
        <v>890909</v>
      </c>
      <c r="D1305" s="4" t="s">
        <v>81</v>
      </c>
      <c r="E1305" s="4" t="s">
        <v>736</v>
      </c>
      <c r="F1305" s="4" t="s">
        <v>87</v>
      </c>
      <c r="G1305" s="4" t="s">
        <v>84</v>
      </c>
      <c r="H1305" s="5">
        <v>940000</v>
      </c>
      <c r="I1305" s="4" t="s">
        <v>21</v>
      </c>
      <c r="J1305" s="5">
        <f t="shared" si="20"/>
        <v>-368856</v>
      </c>
      <c r="K1305" s="4" t="s">
        <v>42</v>
      </c>
      <c r="L1305" s="6">
        <v>0.39240000000000003</v>
      </c>
      <c r="M1305" s="6">
        <v>2.5484</v>
      </c>
      <c r="N1305" s="6">
        <v>0.39119999999999999</v>
      </c>
      <c r="O1305" s="6">
        <v>1</v>
      </c>
      <c r="P1305" s="5">
        <v>-1128</v>
      </c>
      <c r="Q1305" s="4" t="s">
        <v>1390</v>
      </c>
    </row>
    <row r="1306" spans="1:17" x14ac:dyDescent="0.3">
      <c r="A1306" s="2" t="s">
        <v>1389</v>
      </c>
      <c r="B1306" s="3">
        <v>155547</v>
      </c>
      <c r="C1306" s="3">
        <v>890913</v>
      </c>
      <c r="D1306" s="4" t="s">
        <v>81</v>
      </c>
      <c r="E1306" s="4" t="s">
        <v>734</v>
      </c>
      <c r="F1306" s="4" t="s">
        <v>83</v>
      </c>
      <c r="G1306" s="4" t="s">
        <v>20</v>
      </c>
      <c r="H1306" s="5">
        <v>-100000</v>
      </c>
      <c r="I1306" s="4" t="s">
        <v>91</v>
      </c>
      <c r="J1306" s="5">
        <f t="shared" si="20"/>
        <v>86670</v>
      </c>
      <c r="K1306" s="4" t="s">
        <v>42</v>
      </c>
      <c r="L1306" s="6">
        <v>0.86670000000000003</v>
      </c>
      <c r="M1306" s="6">
        <v>1.1537999999999999</v>
      </c>
      <c r="N1306" s="6">
        <v>4.2119</v>
      </c>
      <c r="O1306" s="6">
        <v>4.8471000000000002</v>
      </c>
      <c r="P1306" s="5">
        <v>-1082.1487999999999</v>
      </c>
      <c r="Q1306" s="4" t="s">
        <v>1393</v>
      </c>
    </row>
    <row r="1307" spans="1:17" x14ac:dyDescent="0.3">
      <c r="A1307" s="2" t="s">
        <v>1389</v>
      </c>
      <c r="B1307" s="3">
        <v>155548</v>
      </c>
      <c r="C1307" s="3">
        <v>890914</v>
      </c>
      <c r="D1307" s="4" t="s">
        <v>81</v>
      </c>
      <c r="E1307" s="4" t="s">
        <v>730</v>
      </c>
      <c r="F1307" s="4" t="s">
        <v>87</v>
      </c>
      <c r="G1307" s="4" t="s">
        <v>20</v>
      </c>
      <c r="H1307" s="5">
        <v>100000</v>
      </c>
      <c r="I1307" s="4" t="s">
        <v>84</v>
      </c>
      <c r="J1307" s="5">
        <f t="shared" si="20"/>
        <v>-1073250</v>
      </c>
      <c r="K1307" s="4" t="s">
        <v>42</v>
      </c>
      <c r="L1307" s="6">
        <v>10.7325</v>
      </c>
      <c r="M1307" s="6">
        <v>9.3200000000000005E-2</v>
      </c>
      <c r="N1307" s="6">
        <v>4.2119</v>
      </c>
      <c r="O1307" s="6">
        <v>0.39119999999999999</v>
      </c>
      <c r="P1307" s="5">
        <v>1335.7736</v>
      </c>
      <c r="Q1307" s="4" t="s">
        <v>1396</v>
      </c>
    </row>
    <row r="1308" spans="1:17" x14ac:dyDescent="0.3">
      <c r="A1308" s="2" t="s">
        <v>1389</v>
      </c>
      <c r="B1308" s="3">
        <v>155549</v>
      </c>
      <c r="C1308" s="3">
        <v>890928</v>
      </c>
      <c r="D1308" s="4" t="s">
        <v>81</v>
      </c>
      <c r="E1308" s="4" t="s">
        <v>736</v>
      </c>
      <c r="F1308" s="4" t="s">
        <v>87</v>
      </c>
      <c r="G1308" s="4" t="s">
        <v>74</v>
      </c>
      <c r="H1308" s="5">
        <v>1480000</v>
      </c>
      <c r="I1308" s="4" t="s">
        <v>21</v>
      </c>
      <c r="J1308" s="5">
        <f t="shared" si="20"/>
        <v>-530284</v>
      </c>
      <c r="K1308" s="4" t="s">
        <v>42</v>
      </c>
      <c r="L1308" s="6">
        <v>0.35830000000000001</v>
      </c>
      <c r="M1308" s="6">
        <v>2.7909999999999999</v>
      </c>
      <c r="N1308" s="6">
        <v>0.35630000000000001</v>
      </c>
      <c r="O1308" s="6">
        <v>1</v>
      </c>
      <c r="P1308" s="5">
        <v>-2960</v>
      </c>
      <c r="Q1308" s="4" t="s">
        <v>1390</v>
      </c>
    </row>
    <row r="1309" spans="1:17" x14ac:dyDescent="0.3">
      <c r="A1309" s="2" t="s">
        <v>1389</v>
      </c>
      <c r="B1309" s="3">
        <v>155550</v>
      </c>
      <c r="C1309" s="3">
        <v>890932</v>
      </c>
      <c r="D1309" s="4" t="s">
        <v>81</v>
      </c>
      <c r="E1309" s="4" t="s">
        <v>736</v>
      </c>
      <c r="F1309" s="4" t="s">
        <v>87</v>
      </c>
      <c r="G1309" s="4" t="s">
        <v>89</v>
      </c>
      <c r="H1309" s="5">
        <v>1030000</v>
      </c>
      <c r="I1309" s="4" t="s">
        <v>21</v>
      </c>
      <c r="J1309" s="5">
        <f t="shared" si="20"/>
        <v>-580611</v>
      </c>
      <c r="K1309" s="4" t="s">
        <v>42</v>
      </c>
      <c r="L1309" s="6">
        <v>0.56369999999999998</v>
      </c>
      <c r="M1309" s="6">
        <v>1.774</v>
      </c>
      <c r="N1309" s="6">
        <v>0.56359999999999999</v>
      </c>
      <c r="O1309" s="6">
        <v>1</v>
      </c>
      <c r="P1309" s="5">
        <v>-103</v>
      </c>
      <c r="Q1309" s="4" t="s">
        <v>1390</v>
      </c>
    </row>
    <row r="1310" spans="1:17" x14ac:dyDescent="0.3">
      <c r="A1310" s="2" t="s">
        <v>1389</v>
      </c>
      <c r="B1310" s="3">
        <v>155551</v>
      </c>
      <c r="C1310" s="3">
        <v>890933</v>
      </c>
      <c r="D1310" s="4" t="s">
        <v>81</v>
      </c>
      <c r="E1310" s="4" t="s">
        <v>730</v>
      </c>
      <c r="F1310" s="4" t="s">
        <v>87</v>
      </c>
      <c r="G1310" s="4" t="s">
        <v>20</v>
      </c>
      <c r="H1310" s="5">
        <v>100000</v>
      </c>
      <c r="I1310" s="4" t="s">
        <v>74</v>
      </c>
      <c r="J1310" s="5">
        <f t="shared" si="20"/>
        <v>-1175820</v>
      </c>
      <c r="K1310" s="4" t="s">
        <v>42</v>
      </c>
      <c r="L1310" s="6">
        <v>11.7582</v>
      </c>
      <c r="M1310" s="6">
        <v>8.5000000000000006E-2</v>
      </c>
      <c r="N1310" s="6">
        <v>4.2119</v>
      </c>
      <c r="O1310" s="6">
        <v>0.35630000000000001</v>
      </c>
      <c r="P1310" s="5">
        <v>2246.0466000000001</v>
      </c>
      <c r="Q1310" s="4" t="s">
        <v>1396</v>
      </c>
    </row>
    <row r="1311" spans="1:17" x14ac:dyDescent="0.3">
      <c r="A1311" s="2" t="s">
        <v>1389</v>
      </c>
      <c r="B1311" s="3">
        <v>155552</v>
      </c>
      <c r="C1311" s="3">
        <v>890937</v>
      </c>
      <c r="D1311" s="4" t="s">
        <v>81</v>
      </c>
      <c r="E1311" s="4" t="s">
        <v>730</v>
      </c>
      <c r="F1311" s="4" t="s">
        <v>87</v>
      </c>
      <c r="G1311" s="4" t="s">
        <v>20</v>
      </c>
      <c r="H1311" s="5">
        <v>200000</v>
      </c>
      <c r="I1311" s="4" t="s">
        <v>89</v>
      </c>
      <c r="J1311" s="5">
        <f t="shared" si="20"/>
        <v>-1494480</v>
      </c>
      <c r="K1311" s="4" t="s">
        <v>42</v>
      </c>
      <c r="L1311" s="6">
        <v>7.4724000000000004</v>
      </c>
      <c r="M1311" s="6">
        <v>0.1338</v>
      </c>
      <c r="N1311" s="6">
        <v>4.2119</v>
      </c>
      <c r="O1311" s="6">
        <v>0.56359999999999999</v>
      </c>
      <c r="P1311" s="5">
        <v>86.563199999999995</v>
      </c>
      <c r="Q1311" s="4" t="s">
        <v>1396</v>
      </c>
    </row>
    <row r="1312" spans="1:17" x14ac:dyDescent="0.3">
      <c r="A1312" s="2" t="s">
        <v>1389</v>
      </c>
      <c r="B1312" s="3">
        <v>155553</v>
      </c>
      <c r="C1312" s="3">
        <v>215266</v>
      </c>
      <c r="D1312" s="4" t="s">
        <v>17</v>
      </c>
      <c r="E1312" s="4" t="s">
        <v>1159</v>
      </c>
      <c r="F1312" s="4" t="s">
        <v>32</v>
      </c>
      <c r="G1312" s="4" t="s">
        <v>20</v>
      </c>
      <c r="H1312" s="5">
        <v>-344000</v>
      </c>
      <c r="I1312" s="4" t="s">
        <v>21</v>
      </c>
      <c r="J1312" s="5">
        <f t="shared" si="20"/>
        <v>1451267.2</v>
      </c>
      <c r="K1312" s="4" t="s">
        <v>46</v>
      </c>
      <c r="L1312" s="6">
        <v>4.2187999999999999</v>
      </c>
      <c r="M1312" s="6">
        <v>0.23699999999999999</v>
      </c>
      <c r="N1312" s="6">
        <v>4.2110000000000003</v>
      </c>
      <c r="O1312" s="6">
        <v>1</v>
      </c>
      <c r="P1312" s="5">
        <v>2580</v>
      </c>
      <c r="Q1312" s="4" t="s">
        <v>1390</v>
      </c>
    </row>
    <row r="1313" spans="1:17" x14ac:dyDescent="0.3">
      <c r="A1313" s="2" t="s">
        <v>1389</v>
      </c>
      <c r="B1313" s="3">
        <v>155554</v>
      </c>
      <c r="C1313" s="3">
        <v>890961</v>
      </c>
      <c r="D1313" s="4" t="s">
        <v>81</v>
      </c>
      <c r="E1313" s="4" t="s">
        <v>732</v>
      </c>
      <c r="F1313" s="4" t="s">
        <v>83</v>
      </c>
      <c r="G1313" s="4" t="s">
        <v>20</v>
      </c>
      <c r="H1313" s="5">
        <v>-1000000</v>
      </c>
      <c r="I1313" s="4" t="s">
        <v>21</v>
      </c>
      <c r="J1313" s="5">
        <f t="shared" si="20"/>
        <v>4211400</v>
      </c>
      <c r="K1313" s="4" t="s">
        <v>42</v>
      </c>
      <c r="L1313" s="6">
        <v>4.2114000000000003</v>
      </c>
      <c r="M1313" s="6">
        <v>0.2374</v>
      </c>
      <c r="N1313" s="6">
        <v>4.2119</v>
      </c>
      <c r="O1313" s="6">
        <v>1</v>
      </c>
      <c r="P1313" s="5">
        <v>-480</v>
      </c>
      <c r="Q1313" s="4" t="s">
        <v>1394</v>
      </c>
    </row>
    <row r="1314" spans="1:17" x14ac:dyDescent="0.3">
      <c r="A1314" s="2" t="s">
        <v>1389</v>
      </c>
      <c r="B1314" s="3">
        <v>155555</v>
      </c>
      <c r="C1314" s="3">
        <v>890962</v>
      </c>
      <c r="D1314" s="4" t="s">
        <v>81</v>
      </c>
      <c r="E1314" s="4" t="s">
        <v>742</v>
      </c>
      <c r="F1314" s="4" t="s">
        <v>83</v>
      </c>
      <c r="G1314" s="4" t="s">
        <v>20</v>
      </c>
      <c r="H1314" s="5">
        <v>-1000000</v>
      </c>
      <c r="I1314" s="4" t="s">
        <v>21</v>
      </c>
      <c r="J1314" s="5">
        <f t="shared" si="20"/>
        <v>4211400</v>
      </c>
      <c r="K1314" s="4" t="s">
        <v>42</v>
      </c>
      <c r="L1314" s="6">
        <v>4.2114000000000003</v>
      </c>
      <c r="M1314" s="6">
        <v>0.23749999999999999</v>
      </c>
      <c r="N1314" s="6">
        <v>4.2119</v>
      </c>
      <c r="O1314" s="6">
        <v>1</v>
      </c>
      <c r="P1314" s="5">
        <v>-500</v>
      </c>
      <c r="Q1314" s="4" t="s">
        <v>1396</v>
      </c>
    </row>
    <row r="1315" spans="1:17" x14ac:dyDescent="0.3">
      <c r="A1315" s="2" t="s">
        <v>1389</v>
      </c>
      <c r="B1315" s="3">
        <v>155556</v>
      </c>
      <c r="C1315" s="3">
        <v>890963</v>
      </c>
      <c r="D1315" s="4" t="s">
        <v>81</v>
      </c>
      <c r="E1315" s="4" t="s">
        <v>742</v>
      </c>
      <c r="F1315" s="4" t="s">
        <v>83</v>
      </c>
      <c r="G1315" s="4" t="s">
        <v>20</v>
      </c>
      <c r="H1315" s="5">
        <v>-1000000</v>
      </c>
      <c r="I1315" s="4" t="s">
        <v>21</v>
      </c>
      <c r="J1315" s="5">
        <f t="shared" si="20"/>
        <v>4211400</v>
      </c>
      <c r="K1315" s="4" t="s">
        <v>42</v>
      </c>
      <c r="L1315" s="6">
        <v>4.2114000000000003</v>
      </c>
      <c r="M1315" s="6">
        <v>0.23749999999999999</v>
      </c>
      <c r="N1315" s="6">
        <v>4.2119</v>
      </c>
      <c r="O1315" s="6">
        <v>1</v>
      </c>
      <c r="P1315" s="5">
        <v>-500</v>
      </c>
      <c r="Q1315" s="4" t="s">
        <v>1396</v>
      </c>
    </row>
    <row r="1316" spans="1:17" x14ac:dyDescent="0.3">
      <c r="A1316" s="2" t="s">
        <v>1389</v>
      </c>
      <c r="B1316" s="3">
        <v>155557</v>
      </c>
      <c r="C1316" s="3">
        <v>890969</v>
      </c>
      <c r="D1316" s="4" t="s">
        <v>81</v>
      </c>
      <c r="E1316" s="4" t="s">
        <v>735</v>
      </c>
      <c r="F1316" s="4" t="s">
        <v>83</v>
      </c>
      <c r="G1316" s="4" t="s">
        <v>34</v>
      </c>
      <c r="H1316" s="5">
        <v>-1000000</v>
      </c>
      <c r="I1316" s="4" t="s">
        <v>21</v>
      </c>
      <c r="J1316" s="5">
        <f t="shared" si="20"/>
        <v>3601300</v>
      </c>
      <c r="K1316" s="4" t="s">
        <v>42</v>
      </c>
      <c r="L1316" s="6">
        <v>3.6013000000000002</v>
      </c>
      <c r="M1316" s="6">
        <v>0.2777</v>
      </c>
      <c r="N1316" s="6">
        <v>3.6070000000000002</v>
      </c>
      <c r="O1316" s="6">
        <v>1</v>
      </c>
      <c r="P1316" s="5">
        <v>-5700</v>
      </c>
      <c r="Q1316" s="4" t="s">
        <v>1394</v>
      </c>
    </row>
    <row r="1317" spans="1:17" x14ac:dyDescent="0.3">
      <c r="A1317" s="2" t="s">
        <v>1389</v>
      </c>
      <c r="B1317" s="3">
        <v>155558</v>
      </c>
      <c r="C1317" s="3">
        <v>890981</v>
      </c>
      <c r="D1317" s="4" t="s">
        <v>81</v>
      </c>
      <c r="E1317" s="4" t="s">
        <v>735</v>
      </c>
      <c r="F1317" s="4" t="s">
        <v>83</v>
      </c>
      <c r="G1317" s="4" t="s">
        <v>91</v>
      </c>
      <c r="H1317" s="5">
        <v>-100000</v>
      </c>
      <c r="I1317" s="4" t="s">
        <v>21</v>
      </c>
      <c r="J1317" s="5">
        <f t="shared" si="20"/>
        <v>485970</v>
      </c>
      <c r="K1317" s="4" t="s">
        <v>42</v>
      </c>
      <c r="L1317" s="6">
        <v>4.8597000000000001</v>
      </c>
      <c r="M1317" s="6">
        <v>0.20580000000000001</v>
      </c>
      <c r="N1317" s="6">
        <v>4.8471000000000002</v>
      </c>
      <c r="O1317" s="6">
        <v>1</v>
      </c>
      <c r="P1317" s="5">
        <v>1260</v>
      </c>
      <c r="Q1317" s="4" t="s">
        <v>1394</v>
      </c>
    </row>
    <row r="1318" spans="1:17" x14ac:dyDescent="0.3">
      <c r="A1318" s="2" t="s">
        <v>1389</v>
      </c>
      <c r="B1318" s="3">
        <v>155559</v>
      </c>
      <c r="C1318" s="3">
        <v>215273</v>
      </c>
      <c r="D1318" s="4" t="s">
        <v>17</v>
      </c>
      <c r="E1318" s="4" t="s">
        <v>1042</v>
      </c>
      <c r="F1318" s="4" t="s">
        <v>19</v>
      </c>
      <c r="G1318" s="4" t="s">
        <v>20</v>
      </c>
      <c r="H1318" s="5">
        <v>77220</v>
      </c>
      <c r="I1318" s="4" t="s">
        <v>21</v>
      </c>
      <c r="J1318" s="5">
        <f t="shared" si="20"/>
        <v>-324717.82199999999</v>
      </c>
      <c r="K1318" s="4" t="s">
        <v>46</v>
      </c>
      <c r="L1318" s="6">
        <v>4.2050999999999998</v>
      </c>
      <c r="M1318" s="6">
        <v>0.23780000000000001</v>
      </c>
      <c r="N1318" s="6">
        <v>4.2110000000000003</v>
      </c>
      <c r="O1318" s="6">
        <v>1</v>
      </c>
      <c r="P1318" s="5">
        <v>455.59800000005635</v>
      </c>
      <c r="Q1318" s="4" t="s">
        <v>1390</v>
      </c>
    </row>
    <row r="1319" spans="1:17" x14ac:dyDescent="0.3">
      <c r="A1319" s="2" t="s">
        <v>1389</v>
      </c>
      <c r="B1319" s="3">
        <v>155560</v>
      </c>
      <c r="C1319" s="3">
        <v>891027</v>
      </c>
      <c r="D1319" s="4" t="s">
        <v>81</v>
      </c>
      <c r="E1319" s="4" t="s">
        <v>734</v>
      </c>
      <c r="F1319" s="4" t="s">
        <v>83</v>
      </c>
      <c r="G1319" s="4" t="s">
        <v>20</v>
      </c>
      <c r="H1319" s="5">
        <v>-300000</v>
      </c>
      <c r="I1319" s="4" t="s">
        <v>80</v>
      </c>
      <c r="J1319" s="5">
        <f t="shared" si="20"/>
        <v>2451900</v>
      </c>
      <c r="K1319" s="4" t="s">
        <v>42</v>
      </c>
      <c r="L1319" s="6">
        <v>8.173</v>
      </c>
      <c r="M1319" s="6">
        <v>0.12239999999999999</v>
      </c>
      <c r="N1319" s="6">
        <v>4.2119</v>
      </c>
      <c r="O1319" s="6">
        <v>0.51659999999999995</v>
      </c>
      <c r="P1319" s="5">
        <v>3089.2890000000002</v>
      </c>
      <c r="Q1319" s="4" t="s">
        <v>1393</v>
      </c>
    </row>
    <row r="1320" spans="1:17" x14ac:dyDescent="0.3">
      <c r="A1320" s="2" t="s">
        <v>1389</v>
      </c>
      <c r="B1320" s="3">
        <v>155561</v>
      </c>
      <c r="C1320" s="3">
        <v>891034</v>
      </c>
      <c r="D1320" s="4" t="s">
        <v>81</v>
      </c>
      <c r="E1320" s="4" t="s">
        <v>735</v>
      </c>
      <c r="F1320" s="4" t="s">
        <v>87</v>
      </c>
      <c r="G1320" s="4" t="s">
        <v>20</v>
      </c>
      <c r="H1320" s="5">
        <v>100000</v>
      </c>
      <c r="I1320" s="4" t="s">
        <v>34</v>
      </c>
      <c r="J1320" s="5">
        <f t="shared" si="20"/>
        <v>-116920</v>
      </c>
      <c r="K1320" s="4" t="s">
        <v>42</v>
      </c>
      <c r="L1320" s="6">
        <v>1.1692</v>
      </c>
      <c r="M1320" s="6">
        <v>0.85529999999999995</v>
      </c>
      <c r="N1320" s="6">
        <v>4.2119</v>
      </c>
      <c r="O1320" s="6">
        <v>3.6070000000000002</v>
      </c>
      <c r="P1320" s="5">
        <v>-529.61900000000003</v>
      </c>
      <c r="Q1320" s="4" t="s">
        <v>1394</v>
      </c>
    </row>
    <row r="1321" spans="1:17" x14ac:dyDescent="0.3">
      <c r="A1321" s="2" t="s">
        <v>1389</v>
      </c>
      <c r="B1321" s="3">
        <v>155562</v>
      </c>
      <c r="C1321" s="3">
        <v>215275</v>
      </c>
      <c r="D1321" s="4" t="s">
        <v>17</v>
      </c>
      <c r="E1321" s="4" t="s">
        <v>1091</v>
      </c>
      <c r="F1321" s="4" t="s">
        <v>19</v>
      </c>
      <c r="G1321" s="4" t="s">
        <v>20</v>
      </c>
      <c r="H1321" s="5">
        <v>45000</v>
      </c>
      <c r="I1321" s="4" t="s">
        <v>21</v>
      </c>
      <c r="J1321" s="5">
        <f t="shared" si="20"/>
        <v>-189297</v>
      </c>
      <c r="K1321" s="4" t="s">
        <v>29</v>
      </c>
      <c r="L1321" s="6">
        <v>4.2065999999999999</v>
      </c>
      <c r="M1321" s="6">
        <v>0.23769999999999999</v>
      </c>
      <c r="N1321" s="6">
        <v>4.2104999999999997</v>
      </c>
      <c r="O1321" s="6">
        <v>1</v>
      </c>
      <c r="P1321" s="5">
        <v>175.5</v>
      </c>
      <c r="Q1321" s="4" t="s">
        <v>1390</v>
      </c>
    </row>
    <row r="1322" spans="1:17" x14ac:dyDescent="0.3">
      <c r="A1322" s="2" t="s">
        <v>1389</v>
      </c>
      <c r="B1322" s="3">
        <v>155563</v>
      </c>
      <c r="C1322" s="3">
        <v>891041</v>
      </c>
      <c r="D1322" s="4" t="s">
        <v>81</v>
      </c>
      <c r="E1322" s="4" t="s">
        <v>1091</v>
      </c>
      <c r="F1322" s="4" t="s">
        <v>87</v>
      </c>
      <c r="G1322" s="4" t="s">
        <v>91</v>
      </c>
      <c r="H1322" s="5">
        <v>15000</v>
      </c>
      <c r="I1322" s="4" t="s">
        <v>21</v>
      </c>
      <c r="J1322" s="5">
        <f t="shared" si="20"/>
        <v>-72808.5</v>
      </c>
      <c r="K1322" s="4" t="s">
        <v>42</v>
      </c>
      <c r="L1322" s="6">
        <v>4.8539000000000003</v>
      </c>
      <c r="M1322" s="6">
        <v>0.20599999999999999</v>
      </c>
      <c r="N1322" s="6">
        <v>4.8471000000000002</v>
      </c>
      <c r="O1322" s="6">
        <v>1</v>
      </c>
      <c r="P1322" s="5">
        <v>-102</v>
      </c>
      <c r="Q1322" s="4" t="s">
        <v>1390</v>
      </c>
    </row>
    <row r="1323" spans="1:17" x14ac:dyDescent="0.3">
      <c r="A1323" s="2" t="s">
        <v>1389</v>
      </c>
      <c r="B1323" s="3">
        <v>155564</v>
      </c>
      <c r="C1323" s="3">
        <v>891051</v>
      </c>
      <c r="D1323" s="4" t="s">
        <v>81</v>
      </c>
      <c r="E1323" s="4" t="s">
        <v>734</v>
      </c>
      <c r="F1323" s="4" t="s">
        <v>83</v>
      </c>
      <c r="G1323" s="4" t="s">
        <v>20</v>
      </c>
      <c r="H1323" s="5">
        <v>-500000</v>
      </c>
      <c r="I1323" s="4" t="s">
        <v>21</v>
      </c>
      <c r="J1323" s="5">
        <f t="shared" si="20"/>
        <v>2105000</v>
      </c>
      <c r="K1323" s="4" t="s">
        <v>42</v>
      </c>
      <c r="L1323" s="6">
        <v>4.21</v>
      </c>
      <c r="M1323" s="6">
        <v>0.23749999999999999</v>
      </c>
      <c r="N1323" s="6">
        <v>4.2119</v>
      </c>
      <c r="O1323" s="6">
        <v>1</v>
      </c>
      <c r="P1323" s="5">
        <v>-950</v>
      </c>
      <c r="Q1323" s="4" t="s">
        <v>1393</v>
      </c>
    </row>
    <row r="1324" spans="1:17" x14ac:dyDescent="0.3">
      <c r="A1324" s="2" t="s">
        <v>1389</v>
      </c>
      <c r="B1324" s="3">
        <v>155565</v>
      </c>
      <c r="C1324" s="3">
        <v>215278</v>
      </c>
      <c r="D1324" s="4" t="s">
        <v>17</v>
      </c>
      <c r="E1324" s="4" t="s">
        <v>783</v>
      </c>
      <c r="F1324" s="4" t="s">
        <v>19</v>
      </c>
      <c r="G1324" s="4" t="s">
        <v>80</v>
      </c>
      <c r="H1324" s="5">
        <v>3500000</v>
      </c>
      <c r="I1324" s="4" t="s">
        <v>21</v>
      </c>
      <c r="J1324" s="5">
        <f t="shared" si="20"/>
        <v>-1802500</v>
      </c>
      <c r="K1324" s="4" t="s">
        <v>27</v>
      </c>
      <c r="L1324" s="6">
        <v>0.51500000000000001</v>
      </c>
      <c r="M1324" s="6">
        <v>1.9417</v>
      </c>
      <c r="N1324" s="6">
        <v>0.50660000000000005</v>
      </c>
      <c r="O1324" s="6">
        <v>1</v>
      </c>
      <c r="P1324" s="5">
        <v>-29399.999999999767</v>
      </c>
      <c r="Q1324" s="4" t="s">
        <v>1390</v>
      </c>
    </row>
    <row r="1325" spans="1:17" x14ac:dyDescent="0.3">
      <c r="A1325" s="2" t="s">
        <v>1389</v>
      </c>
      <c r="B1325" s="3">
        <v>155566</v>
      </c>
      <c r="C1325" s="3">
        <v>891064</v>
      </c>
      <c r="D1325" s="4" t="s">
        <v>81</v>
      </c>
      <c r="E1325" s="4" t="s">
        <v>734</v>
      </c>
      <c r="F1325" s="4" t="s">
        <v>87</v>
      </c>
      <c r="G1325" s="4" t="s">
        <v>20</v>
      </c>
      <c r="H1325" s="5">
        <v>500000</v>
      </c>
      <c r="I1325" s="4" t="s">
        <v>80</v>
      </c>
      <c r="J1325" s="5">
        <f t="shared" si="20"/>
        <v>-4086249.9999999995</v>
      </c>
      <c r="K1325" s="4" t="s">
        <v>42</v>
      </c>
      <c r="L1325" s="6">
        <v>8.1724999999999994</v>
      </c>
      <c r="M1325" s="6">
        <v>0.12239999999999999</v>
      </c>
      <c r="N1325" s="6">
        <v>4.2119</v>
      </c>
      <c r="O1325" s="6">
        <v>0.51659999999999995</v>
      </c>
      <c r="P1325" s="5">
        <v>-4999.0010000000002</v>
      </c>
      <c r="Q1325" s="4" t="s">
        <v>1393</v>
      </c>
    </row>
    <row r="1326" spans="1:17" x14ac:dyDescent="0.3">
      <c r="A1326" s="2" t="s">
        <v>1389</v>
      </c>
      <c r="B1326" s="3">
        <v>155567</v>
      </c>
      <c r="C1326" s="3">
        <v>215280</v>
      </c>
      <c r="D1326" s="4" t="s">
        <v>17</v>
      </c>
      <c r="E1326" s="4" t="s">
        <v>1182</v>
      </c>
      <c r="F1326" s="4" t="s">
        <v>19</v>
      </c>
      <c r="G1326" s="4" t="s">
        <v>20</v>
      </c>
      <c r="H1326" s="5">
        <v>100000</v>
      </c>
      <c r="I1326" s="4" t="s">
        <v>21</v>
      </c>
      <c r="J1326" s="5">
        <f t="shared" si="20"/>
        <v>-418100</v>
      </c>
      <c r="K1326" s="4" t="s">
        <v>46</v>
      </c>
      <c r="L1326" s="6">
        <v>4.181</v>
      </c>
      <c r="M1326" s="6">
        <v>0.2392</v>
      </c>
      <c r="N1326" s="6">
        <v>4.2110000000000003</v>
      </c>
      <c r="O1326" s="6">
        <v>1</v>
      </c>
      <c r="P1326" s="5">
        <v>3000.0000000000582</v>
      </c>
      <c r="Q1326" s="4" t="s">
        <v>1390</v>
      </c>
    </row>
    <row r="1327" spans="1:17" x14ac:dyDescent="0.3">
      <c r="A1327" s="2" t="s">
        <v>1389</v>
      </c>
      <c r="B1327" s="3">
        <v>155568</v>
      </c>
      <c r="C1327" s="3">
        <v>891068</v>
      </c>
      <c r="D1327" s="4" t="s">
        <v>81</v>
      </c>
      <c r="E1327" s="4" t="s">
        <v>735</v>
      </c>
      <c r="F1327" s="4" t="s">
        <v>83</v>
      </c>
      <c r="G1327" s="4" t="s">
        <v>20</v>
      </c>
      <c r="H1327" s="5">
        <v>-500000</v>
      </c>
      <c r="I1327" s="4" t="s">
        <v>21</v>
      </c>
      <c r="J1327" s="5">
        <f t="shared" si="20"/>
        <v>2105500</v>
      </c>
      <c r="K1327" s="4" t="s">
        <v>42</v>
      </c>
      <c r="L1327" s="6">
        <v>4.2110000000000003</v>
      </c>
      <c r="M1327" s="6">
        <v>0.23749999999999999</v>
      </c>
      <c r="N1327" s="6">
        <v>4.2119</v>
      </c>
      <c r="O1327" s="6">
        <v>1</v>
      </c>
      <c r="P1327" s="5">
        <v>-450</v>
      </c>
      <c r="Q1327" s="4" t="s">
        <v>1394</v>
      </c>
    </row>
    <row r="1328" spans="1:17" x14ac:dyDescent="0.3">
      <c r="A1328" s="2" t="s">
        <v>1389</v>
      </c>
      <c r="B1328" s="3">
        <v>155573</v>
      </c>
      <c r="C1328" s="3">
        <v>215282</v>
      </c>
      <c r="D1328" s="4" t="s">
        <v>17</v>
      </c>
      <c r="E1328" s="4" t="s">
        <v>1088</v>
      </c>
      <c r="F1328" s="4" t="s">
        <v>19</v>
      </c>
      <c r="G1328" s="4" t="s">
        <v>20</v>
      </c>
      <c r="H1328" s="5">
        <v>200000</v>
      </c>
      <c r="I1328" s="4" t="s">
        <v>21</v>
      </c>
      <c r="J1328" s="5">
        <f t="shared" si="20"/>
        <v>-839600.00000000012</v>
      </c>
      <c r="K1328" s="4" t="s">
        <v>46</v>
      </c>
      <c r="L1328" s="6">
        <v>4.1980000000000004</v>
      </c>
      <c r="M1328" s="6">
        <v>0.2382</v>
      </c>
      <c r="N1328" s="6">
        <v>4.2110000000000003</v>
      </c>
      <c r="O1328" s="6">
        <v>1</v>
      </c>
      <c r="P1328" s="5">
        <v>2600</v>
      </c>
      <c r="Q1328" s="4" t="s">
        <v>1390</v>
      </c>
    </row>
    <row r="1329" spans="1:17" x14ac:dyDescent="0.3">
      <c r="A1329" s="2" t="s">
        <v>1389</v>
      </c>
      <c r="B1329" s="3">
        <v>155576</v>
      </c>
      <c r="C1329" s="3">
        <v>215283</v>
      </c>
      <c r="D1329" s="4" t="s">
        <v>17</v>
      </c>
      <c r="E1329" s="4" t="s">
        <v>748</v>
      </c>
      <c r="F1329" s="4" t="s">
        <v>19</v>
      </c>
      <c r="G1329" s="4" t="s">
        <v>20</v>
      </c>
      <c r="H1329" s="5">
        <v>56000</v>
      </c>
      <c r="I1329" s="4" t="s">
        <v>21</v>
      </c>
      <c r="J1329" s="5">
        <f t="shared" si="20"/>
        <v>-235284</v>
      </c>
      <c r="K1329" s="4" t="s">
        <v>46</v>
      </c>
      <c r="L1329" s="6">
        <v>4.2015000000000002</v>
      </c>
      <c r="M1329" s="6">
        <v>0.23799999999999999</v>
      </c>
      <c r="N1329" s="6">
        <v>4.2110000000000003</v>
      </c>
      <c r="O1329" s="6">
        <v>1</v>
      </c>
      <c r="P1329" s="5">
        <v>532.0000000000291</v>
      </c>
      <c r="Q1329" s="4" t="s">
        <v>1390</v>
      </c>
    </row>
    <row r="1330" spans="1:17" x14ac:dyDescent="0.3">
      <c r="A1330" s="2" t="s">
        <v>1389</v>
      </c>
      <c r="B1330" s="3">
        <v>155578</v>
      </c>
      <c r="C1330" s="3">
        <v>215285</v>
      </c>
      <c r="D1330" s="4" t="s">
        <v>17</v>
      </c>
      <c r="E1330" s="4" t="s">
        <v>1106</v>
      </c>
      <c r="F1330" s="4" t="s">
        <v>32</v>
      </c>
      <c r="G1330" s="4" t="s">
        <v>20</v>
      </c>
      <c r="H1330" s="5">
        <v>-5000</v>
      </c>
      <c r="I1330" s="4" t="s">
        <v>21</v>
      </c>
      <c r="J1330" s="5">
        <f t="shared" si="20"/>
        <v>21140</v>
      </c>
      <c r="K1330" s="4" t="s">
        <v>46</v>
      </c>
      <c r="L1330" s="6">
        <v>4.2279999999999998</v>
      </c>
      <c r="M1330" s="6">
        <v>0.23649999999999999</v>
      </c>
      <c r="N1330" s="6">
        <v>4.2110000000000003</v>
      </c>
      <c r="O1330" s="6">
        <v>1</v>
      </c>
      <c r="P1330" s="5">
        <v>85</v>
      </c>
      <c r="Q1330" s="4" t="s">
        <v>1390</v>
      </c>
    </row>
    <row r="1331" spans="1:17" x14ac:dyDescent="0.3">
      <c r="A1331" s="2" t="s">
        <v>1389</v>
      </c>
      <c r="B1331" s="3">
        <v>155585</v>
      </c>
      <c r="C1331" s="3">
        <v>891103</v>
      </c>
      <c r="D1331" s="4" t="s">
        <v>81</v>
      </c>
      <c r="E1331" s="4" t="s">
        <v>730</v>
      </c>
      <c r="F1331" s="4" t="s">
        <v>83</v>
      </c>
      <c r="G1331" s="4" t="s">
        <v>20</v>
      </c>
      <c r="H1331" s="5">
        <v>-100297.66</v>
      </c>
      <c r="I1331" s="4" t="s">
        <v>21</v>
      </c>
      <c r="J1331" s="5">
        <f t="shared" si="20"/>
        <v>422223.05930199998</v>
      </c>
      <c r="K1331" s="4" t="s">
        <v>42</v>
      </c>
      <c r="L1331" s="6">
        <v>4.2096999999999998</v>
      </c>
      <c r="M1331" s="6">
        <v>0.23749999999999999</v>
      </c>
      <c r="N1331" s="6">
        <v>4.2119</v>
      </c>
      <c r="O1331" s="6">
        <v>1</v>
      </c>
      <c r="P1331" s="5">
        <v>-217.64415399999999</v>
      </c>
      <c r="Q1331" s="4" t="s">
        <v>1396</v>
      </c>
    </row>
    <row r="1332" spans="1:17" x14ac:dyDescent="0.3">
      <c r="A1332" s="2" t="s">
        <v>1389</v>
      </c>
      <c r="B1332" s="3">
        <v>155586</v>
      </c>
      <c r="C1332" s="3">
        <v>891105</v>
      </c>
      <c r="D1332" s="4" t="s">
        <v>81</v>
      </c>
      <c r="E1332" s="4" t="s">
        <v>735</v>
      </c>
      <c r="F1332" s="4" t="s">
        <v>87</v>
      </c>
      <c r="G1332" s="4" t="s">
        <v>91</v>
      </c>
      <c r="H1332" s="5">
        <v>7963.3</v>
      </c>
      <c r="I1332" s="4" t="s">
        <v>21</v>
      </c>
      <c r="J1332" s="5">
        <f t="shared" si="20"/>
        <v>-38637.135269999999</v>
      </c>
      <c r="K1332" s="4" t="s">
        <v>42</v>
      </c>
      <c r="L1332" s="6">
        <v>4.8518999999999997</v>
      </c>
      <c r="M1332" s="6">
        <v>0.20610000000000001</v>
      </c>
      <c r="N1332" s="6">
        <v>4.8471000000000002</v>
      </c>
      <c r="O1332" s="6">
        <v>1</v>
      </c>
      <c r="P1332" s="5">
        <v>-38.228569999999998</v>
      </c>
      <c r="Q1332" s="4" t="s">
        <v>1394</v>
      </c>
    </row>
    <row r="1333" spans="1:17" x14ac:dyDescent="0.3">
      <c r="A1333" s="2" t="s">
        <v>1389</v>
      </c>
      <c r="B1333" s="3">
        <v>155587</v>
      </c>
      <c r="C1333" s="3">
        <v>891106</v>
      </c>
      <c r="D1333" s="4" t="s">
        <v>81</v>
      </c>
      <c r="E1333" s="4" t="s">
        <v>739</v>
      </c>
      <c r="F1333" s="4" t="s">
        <v>83</v>
      </c>
      <c r="G1333" s="4" t="s">
        <v>34</v>
      </c>
      <c r="H1333" s="5">
        <v>-53940.52</v>
      </c>
      <c r="I1333" s="4" t="s">
        <v>21</v>
      </c>
      <c r="J1333" s="5">
        <f t="shared" si="20"/>
        <v>194239.81251999998</v>
      </c>
      <c r="K1333" s="4" t="s">
        <v>42</v>
      </c>
      <c r="L1333" s="6">
        <v>3.601</v>
      </c>
      <c r="M1333" s="6">
        <v>0.2777</v>
      </c>
      <c r="N1333" s="6">
        <v>3.6070000000000002</v>
      </c>
      <c r="O1333" s="6">
        <v>1</v>
      </c>
      <c r="P1333" s="5">
        <v>-322.02564000000001</v>
      </c>
      <c r="Q1333" s="4" t="s">
        <v>1391</v>
      </c>
    </row>
    <row r="1334" spans="1:17" x14ac:dyDescent="0.3">
      <c r="A1334" s="2" t="s">
        <v>1389</v>
      </c>
      <c r="B1334" s="3">
        <v>155588</v>
      </c>
      <c r="C1334" s="3">
        <v>891107</v>
      </c>
      <c r="D1334" s="4" t="s">
        <v>81</v>
      </c>
      <c r="E1334" s="4" t="s">
        <v>739</v>
      </c>
      <c r="F1334" s="4" t="s">
        <v>83</v>
      </c>
      <c r="G1334" s="4" t="s">
        <v>93</v>
      </c>
      <c r="H1334" s="5">
        <v>-1702.24</v>
      </c>
      <c r="I1334" s="4" t="s">
        <v>21</v>
      </c>
      <c r="J1334" s="5">
        <f t="shared" si="20"/>
        <v>7693.9545760000001</v>
      </c>
      <c r="K1334" s="4" t="s">
        <v>42</v>
      </c>
      <c r="L1334" s="6">
        <v>4.5198999999999998</v>
      </c>
      <c r="M1334" s="6">
        <v>0.22120000000000001</v>
      </c>
      <c r="N1334" s="6">
        <v>4.5228000000000002</v>
      </c>
      <c r="O1334" s="6">
        <v>1</v>
      </c>
      <c r="P1334" s="5">
        <v>-4.9010720000000001</v>
      </c>
      <c r="Q1334" s="4" t="s">
        <v>1391</v>
      </c>
    </row>
    <row r="1335" spans="1:17" x14ac:dyDescent="0.3">
      <c r="A1335" s="2" t="s">
        <v>1389</v>
      </c>
      <c r="B1335" s="3">
        <v>155589</v>
      </c>
      <c r="C1335" s="3">
        <v>891108</v>
      </c>
      <c r="D1335" s="4" t="s">
        <v>81</v>
      </c>
      <c r="E1335" s="4" t="s">
        <v>734</v>
      </c>
      <c r="F1335" s="4" t="s">
        <v>83</v>
      </c>
      <c r="G1335" s="4" t="s">
        <v>20</v>
      </c>
      <c r="H1335" s="5">
        <v>-2432.0500000000002</v>
      </c>
      <c r="I1335" s="4" t="s">
        <v>21</v>
      </c>
      <c r="J1335" s="5">
        <f t="shared" si="20"/>
        <v>10237.47127</v>
      </c>
      <c r="K1335" s="4" t="s">
        <v>42</v>
      </c>
      <c r="L1335" s="6">
        <v>4.2093999999999996</v>
      </c>
      <c r="M1335" s="6">
        <v>0.23760000000000001</v>
      </c>
      <c r="N1335" s="6">
        <v>4.2119</v>
      </c>
      <c r="O1335" s="6">
        <v>1</v>
      </c>
      <c r="P1335" s="5">
        <v>-6.1013950000000001</v>
      </c>
      <c r="Q1335" s="4" t="s">
        <v>1393</v>
      </c>
    </row>
    <row r="1336" spans="1:17" x14ac:dyDescent="0.3">
      <c r="A1336" s="2" t="s">
        <v>1389</v>
      </c>
      <c r="B1336" s="3">
        <v>155590</v>
      </c>
      <c r="C1336" s="3">
        <v>891113</v>
      </c>
      <c r="D1336" s="4" t="s">
        <v>81</v>
      </c>
      <c r="E1336" s="4" t="s">
        <v>734</v>
      </c>
      <c r="F1336" s="4" t="s">
        <v>87</v>
      </c>
      <c r="G1336" s="4" t="s">
        <v>34</v>
      </c>
      <c r="H1336" s="5">
        <v>11276.03</v>
      </c>
      <c r="I1336" s="4" t="s">
        <v>21</v>
      </c>
      <c r="J1336" s="5">
        <f t="shared" si="20"/>
        <v>-40636.556914000001</v>
      </c>
      <c r="K1336" s="4" t="s">
        <v>42</v>
      </c>
      <c r="L1336" s="6">
        <v>3.6038000000000001</v>
      </c>
      <c r="M1336" s="6">
        <v>0.27750000000000002</v>
      </c>
      <c r="N1336" s="6">
        <v>3.6070000000000002</v>
      </c>
      <c r="O1336" s="6">
        <v>1</v>
      </c>
      <c r="P1336" s="5">
        <v>35.740209999999998</v>
      </c>
      <c r="Q1336" s="4" t="s">
        <v>1393</v>
      </c>
    </row>
    <row r="1337" spans="1:17" x14ac:dyDescent="0.3">
      <c r="A1337" s="2" t="s">
        <v>1389</v>
      </c>
      <c r="B1337" s="3">
        <v>155591</v>
      </c>
      <c r="C1337" s="3">
        <v>891114</v>
      </c>
      <c r="D1337" s="4" t="s">
        <v>81</v>
      </c>
      <c r="E1337" s="4" t="s">
        <v>735</v>
      </c>
      <c r="F1337" s="4" t="s">
        <v>83</v>
      </c>
      <c r="G1337" s="4" t="s">
        <v>20</v>
      </c>
      <c r="H1337" s="5">
        <v>-51959.33</v>
      </c>
      <c r="I1337" s="4" t="s">
        <v>21</v>
      </c>
      <c r="J1337" s="5">
        <f t="shared" si="20"/>
        <v>218686.42810400002</v>
      </c>
      <c r="K1337" s="4" t="s">
        <v>42</v>
      </c>
      <c r="L1337" s="6">
        <v>4.2088000000000001</v>
      </c>
      <c r="M1337" s="6">
        <v>0.23760000000000001</v>
      </c>
      <c r="N1337" s="6">
        <v>4.2119</v>
      </c>
      <c r="O1337" s="6">
        <v>1</v>
      </c>
      <c r="P1337" s="5">
        <v>-161.07202699999999</v>
      </c>
      <c r="Q1337" s="4" t="s">
        <v>1394</v>
      </c>
    </row>
    <row r="1338" spans="1:17" x14ac:dyDescent="0.3">
      <c r="A1338" s="2" t="s">
        <v>1389</v>
      </c>
      <c r="B1338" s="3">
        <v>155592</v>
      </c>
      <c r="C1338" s="3">
        <v>891115</v>
      </c>
      <c r="D1338" s="4" t="s">
        <v>81</v>
      </c>
      <c r="E1338" s="4" t="s">
        <v>734</v>
      </c>
      <c r="F1338" s="4" t="s">
        <v>87</v>
      </c>
      <c r="G1338" s="4" t="s">
        <v>93</v>
      </c>
      <c r="H1338" s="5">
        <v>8692.5300000000007</v>
      </c>
      <c r="I1338" s="4" t="s">
        <v>21</v>
      </c>
      <c r="J1338" s="5">
        <f t="shared" si="20"/>
        <v>-39278.066058000004</v>
      </c>
      <c r="K1338" s="4" t="s">
        <v>42</v>
      </c>
      <c r="L1338" s="6">
        <v>4.5186000000000002</v>
      </c>
      <c r="M1338" s="6">
        <v>0.2213</v>
      </c>
      <c r="N1338" s="6">
        <v>4.5228000000000002</v>
      </c>
      <c r="O1338" s="6">
        <v>1</v>
      </c>
      <c r="P1338" s="5">
        <v>36.764684000000003</v>
      </c>
      <c r="Q1338" s="4" t="s">
        <v>1393</v>
      </c>
    </row>
    <row r="1339" spans="1:17" x14ac:dyDescent="0.3">
      <c r="A1339" s="2" t="s">
        <v>1389</v>
      </c>
      <c r="B1339" s="3">
        <v>155593</v>
      </c>
      <c r="C1339" s="3">
        <v>891116</v>
      </c>
      <c r="D1339" s="4" t="s">
        <v>81</v>
      </c>
      <c r="E1339" s="4" t="s">
        <v>735</v>
      </c>
      <c r="F1339" s="4" t="s">
        <v>87</v>
      </c>
      <c r="G1339" s="4" t="s">
        <v>91</v>
      </c>
      <c r="H1339" s="5">
        <v>1419.57</v>
      </c>
      <c r="I1339" s="4" t="s">
        <v>21</v>
      </c>
      <c r="J1339" s="5">
        <f t="shared" si="20"/>
        <v>-6887.7536399999999</v>
      </c>
      <c r="K1339" s="4" t="s">
        <v>42</v>
      </c>
      <c r="L1339" s="6">
        <v>4.8520000000000003</v>
      </c>
      <c r="M1339" s="6">
        <v>0.20610000000000001</v>
      </c>
      <c r="N1339" s="6">
        <v>4.8471000000000002</v>
      </c>
      <c r="O1339" s="6">
        <v>1</v>
      </c>
      <c r="P1339" s="5">
        <v>-6.9522529999999998</v>
      </c>
      <c r="Q1339" s="4" t="s">
        <v>1394</v>
      </c>
    </row>
    <row r="1340" spans="1:17" x14ac:dyDescent="0.3">
      <c r="A1340" s="2" t="s">
        <v>1389</v>
      </c>
      <c r="B1340" s="3">
        <v>155594</v>
      </c>
      <c r="C1340" s="3">
        <v>215289</v>
      </c>
      <c r="D1340" s="4" t="s">
        <v>17</v>
      </c>
      <c r="E1340" s="4" t="s">
        <v>1316</v>
      </c>
      <c r="F1340" s="4" t="s">
        <v>32</v>
      </c>
      <c r="G1340" s="4" t="s">
        <v>20</v>
      </c>
      <c r="H1340" s="5">
        <v>-100000</v>
      </c>
      <c r="I1340" s="4" t="s">
        <v>21</v>
      </c>
      <c r="J1340" s="5">
        <f t="shared" si="20"/>
        <v>421020.00000000006</v>
      </c>
      <c r="K1340" s="4" t="s">
        <v>46</v>
      </c>
      <c r="L1340" s="6">
        <v>4.2102000000000004</v>
      </c>
      <c r="M1340" s="6">
        <v>0.23749999999999999</v>
      </c>
      <c r="N1340" s="6">
        <v>4.2110000000000003</v>
      </c>
      <c r="O1340" s="6">
        <v>1</v>
      </c>
      <c r="P1340" s="5">
        <v>-100</v>
      </c>
      <c r="Q1340" s="4" t="s">
        <v>1390</v>
      </c>
    </row>
    <row r="1341" spans="1:17" x14ac:dyDescent="0.3">
      <c r="A1341" s="2" t="s">
        <v>1389</v>
      </c>
      <c r="B1341" s="3">
        <v>155595</v>
      </c>
      <c r="C1341" s="3">
        <v>215290</v>
      </c>
      <c r="D1341" s="4" t="s">
        <v>17</v>
      </c>
      <c r="E1341" s="4" t="s">
        <v>1316</v>
      </c>
      <c r="F1341" s="4" t="s">
        <v>32</v>
      </c>
      <c r="G1341" s="4" t="s">
        <v>20</v>
      </c>
      <c r="H1341" s="5">
        <v>-100000</v>
      </c>
      <c r="I1341" s="4" t="s">
        <v>21</v>
      </c>
      <c r="J1341" s="5">
        <f t="shared" si="20"/>
        <v>421020.00000000006</v>
      </c>
      <c r="K1341" s="4" t="s">
        <v>46</v>
      </c>
      <c r="L1341" s="6">
        <v>4.2102000000000004</v>
      </c>
      <c r="M1341" s="6">
        <v>0.23749999999999999</v>
      </c>
      <c r="N1341" s="6">
        <v>4.2110000000000003</v>
      </c>
      <c r="O1341" s="6">
        <v>1</v>
      </c>
      <c r="P1341" s="5">
        <v>-100</v>
      </c>
      <c r="Q1341" s="4" t="s">
        <v>1390</v>
      </c>
    </row>
    <row r="1342" spans="1:17" x14ac:dyDescent="0.3">
      <c r="A1342" s="2" t="s">
        <v>1389</v>
      </c>
      <c r="B1342" s="3">
        <v>155596</v>
      </c>
      <c r="C1342" s="3">
        <v>215291</v>
      </c>
      <c r="D1342" s="4" t="s">
        <v>17</v>
      </c>
      <c r="E1342" s="4" t="s">
        <v>1316</v>
      </c>
      <c r="F1342" s="4" t="s">
        <v>32</v>
      </c>
      <c r="G1342" s="4" t="s">
        <v>20</v>
      </c>
      <c r="H1342" s="5">
        <v>-100000</v>
      </c>
      <c r="I1342" s="4" t="s">
        <v>21</v>
      </c>
      <c r="J1342" s="5">
        <f t="shared" si="20"/>
        <v>421020.00000000006</v>
      </c>
      <c r="K1342" s="4" t="s">
        <v>46</v>
      </c>
      <c r="L1342" s="6">
        <v>4.2102000000000004</v>
      </c>
      <c r="M1342" s="6">
        <v>0.23749999999999999</v>
      </c>
      <c r="N1342" s="6">
        <v>4.2110000000000003</v>
      </c>
      <c r="O1342" s="6">
        <v>1</v>
      </c>
      <c r="P1342" s="5">
        <v>-100</v>
      </c>
      <c r="Q1342" s="4" t="s">
        <v>1390</v>
      </c>
    </row>
    <row r="1343" spans="1:17" x14ac:dyDescent="0.3">
      <c r="A1343" s="2" t="s">
        <v>1389</v>
      </c>
      <c r="B1343" s="3">
        <v>155597</v>
      </c>
      <c r="C1343" s="3">
        <v>891130</v>
      </c>
      <c r="D1343" s="4" t="s">
        <v>81</v>
      </c>
      <c r="E1343" s="4" t="s">
        <v>735</v>
      </c>
      <c r="F1343" s="4" t="s">
        <v>83</v>
      </c>
      <c r="G1343" s="4" t="s">
        <v>20</v>
      </c>
      <c r="H1343" s="5">
        <v>-15296.12</v>
      </c>
      <c r="I1343" s="4" t="s">
        <v>21</v>
      </c>
      <c r="J1343" s="5">
        <f t="shared" si="20"/>
        <v>64361.484124000002</v>
      </c>
      <c r="K1343" s="4" t="s">
        <v>47</v>
      </c>
      <c r="L1343" s="6">
        <v>4.2077</v>
      </c>
      <c r="M1343" s="6">
        <v>0.23769999999999999</v>
      </c>
      <c r="N1343" s="6">
        <v>4.2126999999999999</v>
      </c>
      <c r="O1343" s="6">
        <v>1</v>
      </c>
      <c r="P1343" s="5">
        <v>-76.484724</v>
      </c>
      <c r="Q1343" s="4" t="s">
        <v>1394</v>
      </c>
    </row>
    <row r="1344" spans="1:17" x14ac:dyDescent="0.3">
      <c r="A1344" s="2" t="s">
        <v>1389</v>
      </c>
      <c r="B1344" s="3">
        <v>155598</v>
      </c>
      <c r="C1344" s="3">
        <v>891131</v>
      </c>
      <c r="D1344" s="4" t="s">
        <v>81</v>
      </c>
      <c r="E1344" s="4" t="s">
        <v>734</v>
      </c>
      <c r="F1344" s="4" t="s">
        <v>83</v>
      </c>
      <c r="G1344" s="4" t="s">
        <v>93</v>
      </c>
      <c r="H1344" s="5">
        <v>-179.81</v>
      </c>
      <c r="I1344" s="4" t="s">
        <v>21</v>
      </c>
      <c r="J1344" s="5">
        <f t="shared" si="20"/>
        <v>811.95003600000007</v>
      </c>
      <c r="K1344" s="4" t="s">
        <v>47</v>
      </c>
      <c r="L1344" s="6">
        <v>4.5156000000000001</v>
      </c>
      <c r="M1344" s="6">
        <v>0.2215</v>
      </c>
      <c r="N1344" s="6">
        <v>4.5221999999999998</v>
      </c>
      <c r="O1344" s="6">
        <v>1</v>
      </c>
      <c r="P1344" s="5">
        <v>-1.196782</v>
      </c>
      <c r="Q1344" s="4" t="s">
        <v>1393</v>
      </c>
    </row>
    <row r="1345" spans="1:17" x14ac:dyDescent="0.3">
      <c r="A1345" s="2" t="s">
        <v>1389</v>
      </c>
      <c r="B1345" s="3">
        <v>155599</v>
      </c>
      <c r="C1345" s="3">
        <v>891132</v>
      </c>
      <c r="D1345" s="4" t="s">
        <v>81</v>
      </c>
      <c r="E1345" s="4" t="s">
        <v>735</v>
      </c>
      <c r="F1345" s="4" t="s">
        <v>83</v>
      </c>
      <c r="G1345" s="4" t="s">
        <v>34</v>
      </c>
      <c r="H1345" s="5">
        <v>-3351.7</v>
      </c>
      <c r="I1345" s="4" t="s">
        <v>21</v>
      </c>
      <c r="J1345" s="5">
        <f t="shared" si="20"/>
        <v>12076.1751</v>
      </c>
      <c r="K1345" s="4" t="s">
        <v>47</v>
      </c>
      <c r="L1345" s="6">
        <v>3.6030000000000002</v>
      </c>
      <c r="M1345" s="6">
        <v>0.27750000000000002</v>
      </c>
      <c r="N1345" s="6">
        <v>3.6183999999999998</v>
      </c>
      <c r="O1345" s="6">
        <v>1</v>
      </c>
      <c r="P1345" s="5">
        <v>-51.611280000000001</v>
      </c>
      <c r="Q1345" s="4" t="s">
        <v>1394</v>
      </c>
    </row>
    <row r="1346" spans="1:17" x14ac:dyDescent="0.3">
      <c r="A1346" s="2" t="s">
        <v>1389</v>
      </c>
      <c r="B1346" s="3">
        <v>155600</v>
      </c>
      <c r="C1346" s="3">
        <v>891133</v>
      </c>
      <c r="D1346" s="4" t="s">
        <v>81</v>
      </c>
      <c r="E1346" s="4" t="s">
        <v>735</v>
      </c>
      <c r="F1346" s="4" t="s">
        <v>83</v>
      </c>
      <c r="G1346" s="4" t="s">
        <v>91</v>
      </c>
      <c r="H1346" s="5">
        <v>-6684.06</v>
      </c>
      <c r="I1346" s="4" t="s">
        <v>21</v>
      </c>
      <c r="J1346" s="5">
        <f t="shared" si="20"/>
        <v>32404.32288</v>
      </c>
      <c r="K1346" s="4" t="s">
        <v>47</v>
      </c>
      <c r="L1346" s="6">
        <v>4.8479999999999999</v>
      </c>
      <c r="M1346" s="6">
        <v>0.20630000000000001</v>
      </c>
      <c r="N1346" s="6">
        <v>4.8525</v>
      </c>
      <c r="O1346" s="6">
        <v>1</v>
      </c>
      <c r="P1346" s="5">
        <v>-30.081150000000001</v>
      </c>
      <c r="Q1346" s="4" t="s">
        <v>1394</v>
      </c>
    </row>
    <row r="1347" spans="1:17" x14ac:dyDescent="0.3">
      <c r="A1347" s="2" t="s">
        <v>1389</v>
      </c>
      <c r="B1347" s="3">
        <v>155601</v>
      </c>
      <c r="C1347" s="3">
        <v>891167</v>
      </c>
      <c r="D1347" s="4" t="s">
        <v>81</v>
      </c>
      <c r="E1347" s="4" t="s">
        <v>734</v>
      </c>
      <c r="F1347" s="4" t="s">
        <v>83</v>
      </c>
      <c r="G1347" s="4" t="s">
        <v>20</v>
      </c>
      <c r="H1347" s="5">
        <v>-24261.27</v>
      </c>
      <c r="I1347" s="4" t="s">
        <v>21</v>
      </c>
      <c r="J1347" s="5">
        <f t="shared" si="20"/>
        <v>102118.11155700001</v>
      </c>
      <c r="K1347" s="4" t="s">
        <v>47</v>
      </c>
      <c r="L1347" s="6">
        <v>4.2091000000000003</v>
      </c>
      <c r="M1347" s="6">
        <v>0.23760000000000001</v>
      </c>
      <c r="N1347" s="6">
        <v>4.2126999999999999</v>
      </c>
      <c r="O1347" s="6">
        <v>1</v>
      </c>
      <c r="P1347" s="5">
        <v>-88.552128999999994</v>
      </c>
      <c r="Q1347" s="4" t="s">
        <v>1393</v>
      </c>
    </row>
    <row r="1348" spans="1:17" x14ac:dyDescent="0.3">
      <c r="A1348" s="2" t="s">
        <v>1389</v>
      </c>
      <c r="B1348" s="3">
        <v>155602</v>
      </c>
      <c r="C1348" s="3">
        <v>891168</v>
      </c>
      <c r="D1348" s="4" t="s">
        <v>81</v>
      </c>
      <c r="E1348" s="4" t="s">
        <v>735</v>
      </c>
      <c r="F1348" s="4" t="s">
        <v>87</v>
      </c>
      <c r="G1348" s="4" t="s">
        <v>91</v>
      </c>
      <c r="H1348" s="5">
        <v>848.45</v>
      </c>
      <c r="I1348" s="4" t="s">
        <v>21</v>
      </c>
      <c r="J1348" s="5">
        <f t="shared" ref="J1348:J1411" si="21">-H1348*L1348</f>
        <v>-4116.2551750000002</v>
      </c>
      <c r="K1348" s="4" t="s">
        <v>47</v>
      </c>
      <c r="L1348" s="6">
        <v>4.8514999999999997</v>
      </c>
      <c r="M1348" s="6">
        <v>0.20610000000000001</v>
      </c>
      <c r="N1348" s="6">
        <v>4.8525</v>
      </c>
      <c r="O1348" s="6">
        <v>1</v>
      </c>
      <c r="P1348" s="5">
        <v>0.84362499999999996</v>
      </c>
      <c r="Q1348" s="4" t="s">
        <v>1394</v>
      </c>
    </row>
    <row r="1349" spans="1:17" x14ac:dyDescent="0.3">
      <c r="A1349" s="2" t="s">
        <v>1389</v>
      </c>
      <c r="B1349" s="3">
        <v>155603</v>
      </c>
      <c r="C1349" s="3">
        <v>891169</v>
      </c>
      <c r="D1349" s="4" t="s">
        <v>81</v>
      </c>
      <c r="E1349" s="4" t="s">
        <v>734</v>
      </c>
      <c r="F1349" s="4" t="s">
        <v>83</v>
      </c>
      <c r="G1349" s="4" t="s">
        <v>34</v>
      </c>
      <c r="H1349" s="5">
        <v>-3179.86</v>
      </c>
      <c r="I1349" s="4" t="s">
        <v>21</v>
      </c>
      <c r="J1349" s="5">
        <f t="shared" si="21"/>
        <v>11458.307524000002</v>
      </c>
      <c r="K1349" s="4" t="s">
        <v>47</v>
      </c>
      <c r="L1349" s="6">
        <v>3.6034000000000002</v>
      </c>
      <c r="M1349" s="6">
        <v>0.27750000000000002</v>
      </c>
      <c r="N1349" s="6">
        <v>3.6183999999999998</v>
      </c>
      <c r="O1349" s="6">
        <v>1</v>
      </c>
      <c r="P1349" s="5">
        <v>-47.695424000000003</v>
      </c>
      <c r="Q1349" s="4" t="s">
        <v>1393</v>
      </c>
    </row>
    <row r="1350" spans="1:17" x14ac:dyDescent="0.3">
      <c r="A1350" s="2" t="s">
        <v>1389</v>
      </c>
      <c r="B1350" s="3">
        <v>155604</v>
      </c>
      <c r="C1350" s="3">
        <v>891170</v>
      </c>
      <c r="D1350" s="4" t="s">
        <v>81</v>
      </c>
      <c r="E1350" s="4" t="s">
        <v>734</v>
      </c>
      <c r="F1350" s="4" t="s">
        <v>83</v>
      </c>
      <c r="G1350" s="4" t="s">
        <v>93</v>
      </c>
      <c r="H1350" s="5">
        <v>-390</v>
      </c>
      <c r="I1350" s="4" t="s">
        <v>21</v>
      </c>
      <c r="J1350" s="5">
        <f t="shared" si="21"/>
        <v>1762.605</v>
      </c>
      <c r="K1350" s="4" t="s">
        <v>47</v>
      </c>
      <c r="L1350" s="6">
        <v>4.5194999999999999</v>
      </c>
      <c r="M1350" s="6">
        <v>0.2213</v>
      </c>
      <c r="N1350" s="6">
        <v>4.5221999999999998</v>
      </c>
      <c r="O1350" s="6">
        <v>1</v>
      </c>
      <c r="P1350" s="5">
        <v>-1.0680000000000001</v>
      </c>
      <c r="Q1350" s="4" t="s">
        <v>1393</v>
      </c>
    </row>
    <row r="1351" spans="1:17" x14ac:dyDescent="0.3">
      <c r="A1351" s="2" t="s">
        <v>1389</v>
      </c>
      <c r="B1351" s="3">
        <v>155605</v>
      </c>
      <c r="C1351" s="3">
        <v>215292</v>
      </c>
      <c r="D1351" s="4" t="s">
        <v>17</v>
      </c>
      <c r="E1351" s="4" t="s">
        <v>727</v>
      </c>
      <c r="F1351" s="4" t="s">
        <v>32</v>
      </c>
      <c r="G1351" s="4" t="s">
        <v>20</v>
      </c>
      <c r="H1351" s="5">
        <v>-2544</v>
      </c>
      <c r="I1351" s="4" t="s">
        <v>21</v>
      </c>
      <c r="J1351" s="5">
        <f t="shared" si="21"/>
        <v>10707.950400000002</v>
      </c>
      <c r="K1351" s="4" t="s">
        <v>29</v>
      </c>
      <c r="L1351" s="6">
        <v>4.2091000000000003</v>
      </c>
      <c r="M1351" s="6">
        <v>0.23760000000000001</v>
      </c>
      <c r="N1351" s="6">
        <v>4.2104999999999997</v>
      </c>
      <c r="O1351" s="6">
        <v>1</v>
      </c>
      <c r="P1351" s="5">
        <v>-5.7220000000000004</v>
      </c>
      <c r="Q1351" s="4" t="s">
        <v>1397</v>
      </c>
    </row>
    <row r="1352" spans="1:17" x14ac:dyDescent="0.3">
      <c r="A1352" s="2" t="s">
        <v>1389</v>
      </c>
      <c r="B1352" s="3">
        <v>155606</v>
      </c>
      <c r="C1352" s="3">
        <v>215294</v>
      </c>
      <c r="D1352" s="4" t="s">
        <v>17</v>
      </c>
      <c r="E1352" s="4" t="s">
        <v>727</v>
      </c>
      <c r="F1352" s="4" t="s">
        <v>32</v>
      </c>
      <c r="G1352" s="4" t="s">
        <v>20</v>
      </c>
      <c r="H1352" s="5">
        <v>-17500</v>
      </c>
      <c r="I1352" s="4" t="s">
        <v>21</v>
      </c>
      <c r="J1352" s="5">
        <f t="shared" si="21"/>
        <v>73662.75</v>
      </c>
      <c r="K1352" s="4" t="s">
        <v>29</v>
      </c>
      <c r="L1352" s="6">
        <v>4.2092999999999998</v>
      </c>
      <c r="M1352" s="6">
        <v>0.23760000000000001</v>
      </c>
      <c r="N1352" s="6">
        <v>4.2104999999999997</v>
      </c>
      <c r="O1352" s="6">
        <v>1</v>
      </c>
      <c r="P1352" s="5">
        <v>-35.82</v>
      </c>
      <c r="Q1352" s="4" t="s">
        <v>1397</v>
      </c>
    </row>
    <row r="1353" spans="1:17" x14ac:dyDescent="0.3">
      <c r="A1353" s="2" t="s">
        <v>1389</v>
      </c>
      <c r="B1353" s="3">
        <v>155607</v>
      </c>
      <c r="C1353" s="3">
        <v>215296</v>
      </c>
      <c r="D1353" s="4" t="s">
        <v>17</v>
      </c>
      <c r="E1353" s="4" t="s">
        <v>727</v>
      </c>
      <c r="F1353" s="4" t="s">
        <v>19</v>
      </c>
      <c r="G1353" s="4" t="s">
        <v>34</v>
      </c>
      <c r="H1353" s="5">
        <v>11170</v>
      </c>
      <c r="I1353" s="4" t="s">
        <v>21</v>
      </c>
      <c r="J1353" s="5">
        <f t="shared" si="21"/>
        <v>-40286.839</v>
      </c>
      <c r="K1353" s="4" t="s">
        <v>29</v>
      </c>
      <c r="L1353" s="6">
        <v>3.6067</v>
      </c>
      <c r="M1353" s="6">
        <v>0.27729999999999999</v>
      </c>
      <c r="N1353" s="6">
        <v>3.6034999999999999</v>
      </c>
      <c r="O1353" s="6">
        <v>1</v>
      </c>
      <c r="P1353" s="5">
        <v>-35.743999999998778</v>
      </c>
      <c r="Q1353" s="4" t="s">
        <v>1397</v>
      </c>
    </row>
    <row r="1354" spans="1:17" x14ac:dyDescent="0.3">
      <c r="A1354" s="2" t="s">
        <v>1389</v>
      </c>
      <c r="B1354" s="3">
        <v>155608</v>
      </c>
      <c r="C1354" s="3">
        <v>215298</v>
      </c>
      <c r="D1354" s="4" t="s">
        <v>17</v>
      </c>
      <c r="E1354" s="4" t="s">
        <v>734</v>
      </c>
      <c r="F1354" s="4" t="s">
        <v>32</v>
      </c>
      <c r="G1354" s="4" t="s">
        <v>20</v>
      </c>
      <c r="H1354" s="5">
        <v>-5000</v>
      </c>
      <c r="I1354" s="4" t="s">
        <v>21</v>
      </c>
      <c r="J1354" s="5">
        <f t="shared" si="21"/>
        <v>21055</v>
      </c>
      <c r="K1354" s="4" t="s">
        <v>29</v>
      </c>
      <c r="L1354" s="6">
        <v>4.2110000000000003</v>
      </c>
      <c r="M1354" s="6">
        <v>0.23749999999999999</v>
      </c>
      <c r="N1354" s="6">
        <v>4.2104999999999997</v>
      </c>
      <c r="O1354" s="6">
        <v>1</v>
      </c>
      <c r="P1354" s="5">
        <v>-1.86</v>
      </c>
      <c r="Q1354" s="4" t="s">
        <v>1393</v>
      </c>
    </row>
    <row r="1355" spans="1:17" x14ac:dyDescent="0.3">
      <c r="A1355" s="2" t="s">
        <v>1389</v>
      </c>
      <c r="B1355" s="3">
        <v>155609</v>
      </c>
      <c r="C1355" s="3">
        <v>215300</v>
      </c>
      <c r="D1355" s="4" t="s">
        <v>17</v>
      </c>
      <c r="E1355" s="4" t="s">
        <v>727</v>
      </c>
      <c r="F1355" s="4" t="s">
        <v>19</v>
      </c>
      <c r="G1355" s="4" t="s">
        <v>20</v>
      </c>
      <c r="H1355" s="5">
        <v>12600</v>
      </c>
      <c r="I1355" s="4" t="s">
        <v>21</v>
      </c>
      <c r="J1355" s="5">
        <f t="shared" si="21"/>
        <v>-53073.72</v>
      </c>
      <c r="K1355" s="4" t="s">
        <v>29</v>
      </c>
      <c r="L1355" s="6">
        <v>4.2122000000000002</v>
      </c>
      <c r="M1355" s="6">
        <v>0.2374</v>
      </c>
      <c r="N1355" s="6">
        <v>4.2104999999999997</v>
      </c>
      <c r="O1355" s="6">
        <v>1</v>
      </c>
      <c r="P1355" s="5">
        <v>-21.42000000000553</v>
      </c>
      <c r="Q1355" s="4" t="s">
        <v>1397</v>
      </c>
    </row>
    <row r="1356" spans="1:17" x14ac:dyDescent="0.3">
      <c r="A1356" s="2" t="s">
        <v>1389</v>
      </c>
      <c r="B1356" s="3">
        <v>155610</v>
      </c>
      <c r="C1356" s="3">
        <v>215302</v>
      </c>
      <c r="D1356" s="4" t="s">
        <v>17</v>
      </c>
      <c r="E1356" s="4" t="s">
        <v>727</v>
      </c>
      <c r="F1356" s="4" t="s">
        <v>19</v>
      </c>
      <c r="G1356" s="4" t="s">
        <v>20</v>
      </c>
      <c r="H1356" s="5">
        <v>7900</v>
      </c>
      <c r="I1356" s="4" t="s">
        <v>21</v>
      </c>
      <c r="J1356" s="5">
        <f t="shared" si="21"/>
        <v>-33276.380000000005</v>
      </c>
      <c r="K1356" s="4" t="s">
        <v>29</v>
      </c>
      <c r="L1356" s="6">
        <v>4.2122000000000002</v>
      </c>
      <c r="M1356" s="6">
        <v>0.2374</v>
      </c>
      <c r="N1356" s="6">
        <v>4.2104999999999997</v>
      </c>
      <c r="O1356" s="6">
        <v>1</v>
      </c>
      <c r="P1356" s="5">
        <v>-13.430000000007567</v>
      </c>
      <c r="Q1356" s="4" t="s">
        <v>1397</v>
      </c>
    </row>
    <row r="1357" spans="1:17" x14ac:dyDescent="0.3">
      <c r="A1357" s="2" t="s">
        <v>1389</v>
      </c>
      <c r="B1357" s="3">
        <v>155611</v>
      </c>
      <c r="C1357" s="3">
        <v>215304</v>
      </c>
      <c r="D1357" s="4" t="s">
        <v>17</v>
      </c>
      <c r="E1357" s="4" t="s">
        <v>734</v>
      </c>
      <c r="F1357" s="4" t="s">
        <v>32</v>
      </c>
      <c r="G1357" s="4" t="s">
        <v>34</v>
      </c>
      <c r="H1357" s="5">
        <v>-47190</v>
      </c>
      <c r="I1357" s="4" t="s">
        <v>21</v>
      </c>
      <c r="J1357" s="5">
        <f t="shared" si="21"/>
        <v>170119.95</v>
      </c>
      <c r="K1357" s="4" t="s">
        <v>29</v>
      </c>
      <c r="L1357" s="6">
        <v>3.605</v>
      </c>
      <c r="M1357" s="6">
        <v>0.27739999999999998</v>
      </c>
      <c r="N1357" s="6">
        <v>3.6034999999999999</v>
      </c>
      <c r="O1357" s="6">
        <v>1</v>
      </c>
      <c r="P1357" s="5">
        <v>68.805000000000007</v>
      </c>
      <c r="Q1357" s="4" t="s">
        <v>1393</v>
      </c>
    </row>
    <row r="1358" spans="1:17" x14ac:dyDescent="0.3">
      <c r="A1358" s="2" t="s">
        <v>1389</v>
      </c>
      <c r="B1358" s="3">
        <v>155612</v>
      </c>
      <c r="C1358" s="3">
        <v>215306</v>
      </c>
      <c r="D1358" s="4" t="s">
        <v>17</v>
      </c>
      <c r="E1358" s="4" t="s">
        <v>734</v>
      </c>
      <c r="F1358" s="4" t="s">
        <v>32</v>
      </c>
      <c r="G1358" s="4" t="s">
        <v>20</v>
      </c>
      <c r="H1358" s="5">
        <v>-12000</v>
      </c>
      <c r="I1358" s="4" t="s">
        <v>21</v>
      </c>
      <c r="J1358" s="5">
        <f t="shared" si="21"/>
        <v>50533.200000000004</v>
      </c>
      <c r="K1358" s="4" t="s">
        <v>29</v>
      </c>
      <c r="L1358" s="6">
        <v>4.2111000000000001</v>
      </c>
      <c r="M1358" s="6">
        <v>0.23749999999999999</v>
      </c>
      <c r="N1358" s="6">
        <v>4.2104999999999997</v>
      </c>
      <c r="O1358" s="6">
        <v>1</v>
      </c>
      <c r="P1358" s="5">
        <v>-3.27</v>
      </c>
      <c r="Q1358" s="4" t="s">
        <v>1393</v>
      </c>
    </row>
    <row r="1359" spans="1:17" x14ac:dyDescent="0.3">
      <c r="A1359" s="2" t="s">
        <v>1389</v>
      </c>
      <c r="B1359" s="3">
        <v>155613</v>
      </c>
      <c r="C1359" s="3">
        <v>891207</v>
      </c>
      <c r="D1359" s="4" t="s">
        <v>81</v>
      </c>
      <c r="E1359" s="4" t="s">
        <v>735</v>
      </c>
      <c r="F1359" s="4" t="s">
        <v>87</v>
      </c>
      <c r="G1359" s="4" t="s">
        <v>20</v>
      </c>
      <c r="H1359" s="5">
        <v>500000</v>
      </c>
      <c r="I1359" s="4" t="s">
        <v>21</v>
      </c>
      <c r="J1359" s="5">
        <f t="shared" si="21"/>
        <v>-2105200</v>
      </c>
      <c r="K1359" s="4" t="s">
        <v>47</v>
      </c>
      <c r="L1359" s="6">
        <v>4.2103999999999999</v>
      </c>
      <c r="M1359" s="6">
        <v>0.23749999999999999</v>
      </c>
      <c r="N1359" s="6">
        <v>4.2126999999999999</v>
      </c>
      <c r="O1359" s="6">
        <v>1</v>
      </c>
      <c r="P1359" s="5">
        <v>1150</v>
      </c>
      <c r="Q1359" s="4" t="s">
        <v>1394</v>
      </c>
    </row>
    <row r="1360" spans="1:17" x14ac:dyDescent="0.3">
      <c r="A1360" s="2" t="s">
        <v>1389</v>
      </c>
      <c r="B1360" s="3">
        <v>155614</v>
      </c>
      <c r="C1360" s="3">
        <v>215308</v>
      </c>
      <c r="D1360" s="4" t="s">
        <v>17</v>
      </c>
      <c r="E1360" s="4" t="s">
        <v>727</v>
      </c>
      <c r="F1360" s="4" t="s">
        <v>19</v>
      </c>
      <c r="G1360" s="4" t="s">
        <v>34</v>
      </c>
      <c r="H1360" s="5">
        <v>47400</v>
      </c>
      <c r="I1360" s="4" t="s">
        <v>21</v>
      </c>
      <c r="J1360" s="5">
        <f t="shared" si="21"/>
        <v>-170895.96</v>
      </c>
      <c r="K1360" s="4" t="s">
        <v>29</v>
      </c>
      <c r="L1360" s="6">
        <v>3.6053999999999999</v>
      </c>
      <c r="M1360" s="6">
        <v>0.27739999999999998</v>
      </c>
      <c r="N1360" s="6">
        <v>3.6034999999999999</v>
      </c>
      <c r="O1360" s="6">
        <v>1</v>
      </c>
      <c r="P1360" s="5">
        <v>-90.059999999997672</v>
      </c>
      <c r="Q1360" s="4" t="s">
        <v>1397</v>
      </c>
    </row>
    <row r="1361" spans="1:17" x14ac:dyDescent="0.3">
      <c r="A1361" s="2" t="s">
        <v>1389</v>
      </c>
      <c r="B1361" s="3">
        <v>155615</v>
      </c>
      <c r="C1361" s="3">
        <v>215310</v>
      </c>
      <c r="D1361" s="4" t="s">
        <v>17</v>
      </c>
      <c r="E1361" s="4" t="s">
        <v>735</v>
      </c>
      <c r="F1361" s="4" t="s">
        <v>19</v>
      </c>
      <c r="G1361" s="4" t="s">
        <v>34</v>
      </c>
      <c r="H1361" s="5">
        <v>1500</v>
      </c>
      <c r="I1361" s="4" t="s">
        <v>21</v>
      </c>
      <c r="J1361" s="5">
        <f t="shared" si="21"/>
        <v>-5409</v>
      </c>
      <c r="K1361" s="4" t="s">
        <v>29</v>
      </c>
      <c r="L1361" s="6">
        <v>3.6059999999999999</v>
      </c>
      <c r="M1361" s="6">
        <v>0.27729999999999999</v>
      </c>
      <c r="N1361" s="6">
        <v>3.6034999999999999</v>
      </c>
      <c r="O1361" s="6">
        <v>1</v>
      </c>
      <c r="P1361" s="5">
        <v>-3.75</v>
      </c>
      <c r="Q1361" s="4" t="s">
        <v>1394</v>
      </c>
    </row>
    <row r="1362" spans="1:17" x14ac:dyDescent="0.3">
      <c r="A1362" s="2" t="s">
        <v>1389</v>
      </c>
      <c r="B1362" s="3">
        <v>155616</v>
      </c>
      <c r="C1362" s="3">
        <v>891216</v>
      </c>
      <c r="D1362" s="4" t="s">
        <v>81</v>
      </c>
      <c r="E1362" s="4" t="s">
        <v>743</v>
      </c>
      <c r="F1362" s="4" t="s">
        <v>83</v>
      </c>
      <c r="G1362" s="4" t="s">
        <v>20</v>
      </c>
      <c r="H1362" s="5">
        <v>-100849.23</v>
      </c>
      <c r="I1362" s="4" t="s">
        <v>21</v>
      </c>
      <c r="J1362" s="5">
        <f t="shared" si="21"/>
        <v>424615.597992</v>
      </c>
      <c r="K1362" s="4" t="s">
        <v>47</v>
      </c>
      <c r="L1362" s="6">
        <v>4.2103999999999999</v>
      </c>
      <c r="M1362" s="6">
        <v>0.23749999999999999</v>
      </c>
      <c r="N1362" s="6">
        <v>4.2126999999999999</v>
      </c>
      <c r="O1362" s="6">
        <v>1</v>
      </c>
      <c r="P1362" s="5">
        <v>-235.991221</v>
      </c>
      <c r="Q1362" s="4" t="s">
        <v>1395</v>
      </c>
    </row>
    <row r="1363" spans="1:17" x14ac:dyDescent="0.3">
      <c r="A1363" s="2" t="s">
        <v>1389</v>
      </c>
      <c r="B1363" s="3">
        <v>155617</v>
      </c>
      <c r="C1363" s="3">
        <v>891217</v>
      </c>
      <c r="D1363" s="4" t="s">
        <v>81</v>
      </c>
      <c r="E1363" s="4" t="s">
        <v>743</v>
      </c>
      <c r="F1363" s="4" t="s">
        <v>83</v>
      </c>
      <c r="G1363" s="4" t="s">
        <v>91</v>
      </c>
      <c r="H1363" s="5">
        <v>-16247.79</v>
      </c>
      <c r="I1363" s="4" t="s">
        <v>21</v>
      </c>
      <c r="J1363" s="5">
        <f t="shared" si="21"/>
        <v>78800.156721000007</v>
      </c>
      <c r="K1363" s="4" t="s">
        <v>47</v>
      </c>
      <c r="L1363" s="6">
        <v>4.8498999999999999</v>
      </c>
      <c r="M1363" s="6">
        <v>0.20619999999999999</v>
      </c>
      <c r="N1363" s="6">
        <v>4.8525</v>
      </c>
      <c r="O1363" s="6">
        <v>1</v>
      </c>
      <c r="P1363" s="5">
        <v>-42.410975000000001</v>
      </c>
      <c r="Q1363" s="4" t="s">
        <v>1395</v>
      </c>
    </row>
    <row r="1364" spans="1:17" x14ac:dyDescent="0.3">
      <c r="A1364" s="2" t="s">
        <v>1389</v>
      </c>
      <c r="B1364" s="3">
        <v>155618</v>
      </c>
      <c r="C1364" s="3">
        <v>891218</v>
      </c>
      <c r="D1364" s="4" t="s">
        <v>81</v>
      </c>
      <c r="E1364" s="4" t="s">
        <v>743</v>
      </c>
      <c r="F1364" s="4" t="s">
        <v>83</v>
      </c>
      <c r="G1364" s="4" t="s">
        <v>93</v>
      </c>
      <c r="H1364" s="5">
        <v>-4578.4399999999996</v>
      </c>
      <c r="I1364" s="4" t="s">
        <v>21</v>
      </c>
      <c r="J1364" s="5">
        <f t="shared" si="21"/>
        <v>20696.380175999999</v>
      </c>
      <c r="K1364" s="4" t="s">
        <v>47</v>
      </c>
      <c r="L1364" s="6">
        <v>4.5204000000000004</v>
      </c>
      <c r="M1364" s="6">
        <v>0.22120000000000001</v>
      </c>
      <c r="N1364" s="6">
        <v>4.5221999999999998</v>
      </c>
      <c r="O1364" s="6">
        <v>1</v>
      </c>
      <c r="P1364" s="5">
        <v>-8.4213679999999993</v>
      </c>
      <c r="Q1364" s="4" t="s">
        <v>1395</v>
      </c>
    </row>
    <row r="1365" spans="1:17" x14ac:dyDescent="0.3">
      <c r="A1365" s="2" t="s">
        <v>1389</v>
      </c>
      <c r="B1365" s="3">
        <v>155619</v>
      </c>
      <c r="C1365" s="3">
        <v>215312</v>
      </c>
      <c r="D1365" s="4" t="s">
        <v>17</v>
      </c>
      <c r="E1365" s="4" t="s">
        <v>743</v>
      </c>
      <c r="F1365" s="4" t="s">
        <v>32</v>
      </c>
      <c r="G1365" s="4" t="s">
        <v>20</v>
      </c>
      <c r="H1365" s="5">
        <v>-40000</v>
      </c>
      <c r="I1365" s="4" t="s">
        <v>21</v>
      </c>
      <c r="J1365" s="5">
        <f t="shared" si="21"/>
        <v>168416</v>
      </c>
      <c r="K1365" s="4" t="s">
        <v>29</v>
      </c>
      <c r="L1365" s="6">
        <v>4.2103999999999999</v>
      </c>
      <c r="M1365" s="6">
        <v>0.23749999999999999</v>
      </c>
      <c r="N1365" s="6">
        <v>4.2104999999999997</v>
      </c>
      <c r="O1365" s="6">
        <v>1</v>
      </c>
      <c r="P1365" s="5">
        <v>-43.92</v>
      </c>
      <c r="Q1365" s="4" t="s">
        <v>1395</v>
      </c>
    </row>
    <row r="1366" spans="1:17" x14ac:dyDescent="0.3">
      <c r="A1366" s="2" t="s">
        <v>1389</v>
      </c>
      <c r="B1366" s="3">
        <v>155620</v>
      </c>
      <c r="C1366" s="3">
        <v>215314</v>
      </c>
      <c r="D1366" s="4" t="s">
        <v>17</v>
      </c>
      <c r="E1366" s="4" t="s">
        <v>739</v>
      </c>
      <c r="F1366" s="4" t="s">
        <v>32</v>
      </c>
      <c r="G1366" s="4" t="s">
        <v>20</v>
      </c>
      <c r="H1366" s="5">
        <v>-2505</v>
      </c>
      <c r="I1366" s="4" t="s">
        <v>21</v>
      </c>
      <c r="J1366" s="5">
        <f t="shared" si="21"/>
        <v>10544.046</v>
      </c>
      <c r="K1366" s="4" t="s">
        <v>29</v>
      </c>
      <c r="L1366" s="6">
        <v>4.2092000000000001</v>
      </c>
      <c r="M1366" s="6">
        <v>0.23760000000000001</v>
      </c>
      <c r="N1366" s="6">
        <v>4.2104999999999997</v>
      </c>
      <c r="O1366" s="6">
        <v>1</v>
      </c>
      <c r="P1366" s="5">
        <v>-5.5425000000000004</v>
      </c>
      <c r="Q1366" s="4" t="s">
        <v>1391</v>
      </c>
    </row>
    <row r="1367" spans="1:17" x14ac:dyDescent="0.3">
      <c r="A1367" s="2" t="s">
        <v>1389</v>
      </c>
      <c r="B1367" s="3">
        <v>155621</v>
      </c>
      <c r="C1367" s="3">
        <v>215317</v>
      </c>
      <c r="D1367" s="4" t="s">
        <v>17</v>
      </c>
      <c r="E1367" s="4" t="s">
        <v>734</v>
      </c>
      <c r="F1367" s="4" t="s">
        <v>19</v>
      </c>
      <c r="G1367" s="4" t="s">
        <v>20</v>
      </c>
      <c r="H1367" s="5">
        <v>5000</v>
      </c>
      <c r="I1367" s="4" t="s">
        <v>21</v>
      </c>
      <c r="J1367" s="5">
        <f t="shared" si="21"/>
        <v>-21050.5</v>
      </c>
      <c r="K1367" s="4" t="s">
        <v>29</v>
      </c>
      <c r="L1367" s="6">
        <v>4.2100999999999997</v>
      </c>
      <c r="M1367" s="6">
        <v>0.23749999999999999</v>
      </c>
      <c r="N1367" s="6">
        <v>4.2104999999999997</v>
      </c>
      <c r="O1367" s="6">
        <v>1</v>
      </c>
      <c r="P1367" s="5">
        <v>2</v>
      </c>
      <c r="Q1367" s="4" t="s">
        <v>1393</v>
      </c>
    </row>
    <row r="1368" spans="1:17" x14ac:dyDescent="0.3">
      <c r="A1368" s="2" t="s">
        <v>1389</v>
      </c>
      <c r="B1368" s="3">
        <v>155622</v>
      </c>
      <c r="C1368" s="3">
        <v>215319</v>
      </c>
      <c r="D1368" s="4" t="s">
        <v>17</v>
      </c>
      <c r="E1368" s="4" t="s">
        <v>734</v>
      </c>
      <c r="F1368" s="4" t="s">
        <v>32</v>
      </c>
      <c r="G1368" s="4" t="s">
        <v>20</v>
      </c>
      <c r="H1368" s="5">
        <v>-100000</v>
      </c>
      <c r="I1368" s="4" t="s">
        <v>21</v>
      </c>
      <c r="J1368" s="5">
        <f t="shared" si="21"/>
        <v>420899.99999999994</v>
      </c>
      <c r="K1368" s="4" t="s">
        <v>29</v>
      </c>
      <c r="L1368" s="6">
        <v>4.2089999999999996</v>
      </c>
      <c r="M1368" s="6">
        <v>0.23760000000000001</v>
      </c>
      <c r="N1368" s="6">
        <v>4.2104999999999997</v>
      </c>
      <c r="O1368" s="6">
        <v>1</v>
      </c>
      <c r="P1368" s="5">
        <v>-233.83</v>
      </c>
      <c r="Q1368" s="4" t="s">
        <v>1393</v>
      </c>
    </row>
    <row r="1369" spans="1:17" x14ac:dyDescent="0.3">
      <c r="A1369" s="2" t="s">
        <v>1389</v>
      </c>
      <c r="B1369" s="3">
        <v>155623</v>
      </c>
      <c r="C1369" s="3">
        <v>215320</v>
      </c>
      <c r="D1369" s="4" t="s">
        <v>17</v>
      </c>
      <c r="E1369" s="4" t="s">
        <v>739</v>
      </c>
      <c r="F1369" s="4" t="s">
        <v>19</v>
      </c>
      <c r="G1369" s="4" t="s">
        <v>20</v>
      </c>
      <c r="H1369" s="5">
        <v>20000</v>
      </c>
      <c r="I1369" s="4" t="s">
        <v>21</v>
      </c>
      <c r="J1369" s="5">
        <f t="shared" si="21"/>
        <v>-84194</v>
      </c>
      <c r="K1369" s="4" t="s">
        <v>29</v>
      </c>
      <c r="L1369" s="6">
        <v>4.2096999999999998</v>
      </c>
      <c r="M1369" s="6">
        <v>0.23749999999999999</v>
      </c>
      <c r="N1369" s="6">
        <v>4.2104999999999997</v>
      </c>
      <c r="O1369" s="6">
        <v>1</v>
      </c>
      <c r="P1369" s="5">
        <v>16</v>
      </c>
      <c r="Q1369" s="4" t="s">
        <v>1391</v>
      </c>
    </row>
    <row r="1370" spans="1:17" x14ac:dyDescent="0.3">
      <c r="A1370" s="2" t="s">
        <v>1389</v>
      </c>
      <c r="B1370" s="3">
        <v>155624</v>
      </c>
      <c r="C1370" s="3">
        <v>891261</v>
      </c>
      <c r="D1370" s="4" t="s">
        <v>81</v>
      </c>
      <c r="E1370" s="4" t="s">
        <v>735</v>
      </c>
      <c r="F1370" s="4" t="s">
        <v>87</v>
      </c>
      <c r="G1370" s="4" t="s">
        <v>20</v>
      </c>
      <c r="H1370" s="5">
        <v>500000</v>
      </c>
      <c r="I1370" s="4" t="s">
        <v>21</v>
      </c>
      <c r="J1370" s="5">
        <f t="shared" si="21"/>
        <v>-2104600</v>
      </c>
      <c r="K1370" s="4" t="s">
        <v>47</v>
      </c>
      <c r="L1370" s="6">
        <v>4.2092000000000001</v>
      </c>
      <c r="M1370" s="6">
        <v>0.23760000000000001</v>
      </c>
      <c r="N1370" s="6">
        <v>4.2126999999999999</v>
      </c>
      <c r="O1370" s="6">
        <v>1</v>
      </c>
      <c r="P1370" s="5">
        <v>1750</v>
      </c>
      <c r="Q1370" s="4" t="s">
        <v>1394</v>
      </c>
    </row>
    <row r="1371" spans="1:17" x14ac:dyDescent="0.3">
      <c r="A1371" s="2" t="s">
        <v>1389</v>
      </c>
      <c r="B1371" s="3">
        <v>155625</v>
      </c>
      <c r="C1371" s="3">
        <v>215329</v>
      </c>
      <c r="D1371" s="4" t="s">
        <v>17</v>
      </c>
      <c r="E1371" s="4" t="s">
        <v>984</v>
      </c>
      <c r="F1371" s="4" t="s">
        <v>32</v>
      </c>
      <c r="G1371" s="4" t="s">
        <v>20</v>
      </c>
      <c r="H1371" s="5">
        <v>-700000</v>
      </c>
      <c r="I1371" s="4" t="s">
        <v>21</v>
      </c>
      <c r="J1371" s="5">
        <f t="shared" si="21"/>
        <v>2947700</v>
      </c>
      <c r="K1371" s="4" t="s">
        <v>29</v>
      </c>
      <c r="L1371" s="6">
        <v>4.2110000000000003</v>
      </c>
      <c r="M1371" s="6">
        <v>0.23749999999999999</v>
      </c>
      <c r="N1371" s="6">
        <v>4.2104999999999997</v>
      </c>
      <c r="O1371" s="6">
        <v>1</v>
      </c>
      <c r="P1371" s="5">
        <v>350</v>
      </c>
      <c r="Q1371" s="4" t="s">
        <v>1390</v>
      </c>
    </row>
    <row r="1372" spans="1:17" x14ac:dyDescent="0.3">
      <c r="A1372" s="2" t="s">
        <v>1389</v>
      </c>
      <c r="B1372" s="3">
        <v>155626</v>
      </c>
      <c r="C1372" s="3">
        <v>891271</v>
      </c>
      <c r="D1372" s="4" t="s">
        <v>81</v>
      </c>
      <c r="E1372" s="4" t="s">
        <v>730</v>
      </c>
      <c r="F1372" s="4" t="s">
        <v>83</v>
      </c>
      <c r="G1372" s="4" t="s">
        <v>20</v>
      </c>
      <c r="H1372" s="5">
        <v>-200000</v>
      </c>
      <c r="I1372" s="4" t="s">
        <v>34</v>
      </c>
      <c r="J1372" s="5">
        <f t="shared" si="21"/>
        <v>233599.99999999997</v>
      </c>
      <c r="K1372" s="4" t="s">
        <v>47</v>
      </c>
      <c r="L1372" s="6">
        <v>1.1679999999999999</v>
      </c>
      <c r="M1372" s="6">
        <v>0.85619999999999996</v>
      </c>
      <c r="N1372" s="6">
        <v>4.2126999999999999</v>
      </c>
      <c r="O1372" s="6">
        <v>3.6183999999999998</v>
      </c>
      <c r="P1372" s="5">
        <v>2725.4767999999999</v>
      </c>
      <c r="Q1372" s="4" t="s">
        <v>1396</v>
      </c>
    </row>
    <row r="1373" spans="1:17" x14ac:dyDescent="0.3">
      <c r="A1373" s="2" t="s">
        <v>1389</v>
      </c>
      <c r="B1373" s="3">
        <v>155627</v>
      </c>
      <c r="C1373" s="3">
        <v>891287</v>
      </c>
      <c r="D1373" s="4" t="s">
        <v>81</v>
      </c>
      <c r="E1373" s="4" t="s">
        <v>730</v>
      </c>
      <c r="F1373" s="4" t="s">
        <v>83</v>
      </c>
      <c r="G1373" s="4" t="s">
        <v>20</v>
      </c>
      <c r="H1373" s="5">
        <v>-200000</v>
      </c>
      <c r="I1373" s="4" t="s">
        <v>34</v>
      </c>
      <c r="J1373" s="5">
        <f t="shared" si="21"/>
        <v>233520</v>
      </c>
      <c r="K1373" s="4" t="s">
        <v>47</v>
      </c>
      <c r="L1373" s="6">
        <v>1.1676</v>
      </c>
      <c r="M1373" s="6">
        <v>0.85650000000000004</v>
      </c>
      <c r="N1373" s="6">
        <v>4.2126999999999999</v>
      </c>
      <c r="O1373" s="6">
        <v>3.6183999999999998</v>
      </c>
      <c r="P1373" s="5">
        <v>2392.5839999999998</v>
      </c>
      <c r="Q1373" s="4" t="s">
        <v>1396</v>
      </c>
    </row>
    <row r="1374" spans="1:17" x14ac:dyDescent="0.3">
      <c r="A1374" s="2" t="s">
        <v>1389</v>
      </c>
      <c r="B1374" s="3">
        <v>155628</v>
      </c>
      <c r="C1374" s="3">
        <v>215337</v>
      </c>
      <c r="D1374" s="4" t="s">
        <v>17</v>
      </c>
      <c r="E1374" s="4" t="s">
        <v>1065</v>
      </c>
      <c r="F1374" s="4" t="s">
        <v>19</v>
      </c>
      <c r="G1374" s="4" t="s">
        <v>20</v>
      </c>
      <c r="H1374" s="5">
        <v>30000</v>
      </c>
      <c r="I1374" s="4" t="s">
        <v>21</v>
      </c>
      <c r="J1374" s="5">
        <f t="shared" si="21"/>
        <v>-126060</v>
      </c>
      <c r="K1374" s="4" t="s">
        <v>29</v>
      </c>
      <c r="L1374" s="6">
        <v>4.202</v>
      </c>
      <c r="M1374" s="6">
        <v>0.23799999999999999</v>
      </c>
      <c r="N1374" s="6">
        <v>4.2104999999999997</v>
      </c>
      <c r="O1374" s="6">
        <v>1</v>
      </c>
      <c r="P1374" s="5">
        <v>254.99999999998545</v>
      </c>
      <c r="Q1374" s="4" t="s">
        <v>1390</v>
      </c>
    </row>
    <row r="1375" spans="1:17" x14ac:dyDescent="0.3">
      <c r="A1375" s="2" t="s">
        <v>1389</v>
      </c>
      <c r="B1375" s="3">
        <v>155629</v>
      </c>
      <c r="C1375" s="3">
        <v>215339</v>
      </c>
      <c r="D1375" s="4" t="s">
        <v>17</v>
      </c>
      <c r="E1375" s="4" t="s">
        <v>1144</v>
      </c>
      <c r="F1375" s="4" t="s">
        <v>19</v>
      </c>
      <c r="G1375" s="4" t="s">
        <v>20</v>
      </c>
      <c r="H1375" s="5">
        <v>340000</v>
      </c>
      <c r="I1375" s="4" t="s">
        <v>21</v>
      </c>
      <c r="J1375" s="5">
        <f t="shared" si="21"/>
        <v>-1429020</v>
      </c>
      <c r="K1375" s="4" t="s">
        <v>29</v>
      </c>
      <c r="L1375" s="6">
        <v>4.2030000000000003</v>
      </c>
      <c r="M1375" s="6">
        <v>0.2379</v>
      </c>
      <c r="N1375" s="6">
        <v>4.2104999999999997</v>
      </c>
      <c r="O1375" s="6">
        <v>1</v>
      </c>
      <c r="P1375" s="5">
        <v>2550</v>
      </c>
      <c r="Q1375" s="4" t="s">
        <v>1390</v>
      </c>
    </row>
    <row r="1376" spans="1:17" x14ac:dyDescent="0.3">
      <c r="A1376" s="2" t="s">
        <v>1389</v>
      </c>
      <c r="B1376" s="3">
        <v>155630</v>
      </c>
      <c r="C1376" s="3">
        <v>215340</v>
      </c>
      <c r="D1376" s="4" t="s">
        <v>17</v>
      </c>
      <c r="E1376" s="4" t="s">
        <v>1199</v>
      </c>
      <c r="F1376" s="4" t="s">
        <v>32</v>
      </c>
      <c r="G1376" s="4" t="s">
        <v>20</v>
      </c>
      <c r="H1376" s="5">
        <v>-50000</v>
      </c>
      <c r="I1376" s="4" t="s">
        <v>34</v>
      </c>
      <c r="J1376" s="5">
        <f t="shared" si="21"/>
        <v>58409.999999999993</v>
      </c>
      <c r="K1376" s="4" t="s">
        <v>29</v>
      </c>
      <c r="L1376" s="6">
        <v>1.1681999999999999</v>
      </c>
      <c r="M1376" s="6">
        <v>0.85599999999999998</v>
      </c>
      <c r="N1376" s="6">
        <v>4.2104999999999997</v>
      </c>
      <c r="O1376" s="6">
        <v>3.6034999999999999</v>
      </c>
      <c r="P1376" s="5">
        <v>-98.617500000000007</v>
      </c>
      <c r="Q1376" s="4" t="s">
        <v>1390</v>
      </c>
    </row>
    <row r="1377" spans="1:17" x14ac:dyDescent="0.3">
      <c r="A1377" s="2" t="s">
        <v>1389</v>
      </c>
      <c r="B1377" s="3">
        <v>155631</v>
      </c>
      <c r="C1377" s="3">
        <v>891307</v>
      </c>
      <c r="D1377" s="4" t="s">
        <v>81</v>
      </c>
      <c r="E1377" s="4" t="s">
        <v>735</v>
      </c>
      <c r="F1377" s="4" t="s">
        <v>83</v>
      </c>
      <c r="G1377" s="4" t="s">
        <v>20</v>
      </c>
      <c r="H1377" s="5">
        <v>-500000</v>
      </c>
      <c r="I1377" s="4" t="s">
        <v>21</v>
      </c>
      <c r="J1377" s="5">
        <f t="shared" si="21"/>
        <v>2104050</v>
      </c>
      <c r="K1377" s="4" t="s">
        <v>47</v>
      </c>
      <c r="L1377" s="6">
        <v>4.2081</v>
      </c>
      <c r="M1377" s="6">
        <v>0.23760000000000001</v>
      </c>
      <c r="N1377" s="6">
        <v>4.2126999999999999</v>
      </c>
      <c r="O1377" s="6">
        <v>1</v>
      </c>
      <c r="P1377" s="5">
        <v>-2300</v>
      </c>
      <c r="Q1377" s="4" t="s">
        <v>1394</v>
      </c>
    </row>
    <row r="1378" spans="1:17" x14ac:dyDescent="0.3">
      <c r="A1378" s="2" t="s">
        <v>1389</v>
      </c>
      <c r="B1378" s="3">
        <v>155632</v>
      </c>
      <c r="C1378" s="3">
        <v>215342</v>
      </c>
      <c r="D1378" s="4" t="s">
        <v>17</v>
      </c>
      <c r="E1378" s="4" t="s">
        <v>1154</v>
      </c>
      <c r="F1378" s="4" t="s">
        <v>32</v>
      </c>
      <c r="G1378" s="4" t="s">
        <v>20</v>
      </c>
      <c r="H1378" s="5">
        <v>-27821.35</v>
      </c>
      <c r="I1378" s="4" t="s">
        <v>21</v>
      </c>
      <c r="J1378" s="5">
        <f t="shared" si="21"/>
        <v>117141.79417499999</v>
      </c>
      <c r="K1378" s="4" t="s">
        <v>29</v>
      </c>
      <c r="L1378" s="6">
        <v>4.2104999999999997</v>
      </c>
      <c r="M1378" s="6">
        <v>0.23749999999999999</v>
      </c>
      <c r="N1378" s="6">
        <v>4.2104999999999997</v>
      </c>
      <c r="O1378" s="6">
        <v>1</v>
      </c>
      <c r="P1378" s="5">
        <v>-19.474174999999999</v>
      </c>
      <c r="Q1378" s="4" t="s">
        <v>1390</v>
      </c>
    </row>
    <row r="1379" spans="1:17" x14ac:dyDescent="0.3">
      <c r="A1379" s="2" t="s">
        <v>1389</v>
      </c>
      <c r="B1379" s="3">
        <v>155633</v>
      </c>
      <c r="C1379" s="3">
        <v>215345</v>
      </c>
      <c r="D1379" s="4" t="s">
        <v>17</v>
      </c>
      <c r="E1379" s="4" t="s">
        <v>1038</v>
      </c>
      <c r="F1379" s="4" t="s">
        <v>19</v>
      </c>
      <c r="G1379" s="4" t="s">
        <v>20</v>
      </c>
      <c r="H1379" s="5">
        <v>120000</v>
      </c>
      <c r="I1379" s="4" t="s">
        <v>21</v>
      </c>
      <c r="J1379" s="5">
        <f t="shared" si="21"/>
        <v>-504600</v>
      </c>
      <c r="K1379" s="4" t="s">
        <v>29</v>
      </c>
      <c r="L1379" s="6">
        <v>4.2050000000000001</v>
      </c>
      <c r="M1379" s="6">
        <v>0.23780000000000001</v>
      </c>
      <c r="N1379" s="6">
        <v>4.2104999999999997</v>
      </c>
      <c r="O1379" s="6">
        <v>1</v>
      </c>
      <c r="P1379" s="5">
        <v>659.99999999994179</v>
      </c>
      <c r="Q1379" s="4" t="s">
        <v>1390</v>
      </c>
    </row>
    <row r="1380" spans="1:17" x14ac:dyDescent="0.3">
      <c r="A1380" s="2" t="s">
        <v>1389</v>
      </c>
      <c r="B1380" s="3">
        <v>155634</v>
      </c>
      <c r="C1380" s="3">
        <v>215346</v>
      </c>
      <c r="D1380" s="4" t="s">
        <v>17</v>
      </c>
      <c r="E1380" s="4" t="s">
        <v>771</v>
      </c>
      <c r="F1380" s="4" t="s">
        <v>32</v>
      </c>
      <c r="G1380" s="4" t="s">
        <v>20</v>
      </c>
      <c r="H1380" s="5">
        <v>-7350</v>
      </c>
      <c r="I1380" s="4" t="s">
        <v>21</v>
      </c>
      <c r="J1380" s="5">
        <f t="shared" si="21"/>
        <v>31057.425000000003</v>
      </c>
      <c r="K1380" s="4" t="s">
        <v>29</v>
      </c>
      <c r="L1380" s="6">
        <v>4.2255000000000003</v>
      </c>
      <c r="M1380" s="6">
        <v>0.23669999999999999</v>
      </c>
      <c r="N1380" s="6">
        <v>4.2104999999999997</v>
      </c>
      <c r="O1380" s="6">
        <v>1</v>
      </c>
      <c r="P1380" s="5">
        <v>106.575</v>
      </c>
      <c r="Q1380" s="4" t="s">
        <v>1390</v>
      </c>
    </row>
    <row r="1381" spans="1:17" x14ac:dyDescent="0.3">
      <c r="A1381" s="2" t="s">
        <v>1389</v>
      </c>
      <c r="B1381" s="3">
        <v>155635</v>
      </c>
      <c r="C1381" s="3">
        <v>215348</v>
      </c>
      <c r="D1381" s="4" t="s">
        <v>17</v>
      </c>
      <c r="E1381" s="4" t="s">
        <v>1060</v>
      </c>
      <c r="F1381" s="4" t="s">
        <v>32</v>
      </c>
      <c r="G1381" s="4" t="s">
        <v>34</v>
      </c>
      <c r="H1381" s="5">
        <v>-17000</v>
      </c>
      <c r="I1381" s="4" t="s">
        <v>21</v>
      </c>
      <c r="J1381" s="5">
        <f t="shared" si="21"/>
        <v>61523.000000000007</v>
      </c>
      <c r="K1381" s="4" t="s">
        <v>29</v>
      </c>
      <c r="L1381" s="6">
        <v>3.6190000000000002</v>
      </c>
      <c r="M1381" s="6">
        <v>0.27629999999999999</v>
      </c>
      <c r="N1381" s="6">
        <v>3.6034999999999999</v>
      </c>
      <c r="O1381" s="6">
        <v>1</v>
      </c>
      <c r="P1381" s="5">
        <v>263.5</v>
      </c>
      <c r="Q1381" s="4" t="s">
        <v>1390</v>
      </c>
    </row>
    <row r="1382" spans="1:17" x14ac:dyDescent="0.3">
      <c r="A1382" s="2" t="s">
        <v>1389</v>
      </c>
      <c r="B1382" s="3">
        <v>155636</v>
      </c>
      <c r="C1382" s="3">
        <v>215349</v>
      </c>
      <c r="D1382" s="4" t="s">
        <v>17</v>
      </c>
      <c r="E1382" s="4" t="s">
        <v>1318</v>
      </c>
      <c r="F1382" s="4" t="s">
        <v>19</v>
      </c>
      <c r="G1382" s="4" t="s">
        <v>20</v>
      </c>
      <c r="H1382" s="5">
        <v>65000</v>
      </c>
      <c r="I1382" s="4" t="s">
        <v>21</v>
      </c>
      <c r="J1382" s="5">
        <f t="shared" si="21"/>
        <v>-272350</v>
      </c>
      <c r="K1382" s="4" t="s">
        <v>29</v>
      </c>
      <c r="L1382" s="6">
        <v>4.1900000000000004</v>
      </c>
      <c r="M1382" s="6">
        <v>0.2387</v>
      </c>
      <c r="N1382" s="6">
        <v>4.2104999999999997</v>
      </c>
      <c r="O1382" s="6">
        <v>1</v>
      </c>
      <c r="P1382" s="5">
        <v>1332.5</v>
      </c>
      <c r="Q1382" s="4" t="s">
        <v>1390</v>
      </c>
    </row>
    <row r="1383" spans="1:17" x14ac:dyDescent="0.3">
      <c r="A1383" s="2" t="s">
        <v>1389</v>
      </c>
      <c r="B1383" s="3">
        <v>155637</v>
      </c>
      <c r="C1383" s="3">
        <v>215352</v>
      </c>
      <c r="D1383" s="4" t="s">
        <v>17</v>
      </c>
      <c r="E1383" s="4" t="s">
        <v>1228</v>
      </c>
      <c r="F1383" s="4" t="s">
        <v>32</v>
      </c>
      <c r="G1383" s="4" t="s">
        <v>20</v>
      </c>
      <c r="H1383" s="5">
        <v>-5539</v>
      </c>
      <c r="I1383" s="4" t="s">
        <v>21</v>
      </c>
      <c r="J1383" s="5">
        <f t="shared" si="21"/>
        <v>23406.706199999997</v>
      </c>
      <c r="K1383" s="4" t="s">
        <v>29</v>
      </c>
      <c r="L1383" s="6">
        <v>4.2257999999999996</v>
      </c>
      <c r="M1383" s="6">
        <v>0.2366</v>
      </c>
      <c r="N1383" s="6">
        <v>4.2104999999999997</v>
      </c>
      <c r="O1383" s="6">
        <v>1</v>
      </c>
      <c r="P1383" s="5">
        <v>80.320499999999996</v>
      </c>
      <c r="Q1383" s="4" t="s">
        <v>1390</v>
      </c>
    </row>
    <row r="1384" spans="1:17" x14ac:dyDescent="0.3">
      <c r="A1384" s="2" t="s">
        <v>1389</v>
      </c>
      <c r="B1384" s="3">
        <v>155638</v>
      </c>
      <c r="C1384" s="3">
        <v>215355</v>
      </c>
      <c r="D1384" s="4" t="s">
        <v>17</v>
      </c>
      <c r="E1384" s="4" t="s">
        <v>1209</v>
      </c>
      <c r="F1384" s="4" t="s">
        <v>32</v>
      </c>
      <c r="G1384" s="4" t="s">
        <v>20</v>
      </c>
      <c r="H1384" s="5">
        <v>-13271</v>
      </c>
      <c r="I1384" s="4" t="s">
        <v>21</v>
      </c>
      <c r="J1384" s="5">
        <f t="shared" si="21"/>
        <v>56067.320800000001</v>
      </c>
      <c r="K1384" s="4" t="s">
        <v>29</v>
      </c>
      <c r="L1384" s="6">
        <v>4.2248000000000001</v>
      </c>
      <c r="M1384" s="6">
        <v>0.23669999999999999</v>
      </c>
      <c r="N1384" s="6">
        <v>4.2104999999999997</v>
      </c>
      <c r="O1384" s="6">
        <v>1</v>
      </c>
      <c r="P1384" s="5">
        <v>179.15450000000001</v>
      </c>
      <c r="Q1384" s="4" t="s">
        <v>1390</v>
      </c>
    </row>
    <row r="1385" spans="1:17" x14ac:dyDescent="0.3">
      <c r="A1385" s="2" t="s">
        <v>1389</v>
      </c>
      <c r="B1385" s="3">
        <v>155639</v>
      </c>
      <c r="C1385" s="3">
        <v>215364</v>
      </c>
      <c r="D1385" s="4" t="s">
        <v>17</v>
      </c>
      <c r="E1385" s="4" t="s">
        <v>1282</v>
      </c>
      <c r="F1385" s="4" t="s">
        <v>19</v>
      </c>
      <c r="G1385" s="4" t="s">
        <v>84</v>
      </c>
      <c r="H1385" s="5">
        <v>173667.84</v>
      </c>
      <c r="I1385" s="4" t="s">
        <v>21</v>
      </c>
      <c r="J1385" s="5">
        <f t="shared" si="21"/>
        <v>-67469.955839999995</v>
      </c>
      <c r="K1385" s="4" t="s">
        <v>29</v>
      </c>
      <c r="L1385" s="6">
        <v>0.38850000000000001</v>
      </c>
      <c r="M1385" s="6">
        <v>2.5739999999999998</v>
      </c>
      <c r="N1385" s="6">
        <v>0.39150000000000001</v>
      </c>
      <c r="O1385" s="6">
        <v>1</v>
      </c>
      <c r="P1385" s="5">
        <v>521.00352000001294</v>
      </c>
      <c r="Q1385" s="4" t="s">
        <v>1390</v>
      </c>
    </row>
    <row r="1386" spans="1:17" x14ac:dyDescent="0.3">
      <c r="A1386" s="2" t="s">
        <v>1389</v>
      </c>
      <c r="B1386" s="3">
        <v>155640</v>
      </c>
      <c r="C1386" s="3">
        <v>891377</v>
      </c>
      <c r="D1386" s="4" t="s">
        <v>81</v>
      </c>
      <c r="E1386" s="4" t="s">
        <v>732</v>
      </c>
      <c r="F1386" s="4" t="s">
        <v>87</v>
      </c>
      <c r="G1386" s="4" t="s">
        <v>20</v>
      </c>
      <c r="H1386" s="5">
        <v>1000000</v>
      </c>
      <c r="I1386" s="4" t="s">
        <v>21</v>
      </c>
      <c r="J1386" s="5">
        <f t="shared" si="21"/>
        <v>-4210200</v>
      </c>
      <c r="K1386" s="4" t="s">
        <v>47</v>
      </c>
      <c r="L1386" s="6">
        <v>4.2102000000000004</v>
      </c>
      <c r="M1386" s="6">
        <v>0.23749999999999999</v>
      </c>
      <c r="N1386" s="6">
        <v>4.2126999999999999</v>
      </c>
      <c r="O1386" s="6">
        <v>1</v>
      </c>
      <c r="P1386" s="5">
        <v>2520</v>
      </c>
      <c r="Q1386" s="4" t="s">
        <v>1394</v>
      </c>
    </row>
    <row r="1387" spans="1:17" x14ac:dyDescent="0.3">
      <c r="A1387" s="2" t="s">
        <v>1389</v>
      </c>
      <c r="B1387" s="3">
        <v>155642</v>
      </c>
      <c r="C1387" s="3">
        <v>215371</v>
      </c>
      <c r="D1387" s="4" t="s">
        <v>17</v>
      </c>
      <c r="E1387" s="4" t="s">
        <v>1199</v>
      </c>
      <c r="F1387" s="4" t="s">
        <v>32</v>
      </c>
      <c r="G1387" s="4" t="s">
        <v>20</v>
      </c>
      <c r="H1387" s="5">
        <v>-50000</v>
      </c>
      <c r="I1387" s="4" t="s">
        <v>34</v>
      </c>
      <c r="J1387" s="5">
        <f t="shared" si="21"/>
        <v>58375</v>
      </c>
      <c r="K1387" s="4" t="s">
        <v>29</v>
      </c>
      <c r="L1387" s="6">
        <v>1.1675</v>
      </c>
      <c r="M1387" s="6">
        <v>0.85650000000000004</v>
      </c>
      <c r="N1387" s="6">
        <v>4.2104999999999997</v>
      </c>
      <c r="O1387" s="6">
        <v>3.6034999999999999</v>
      </c>
      <c r="P1387" s="5">
        <v>-224.74</v>
      </c>
      <c r="Q1387" s="4" t="s">
        <v>1390</v>
      </c>
    </row>
    <row r="1388" spans="1:17" x14ac:dyDescent="0.3">
      <c r="A1388" s="2" t="s">
        <v>1389</v>
      </c>
      <c r="B1388" s="3">
        <v>155643</v>
      </c>
      <c r="C1388" s="3">
        <v>215372</v>
      </c>
      <c r="D1388" s="4" t="s">
        <v>17</v>
      </c>
      <c r="E1388" s="4" t="s">
        <v>1129</v>
      </c>
      <c r="F1388" s="4" t="s">
        <v>19</v>
      </c>
      <c r="G1388" s="4" t="s">
        <v>20</v>
      </c>
      <c r="H1388" s="5">
        <v>30000</v>
      </c>
      <c r="I1388" s="4" t="s">
        <v>21</v>
      </c>
      <c r="J1388" s="5">
        <f t="shared" si="21"/>
        <v>-123360</v>
      </c>
      <c r="K1388" s="4" t="s">
        <v>29</v>
      </c>
      <c r="L1388" s="6">
        <v>4.1120000000000001</v>
      </c>
      <c r="M1388" s="6">
        <v>0.2432</v>
      </c>
      <c r="N1388" s="6">
        <v>4.2104999999999997</v>
      </c>
      <c r="O1388" s="6">
        <v>1</v>
      </c>
      <c r="P1388" s="5">
        <v>2954.9999999999854</v>
      </c>
      <c r="Q1388" s="4" t="s">
        <v>1390</v>
      </c>
    </row>
    <row r="1389" spans="1:17" x14ac:dyDescent="0.3">
      <c r="A1389" s="2" t="s">
        <v>1389</v>
      </c>
      <c r="B1389" s="3">
        <v>155644</v>
      </c>
      <c r="C1389" s="3">
        <v>215373</v>
      </c>
      <c r="D1389" s="4" t="s">
        <v>17</v>
      </c>
      <c r="E1389" s="4" t="s">
        <v>805</v>
      </c>
      <c r="F1389" s="4" t="s">
        <v>32</v>
      </c>
      <c r="G1389" s="4" t="s">
        <v>20</v>
      </c>
      <c r="H1389" s="5">
        <v>-40000</v>
      </c>
      <c r="I1389" s="4" t="s">
        <v>21</v>
      </c>
      <c r="J1389" s="5">
        <f t="shared" si="21"/>
        <v>169068</v>
      </c>
      <c r="K1389" s="4" t="s">
        <v>29</v>
      </c>
      <c r="L1389" s="6">
        <v>4.2267000000000001</v>
      </c>
      <c r="M1389" s="6">
        <v>0.2366</v>
      </c>
      <c r="N1389" s="6">
        <v>4.2104999999999997</v>
      </c>
      <c r="O1389" s="6">
        <v>1</v>
      </c>
      <c r="P1389" s="5">
        <v>620</v>
      </c>
      <c r="Q1389" s="4" t="s">
        <v>1390</v>
      </c>
    </row>
    <row r="1390" spans="1:17" x14ac:dyDescent="0.3">
      <c r="A1390" s="2" t="s">
        <v>1389</v>
      </c>
      <c r="B1390" s="3">
        <v>155645</v>
      </c>
      <c r="C1390" s="3">
        <v>215380</v>
      </c>
      <c r="D1390" s="4" t="s">
        <v>17</v>
      </c>
      <c r="E1390" s="4" t="s">
        <v>1155</v>
      </c>
      <c r="F1390" s="4" t="s">
        <v>19</v>
      </c>
      <c r="G1390" s="4" t="s">
        <v>34</v>
      </c>
      <c r="H1390" s="5">
        <v>200000</v>
      </c>
      <c r="I1390" s="4" t="s">
        <v>74</v>
      </c>
      <c r="J1390" s="5">
        <f t="shared" si="21"/>
        <v>-2024320.0000000002</v>
      </c>
      <c r="K1390" s="4" t="s">
        <v>22</v>
      </c>
      <c r="L1390" s="6">
        <v>10.121600000000001</v>
      </c>
      <c r="M1390" s="6">
        <v>9.8799999999999999E-2</v>
      </c>
      <c r="N1390" s="6">
        <v>3.6153</v>
      </c>
      <c r="O1390" s="6">
        <v>0.35880000000000001</v>
      </c>
      <c r="P1390" s="5">
        <v>-3266.0160000000615</v>
      </c>
      <c r="Q1390" s="4" t="s">
        <v>1390</v>
      </c>
    </row>
    <row r="1391" spans="1:17" x14ac:dyDescent="0.3">
      <c r="A1391" s="2" t="s">
        <v>1389</v>
      </c>
      <c r="B1391" s="3">
        <v>155646</v>
      </c>
      <c r="C1391" s="3">
        <v>215385</v>
      </c>
      <c r="D1391" s="4" t="s">
        <v>17</v>
      </c>
      <c r="E1391" s="4" t="s">
        <v>1341</v>
      </c>
      <c r="F1391" s="4" t="s">
        <v>32</v>
      </c>
      <c r="G1391" s="4" t="s">
        <v>34</v>
      </c>
      <c r="H1391" s="5">
        <v>-100000</v>
      </c>
      <c r="I1391" s="4" t="s">
        <v>21</v>
      </c>
      <c r="J1391" s="5">
        <f t="shared" si="21"/>
        <v>361900</v>
      </c>
      <c r="K1391" s="4" t="s">
        <v>29</v>
      </c>
      <c r="L1391" s="6">
        <v>3.6190000000000002</v>
      </c>
      <c r="M1391" s="6">
        <v>0.27629999999999999</v>
      </c>
      <c r="N1391" s="6">
        <v>3.6034999999999999</v>
      </c>
      <c r="O1391" s="6">
        <v>1</v>
      </c>
      <c r="P1391" s="5">
        <v>1530</v>
      </c>
      <c r="Q1391" s="4" t="s">
        <v>1390</v>
      </c>
    </row>
    <row r="1392" spans="1:17" x14ac:dyDescent="0.3">
      <c r="A1392" s="2" t="s">
        <v>1389</v>
      </c>
      <c r="B1392" s="3">
        <v>155648</v>
      </c>
      <c r="C1392" s="3">
        <v>891466</v>
      </c>
      <c r="D1392" s="4" t="s">
        <v>81</v>
      </c>
      <c r="E1392" s="4" t="s">
        <v>730</v>
      </c>
      <c r="F1392" s="4" t="s">
        <v>87</v>
      </c>
      <c r="G1392" s="4" t="s">
        <v>34</v>
      </c>
      <c r="H1392" s="5">
        <v>200000</v>
      </c>
      <c r="I1392" s="4" t="s">
        <v>74</v>
      </c>
      <c r="J1392" s="5">
        <f t="shared" si="21"/>
        <v>-2024400</v>
      </c>
      <c r="K1392" s="4" t="s">
        <v>47</v>
      </c>
      <c r="L1392" s="6">
        <v>10.122</v>
      </c>
      <c r="M1392" s="6">
        <v>9.8799999999999999E-2</v>
      </c>
      <c r="N1392" s="6">
        <v>3.6183999999999998</v>
      </c>
      <c r="O1392" s="6">
        <v>0.35849999999999999</v>
      </c>
      <c r="P1392" s="5">
        <v>-2067.4</v>
      </c>
      <c r="Q1392" s="4" t="s">
        <v>1396</v>
      </c>
    </row>
    <row r="1393" spans="1:17" x14ac:dyDescent="0.3">
      <c r="A1393" s="2" t="s">
        <v>1389</v>
      </c>
      <c r="B1393" s="3">
        <v>155649</v>
      </c>
      <c r="C1393" s="3">
        <v>891467</v>
      </c>
      <c r="D1393" s="4" t="s">
        <v>81</v>
      </c>
      <c r="E1393" s="4" t="s">
        <v>744</v>
      </c>
      <c r="F1393" s="4" t="s">
        <v>83</v>
      </c>
      <c r="G1393" s="4" t="s">
        <v>34</v>
      </c>
      <c r="H1393" s="5">
        <v>-400000</v>
      </c>
      <c r="I1393" s="4" t="s">
        <v>74</v>
      </c>
      <c r="J1393" s="5">
        <f t="shared" si="21"/>
        <v>4047760.0000000005</v>
      </c>
      <c r="K1393" s="4" t="s">
        <v>47</v>
      </c>
      <c r="L1393" s="6">
        <v>10.119400000000001</v>
      </c>
      <c r="M1393" s="6">
        <v>9.8799999999999999E-2</v>
      </c>
      <c r="N1393" s="6">
        <v>3.6183999999999998</v>
      </c>
      <c r="O1393" s="6">
        <v>0.35849999999999999</v>
      </c>
      <c r="P1393" s="5">
        <v>3766.2620000000002</v>
      </c>
      <c r="Q1393" s="4" t="s">
        <v>1395</v>
      </c>
    </row>
    <row r="1394" spans="1:17" x14ac:dyDescent="0.3">
      <c r="A1394" s="2" t="s">
        <v>1389</v>
      </c>
      <c r="B1394" s="3">
        <v>155652</v>
      </c>
      <c r="C1394" s="3">
        <v>215392</v>
      </c>
      <c r="D1394" s="4" t="s">
        <v>17</v>
      </c>
      <c r="E1394" s="4" t="s">
        <v>909</v>
      </c>
      <c r="F1394" s="4" t="s">
        <v>19</v>
      </c>
      <c r="G1394" s="4" t="s">
        <v>20</v>
      </c>
      <c r="H1394" s="5">
        <v>200000</v>
      </c>
      <c r="I1394" s="4" t="s">
        <v>21</v>
      </c>
      <c r="J1394" s="5">
        <f t="shared" si="21"/>
        <v>-841799.99999999988</v>
      </c>
      <c r="K1394" s="4" t="s">
        <v>29</v>
      </c>
      <c r="L1394" s="6">
        <v>4.2089999999999996</v>
      </c>
      <c r="M1394" s="6">
        <v>0.23760000000000001</v>
      </c>
      <c r="N1394" s="6">
        <v>4.2104999999999997</v>
      </c>
      <c r="O1394" s="6">
        <v>1</v>
      </c>
      <c r="P1394" s="5">
        <v>300</v>
      </c>
      <c r="Q1394" s="4" t="s">
        <v>1390</v>
      </c>
    </row>
    <row r="1395" spans="1:17" x14ac:dyDescent="0.3">
      <c r="A1395" s="2" t="s">
        <v>1389</v>
      </c>
      <c r="B1395" s="3">
        <v>155653</v>
      </c>
      <c r="C1395" s="3">
        <v>215393</v>
      </c>
      <c r="D1395" s="4" t="s">
        <v>17</v>
      </c>
      <c r="E1395" s="4" t="s">
        <v>910</v>
      </c>
      <c r="F1395" s="4" t="s">
        <v>19</v>
      </c>
      <c r="G1395" s="4" t="s">
        <v>20</v>
      </c>
      <c r="H1395" s="5">
        <v>100000</v>
      </c>
      <c r="I1395" s="4" t="s">
        <v>21</v>
      </c>
      <c r="J1395" s="5">
        <f t="shared" si="21"/>
        <v>-420899.99999999994</v>
      </c>
      <c r="K1395" s="4" t="s">
        <v>29</v>
      </c>
      <c r="L1395" s="6">
        <v>4.2089999999999996</v>
      </c>
      <c r="M1395" s="6">
        <v>0.23760000000000001</v>
      </c>
      <c r="N1395" s="6">
        <v>4.2104999999999997</v>
      </c>
      <c r="O1395" s="6">
        <v>1</v>
      </c>
      <c r="P1395" s="5">
        <v>150</v>
      </c>
      <c r="Q1395" s="4" t="s">
        <v>1390</v>
      </c>
    </row>
    <row r="1396" spans="1:17" x14ac:dyDescent="0.3">
      <c r="A1396" s="2" t="s">
        <v>1389</v>
      </c>
      <c r="B1396" s="3">
        <v>155654</v>
      </c>
      <c r="C1396" s="3">
        <v>215394</v>
      </c>
      <c r="D1396" s="4" t="s">
        <v>17</v>
      </c>
      <c r="E1396" s="4" t="s">
        <v>1290</v>
      </c>
      <c r="F1396" s="4" t="s">
        <v>19</v>
      </c>
      <c r="G1396" s="4" t="s">
        <v>20</v>
      </c>
      <c r="H1396" s="5">
        <v>100000</v>
      </c>
      <c r="I1396" s="4" t="s">
        <v>21</v>
      </c>
      <c r="J1396" s="5">
        <f t="shared" si="21"/>
        <v>-420899.99999999994</v>
      </c>
      <c r="K1396" s="4" t="s">
        <v>29</v>
      </c>
      <c r="L1396" s="6">
        <v>4.2089999999999996</v>
      </c>
      <c r="M1396" s="6">
        <v>0.23760000000000001</v>
      </c>
      <c r="N1396" s="6">
        <v>4.2104999999999997</v>
      </c>
      <c r="O1396" s="6">
        <v>1</v>
      </c>
      <c r="P1396" s="5">
        <v>150</v>
      </c>
      <c r="Q1396" s="4" t="s">
        <v>1390</v>
      </c>
    </row>
    <row r="1397" spans="1:17" x14ac:dyDescent="0.3">
      <c r="A1397" s="2" t="s">
        <v>1389</v>
      </c>
      <c r="B1397" s="3">
        <v>155655</v>
      </c>
      <c r="C1397" s="3">
        <v>215396</v>
      </c>
      <c r="D1397" s="4" t="s">
        <v>17</v>
      </c>
      <c r="E1397" s="4" t="s">
        <v>1009</v>
      </c>
      <c r="F1397" s="4" t="s">
        <v>32</v>
      </c>
      <c r="G1397" s="4" t="s">
        <v>20</v>
      </c>
      <c r="H1397" s="5">
        <v>-1000000</v>
      </c>
      <c r="I1397" s="4" t="s">
        <v>21</v>
      </c>
      <c r="J1397" s="5">
        <f t="shared" si="21"/>
        <v>4213000</v>
      </c>
      <c r="K1397" s="4" t="s">
        <v>29</v>
      </c>
      <c r="L1397" s="6">
        <v>4.2130000000000001</v>
      </c>
      <c r="M1397" s="6">
        <v>0.2374</v>
      </c>
      <c r="N1397" s="6">
        <v>4.2104999999999997</v>
      </c>
      <c r="O1397" s="6">
        <v>1</v>
      </c>
      <c r="P1397" s="5">
        <v>2500</v>
      </c>
      <c r="Q1397" s="4" t="s">
        <v>1390</v>
      </c>
    </row>
    <row r="1398" spans="1:17" x14ac:dyDescent="0.3">
      <c r="A1398" s="2" t="s">
        <v>1389</v>
      </c>
      <c r="B1398" s="3">
        <v>155656</v>
      </c>
      <c r="C1398" s="3">
        <v>215400</v>
      </c>
      <c r="D1398" s="4" t="s">
        <v>17</v>
      </c>
      <c r="E1398" s="4" t="s">
        <v>797</v>
      </c>
      <c r="F1398" s="4" t="s">
        <v>32</v>
      </c>
      <c r="G1398" s="4" t="s">
        <v>20</v>
      </c>
      <c r="H1398" s="5">
        <v>-8900</v>
      </c>
      <c r="I1398" s="4" t="s">
        <v>21</v>
      </c>
      <c r="J1398" s="5">
        <f t="shared" si="21"/>
        <v>37599.83</v>
      </c>
      <c r="K1398" s="4" t="s">
        <v>29</v>
      </c>
      <c r="L1398" s="6">
        <v>4.2247000000000003</v>
      </c>
      <c r="M1398" s="6">
        <v>0.23669999999999999</v>
      </c>
      <c r="N1398" s="6">
        <v>4.2104999999999997</v>
      </c>
      <c r="O1398" s="6">
        <v>1</v>
      </c>
      <c r="P1398" s="5">
        <v>120.15</v>
      </c>
      <c r="Q1398" s="4" t="s">
        <v>1390</v>
      </c>
    </row>
    <row r="1399" spans="1:17" x14ac:dyDescent="0.3">
      <c r="A1399" s="2" t="s">
        <v>1389</v>
      </c>
      <c r="B1399" s="3">
        <v>155657</v>
      </c>
      <c r="C1399" s="3">
        <v>891513</v>
      </c>
      <c r="D1399" s="4" t="s">
        <v>81</v>
      </c>
      <c r="E1399" s="4" t="s">
        <v>735</v>
      </c>
      <c r="F1399" s="4" t="s">
        <v>87</v>
      </c>
      <c r="G1399" s="4" t="s">
        <v>20</v>
      </c>
      <c r="H1399" s="5">
        <v>500000</v>
      </c>
      <c r="I1399" s="4" t="s">
        <v>21</v>
      </c>
      <c r="J1399" s="5">
        <f t="shared" si="21"/>
        <v>-2105200</v>
      </c>
      <c r="K1399" s="4" t="s">
        <v>47</v>
      </c>
      <c r="L1399" s="6">
        <v>4.2103999999999999</v>
      </c>
      <c r="M1399" s="6">
        <v>0.23749999999999999</v>
      </c>
      <c r="N1399" s="6">
        <v>4.2126999999999999</v>
      </c>
      <c r="O1399" s="6">
        <v>1</v>
      </c>
      <c r="P1399" s="5">
        <v>1150</v>
      </c>
      <c r="Q1399" s="4" t="s">
        <v>1394</v>
      </c>
    </row>
    <row r="1400" spans="1:17" x14ac:dyDescent="0.3">
      <c r="A1400" s="2" t="s">
        <v>1389</v>
      </c>
      <c r="B1400" s="3">
        <v>155658</v>
      </c>
      <c r="C1400" s="3">
        <v>891514</v>
      </c>
      <c r="D1400" s="4" t="s">
        <v>81</v>
      </c>
      <c r="E1400" s="4" t="s">
        <v>732</v>
      </c>
      <c r="F1400" s="4" t="s">
        <v>87</v>
      </c>
      <c r="G1400" s="4" t="s">
        <v>20</v>
      </c>
      <c r="H1400" s="5">
        <v>1000000</v>
      </c>
      <c r="I1400" s="4" t="s">
        <v>21</v>
      </c>
      <c r="J1400" s="5">
        <f t="shared" si="21"/>
        <v>-4210900</v>
      </c>
      <c r="K1400" s="4" t="s">
        <v>47</v>
      </c>
      <c r="L1400" s="6">
        <v>4.2108999999999996</v>
      </c>
      <c r="M1400" s="6">
        <v>0.23749999999999999</v>
      </c>
      <c r="N1400" s="6">
        <v>4.2126999999999999</v>
      </c>
      <c r="O1400" s="6">
        <v>1</v>
      </c>
      <c r="P1400" s="5">
        <v>1800</v>
      </c>
      <c r="Q1400" s="4" t="s">
        <v>1394</v>
      </c>
    </row>
    <row r="1401" spans="1:17" x14ac:dyDescent="0.3">
      <c r="A1401" s="2" t="s">
        <v>1389</v>
      </c>
      <c r="B1401" s="3">
        <v>155661</v>
      </c>
      <c r="C1401" s="3">
        <v>215406</v>
      </c>
      <c r="D1401" s="4" t="s">
        <v>17</v>
      </c>
      <c r="E1401" s="4" t="s">
        <v>1111</v>
      </c>
      <c r="F1401" s="4" t="s">
        <v>19</v>
      </c>
      <c r="G1401" s="4" t="s">
        <v>20</v>
      </c>
      <c r="H1401" s="5">
        <v>50000</v>
      </c>
      <c r="I1401" s="4" t="s">
        <v>21</v>
      </c>
      <c r="J1401" s="5">
        <f t="shared" si="21"/>
        <v>-207750</v>
      </c>
      <c r="K1401" s="4" t="s">
        <v>29</v>
      </c>
      <c r="L1401" s="6">
        <v>4.1550000000000002</v>
      </c>
      <c r="M1401" s="6">
        <v>0.2407</v>
      </c>
      <c r="N1401" s="6">
        <v>4.2104999999999997</v>
      </c>
      <c r="O1401" s="6">
        <v>1</v>
      </c>
      <c r="P1401" s="5">
        <v>2774.9999999999709</v>
      </c>
      <c r="Q1401" s="4" t="s">
        <v>1390</v>
      </c>
    </row>
    <row r="1402" spans="1:17" x14ac:dyDescent="0.3">
      <c r="A1402" s="2" t="s">
        <v>1389</v>
      </c>
      <c r="B1402" s="3">
        <v>155662</v>
      </c>
      <c r="C1402" s="3">
        <v>891530</v>
      </c>
      <c r="D1402" s="4" t="s">
        <v>81</v>
      </c>
      <c r="E1402" s="4" t="s">
        <v>735</v>
      </c>
      <c r="F1402" s="4" t="s">
        <v>87</v>
      </c>
      <c r="G1402" s="4" t="s">
        <v>20</v>
      </c>
      <c r="H1402" s="5">
        <v>500000</v>
      </c>
      <c r="I1402" s="4" t="s">
        <v>21</v>
      </c>
      <c r="J1402" s="5">
        <f t="shared" si="21"/>
        <v>-2105650</v>
      </c>
      <c r="K1402" s="4" t="s">
        <v>47</v>
      </c>
      <c r="L1402" s="6">
        <v>4.2112999999999996</v>
      </c>
      <c r="M1402" s="6">
        <v>0.23749999999999999</v>
      </c>
      <c r="N1402" s="6">
        <v>4.2126999999999999</v>
      </c>
      <c r="O1402" s="6">
        <v>1</v>
      </c>
      <c r="P1402" s="5">
        <v>700</v>
      </c>
      <c r="Q1402" s="4" t="s">
        <v>1394</v>
      </c>
    </row>
    <row r="1403" spans="1:17" x14ac:dyDescent="0.3">
      <c r="A1403" s="2" t="s">
        <v>1389</v>
      </c>
      <c r="B1403" s="3">
        <v>155663</v>
      </c>
      <c r="C1403" s="3">
        <v>891531</v>
      </c>
      <c r="D1403" s="4" t="s">
        <v>81</v>
      </c>
      <c r="E1403" s="4" t="s">
        <v>730</v>
      </c>
      <c r="F1403" s="4" t="s">
        <v>87</v>
      </c>
      <c r="G1403" s="4" t="s">
        <v>20</v>
      </c>
      <c r="H1403" s="5">
        <v>500000</v>
      </c>
      <c r="I1403" s="4" t="s">
        <v>21</v>
      </c>
      <c r="J1403" s="5">
        <f t="shared" si="21"/>
        <v>-2105700</v>
      </c>
      <c r="K1403" s="4" t="s">
        <v>47</v>
      </c>
      <c r="L1403" s="6">
        <v>4.2114000000000003</v>
      </c>
      <c r="M1403" s="6">
        <v>0.23749999999999999</v>
      </c>
      <c r="N1403" s="6">
        <v>4.2126999999999999</v>
      </c>
      <c r="O1403" s="6">
        <v>1</v>
      </c>
      <c r="P1403" s="5">
        <v>675</v>
      </c>
      <c r="Q1403" s="4" t="s">
        <v>1396</v>
      </c>
    </row>
    <row r="1404" spans="1:17" x14ac:dyDescent="0.3">
      <c r="A1404" s="2" t="s">
        <v>1389</v>
      </c>
      <c r="B1404" s="3">
        <v>155664</v>
      </c>
      <c r="C1404" s="3">
        <v>215407</v>
      </c>
      <c r="D1404" s="4" t="s">
        <v>17</v>
      </c>
      <c r="E1404" s="4" t="s">
        <v>1172</v>
      </c>
      <c r="F1404" s="4" t="s">
        <v>32</v>
      </c>
      <c r="G1404" s="4" t="s">
        <v>20</v>
      </c>
      <c r="H1404" s="5">
        <v>-70000</v>
      </c>
      <c r="I1404" s="4" t="s">
        <v>21</v>
      </c>
      <c r="J1404" s="5">
        <f t="shared" si="21"/>
        <v>295190</v>
      </c>
      <c r="K1404" s="4" t="s">
        <v>29</v>
      </c>
      <c r="L1404" s="6">
        <v>4.2169999999999996</v>
      </c>
      <c r="M1404" s="6">
        <v>0.23710000000000001</v>
      </c>
      <c r="N1404" s="6">
        <v>4.2104999999999997</v>
      </c>
      <c r="O1404" s="6">
        <v>1</v>
      </c>
      <c r="P1404" s="5">
        <v>455</v>
      </c>
      <c r="Q1404" s="4" t="s">
        <v>1390</v>
      </c>
    </row>
    <row r="1405" spans="1:17" x14ac:dyDescent="0.3">
      <c r="A1405" s="2" t="s">
        <v>1389</v>
      </c>
      <c r="B1405" s="3">
        <v>155665</v>
      </c>
      <c r="C1405" s="3">
        <v>891535</v>
      </c>
      <c r="D1405" s="4" t="s">
        <v>81</v>
      </c>
      <c r="E1405" s="4" t="s">
        <v>730</v>
      </c>
      <c r="F1405" s="4" t="s">
        <v>87</v>
      </c>
      <c r="G1405" s="4" t="s">
        <v>34</v>
      </c>
      <c r="H1405" s="5">
        <v>200000</v>
      </c>
      <c r="I1405" s="4" t="s">
        <v>74</v>
      </c>
      <c r="J1405" s="5">
        <f t="shared" si="21"/>
        <v>-2024660</v>
      </c>
      <c r="K1405" s="4" t="s">
        <v>47</v>
      </c>
      <c r="L1405" s="6">
        <v>10.1233</v>
      </c>
      <c r="M1405" s="6">
        <v>9.8799999999999999E-2</v>
      </c>
      <c r="N1405" s="6">
        <v>3.6183999999999998</v>
      </c>
      <c r="O1405" s="6">
        <v>0.35849999999999999</v>
      </c>
      <c r="P1405" s="5">
        <v>-2159.1759999999999</v>
      </c>
      <c r="Q1405" s="4" t="s">
        <v>1396</v>
      </c>
    </row>
    <row r="1406" spans="1:17" x14ac:dyDescent="0.3">
      <c r="A1406" s="2" t="s">
        <v>1389</v>
      </c>
      <c r="B1406" s="3">
        <v>155668</v>
      </c>
      <c r="C1406" s="3">
        <v>215409</v>
      </c>
      <c r="D1406" s="4" t="s">
        <v>17</v>
      </c>
      <c r="E1406" s="4" t="s">
        <v>847</v>
      </c>
      <c r="F1406" s="4" t="s">
        <v>32</v>
      </c>
      <c r="G1406" s="4" t="s">
        <v>20</v>
      </c>
      <c r="H1406" s="5">
        <v>-500000</v>
      </c>
      <c r="I1406" s="4" t="s">
        <v>21</v>
      </c>
      <c r="J1406" s="5">
        <f t="shared" si="21"/>
        <v>2108200</v>
      </c>
      <c r="K1406" s="4" t="s">
        <v>29</v>
      </c>
      <c r="L1406" s="6">
        <v>4.2164000000000001</v>
      </c>
      <c r="M1406" s="6">
        <v>0.23719999999999999</v>
      </c>
      <c r="N1406" s="6">
        <v>4.2104999999999997</v>
      </c>
      <c r="O1406" s="6">
        <v>1</v>
      </c>
      <c r="P1406" s="5">
        <v>2750</v>
      </c>
      <c r="Q1406" s="4" t="s">
        <v>1390</v>
      </c>
    </row>
    <row r="1407" spans="1:17" x14ac:dyDescent="0.3">
      <c r="A1407" s="2" t="s">
        <v>1389</v>
      </c>
      <c r="B1407" s="3">
        <v>155672</v>
      </c>
      <c r="C1407" s="3">
        <v>215418</v>
      </c>
      <c r="D1407" s="4" t="s">
        <v>17</v>
      </c>
      <c r="E1407" s="4" t="s">
        <v>983</v>
      </c>
      <c r="F1407" s="4" t="s">
        <v>19</v>
      </c>
      <c r="G1407" s="4" t="s">
        <v>20</v>
      </c>
      <c r="H1407" s="5">
        <v>30000</v>
      </c>
      <c r="I1407" s="4" t="s">
        <v>21</v>
      </c>
      <c r="J1407" s="5">
        <f t="shared" si="21"/>
        <v>-126024</v>
      </c>
      <c r="K1407" s="4" t="s">
        <v>29</v>
      </c>
      <c r="L1407" s="6">
        <v>4.2008000000000001</v>
      </c>
      <c r="M1407" s="6">
        <v>0.23799999999999999</v>
      </c>
      <c r="N1407" s="6">
        <v>4.2104999999999997</v>
      </c>
      <c r="O1407" s="6">
        <v>1</v>
      </c>
      <c r="P1407" s="5">
        <v>290.99999999998545</v>
      </c>
      <c r="Q1407" s="4" t="s">
        <v>1390</v>
      </c>
    </row>
    <row r="1408" spans="1:17" x14ac:dyDescent="0.3">
      <c r="A1408" s="2" t="s">
        <v>1389</v>
      </c>
      <c r="B1408" s="3">
        <v>155673</v>
      </c>
      <c r="C1408" s="3">
        <v>215420</v>
      </c>
      <c r="D1408" s="4" t="s">
        <v>17</v>
      </c>
      <c r="E1408" s="4" t="s">
        <v>986</v>
      </c>
      <c r="F1408" s="4" t="s">
        <v>19</v>
      </c>
      <c r="G1408" s="4" t="s">
        <v>20</v>
      </c>
      <c r="H1408" s="5">
        <v>58000</v>
      </c>
      <c r="I1408" s="4" t="s">
        <v>21</v>
      </c>
      <c r="J1408" s="5">
        <f t="shared" si="21"/>
        <v>-243774.00000000003</v>
      </c>
      <c r="K1408" s="4" t="s">
        <v>29</v>
      </c>
      <c r="L1408" s="6">
        <v>4.2030000000000003</v>
      </c>
      <c r="M1408" s="6">
        <v>0.2379</v>
      </c>
      <c r="N1408" s="6">
        <v>4.2104999999999997</v>
      </c>
      <c r="O1408" s="6">
        <v>1</v>
      </c>
      <c r="P1408" s="5">
        <v>434.99999999994179</v>
      </c>
      <c r="Q1408" s="4" t="s">
        <v>1390</v>
      </c>
    </row>
    <row r="1409" spans="1:17" x14ac:dyDescent="0.3">
      <c r="A1409" s="2" t="s">
        <v>1389</v>
      </c>
      <c r="B1409" s="3">
        <v>155674</v>
      </c>
      <c r="C1409" s="3">
        <v>215421</v>
      </c>
      <c r="D1409" s="4" t="s">
        <v>17</v>
      </c>
      <c r="E1409" s="4" t="s">
        <v>1110</v>
      </c>
      <c r="F1409" s="4" t="s">
        <v>32</v>
      </c>
      <c r="G1409" s="4" t="s">
        <v>20</v>
      </c>
      <c r="H1409" s="5">
        <v>-50000</v>
      </c>
      <c r="I1409" s="4" t="s">
        <v>21</v>
      </c>
      <c r="J1409" s="5">
        <f t="shared" si="21"/>
        <v>210700.00000000003</v>
      </c>
      <c r="K1409" s="4" t="s">
        <v>29</v>
      </c>
      <c r="L1409" s="6">
        <v>4.2140000000000004</v>
      </c>
      <c r="M1409" s="6">
        <v>0.23730000000000001</v>
      </c>
      <c r="N1409" s="6">
        <v>4.2104999999999997</v>
      </c>
      <c r="O1409" s="6">
        <v>1</v>
      </c>
      <c r="P1409" s="5">
        <v>175</v>
      </c>
      <c r="Q1409" s="4" t="s">
        <v>1390</v>
      </c>
    </row>
    <row r="1410" spans="1:17" x14ac:dyDescent="0.3">
      <c r="A1410" s="2" t="s">
        <v>1389</v>
      </c>
      <c r="B1410" s="3">
        <v>155675</v>
      </c>
      <c r="C1410" s="3">
        <v>891581</v>
      </c>
      <c r="D1410" s="4" t="s">
        <v>81</v>
      </c>
      <c r="E1410" s="4" t="s">
        <v>956</v>
      </c>
      <c r="F1410" s="4" t="s">
        <v>87</v>
      </c>
      <c r="G1410" s="4" t="s">
        <v>34</v>
      </c>
      <c r="H1410" s="5">
        <v>85000</v>
      </c>
      <c r="I1410" s="4" t="s">
        <v>21</v>
      </c>
      <c r="J1410" s="5">
        <f t="shared" si="21"/>
        <v>-306059.5</v>
      </c>
      <c r="K1410" s="4" t="s">
        <v>47</v>
      </c>
      <c r="L1410" s="6">
        <v>3.6006999999999998</v>
      </c>
      <c r="M1410" s="6">
        <v>0.2777</v>
      </c>
      <c r="N1410" s="6">
        <v>3.6183999999999998</v>
      </c>
      <c r="O1410" s="6">
        <v>1</v>
      </c>
      <c r="P1410" s="5">
        <v>1504.5</v>
      </c>
      <c r="Q1410" s="4" t="s">
        <v>1390</v>
      </c>
    </row>
    <row r="1411" spans="1:17" x14ac:dyDescent="0.3">
      <c r="A1411" s="2" t="s">
        <v>1389</v>
      </c>
      <c r="B1411" s="3">
        <v>155687</v>
      </c>
      <c r="C1411" s="3">
        <v>215429</v>
      </c>
      <c r="D1411" s="4" t="s">
        <v>17</v>
      </c>
      <c r="E1411" s="4" t="s">
        <v>1003</v>
      </c>
      <c r="F1411" s="4" t="s">
        <v>19</v>
      </c>
      <c r="G1411" s="4" t="s">
        <v>20</v>
      </c>
      <c r="H1411" s="5">
        <v>40000</v>
      </c>
      <c r="I1411" s="4" t="s">
        <v>21</v>
      </c>
      <c r="J1411" s="5">
        <f t="shared" si="21"/>
        <v>-167399.99999999997</v>
      </c>
      <c r="K1411" s="4" t="s">
        <v>29</v>
      </c>
      <c r="L1411" s="6">
        <v>4.1849999999999996</v>
      </c>
      <c r="M1411" s="6">
        <v>0.2389</v>
      </c>
      <c r="N1411" s="6">
        <v>4.2104999999999997</v>
      </c>
      <c r="O1411" s="6">
        <v>1</v>
      </c>
      <c r="P1411" s="5">
        <v>1020.0000000000291</v>
      </c>
      <c r="Q1411" s="4" t="s">
        <v>1390</v>
      </c>
    </row>
    <row r="1412" spans="1:17" x14ac:dyDescent="0.3">
      <c r="A1412" s="2" t="s">
        <v>1389</v>
      </c>
      <c r="B1412" s="3">
        <v>155693</v>
      </c>
      <c r="C1412" s="3">
        <v>891613</v>
      </c>
      <c r="D1412" s="4" t="s">
        <v>81</v>
      </c>
      <c r="E1412" s="4" t="s">
        <v>725</v>
      </c>
      <c r="F1412" s="4" t="s">
        <v>83</v>
      </c>
      <c r="G1412" s="4" t="s">
        <v>20</v>
      </c>
      <c r="H1412" s="5">
        <v>-1000000</v>
      </c>
      <c r="I1412" s="4" t="s">
        <v>21</v>
      </c>
      <c r="J1412" s="5">
        <f t="shared" ref="J1412:J1475" si="22">-H1412*L1412</f>
        <v>4212600</v>
      </c>
      <c r="K1412" s="4" t="s">
        <v>47</v>
      </c>
      <c r="L1412" s="6">
        <v>4.2126000000000001</v>
      </c>
      <c r="M1412" s="6">
        <v>0.2374</v>
      </c>
      <c r="N1412" s="6">
        <v>4.2126999999999999</v>
      </c>
      <c r="O1412" s="6">
        <v>1</v>
      </c>
      <c r="P1412" s="5">
        <v>-130</v>
      </c>
      <c r="Q1412" s="4" t="s">
        <v>1392</v>
      </c>
    </row>
    <row r="1413" spans="1:17" x14ac:dyDescent="0.3">
      <c r="A1413" s="2" t="s">
        <v>1389</v>
      </c>
      <c r="B1413" s="3">
        <v>155694</v>
      </c>
      <c r="C1413" s="3">
        <v>215433</v>
      </c>
      <c r="D1413" s="4" t="s">
        <v>17</v>
      </c>
      <c r="E1413" s="4" t="s">
        <v>918</v>
      </c>
      <c r="F1413" s="4" t="s">
        <v>19</v>
      </c>
      <c r="G1413" s="4" t="s">
        <v>20</v>
      </c>
      <c r="H1413" s="5">
        <v>5000</v>
      </c>
      <c r="I1413" s="4" t="s">
        <v>21</v>
      </c>
      <c r="J1413" s="5">
        <f t="shared" si="22"/>
        <v>-21050</v>
      </c>
      <c r="K1413" s="4" t="s">
        <v>29</v>
      </c>
      <c r="L1413" s="6">
        <v>4.21</v>
      </c>
      <c r="M1413" s="6">
        <v>0.23749999999999999</v>
      </c>
      <c r="N1413" s="6">
        <v>4.2104999999999997</v>
      </c>
      <c r="O1413" s="6">
        <v>1</v>
      </c>
      <c r="P1413" s="5">
        <v>2.5</v>
      </c>
      <c r="Q1413" s="4" t="s">
        <v>1390</v>
      </c>
    </row>
    <row r="1414" spans="1:17" x14ac:dyDescent="0.3">
      <c r="A1414" s="2" t="s">
        <v>1389</v>
      </c>
      <c r="B1414" s="3">
        <v>155695</v>
      </c>
      <c r="C1414" s="3">
        <v>215434</v>
      </c>
      <c r="D1414" s="4" t="s">
        <v>17</v>
      </c>
      <c r="E1414" s="4" t="s">
        <v>809</v>
      </c>
      <c r="F1414" s="4" t="s">
        <v>19</v>
      </c>
      <c r="G1414" s="4" t="s">
        <v>20</v>
      </c>
      <c r="H1414" s="5">
        <v>10000</v>
      </c>
      <c r="I1414" s="4" t="s">
        <v>21</v>
      </c>
      <c r="J1414" s="5">
        <f t="shared" si="22"/>
        <v>-41600</v>
      </c>
      <c r="K1414" s="4" t="s">
        <v>29</v>
      </c>
      <c r="L1414" s="6">
        <v>4.16</v>
      </c>
      <c r="M1414" s="6">
        <v>0.2404</v>
      </c>
      <c r="N1414" s="6">
        <v>4.2104999999999997</v>
      </c>
      <c r="O1414" s="6">
        <v>1</v>
      </c>
      <c r="P1414" s="5">
        <v>505</v>
      </c>
      <c r="Q1414" s="4" t="s">
        <v>1390</v>
      </c>
    </row>
    <row r="1415" spans="1:17" x14ac:dyDescent="0.3">
      <c r="A1415" s="2" t="s">
        <v>1389</v>
      </c>
      <c r="B1415" s="3">
        <v>155696</v>
      </c>
      <c r="C1415" s="3">
        <v>215436</v>
      </c>
      <c r="D1415" s="4" t="s">
        <v>17</v>
      </c>
      <c r="E1415" s="4" t="s">
        <v>1383</v>
      </c>
      <c r="F1415" s="4" t="s">
        <v>32</v>
      </c>
      <c r="G1415" s="4" t="s">
        <v>34</v>
      </c>
      <c r="H1415" s="5">
        <v>-20200</v>
      </c>
      <c r="I1415" s="4" t="s">
        <v>21</v>
      </c>
      <c r="J1415" s="5">
        <f t="shared" si="22"/>
        <v>73142.179999999993</v>
      </c>
      <c r="K1415" s="4" t="s">
        <v>29</v>
      </c>
      <c r="L1415" s="6">
        <v>3.6208999999999998</v>
      </c>
      <c r="M1415" s="6">
        <v>0.2762</v>
      </c>
      <c r="N1415" s="6">
        <v>3.6034999999999999</v>
      </c>
      <c r="O1415" s="6">
        <v>1</v>
      </c>
      <c r="P1415" s="5">
        <v>347.44</v>
      </c>
      <c r="Q1415" s="4" t="s">
        <v>1390</v>
      </c>
    </row>
    <row r="1416" spans="1:17" x14ac:dyDescent="0.3">
      <c r="A1416" s="2" t="s">
        <v>1389</v>
      </c>
      <c r="B1416" s="3">
        <v>155698</v>
      </c>
      <c r="C1416" s="3">
        <v>215444</v>
      </c>
      <c r="D1416" s="4" t="s">
        <v>17</v>
      </c>
      <c r="E1416" s="4" t="s">
        <v>1070</v>
      </c>
      <c r="F1416" s="4" t="s">
        <v>32</v>
      </c>
      <c r="G1416" s="4" t="s">
        <v>34</v>
      </c>
      <c r="H1416" s="5">
        <v>-50000</v>
      </c>
      <c r="I1416" s="4" t="s">
        <v>21</v>
      </c>
      <c r="J1416" s="5">
        <f t="shared" si="22"/>
        <v>180525</v>
      </c>
      <c r="K1416" s="4" t="s">
        <v>29</v>
      </c>
      <c r="L1416" s="6">
        <v>3.6105</v>
      </c>
      <c r="M1416" s="6">
        <v>0.27700000000000002</v>
      </c>
      <c r="N1416" s="6">
        <v>3.6034999999999999</v>
      </c>
      <c r="O1416" s="6">
        <v>1</v>
      </c>
      <c r="P1416" s="5">
        <v>350</v>
      </c>
      <c r="Q1416" s="4" t="s">
        <v>1390</v>
      </c>
    </row>
    <row r="1417" spans="1:17" x14ac:dyDescent="0.3">
      <c r="A1417" s="2" t="s">
        <v>1389</v>
      </c>
      <c r="B1417" s="3">
        <v>155699</v>
      </c>
      <c r="C1417" s="3">
        <v>215445</v>
      </c>
      <c r="D1417" s="4" t="s">
        <v>17</v>
      </c>
      <c r="E1417" s="4" t="s">
        <v>1117</v>
      </c>
      <c r="F1417" s="4" t="s">
        <v>19</v>
      </c>
      <c r="G1417" s="4" t="s">
        <v>20</v>
      </c>
      <c r="H1417" s="5">
        <v>58000</v>
      </c>
      <c r="I1417" s="4" t="s">
        <v>21</v>
      </c>
      <c r="J1417" s="5">
        <f t="shared" si="22"/>
        <v>-243646.4</v>
      </c>
      <c r="K1417" s="4" t="s">
        <v>29</v>
      </c>
      <c r="L1417" s="6">
        <v>4.2008000000000001</v>
      </c>
      <c r="M1417" s="6">
        <v>0.23799999999999999</v>
      </c>
      <c r="N1417" s="6">
        <v>4.2104999999999997</v>
      </c>
      <c r="O1417" s="6">
        <v>1</v>
      </c>
      <c r="P1417" s="5">
        <v>562.59999999997672</v>
      </c>
      <c r="Q1417" s="4" t="s">
        <v>1390</v>
      </c>
    </row>
    <row r="1418" spans="1:17" x14ac:dyDescent="0.3">
      <c r="A1418" s="2" t="s">
        <v>1389</v>
      </c>
      <c r="B1418" s="3">
        <v>155700</v>
      </c>
      <c r="C1418" s="3">
        <v>215446</v>
      </c>
      <c r="D1418" s="4" t="s">
        <v>17</v>
      </c>
      <c r="E1418" s="4" t="s">
        <v>1234</v>
      </c>
      <c r="F1418" s="4" t="s">
        <v>19</v>
      </c>
      <c r="G1418" s="4" t="s">
        <v>20</v>
      </c>
      <c r="H1418" s="5">
        <v>30875.15</v>
      </c>
      <c r="I1418" s="4" t="s">
        <v>21</v>
      </c>
      <c r="J1418" s="5">
        <f t="shared" si="22"/>
        <v>-129805.30563000002</v>
      </c>
      <c r="K1418" s="4" t="s">
        <v>29</v>
      </c>
      <c r="L1418" s="6">
        <v>4.2042000000000002</v>
      </c>
      <c r="M1418" s="6">
        <v>0.2379</v>
      </c>
      <c r="N1418" s="6">
        <v>4.2104999999999997</v>
      </c>
      <c r="O1418" s="6">
        <v>1</v>
      </c>
      <c r="P1418" s="5">
        <v>194.51344499997504</v>
      </c>
      <c r="Q1418" s="4" t="s">
        <v>1390</v>
      </c>
    </row>
    <row r="1419" spans="1:17" x14ac:dyDescent="0.3">
      <c r="A1419" s="2" t="s">
        <v>1389</v>
      </c>
      <c r="B1419" s="3">
        <v>155701</v>
      </c>
      <c r="C1419" s="3">
        <v>215456</v>
      </c>
      <c r="D1419" s="4" t="s">
        <v>17</v>
      </c>
      <c r="E1419" s="4" t="s">
        <v>1077</v>
      </c>
      <c r="F1419" s="4" t="s">
        <v>19</v>
      </c>
      <c r="G1419" s="4" t="s">
        <v>20</v>
      </c>
      <c r="H1419" s="5">
        <v>25000</v>
      </c>
      <c r="I1419" s="4" t="s">
        <v>21</v>
      </c>
      <c r="J1419" s="5">
        <f t="shared" si="22"/>
        <v>-105240</v>
      </c>
      <c r="K1419" s="4" t="s">
        <v>42</v>
      </c>
      <c r="L1419" s="6">
        <v>4.2096</v>
      </c>
      <c r="M1419" s="6">
        <v>0.23760000000000001</v>
      </c>
      <c r="N1419" s="6">
        <v>4.2119</v>
      </c>
      <c r="O1419" s="6">
        <v>1</v>
      </c>
      <c r="P1419" s="5">
        <v>57.5</v>
      </c>
      <c r="Q1419" s="4" t="s">
        <v>1390</v>
      </c>
    </row>
    <row r="1420" spans="1:17" x14ac:dyDescent="0.3">
      <c r="A1420" s="2" t="s">
        <v>1389</v>
      </c>
      <c r="B1420" s="3">
        <v>155702</v>
      </c>
      <c r="C1420" s="3">
        <v>215463</v>
      </c>
      <c r="D1420" s="4" t="s">
        <v>17</v>
      </c>
      <c r="E1420" s="4" t="s">
        <v>1039</v>
      </c>
      <c r="F1420" s="4" t="s">
        <v>32</v>
      </c>
      <c r="G1420" s="4" t="s">
        <v>20</v>
      </c>
      <c r="H1420" s="5">
        <v>-7400</v>
      </c>
      <c r="I1420" s="4" t="s">
        <v>21</v>
      </c>
      <c r="J1420" s="5">
        <f t="shared" si="22"/>
        <v>31931.000000000004</v>
      </c>
      <c r="K1420" s="4" t="s">
        <v>29</v>
      </c>
      <c r="L1420" s="6">
        <v>4.3150000000000004</v>
      </c>
      <c r="M1420" s="6">
        <v>0.23169999999999999</v>
      </c>
      <c r="N1420" s="6">
        <v>4.2104999999999997</v>
      </c>
      <c r="O1420" s="6">
        <v>1</v>
      </c>
      <c r="P1420" s="5">
        <v>773.3</v>
      </c>
      <c r="Q1420" s="4" t="s">
        <v>1390</v>
      </c>
    </row>
    <row r="1421" spans="1:17" x14ac:dyDescent="0.3">
      <c r="A1421" s="2" t="s">
        <v>1389</v>
      </c>
      <c r="B1421" s="3">
        <v>155703</v>
      </c>
      <c r="C1421" s="3">
        <v>215465</v>
      </c>
      <c r="D1421" s="4" t="s">
        <v>17</v>
      </c>
      <c r="E1421" s="4" t="s">
        <v>772</v>
      </c>
      <c r="F1421" s="4" t="s">
        <v>32</v>
      </c>
      <c r="G1421" s="4" t="s">
        <v>20</v>
      </c>
      <c r="H1421" s="5">
        <v>-30000</v>
      </c>
      <c r="I1421" s="4" t="s">
        <v>21</v>
      </c>
      <c r="J1421" s="5">
        <f t="shared" si="22"/>
        <v>126521.99999999999</v>
      </c>
      <c r="K1421" s="4" t="s">
        <v>29</v>
      </c>
      <c r="L1421" s="6">
        <v>4.2173999999999996</v>
      </c>
      <c r="M1421" s="6">
        <v>0.23710000000000001</v>
      </c>
      <c r="N1421" s="6">
        <v>4.2104999999999997</v>
      </c>
      <c r="O1421" s="6">
        <v>1</v>
      </c>
      <c r="P1421" s="5">
        <v>186</v>
      </c>
      <c r="Q1421" s="4" t="s">
        <v>1390</v>
      </c>
    </row>
    <row r="1422" spans="1:17" x14ac:dyDescent="0.3">
      <c r="A1422" s="2" t="s">
        <v>1389</v>
      </c>
      <c r="B1422" s="3">
        <v>155704</v>
      </c>
      <c r="C1422" s="3">
        <v>891730</v>
      </c>
      <c r="D1422" s="4" t="s">
        <v>81</v>
      </c>
      <c r="E1422" s="4" t="s">
        <v>725</v>
      </c>
      <c r="F1422" s="4" t="s">
        <v>83</v>
      </c>
      <c r="G1422" s="4" t="s">
        <v>20</v>
      </c>
      <c r="H1422" s="5">
        <v>-1000000</v>
      </c>
      <c r="I1422" s="4" t="s">
        <v>21</v>
      </c>
      <c r="J1422" s="5">
        <f t="shared" si="22"/>
        <v>4211200</v>
      </c>
      <c r="K1422" s="4" t="s">
        <v>47</v>
      </c>
      <c r="L1422" s="6">
        <v>4.2111999999999998</v>
      </c>
      <c r="M1422" s="6">
        <v>0.23749999999999999</v>
      </c>
      <c r="N1422" s="6">
        <v>4.2126999999999999</v>
      </c>
      <c r="O1422" s="6">
        <v>1</v>
      </c>
      <c r="P1422" s="5">
        <v>-1450</v>
      </c>
      <c r="Q1422" s="4" t="s">
        <v>1392</v>
      </c>
    </row>
    <row r="1423" spans="1:17" x14ac:dyDescent="0.3">
      <c r="A1423" s="2" t="s">
        <v>1389</v>
      </c>
      <c r="B1423" s="3">
        <v>155705</v>
      </c>
      <c r="C1423" s="3">
        <v>891731</v>
      </c>
      <c r="D1423" s="4" t="s">
        <v>81</v>
      </c>
      <c r="E1423" s="4" t="s">
        <v>730</v>
      </c>
      <c r="F1423" s="4" t="s">
        <v>83</v>
      </c>
      <c r="G1423" s="4" t="s">
        <v>20</v>
      </c>
      <c r="H1423" s="5">
        <v>-500000</v>
      </c>
      <c r="I1423" s="4" t="s">
        <v>21</v>
      </c>
      <c r="J1423" s="5">
        <f t="shared" si="22"/>
        <v>2105600</v>
      </c>
      <c r="K1423" s="4" t="s">
        <v>47</v>
      </c>
      <c r="L1423" s="6">
        <v>4.2111999999999998</v>
      </c>
      <c r="M1423" s="6">
        <v>0.23749999999999999</v>
      </c>
      <c r="N1423" s="6">
        <v>4.2126999999999999</v>
      </c>
      <c r="O1423" s="6">
        <v>1</v>
      </c>
      <c r="P1423" s="5">
        <v>-740</v>
      </c>
      <c r="Q1423" s="4" t="s">
        <v>1396</v>
      </c>
    </row>
    <row r="1424" spans="1:17" x14ac:dyDescent="0.3">
      <c r="A1424" s="2" t="s">
        <v>1389</v>
      </c>
      <c r="B1424" s="3">
        <v>155706</v>
      </c>
      <c r="C1424" s="3">
        <v>891732</v>
      </c>
      <c r="D1424" s="4" t="s">
        <v>81</v>
      </c>
      <c r="E1424" s="4" t="s">
        <v>735</v>
      </c>
      <c r="F1424" s="4" t="s">
        <v>83</v>
      </c>
      <c r="G1424" s="4" t="s">
        <v>20</v>
      </c>
      <c r="H1424" s="5">
        <v>-500000</v>
      </c>
      <c r="I1424" s="4" t="s">
        <v>21</v>
      </c>
      <c r="J1424" s="5">
        <f t="shared" si="22"/>
        <v>2105650</v>
      </c>
      <c r="K1424" s="4" t="s">
        <v>47</v>
      </c>
      <c r="L1424" s="6">
        <v>4.2112999999999996</v>
      </c>
      <c r="M1424" s="6">
        <v>0.23749999999999999</v>
      </c>
      <c r="N1424" s="6">
        <v>4.2126999999999999</v>
      </c>
      <c r="O1424" s="6">
        <v>1</v>
      </c>
      <c r="P1424" s="5">
        <v>-700</v>
      </c>
      <c r="Q1424" s="4" t="s">
        <v>1394</v>
      </c>
    </row>
    <row r="1425" spans="1:17" x14ac:dyDescent="0.3">
      <c r="A1425" s="2" t="s">
        <v>1389</v>
      </c>
      <c r="B1425" s="3">
        <v>155707</v>
      </c>
      <c r="C1425" s="3">
        <v>891733</v>
      </c>
      <c r="D1425" s="4" t="s">
        <v>81</v>
      </c>
      <c r="E1425" s="4" t="s">
        <v>734</v>
      </c>
      <c r="F1425" s="4" t="s">
        <v>83</v>
      </c>
      <c r="G1425" s="4" t="s">
        <v>20</v>
      </c>
      <c r="H1425" s="5">
        <v>-500000</v>
      </c>
      <c r="I1425" s="4" t="s">
        <v>21</v>
      </c>
      <c r="J1425" s="5">
        <f t="shared" si="22"/>
        <v>2105600</v>
      </c>
      <c r="K1425" s="4" t="s">
        <v>47</v>
      </c>
      <c r="L1425" s="6">
        <v>4.2111999999999998</v>
      </c>
      <c r="M1425" s="6">
        <v>0.23749999999999999</v>
      </c>
      <c r="N1425" s="6">
        <v>4.2126999999999999</v>
      </c>
      <c r="O1425" s="6">
        <v>1</v>
      </c>
      <c r="P1425" s="5">
        <v>-750</v>
      </c>
      <c r="Q1425" s="4" t="s">
        <v>1393</v>
      </c>
    </row>
    <row r="1426" spans="1:17" x14ac:dyDescent="0.3">
      <c r="A1426" s="2" t="s">
        <v>1389</v>
      </c>
      <c r="B1426" s="3">
        <v>155708</v>
      </c>
      <c r="C1426" s="3">
        <v>891747</v>
      </c>
      <c r="D1426" s="4" t="s">
        <v>81</v>
      </c>
      <c r="E1426" s="4" t="s">
        <v>1114</v>
      </c>
      <c r="F1426" s="4" t="s">
        <v>83</v>
      </c>
      <c r="G1426" s="4" t="s">
        <v>20</v>
      </c>
      <c r="H1426" s="5">
        <v>-120000</v>
      </c>
      <c r="I1426" s="4" t="s">
        <v>21</v>
      </c>
      <c r="J1426" s="5">
        <f t="shared" si="22"/>
        <v>505596.00000000006</v>
      </c>
      <c r="K1426" s="4" t="s">
        <v>47</v>
      </c>
      <c r="L1426" s="6">
        <v>4.2133000000000003</v>
      </c>
      <c r="M1426" s="6">
        <v>0.23730000000000001</v>
      </c>
      <c r="N1426" s="6">
        <v>4.2126999999999999</v>
      </c>
      <c r="O1426" s="6">
        <v>1</v>
      </c>
      <c r="P1426" s="5">
        <v>72</v>
      </c>
      <c r="Q1426" s="4" t="s">
        <v>1390</v>
      </c>
    </row>
    <row r="1427" spans="1:17" x14ac:dyDescent="0.3">
      <c r="A1427" s="2" t="s">
        <v>1389</v>
      </c>
      <c r="B1427" s="3">
        <v>155709</v>
      </c>
      <c r="C1427" s="3">
        <v>891760</v>
      </c>
      <c r="D1427" s="4" t="s">
        <v>81</v>
      </c>
      <c r="E1427" s="4" t="s">
        <v>738</v>
      </c>
      <c r="F1427" s="4" t="s">
        <v>83</v>
      </c>
      <c r="G1427" s="4" t="s">
        <v>20</v>
      </c>
      <c r="H1427" s="5">
        <v>-1000000</v>
      </c>
      <c r="I1427" s="4" t="s">
        <v>21</v>
      </c>
      <c r="J1427" s="5">
        <f t="shared" si="22"/>
        <v>4210500</v>
      </c>
      <c r="K1427" s="4" t="s">
        <v>47</v>
      </c>
      <c r="L1427" s="6">
        <v>4.2104999999999997</v>
      </c>
      <c r="M1427" s="6">
        <v>0.23749999999999999</v>
      </c>
      <c r="N1427" s="6">
        <v>4.2126999999999999</v>
      </c>
      <c r="O1427" s="6">
        <v>1</v>
      </c>
      <c r="P1427" s="5">
        <v>-2200</v>
      </c>
      <c r="Q1427" s="4" t="s">
        <v>1390</v>
      </c>
    </row>
    <row r="1428" spans="1:17" x14ac:dyDescent="0.3">
      <c r="A1428" s="2" t="s">
        <v>1389</v>
      </c>
      <c r="B1428" s="3">
        <v>155710</v>
      </c>
      <c r="C1428" s="3">
        <v>891761</v>
      </c>
      <c r="D1428" s="4" t="s">
        <v>81</v>
      </c>
      <c r="E1428" s="4" t="s">
        <v>735</v>
      </c>
      <c r="F1428" s="4" t="s">
        <v>83</v>
      </c>
      <c r="G1428" s="4" t="s">
        <v>20</v>
      </c>
      <c r="H1428" s="5">
        <v>-500000</v>
      </c>
      <c r="I1428" s="4" t="s">
        <v>21</v>
      </c>
      <c r="J1428" s="5">
        <f t="shared" si="22"/>
        <v>2105200</v>
      </c>
      <c r="K1428" s="4" t="s">
        <v>47</v>
      </c>
      <c r="L1428" s="6">
        <v>4.2103999999999999</v>
      </c>
      <c r="M1428" s="6">
        <v>0.23749999999999999</v>
      </c>
      <c r="N1428" s="6">
        <v>4.2126999999999999</v>
      </c>
      <c r="O1428" s="6">
        <v>1</v>
      </c>
      <c r="P1428" s="5">
        <v>-1150</v>
      </c>
      <c r="Q1428" s="4" t="s">
        <v>1394</v>
      </c>
    </row>
    <row r="1429" spans="1:17" x14ac:dyDescent="0.3">
      <c r="A1429" s="2" t="s">
        <v>1389</v>
      </c>
      <c r="B1429" s="3">
        <v>155711</v>
      </c>
      <c r="C1429" s="3">
        <v>215478</v>
      </c>
      <c r="D1429" s="4" t="s">
        <v>17</v>
      </c>
      <c r="E1429" s="4" t="s">
        <v>916</v>
      </c>
      <c r="F1429" s="4" t="s">
        <v>32</v>
      </c>
      <c r="G1429" s="4" t="s">
        <v>20</v>
      </c>
      <c r="H1429" s="5">
        <v>-12000</v>
      </c>
      <c r="I1429" s="4" t="s">
        <v>21</v>
      </c>
      <c r="J1429" s="5">
        <f t="shared" si="22"/>
        <v>50568.000000000007</v>
      </c>
      <c r="K1429" s="4" t="s">
        <v>29</v>
      </c>
      <c r="L1429" s="6">
        <v>4.2140000000000004</v>
      </c>
      <c r="M1429" s="6">
        <v>0.23730000000000001</v>
      </c>
      <c r="N1429" s="6">
        <v>4.2104999999999997</v>
      </c>
      <c r="O1429" s="6">
        <v>1</v>
      </c>
      <c r="P1429" s="5">
        <v>42</v>
      </c>
      <c r="Q1429" s="4" t="s">
        <v>1390</v>
      </c>
    </row>
    <row r="1430" spans="1:17" x14ac:dyDescent="0.3">
      <c r="A1430" s="2" t="s">
        <v>1389</v>
      </c>
      <c r="B1430" s="3">
        <v>155712</v>
      </c>
      <c r="C1430" s="3">
        <v>215479</v>
      </c>
      <c r="D1430" s="4" t="s">
        <v>17</v>
      </c>
      <c r="E1430" s="4" t="s">
        <v>1145</v>
      </c>
      <c r="F1430" s="4" t="s">
        <v>19</v>
      </c>
      <c r="G1430" s="4" t="s">
        <v>20</v>
      </c>
      <c r="H1430" s="5">
        <v>20000</v>
      </c>
      <c r="I1430" s="4" t="s">
        <v>21</v>
      </c>
      <c r="J1430" s="5">
        <f t="shared" si="22"/>
        <v>-84100</v>
      </c>
      <c r="K1430" s="4" t="s">
        <v>29</v>
      </c>
      <c r="L1430" s="6">
        <v>4.2050000000000001</v>
      </c>
      <c r="M1430" s="6">
        <v>0.23780000000000001</v>
      </c>
      <c r="N1430" s="6">
        <v>4.2104999999999997</v>
      </c>
      <c r="O1430" s="6">
        <v>1</v>
      </c>
      <c r="P1430" s="5">
        <v>110</v>
      </c>
      <c r="Q1430" s="4" t="s">
        <v>1390</v>
      </c>
    </row>
    <row r="1431" spans="1:17" x14ac:dyDescent="0.3">
      <c r="A1431" s="2" t="s">
        <v>1389</v>
      </c>
      <c r="B1431" s="3">
        <v>155713</v>
      </c>
      <c r="C1431" s="3">
        <v>215481</v>
      </c>
      <c r="D1431" s="4" t="s">
        <v>17</v>
      </c>
      <c r="E1431" s="4" t="s">
        <v>1004</v>
      </c>
      <c r="F1431" s="4" t="s">
        <v>32</v>
      </c>
      <c r="G1431" s="4" t="s">
        <v>20</v>
      </c>
      <c r="H1431" s="5">
        <v>-1500</v>
      </c>
      <c r="I1431" s="4" t="s">
        <v>34</v>
      </c>
      <c r="J1431" s="5">
        <f t="shared" si="22"/>
        <v>1783.95</v>
      </c>
      <c r="K1431" s="4" t="s">
        <v>29</v>
      </c>
      <c r="L1431" s="6">
        <v>1.1893</v>
      </c>
      <c r="M1431" s="6">
        <v>0.84079999999999999</v>
      </c>
      <c r="N1431" s="6">
        <v>4.2104999999999997</v>
      </c>
      <c r="O1431" s="6">
        <v>3.6034999999999999</v>
      </c>
      <c r="P1431" s="5">
        <v>111.09225000000001</v>
      </c>
      <c r="Q1431" s="4" t="s">
        <v>1390</v>
      </c>
    </row>
    <row r="1432" spans="1:17" x14ac:dyDescent="0.3">
      <c r="A1432" s="2" t="s">
        <v>1389</v>
      </c>
      <c r="B1432" s="3">
        <v>155715</v>
      </c>
      <c r="C1432" s="3">
        <v>891801</v>
      </c>
      <c r="D1432" s="4" t="s">
        <v>81</v>
      </c>
      <c r="E1432" s="4" t="s">
        <v>730</v>
      </c>
      <c r="F1432" s="4" t="s">
        <v>87</v>
      </c>
      <c r="G1432" s="4" t="s">
        <v>20</v>
      </c>
      <c r="H1432" s="5">
        <v>100000</v>
      </c>
      <c r="I1432" s="4" t="s">
        <v>84</v>
      </c>
      <c r="J1432" s="5">
        <f t="shared" si="22"/>
        <v>-1075060</v>
      </c>
      <c r="K1432" s="4" t="s">
        <v>47</v>
      </c>
      <c r="L1432" s="6">
        <v>10.7506</v>
      </c>
      <c r="M1432" s="6">
        <v>9.2999999999999999E-2</v>
      </c>
      <c r="N1432" s="6">
        <v>4.2126999999999999</v>
      </c>
      <c r="O1432" s="6">
        <v>0.3921</v>
      </c>
      <c r="P1432" s="5">
        <v>-259.84969999999998</v>
      </c>
      <c r="Q1432" s="4" t="s">
        <v>1396</v>
      </c>
    </row>
    <row r="1433" spans="1:17" x14ac:dyDescent="0.3">
      <c r="A1433" s="2" t="s">
        <v>1389</v>
      </c>
      <c r="B1433" s="3">
        <v>155716</v>
      </c>
      <c r="C1433" s="3">
        <v>215488</v>
      </c>
      <c r="D1433" s="4" t="s">
        <v>17</v>
      </c>
      <c r="E1433" s="4" t="s">
        <v>1195</v>
      </c>
      <c r="F1433" s="4" t="s">
        <v>19</v>
      </c>
      <c r="G1433" s="4" t="s">
        <v>20</v>
      </c>
      <c r="H1433" s="5">
        <v>30000</v>
      </c>
      <c r="I1433" s="4" t="s">
        <v>21</v>
      </c>
      <c r="J1433" s="5">
        <f t="shared" si="22"/>
        <v>-125549.99999999999</v>
      </c>
      <c r="K1433" s="4" t="s">
        <v>29</v>
      </c>
      <c r="L1433" s="6">
        <v>4.1849999999999996</v>
      </c>
      <c r="M1433" s="6">
        <v>0.2389</v>
      </c>
      <c r="N1433" s="6">
        <v>4.2104999999999997</v>
      </c>
      <c r="O1433" s="6">
        <v>1</v>
      </c>
      <c r="P1433" s="5">
        <v>765</v>
      </c>
      <c r="Q1433" s="4" t="s">
        <v>1390</v>
      </c>
    </row>
    <row r="1434" spans="1:17" x14ac:dyDescent="0.3">
      <c r="A1434" s="2" t="s">
        <v>1389</v>
      </c>
      <c r="B1434" s="3">
        <v>155717</v>
      </c>
      <c r="C1434" s="3">
        <v>891805</v>
      </c>
      <c r="D1434" s="4" t="s">
        <v>81</v>
      </c>
      <c r="E1434" s="4" t="s">
        <v>734</v>
      </c>
      <c r="F1434" s="4" t="s">
        <v>87</v>
      </c>
      <c r="G1434" s="4" t="s">
        <v>20</v>
      </c>
      <c r="H1434" s="5">
        <v>100000</v>
      </c>
      <c r="I1434" s="4" t="s">
        <v>93</v>
      </c>
      <c r="J1434" s="5">
        <f t="shared" si="22"/>
        <v>-93100</v>
      </c>
      <c r="K1434" s="4" t="s">
        <v>47</v>
      </c>
      <c r="L1434" s="6">
        <v>0.93100000000000005</v>
      </c>
      <c r="M1434" s="6">
        <v>1.0741000000000001</v>
      </c>
      <c r="N1434" s="6">
        <v>4.2126999999999999</v>
      </c>
      <c r="O1434" s="6">
        <v>4.5221999999999998</v>
      </c>
      <c r="P1434" s="5">
        <v>244.13560000000001</v>
      </c>
      <c r="Q1434" s="4" t="s">
        <v>1393</v>
      </c>
    </row>
    <row r="1435" spans="1:17" x14ac:dyDescent="0.3">
      <c r="A1435" s="2" t="s">
        <v>1389</v>
      </c>
      <c r="B1435" s="3">
        <v>155719</v>
      </c>
      <c r="C1435" s="3">
        <v>891815</v>
      </c>
      <c r="D1435" s="4" t="s">
        <v>81</v>
      </c>
      <c r="E1435" s="4" t="s">
        <v>1090</v>
      </c>
      <c r="F1435" s="4" t="s">
        <v>87</v>
      </c>
      <c r="G1435" s="4" t="s">
        <v>20</v>
      </c>
      <c r="H1435" s="5">
        <v>25000</v>
      </c>
      <c r="I1435" s="4" t="s">
        <v>21</v>
      </c>
      <c r="J1435" s="5">
        <f t="shared" si="22"/>
        <v>-104925</v>
      </c>
      <c r="K1435" s="4" t="s">
        <v>47</v>
      </c>
      <c r="L1435" s="6">
        <v>4.1970000000000001</v>
      </c>
      <c r="M1435" s="6">
        <v>0.23830000000000001</v>
      </c>
      <c r="N1435" s="6">
        <v>4.2126999999999999</v>
      </c>
      <c r="O1435" s="6">
        <v>1</v>
      </c>
      <c r="P1435" s="5">
        <v>392.5</v>
      </c>
      <c r="Q1435" s="4" t="s">
        <v>1390</v>
      </c>
    </row>
    <row r="1436" spans="1:17" x14ac:dyDescent="0.3">
      <c r="A1436" s="2" t="s">
        <v>1389</v>
      </c>
      <c r="B1436" s="3">
        <v>155720</v>
      </c>
      <c r="C1436" s="3">
        <v>215493</v>
      </c>
      <c r="D1436" s="4" t="s">
        <v>17</v>
      </c>
      <c r="E1436" s="4" t="s">
        <v>1131</v>
      </c>
      <c r="F1436" s="4" t="s">
        <v>32</v>
      </c>
      <c r="G1436" s="4" t="s">
        <v>34</v>
      </c>
      <c r="H1436" s="5">
        <v>-10000</v>
      </c>
      <c r="I1436" s="4" t="s">
        <v>21</v>
      </c>
      <c r="J1436" s="5">
        <f t="shared" si="22"/>
        <v>36125</v>
      </c>
      <c r="K1436" s="4" t="s">
        <v>29</v>
      </c>
      <c r="L1436" s="6">
        <v>3.6124999999999998</v>
      </c>
      <c r="M1436" s="6">
        <v>0.27679999999999999</v>
      </c>
      <c r="N1436" s="6">
        <v>3.6034999999999999</v>
      </c>
      <c r="O1436" s="6">
        <v>1</v>
      </c>
      <c r="P1436" s="5">
        <v>90</v>
      </c>
      <c r="Q1436" s="4" t="s">
        <v>1390</v>
      </c>
    </row>
    <row r="1437" spans="1:17" x14ac:dyDescent="0.3">
      <c r="A1437" s="2" t="s">
        <v>1389</v>
      </c>
      <c r="B1437" s="3">
        <v>155721</v>
      </c>
      <c r="C1437" s="3">
        <v>215495</v>
      </c>
      <c r="D1437" s="4" t="s">
        <v>17</v>
      </c>
      <c r="E1437" s="4" t="s">
        <v>1334</v>
      </c>
      <c r="F1437" s="4" t="s">
        <v>32</v>
      </c>
      <c r="G1437" s="4" t="s">
        <v>20</v>
      </c>
      <c r="H1437" s="5">
        <v>-25000</v>
      </c>
      <c r="I1437" s="4" t="s">
        <v>21</v>
      </c>
      <c r="J1437" s="5">
        <f t="shared" si="22"/>
        <v>105370.00000000001</v>
      </c>
      <c r="K1437" s="4" t="s">
        <v>29</v>
      </c>
      <c r="L1437" s="6">
        <v>4.2148000000000003</v>
      </c>
      <c r="M1437" s="6">
        <v>0.23730000000000001</v>
      </c>
      <c r="N1437" s="6">
        <v>4.2104999999999997</v>
      </c>
      <c r="O1437" s="6">
        <v>1</v>
      </c>
      <c r="P1437" s="5">
        <v>87.5</v>
      </c>
      <c r="Q1437" s="4" t="s">
        <v>1390</v>
      </c>
    </row>
    <row r="1438" spans="1:17" x14ac:dyDescent="0.3">
      <c r="A1438" s="2" t="s">
        <v>1389</v>
      </c>
      <c r="B1438" s="3">
        <v>155723</v>
      </c>
      <c r="C1438" s="3">
        <v>215508</v>
      </c>
      <c r="D1438" s="4" t="s">
        <v>17</v>
      </c>
      <c r="E1438" s="4" t="s">
        <v>1372</v>
      </c>
      <c r="F1438" s="4" t="s">
        <v>32</v>
      </c>
      <c r="G1438" s="4" t="s">
        <v>20</v>
      </c>
      <c r="H1438" s="5">
        <v>-14543</v>
      </c>
      <c r="I1438" s="4" t="s">
        <v>21</v>
      </c>
      <c r="J1438" s="5">
        <f t="shared" si="22"/>
        <v>61657.9571</v>
      </c>
      <c r="K1438" s="4" t="s">
        <v>29</v>
      </c>
      <c r="L1438" s="6">
        <v>4.2397</v>
      </c>
      <c r="M1438" s="6">
        <v>0.2359</v>
      </c>
      <c r="N1438" s="6">
        <v>4.2104999999999997</v>
      </c>
      <c r="O1438" s="6">
        <v>1</v>
      </c>
      <c r="P1438" s="5">
        <v>414.4785</v>
      </c>
      <c r="Q1438" s="4" t="s">
        <v>1390</v>
      </c>
    </row>
    <row r="1439" spans="1:17" x14ac:dyDescent="0.3">
      <c r="A1439" s="2" t="s">
        <v>1389</v>
      </c>
      <c r="B1439" s="3">
        <v>155724</v>
      </c>
      <c r="C1439" s="3">
        <v>215509</v>
      </c>
      <c r="D1439" s="4" t="s">
        <v>17</v>
      </c>
      <c r="E1439" s="4" t="s">
        <v>864</v>
      </c>
      <c r="F1439" s="4" t="s">
        <v>32</v>
      </c>
      <c r="G1439" s="4" t="s">
        <v>20</v>
      </c>
      <c r="H1439" s="5">
        <v>-1000</v>
      </c>
      <c r="I1439" s="4" t="s">
        <v>21</v>
      </c>
      <c r="J1439" s="5">
        <f t="shared" si="22"/>
        <v>4221.7</v>
      </c>
      <c r="K1439" s="4" t="s">
        <v>29</v>
      </c>
      <c r="L1439" s="6">
        <v>4.2217000000000002</v>
      </c>
      <c r="M1439" s="6">
        <v>0.2369</v>
      </c>
      <c r="N1439" s="6">
        <v>4.2104999999999997</v>
      </c>
      <c r="O1439" s="6">
        <v>1</v>
      </c>
      <c r="P1439" s="5">
        <v>10.5</v>
      </c>
      <c r="Q1439" s="4" t="s">
        <v>1390</v>
      </c>
    </row>
    <row r="1440" spans="1:17" x14ac:dyDescent="0.3">
      <c r="A1440" s="2" t="s">
        <v>1389</v>
      </c>
      <c r="B1440" s="3">
        <v>155725</v>
      </c>
      <c r="C1440" s="3">
        <v>215511</v>
      </c>
      <c r="D1440" s="4" t="s">
        <v>17</v>
      </c>
      <c r="E1440" s="4" t="s">
        <v>1372</v>
      </c>
      <c r="F1440" s="4" t="s">
        <v>32</v>
      </c>
      <c r="G1440" s="4" t="s">
        <v>20</v>
      </c>
      <c r="H1440" s="5">
        <v>-3528</v>
      </c>
      <c r="I1440" s="4" t="s">
        <v>21</v>
      </c>
      <c r="J1440" s="5">
        <f t="shared" si="22"/>
        <v>14957.661599999999</v>
      </c>
      <c r="K1440" s="4" t="s">
        <v>29</v>
      </c>
      <c r="L1440" s="6">
        <v>4.2397</v>
      </c>
      <c r="M1440" s="6">
        <v>0.2359</v>
      </c>
      <c r="N1440" s="6">
        <v>4.2104999999999997</v>
      </c>
      <c r="O1440" s="6">
        <v>1</v>
      </c>
      <c r="P1440" s="5">
        <v>100.54600000000001</v>
      </c>
      <c r="Q1440" s="4" t="s">
        <v>1390</v>
      </c>
    </row>
    <row r="1441" spans="1:17" x14ac:dyDescent="0.3">
      <c r="A1441" s="2" t="s">
        <v>1389</v>
      </c>
      <c r="B1441" s="3">
        <v>155726</v>
      </c>
      <c r="C1441" s="3">
        <v>215523</v>
      </c>
      <c r="D1441" s="4" t="s">
        <v>17</v>
      </c>
      <c r="E1441" s="4" t="s">
        <v>1097</v>
      </c>
      <c r="F1441" s="4" t="s">
        <v>19</v>
      </c>
      <c r="G1441" s="4" t="s">
        <v>20</v>
      </c>
      <c r="H1441" s="5">
        <v>250000</v>
      </c>
      <c r="I1441" s="4" t="s">
        <v>21</v>
      </c>
      <c r="J1441" s="5">
        <f t="shared" si="22"/>
        <v>-1050250</v>
      </c>
      <c r="K1441" s="4" t="s">
        <v>29</v>
      </c>
      <c r="L1441" s="6">
        <v>4.2009999999999996</v>
      </c>
      <c r="M1441" s="6">
        <v>0.23799999999999999</v>
      </c>
      <c r="N1441" s="6">
        <v>4.2104999999999997</v>
      </c>
      <c r="O1441" s="6">
        <v>1</v>
      </c>
      <c r="P1441" s="5">
        <v>2375</v>
      </c>
      <c r="Q1441" s="4" t="s">
        <v>1390</v>
      </c>
    </row>
    <row r="1442" spans="1:17" x14ac:dyDescent="0.3">
      <c r="A1442" s="2" t="s">
        <v>1389</v>
      </c>
      <c r="B1442" s="3">
        <v>155727</v>
      </c>
      <c r="C1442" s="3">
        <v>215527</v>
      </c>
      <c r="D1442" s="4" t="s">
        <v>17</v>
      </c>
      <c r="E1442" s="4" t="s">
        <v>1218</v>
      </c>
      <c r="F1442" s="4" t="s">
        <v>19</v>
      </c>
      <c r="G1442" s="4" t="s">
        <v>20</v>
      </c>
      <c r="H1442" s="5">
        <v>20000</v>
      </c>
      <c r="I1442" s="4" t="s">
        <v>21</v>
      </c>
      <c r="J1442" s="5">
        <f t="shared" si="22"/>
        <v>-83976</v>
      </c>
      <c r="K1442" s="4" t="s">
        <v>29</v>
      </c>
      <c r="L1442" s="6">
        <v>4.1988000000000003</v>
      </c>
      <c r="M1442" s="6">
        <v>0.2382</v>
      </c>
      <c r="N1442" s="6">
        <v>4.2104999999999997</v>
      </c>
      <c r="O1442" s="6">
        <v>1</v>
      </c>
      <c r="P1442" s="5">
        <v>234</v>
      </c>
      <c r="Q1442" s="4" t="s">
        <v>1390</v>
      </c>
    </row>
    <row r="1443" spans="1:17" x14ac:dyDescent="0.3">
      <c r="A1443" s="2" t="s">
        <v>1389</v>
      </c>
      <c r="B1443" s="3">
        <v>155728</v>
      </c>
      <c r="C1443" s="3">
        <v>215530</v>
      </c>
      <c r="D1443" s="4" t="s">
        <v>17</v>
      </c>
      <c r="E1443" s="4" t="s">
        <v>994</v>
      </c>
      <c r="F1443" s="4" t="s">
        <v>19</v>
      </c>
      <c r="G1443" s="4" t="s">
        <v>20</v>
      </c>
      <c r="H1443" s="5">
        <v>50000</v>
      </c>
      <c r="I1443" s="4" t="s">
        <v>21</v>
      </c>
      <c r="J1443" s="5">
        <f t="shared" si="22"/>
        <v>-209500.00000000003</v>
      </c>
      <c r="K1443" s="4" t="s">
        <v>29</v>
      </c>
      <c r="L1443" s="6">
        <v>4.1900000000000004</v>
      </c>
      <c r="M1443" s="6">
        <v>0.2387</v>
      </c>
      <c r="N1443" s="6">
        <v>4.2104999999999997</v>
      </c>
      <c r="O1443" s="6">
        <v>1</v>
      </c>
      <c r="P1443" s="5">
        <v>1024.9999999999418</v>
      </c>
      <c r="Q1443" s="4" t="s">
        <v>1390</v>
      </c>
    </row>
    <row r="1444" spans="1:17" x14ac:dyDescent="0.3">
      <c r="A1444" s="2" t="s">
        <v>1389</v>
      </c>
      <c r="B1444" s="3">
        <v>155729</v>
      </c>
      <c r="C1444" s="3">
        <v>215534</v>
      </c>
      <c r="D1444" s="4" t="s">
        <v>17</v>
      </c>
      <c r="E1444" s="4" t="s">
        <v>1105</v>
      </c>
      <c r="F1444" s="4" t="s">
        <v>19</v>
      </c>
      <c r="G1444" s="4" t="s">
        <v>20</v>
      </c>
      <c r="H1444" s="5">
        <v>10800</v>
      </c>
      <c r="I1444" s="4" t="s">
        <v>21</v>
      </c>
      <c r="J1444" s="5">
        <f t="shared" si="22"/>
        <v>-45325.439999999995</v>
      </c>
      <c r="K1444" s="4" t="s">
        <v>29</v>
      </c>
      <c r="L1444" s="6">
        <v>4.1967999999999996</v>
      </c>
      <c r="M1444" s="6">
        <v>0.23830000000000001</v>
      </c>
      <c r="N1444" s="6">
        <v>4.2104999999999997</v>
      </c>
      <c r="O1444" s="6">
        <v>1</v>
      </c>
      <c r="P1444" s="5">
        <v>147.95999999999913</v>
      </c>
      <c r="Q1444" s="4" t="s">
        <v>1390</v>
      </c>
    </row>
    <row r="1445" spans="1:17" x14ac:dyDescent="0.3">
      <c r="A1445" s="2" t="s">
        <v>1389</v>
      </c>
      <c r="B1445" s="3">
        <v>155730</v>
      </c>
      <c r="C1445" s="3">
        <v>215543</v>
      </c>
      <c r="D1445" s="4" t="s">
        <v>17</v>
      </c>
      <c r="E1445" s="4" t="s">
        <v>1053</v>
      </c>
      <c r="F1445" s="4" t="s">
        <v>19</v>
      </c>
      <c r="G1445" s="4" t="s">
        <v>20</v>
      </c>
      <c r="H1445" s="5">
        <v>35000</v>
      </c>
      <c r="I1445" s="4" t="s">
        <v>21</v>
      </c>
      <c r="J1445" s="5">
        <f t="shared" si="22"/>
        <v>-146825</v>
      </c>
      <c r="K1445" s="4" t="s">
        <v>29</v>
      </c>
      <c r="L1445" s="6">
        <v>4.1950000000000003</v>
      </c>
      <c r="M1445" s="6">
        <v>0.2384</v>
      </c>
      <c r="N1445" s="6">
        <v>4.2104999999999997</v>
      </c>
      <c r="O1445" s="6">
        <v>1</v>
      </c>
      <c r="P1445" s="5">
        <v>542.5</v>
      </c>
      <c r="Q1445" s="4" t="s">
        <v>1390</v>
      </c>
    </row>
    <row r="1446" spans="1:17" x14ac:dyDescent="0.3">
      <c r="A1446" s="2" t="s">
        <v>1389</v>
      </c>
      <c r="B1446" s="3">
        <v>155732</v>
      </c>
      <c r="C1446" s="3">
        <v>215545</v>
      </c>
      <c r="D1446" s="4" t="s">
        <v>17</v>
      </c>
      <c r="E1446" s="4" t="s">
        <v>757</v>
      </c>
      <c r="F1446" s="4" t="s">
        <v>19</v>
      </c>
      <c r="G1446" s="4" t="s">
        <v>20</v>
      </c>
      <c r="H1446" s="5">
        <v>48000</v>
      </c>
      <c r="I1446" s="4" t="s">
        <v>21</v>
      </c>
      <c r="J1446" s="5">
        <f t="shared" si="22"/>
        <v>-201120.00000000003</v>
      </c>
      <c r="K1446" s="4" t="s">
        <v>29</v>
      </c>
      <c r="L1446" s="6">
        <v>4.1900000000000004</v>
      </c>
      <c r="M1446" s="6">
        <v>0.2387</v>
      </c>
      <c r="N1446" s="6">
        <v>4.2104999999999997</v>
      </c>
      <c r="O1446" s="6">
        <v>1</v>
      </c>
      <c r="P1446" s="5">
        <v>983.99999999994179</v>
      </c>
      <c r="Q1446" s="4" t="s">
        <v>1390</v>
      </c>
    </row>
    <row r="1447" spans="1:17" x14ac:dyDescent="0.3">
      <c r="A1447" s="2" t="s">
        <v>1389</v>
      </c>
      <c r="B1447" s="3">
        <v>155733</v>
      </c>
      <c r="C1447" s="3">
        <v>215546</v>
      </c>
      <c r="D1447" s="4" t="s">
        <v>17</v>
      </c>
      <c r="E1447" s="4" t="s">
        <v>1316</v>
      </c>
      <c r="F1447" s="4" t="s">
        <v>32</v>
      </c>
      <c r="G1447" s="4" t="s">
        <v>20</v>
      </c>
      <c r="H1447" s="5">
        <v>-100000</v>
      </c>
      <c r="I1447" s="4" t="s">
        <v>21</v>
      </c>
      <c r="J1447" s="5">
        <f t="shared" si="22"/>
        <v>421070</v>
      </c>
      <c r="K1447" s="4" t="s">
        <v>29</v>
      </c>
      <c r="L1447" s="6">
        <v>4.2107000000000001</v>
      </c>
      <c r="M1447" s="6">
        <v>0.23749999999999999</v>
      </c>
      <c r="N1447" s="6">
        <v>4.2104999999999997</v>
      </c>
      <c r="O1447" s="6">
        <v>1</v>
      </c>
      <c r="P1447" s="5">
        <v>-50</v>
      </c>
      <c r="Q1447" s="4" t="s">
        <v>1390</v>
      </c>
    </row>
    <row r="1448" spans="1:17" x14ac:dyDescent="0.3">
      <c r="A1448" s="2" t="s">
        <v>1389</v>
      </c>
      <c r="B1448" s="3">
        <v>155734</v>
      </c>
      <c r="C1448" s="3">
        <v>215547</v>
      </c>
      <c r="D1448" s="4" t="s">
        <v>17</v>
      </c>
      <c r="E1448" s="4" t="s">
        <v>1316</v>
      </c>
      <c r="F1448" s="4" t="s">
        <v>32</v>
      </c>
      <c r="G1448" s="4" t="s">
        <v>20</v>
      </c>
      <c r="H1448" s="5">
        <v>-100000</v>
      </c>
      <c r="I1448" s="4" t="s">
        <v>21</v>
      </c>
      <c r="J1448" s="5">
        <f t="shared" si="22"/>
        <v>421070</v>
      </c>
      <c r="K1448" s="4" t="s">
        <v>29</v>
      </c>
      <c r="L1448" s="6">
        <v>4.2107000000000001</v>
      </c>
      <c r="M1448" s="6">
        <v>0.23749999999999999</v>
      </c>
      <c r="N1448" s="6">
        <v>4.2104999999999997</v>
      </c>
      <c r="O1448" s="6">
        <v>1</v>
      </c>
      <c r="P1448" s="5">
        <v>-50</v>
      </c>
      <c r="Q1448" s="4" t="s">
        <v>1390</v>
      </c>
    </row>
    <row r="1449" spans="1:17" x14ac:dyDescent="0.3">
      <c r="A1449" s="2" t="s">
        <v>1389</v>
      </c>
      <c r="B1449" s="3">
        <v>155735</v>
      </c>
      <c r="C1449" s="3">
        <v>215550</v>
      </c>
      <c r="D1449" s="4" t="s">
        <v>17</v>
      </c>
      <c r="E1449" s="4" t="s">
        <v>1229</v>
      </c>
      <c r="F1449" s="4" t="s">
        <v>19</v>
      </c>
      <c r="G1449" s="4" t="s">
        <v>20</v>
      </c>
      <c r="H1449" s="5">
        <v>75000</v>
      </c>
      <c r="I1449" s="4" t="s">
        <v>21</v>
      </c>
      <c r="J1449" s="5">
        <f t="shared" si="22"/>
        <v>-315232.5</v>
      </c>
      <c r="K1449" s="4" t="s">
        <v>29</v>
      </c>
      <c r="L1449" s="6">
        <v>4.2031000000000001</v>
      </c>
      <c r="M1449" s="6">
        <v>0.2379</v>
      </c>
      <c r="N1449" s="6">
        <v>4.2104999999999997</v>
      </c>
      <c r="O1449" s="6">
        <v>1</v>
      </c>
      <c r="P1449" s="5">
        <v>555</v>
      </c>
      <c r="Q1449" s="4" t="s">
        <v>1390</v>
      </c>
    </row>
    <row r="1450" spans="1:17" x14ac:dyDescent="0.3">
      <c r="A1450" s="2" t="s">
        <v>1389</v>
      </c>
      <c r="B1450" s="3">
        <v>155736</v>
      </c>
      <c r="C1450" s="3">
        <v>215552</v>
      </c>
      <c r="D1450" s="4" t="s">
        <v>17</v>
      </c>
      <c r="E1450" s="4" t="s">
        <v>1177</v>
      </c>
      <c r="F1450" s="4" t="s">
        <v>19</v>
      </c>
      <c r="G1450" s="4" t="s">
        <v>20</v>
      </c>
      <c r="H1450" s="5">
        <v>50000</v>
      </c>
      <c r="I1450" s="4" t="s">
        <v>21</v>
      </c>
      <c r="J1450" s="5">
        <f t="shared" si="22"/>
        <v>-210250</v>
      </c>
      <c r="K1450" s="4" t="s">
        <v>29</v>
      </c>
      <c r="L1450" s="6">
        <v>4.2050000000000001</v>
      </c>
      <c r="M1450" s="6">
        <v>0.23780000000000001</v>
      </c>
      <c r="N1450" s="6">
        <v>4.2104999999999997</v>
      </c>
      <c r="O1450" s="6">
        <v>1</v>
      </c>
      <c r="P1450" s="5">
        <v>274.9999999999709</v>
      </c>
      <c r="Q1450" s="4" t="s">
        <v>1390</v>
      </c>
    </row>
    <row r="1451" spans="1:17" x14ac:dyDescent="0.3">
      <c r="A1451" s="2" t="s">
        <v>1389</v>
      </c>
      <c r="B1451" s="3">
        <v>155739</v>
      </c>
      <c r="C1451" s="3">
        <v>215564</v>
      </c>
      <c r="D1451" s="4" t="s">
        <v>17</v>
      </c>
      <c r="E1451" s="4" t="s">
        <v>1346</v>
      </c>
      <c r="F1451" s="4" t="s">
        <v>19</v>
      </c>
      <c r="G1451" s="4" t="s">
        <v>34</v>
      </c>
      <c r="H1451" s="5">
        <v>60000</v>
      </c>
      <c r="I1451" s="4" t="s">
        <v>21</v>
      </c>
      <c r="J1451" s="5">
        <f t="shared" si="22"/>
        <v>-215634</v>
      </c>
      <c r="K1451" s="4" t="s">
        <v>29</v>
      </c>
      <c r="L1451" s="6">
        <v>3.5939000000000001</v>
      </c>
      <c r="M1451" s="6">
        <v>0.2782</v>
      </c>
      <c r="N1451" s="6">
        <v>3.6034999999999999</v>
      </c>
      <c r="O1451" s="6">
        <v>1</v>
      </c>
      <c r="P1451" s="5">
        <v>576</v>
      </c>
      <c r="Q1451" s="4" t="s">
        <v>1390</v>
      </c>
    </row>
    <row r="1452" spans="1:17" x14ac:dyDescent="0.3">
      <c r="A1452" s="2" t="s">
        <v>1389</v>
      </c>
      <c r="B1452" s="3">
        <v>155740</v>
      </c>
      <c r="C1452" s="3">
        <v>215567</v>
      </c>
      <c r="D1452" s="4" t="s">
        <v>17</v>
      </c>
      <c r="E1452" s="4" t="s">
        <v>1057</v>
      </c>
      <c r="F1452" s="4" t="s">
        <v>19</v>
      </c>
      <c r="G1452" s="4" t="s">
        <v>20</v>
      </c>
      <c r="H1452" s="5">
        <v>30000</v>
      </c>
      <c r="I1452" s="4" t="s">
        <v>21</v>
      </c>
      <c r="J1452" s="5">
        <f t="shared" si="22"/>
        <v>-126147.00000000001</v>
      </c>
      <c r="K1452" s="4" t="s">
        <v>29</v>
      </c>
      <c r="L1452" s="6">
        <v>4.2049000000000003</v>
      </c>
      <c r="M1452" s="6">
        <v>0.23780000000000001</v>
      </c>
      <c r="N1452" s="6">
        <v>4.2104999999999997</v>
      </c>
      <c r="O1452" s="6">
        <v>1</v>
      </c>
      <c r="P1452" s="5">
        <v>167.9999999999709</v>
      </c>
      <c r="Q1452" s="4" t="s">
        <v>1390</v>
      </c>
    </row>
    <row r="1453" spans="1:17" x14ac:dyDescent="0.3">
      <c r="A1453" s="2" t="s">
        <v>1389</v>
      </c>
      <c r="B1453" s="3">
        <v>155741</v>
      </c>
      <c r="C1453" s="3">
        <v>215575</v>
      </c>
      <c r="D1453" s="4" t="s">
        <v>17</v>
      </c>
      <c r="E1453" s="4" t="s">
        <v>1173</v>
      </c>
      <c r="F1453" s="4" t="s">
        <v>32</v>
      </c>
      <c r="G1453" s="4" t="s">
        <v>20</v>
      </c>
      <c r="H1453" s="5">
        <v>-40000</v>
      </c>
      <c r="I1453" s="4" t="s">
        <v>21</v>
      </c>
      <c r="J1453" s="5">
        <f t="shared" si="22"/>
        <v>169000</v>
      </c>
      <c r="K1453" s="4" t="s">
        <v>29</v>
      </c>
      <c r="L1453" s="6">
        <v>4.2249999999999996</v>
      </c>
      <c r="M1453" s="6">
        <v>0.23669999999999999</v>
      </c>
      <c r="N1453" s="6">
        <v>4.2104999999999997</v>
      </c>
      <c r="O1453" s="6">
        <v>1</v>
      </c>
      <c r="P1453" s="5">
        <v>580</v>
      </c>
      <c r="Q1453" s="4" t="s">
        <v>1390</v>
      </c>
    </row>
    <row r="1454" spans="1:17" x14ac:dyDescent="0.3">
      <c r="A1454" s="2" t="s">
        <v>1389</v>
      </c>
      <c r="B1454" s="3">
        <v>155742</v>
      </c>
      <c r="C1454" s="3">
        <v>215576</v>
      </c>
      <c r="D1454" s="4" t="s">
        <v>17</v>
      </c>
      <c r="E1454" s="4" t="s">
        <v>1173</v>
      </c>
      <c r="F1454" s="4" t="s">
        <v>32</v>
      </c>
      <c r="G1454" s="4" t="s">
        <v>34</v>
      </c>
      <c r="H1454" s="5">
        <v>-40000</v>
      </c>
      <c r="I1454" s="4" t="s">
        <v>21</v>
      </c>
      <c r="J1454" s="5">
        <f t="shared" si="22"/>
        <v>145080</v>
      </c>
      <c r="K1454" s="4" t="s">
        <v>29</v>
      </c>
      <c r="L1454" s="6">
        <v>3.6269999999999998</v>
      </c>
      <c r="M1454" s="6">
        <v>0.2757</v>
      </c>
      <c r="N1454" s="6">
        <v>3.6034999999999999</v>
      </c>
      <c r="O1454" s="6">
        <v>1</v>
      </c>
      <c r="P1454" s="5">
        <v>940</v>
      </c>
      <c r="Q1454" s="4" t="s">
        <v>1390</v>
      </c>
    </row>
    <row r="1455" spans="1:17" x14ac:dyDescent="0.3">
      <c r="A1455" s="2" t="s">
        <v>1389</v>
      </c>
      <c r="B1455" s="3">
        <v>155743</v>
      </c>
      <c r="C1455" s="3">
        <v>215581</v>
      </c>
      <c r="D1455" s="4" t="s">
        <v>17</v>
      </c>
      <c r="E1455" s="4" t="s">
        <v>972</v>
      </c>
      <c r="F1455" s="4" t="s">
        <v>19</v>
      </c>
      <c r="G1455" s="4" t="s">
        <v>84</v>
      </c>
      <c r="H1455" s="5">
        <v>93733.98</v>
      </c>
      <c r="I1455" s="4" t="s">
        <v>21</v>
      </c>
      <c r="J1455" s="5">
        <f t="shared" si="22"/>
        <v>-36265.676862</v>
      </c>
      <c r="K1455" s="4" t="s">
        <v>29</v>
      </c>
      <c r="L1455" s="6">
        <v>0.38690000000000002</v>
      </c>
      <c r="M1455" s="6">
        <v>2.5846</v>
      </c>
      <c r="N1455" s="6">
        <v>0.39150000000000001</v>
      </c>
      <c r="O1455" s="6">
        <v>1</v>
      </c>
      <c r="P1455" s="5">
        <v>431.17630800000188</v>
      </c>
      <c r="Q1455" s="4" t="s">
        <v>1390</v>
      </c>
    </row>
    <row r="1456" spans="1:17" x14ac:dyDescent="0.3">
      <c r="A1456" s="2" t="s">
        <v>1389</v>
      </c>
      <c r="B1456" s="3">
        <v>155744</v>
      </c>
      <c r="C1456" s="3">
        <v>215586</v>
      </c>
      <c r="D1456" s="4" t="s">
        <v>17</v>
      </c>
      <c r="E1456" s="4" t="s">
        <v>1319</v>
      </c>
      <c r="F1456" s="4" t="s">
        <v>32</v>
      </c>
      <c r="G1456" s="4" t="s">
        <v>34</v>
      </c>
      <c r="H1456" s="5">
        <v>-20000</v>
      </c>
      <c r="I1456" s="4" t="s">
        <v>21</v>
      </c>
      <c r="J1456" s="5">
        <f t="shared" si="22"/>
        <v>72140</v>
      </c>
      <c r="K1456" s="4" t="s">
        <v>29</v>
      </c>
      <c r="L1456" s="6">
        <v>3.6070000000000002</v>
      </c>
      <c r="M1456" s="6">
        <v>0.2772</v>
      </c>
      <c r="N1456" s="6">
        <v>3.6034999999999999</v>
      </c>
      <c r="O1456" s="6">
        <v>1</v>
      </c>
      <c r="P1456" s="5">
        <v>70</v>
      </c>
      <c r="Q1456" s="4" t="s">
        <v>1390</v>
      </c>
    </row>
    <row r="1457" spans="1:17" x14ac:dyDescent="0.3">
      <c r="A1457" s="2" t="s">
        <v>1389</v>
      </c>
      <c r="B1457" s="3">
        <v>155745</v>
      </c>
      <c r="C1457" s="3">
        <v>215590</v>
      </c>
      <c r="D1457" s="4" t="s">
        <v>17</v>
      </c>
      <c r="E1457" s="4" t="s">
        <v>1301</v>
      </c>
      <c r="F1457" s="4" t="s">
        <v>19</v>
      </c>
      <c r="G1457" s="4" t="s">
        <v>20</v>
      </c>
      <c r="H1457" s="5">
        <v>10000</v>
      </c>
      <c r="I1457" s="4" t="s">
        <v>21</v>
      </c>
      <c r="J1457" s="5">
        <f t="shared" si="22"/>
        <v>-41950</v>
      </c>
      <c r="K1457" s="4" t="s">
        <v>29</v>
      </c>
      <c r="L1457" s="6">
        <v>4.1950000000000003</v>
      </c>
      <c r="M1457" s="6">
        <v>0.2384</v>
      </c>
      <c r="N1457" s="6">
        <v>4.2104999999999997</v>
      </c>
      <c r="O1457" s="6">
        <v>1</v>
      </c>
      <c r="P1457" s="5">
        <v>155</v>
      </c>
      <c r="Q1457" s="4" t="s">
        <v>1390</v>
      </c>
    </row>
    <row r="1458" spans="1:17" x14ac:dyDescent="0.3">
      <c r="A1458" s="2" t="s">
        <v>1389</v>
      </c>
      <c r="B1458" s="3">
        <v>155748</v>
      </c>
      <c r="C1458" s="3">
        <v>892140</v>
      </c>
      <c r="D1458" s="4" t="s">
        <v>81</v>
      </c>
      <c r="E1458" s="4" t="s">
        <v>730</v>
      </c>
      <c r="F1458" s="4" t="s">
        <v>83</v>
      </c>
      <c r="G1458" s="4" t="s">
        <v>20</v>
      </c>
      <c r="H1458" s="5">
        <v>-100000</v>
      </c>
      <c r="I1458" s="4" t="s">
        <v>84</v>
      </c>
      <c r="J1458" s="5">
        <f t="shared" si="22"/>
        <v>1076590</v>
      </c>
      <c r="K1458" s="4" t="s">
        <v>47</v>
      </c>
      <c r="L1458" s="6">
        <v>10.7659</v>
      </c>
      <c r="M1458" s="6">
        <v>9.2899999999999996E-2</v>
      </c>
      <c r="N1458" s="6">
        <v>4.2126999999999999</v>
      </c>
      <c r="O1458" s="6">
        <v>0.3921</v>
      </c>
      <c r="P1458" s="5">
        <v>859.7627</v>
      </c>
      <c r="Q1458" s="4" t="s">
        <v>1396</v>
      </c>
    </row>
    <row r="1459" spans="1:17" x14ac:dyDescent="0.3">
      <c r="A1459" s="2" t="s">
        <v>1389</v>
      </c>
      <c r="B1459" s="3">
        <v>155749</v>
      </c>
      <c r="C1459" s="3">
        <v>215598</v>
      </c>
      <c r="D1459" s="4" t="s">
        <v>17</v>
      </c>
      <c r="E1459" s="4" t="s">
        <v>824</v>
      </c>
      <c r="F1459" s="4" t="s">
        <v>32</v>
      </c>
      <c r="G1459" s="4" t="s">
        <v>20</v>
      </c>
      <c r="H1459" s="5">
        <v>-40000</v>
      </c>
      <c r="I1459" s="4" t="s">
        <v>21</v>
      </c>
      <c r="J1459" s="5">
        <f t="shared" si="22"/>
        <v>169080</v>
      </c>
      <c r="K1459" s="4" t="s">
        <v>29</v>
      </c>
      <c r="L1459" s="6">
        <v>4.2270000000000003</v>
      </c>
      <c r="M1459" s="6">
        <v>0.2366</v>
      </c>
      <c r="N1459" s="6">
        <v>4.2104999999999997</v>
      </c>
      <c r="O1459" s="6">
        <v>1</v>
      </c>
      <c r="P1459" s="5">
        <v>660</v>
      </c>
      <c r="Q1459" s="4" t="s">
        <v>1390</v>
      </c>
    </row>
    <row r="1460" spans="1:17" x14ac:dyDescent="0.3">
      <c r="A1460" s="2" t="s">
        <v>1389</v>
      </c>
      <c r="B1460" s="3">
        <v>155750</v>
      </c>
      <c r="C1460" s="3">
        <v>215605</v>
      </c>
      <c r="D1460" s="4" t="s">
        <v>17</v>
      </c>
      <c r="E1460" s="4" t="s">
        <v>1099</v>
      </c>
      <c r="F1460" s="4" t="s">
        <v>19</v>
      </c>
      <c r="G1460" s="4" t="s">
        <v>20</v>
      </c>
      <c r="H1460" s="5">
        <v>26500</v>
      </c>
      <c r="I1460" s="4" t="s">
        <v>21</v>
      </c>
      <c r="J1460" s="5">
        <f t="shared" si="22"/>
        <v>-111268.20000000001</v>
      </c>
      <c r="K1460" s="4" t="s">
        <v>29</v>
      </c>
      <c r="L1460" s="6">
        <v>4.1988000000000003</v>
      </c>
      <c r="M1460" s="6">
        <v>0.2382</v>
      </c>
      <c r="N1460" s="6">
        <v>4.2104999999999997</v>
      </c>
      <c r="O1460" s="6">
        <v>1</v>
      </c>
      <c r="P1460" s="5">
        <v>310.04999999997381</v>
      </c>
      <c r="Q1460" s="4" t="s">
        <v>1390</v>
      </c>
    </row>
    <row r="1461" spans="1:17" x14ac:dyDescent="0.3">
      <c r="A1461" s="2" t="s">
        <v>1389</v>
      </c>
      <c r="B1461" s="3">
        <v>155751</v>
      </c>
      <c r="C1461" s="3">
        <v>215606</v>
      </c>
      <c r="D1461" s="4" t="s">
        <v>17</v>
      </c>
      <c r="E1461" s="4" t="s">
        <v>1188</v>
      </c>
      <c r="F1461" s="4" t="s">
        <v>19</v>
      </c>
      <c r="G1461" s="4" t="s">
        <v>20</v>
      </c>
      <c r="H1461" s="5">
        <v>50000</v>
      </c>
      <c r="I1461" s="4" t="s">
        <v>21</v>
      </c>
      <c r="J1461" s="5">
        <f t="shared" si="22"/>
        <v>-210265</v>
      </c>
      <c r="K1461" s="4" t="s">
        <v>29</v>
      </c>
      <c r="L1461" s="6">
        <v>4.2053000000000003</v>
      </c>
      <c r="M1461" s="6">
        <v>0.23780000000000001</v>
      </c>
      <c r="N1461" s="6">
        <v>4.2104999999999997</v>
      </c>
      <c r="O1461" s="6">
        <v>1</v>
      </c>
      <c r="P1461" s="5">
        <v>259.9999999999709</v>
      </c>
      <c r="Q1461" s="4" t="s">
        <v>1390</v>
      </c>
    </row>
    <row r="1462" spans="1:17" x14ac:dyDescent="0.3">
      <c r="A1462" s="2" t="s">
        <v>1389</v>
      </c>
      <c r="B1462" s="3">
        <v>155752</v>
      </c>
      <c r="C1462" s="3">
        <v>892223</v>
      </c>
      <c r="D1462" s="4" t="s">
        <v>81</v>
      </c>
      <c r="E1462" s="4" t="s">
        <v>1114</v>
      </c>
      <c r="F1462" s="4" t="s">
        <v>83</v>
      </c>
      <c r="G1462" s="4" t="s">
        <v>20</v>
      </c>
      <c r="H1462" s="5">
        <v>-80000</v>
      </c>
      <c r="I1462" s="4" t="s">
        <v>21</v>
      </c>
      <c r="J1462" s="5">
        <f t="shared" si="22"/>
        <v>337192</v>
      </c>
      <c r="K1462" s="4" t="s">
        <v>47</v>
      </c>
      <c r="L1462" s="6">
        <v>4.2149000000000001</v>
      </c>
      <c r="M1462" s="6">
        <v>0.23730000000000001</v>
      </c>
      <c r="N1462" s="6">
        <v>4.2126999999999999</v>
      </c>
      <c r="O1462" s="6">
        <v>1</v>
      </c>
      <c r="P1462" s="5">
        <v>176</v>
      </c>
      <c r="Q1462" s="4" t="s">
        <v>1390</v>
      </c>
    </row>
    <row r="1463" spans="1:17" x14ac:dyDescent="0.3">
      <c r="A1463" s="2" t="s">
        <v>1389</v>
      </c>
      <c r="B1463" s="3">
        <v>155753</v>
      </c>
      <c r="C1463" s="3">
        <v>892224</v>
      </c>
      <c r="D1463" s="4" t="s">
        <v>81</v>
      </c>
      <c r="E1463" s="4" t="s">
        <v>733</v>
      </c>
      <c r="F1463" s="4" t="s">
        <v>87</v>
      </c>
      <c r="G1463" s="4" t="s">
        <v>20</v>
      </c>
      <c r="H1463" s="5">
        <v>1000000</v>
      </c>
      <c r="I1463" s="4" t="s">
        <v>21</v>
      </c>
      <c r="J1463" s="5">
        <f t="shared" si="22"/>
        <v>-4212500</v>
      </c>
      <c r="K1463" s="4" t="s">
        <v>47</v>
      </c>
      <c r="L1463" s="6">
        <v>4.2125000000000004</v>
      </c>
      <c r="M1463" s="6">
        <v>0.2374</v>
      </c>
      <c r="N1463" s="6">
        <v>4.2126999999999999</v>
      </c>
      <c r="O1463" s="6">
        <v>1</v>
      </c>
      <c r="P1463" s="5">
        <v>180</v>
      </c>
      <c r="Q1463" s="4" t="s">
        <v>1391</v>
      </c>
    </row>
    <row r="1464" spans="1:17" x14ac:dyDescent="0.3">
      <c r="A1464" s="2" t="s">
        <v>1389</v>
      </c>
      <c r="B1464" s="3">
        <v>155754</v>
      </c>
      <c r="C1464" s="3">
        <v>892225</v>
      </c>
      <c r="D1464" s="4" t="s">
        <v>81</v>
      </c>
      <c r="E1464" s="4" t="s">
        <v>734</v>
      </c>
      <c r="F1464" s="4" t="s">
        <v>87</v>
      </c>
      <c r="G1464" s="4" t="s">
        <v>20</v>
      </c>
      <c r="H1464" s="5">
        <v>500000</v>
      </c>
      <c r="I1464" s="4" t="s">
        <v>21</v>
      </c>
      <c r="J1464" s="5">
        <f t="shared" si="22"/>
        <v>-2106200</v>
      </c>
      <c r="K1464" s="4" t="s">
        <v>47</v>
      </c>
      <c r="L1464" s="6">
        <v>4.2123999999999997</v>
      </c>
      <c r="M1464" s="6">
        <v>0.2374</v>
      </c>
      <c r="N1464" s="6">
        <v>4.2126999999999999</v>
      </c>
      <c r="O1464" s="6">
        <v>1</v>
      </c>
      <c r="P1464" s="5">
        <v>150</v>
      </c>
      <c r="Q1464" s="4" t="s">
        <v>1393</v>
      </c>
    </row>
    <row r="1465" spans="1:17" x14ac:dyDescent="0.3">
      <c r="A1465" s="2" t="s">
        <v>1389</v>
      </c>
      <c r="B1465" s="3">
        <v>155755</v>
      </c>
      <c r="C1465" s="3">
        <v>215623</v>
      </c>
      <c r="D1465" s="4" t="s">
        <v>17</v>
      </c>
      <c r="E1465" s="4" t="s">
        <v>1199</v>
      </c>
      <c r="F1465" s="4" t="s">
        <v>32</v>
      </c>
      <c r="G1465" s="4" t="s">
        <v>20</v>
      </c>
      <c r="H1465" s="5">
        <v>-50000</v>
      </c>
      <c r="I1465" s="4" t="s">
        <v>34</v>
      </c>
      <c r="J1465" s="5">
        <f t="shared" si="22"/>
        <v>58330.000000000007</v>
      </c>
      <c r="K1465" s="4" t="s">
        <v>29</v>
      </c>
      <c r="L1465" s="6">
        <v>1.1666000000000001</v>
      </c>
      <c r="M1465" s="6">
        <v>0.85719999999999996</v>
      </c>
      <c r="N1465" s="6">
        <v>4.2104999999999997</v>
      </c>
      <c r="O1465" s="6">
        <v>3.6034999999999999</v>
      </c>
      <c r="P1465" s="5">
        <v>-386.89749999999998</v>
      </c>
      <c r="Q1465" s="4" t="s">
        <v>1390</v>
      </c>
    </row>
    <row r="1466" spans="1:17" x14ac:dyDescent="0.3">
      <c r="A1466" s="2" t="s">
        <v>1389</v>
      </c>
      <c r="B1466" s="3">
        <v>155756</v>
      </c>
      <c r="C1466" s="3">
        <v>215625</v>
      </c>
      <c r="D1466" s="4" t="s">
        <v>17</v>
      </c>
      <c r="E1466" s="4" t="s">
        <v>1047</v>
      </c>
      <c r="F1466" s="4" t="s">
        <v>32</v>
      </c>
      <c r="G1466" s="4" t="s">
        <v>20</v>
      </c>
      <c r="H1466" s="5">
        <v>-1700000</v>
      </c>
      <c r="I1466" s="4" t="s">
        <v>21</v>
      </c>
      <c r="J1466" s="5">
        <f t="shared" si="22"/>
        <v>7169750</v>
      </c>
      <c r="K1466" s="4" t="s">
        <v>29</v>
      </c>
      <c r="L1466" s="6">
        <v>4.2175000000000002</v>
      </c>
      <c r="M1466" s="6">
        <v>0.23710000000000001</v>
      </c>
      <c r="N1466" s="6">
        <v>4.2104999999999997</v>
      </c>
      <c r="O1466" s="6">
        <v>1</v>
      </c>
      <c r="P1466" s="5">
        <v>11900</v>
      </c>
      <c r="Q1466" s="4" t="s">
        <v>1390</v>
      </c>
    </row>
    <row r="1467" spans="1:17" x14ac:dyDescent="0.3">
      <c r="A1467" s="2" t="s">
        <v>1389</v>
      </c>
      <c r="B1467" s="3">
        <v>155757</v>
      </c>
      <c r="C1467" s="3">
        <v>892242</v>
      </c>
      <c r="D1467" s="4" t="s">
        <v>81</v>
      </c>
      <c r="E1467" s="4" t="s">
        <v>742</v>
      </c>
      <c r="F1467" s="4" t="s">
        <v>83</v>
      </c>
      <c r="G1467" s="4" t="s">
        <v>20</v>
      </c>
      <c r="H1467" s="5">
        <v>-500000</v>
      </c>
      <c r="I1467" s="4" t="s">
        <v>21</v>
      </c>
      <c r="J1467" s="5">
        <f t="shared" si="22"/>
        <v>2105750</v>
      </c>
      <c r="K1467" s="4" t="s">
        <v>47</v>
      </c>
      <c r="L1467" s="6">
        <v>4.2115</v>
      </c>
      <c r="M1467" s="6">
        <v>0.2374</v>
      </c>
      <c r="N1467" s="6">
        <v>4.2126999999999999</v>
      </c>
      <c r="O1467" s="6">
        <v>1</v>
      </c>
      <c r="P1467" s="5">
        <v>-595</v>
      </c>
      <c r="Q1467" s="4" t="s">
        <v>1396</v>
      </c>
    </row>
    <row r="1468" spans="1:17" x14ac:dyDescent="0.3">
      <c r="A1468" s="2" t="s">
        <v>1389</v>
      </c>
      <c r="B1468" s="3">
        <v>155758</v>
      </c>
      <c r="C1468" s="3">
        <v>215626</v>
      </c>
      <c r="D1468" s="4" t="s">
        <v>17</v>
      </c>
      <c r="E1468" s="4" t="s">
        <v>1143</v>
      </c>
      <c r="F1468" s="4" t="s">
        <v>32</v>
      </c>
      <c r="G1468" s="4" t="s">
        <v>20</v>
      </c>
      <c r="H1468" s="5">
        <v>-200000</v>
      </c>
      <c r="I1468" s="4" t="s">
        <v>21</v>
      </c>
      <c r="J1468" s="5">
        <f t="shared" si="22"/>
        <v>843520</v>
      </c>
      <c r="K1468" s="4" t="s">
        <v>29</v>
      </c>
      <c r="L1468" s="6">
        <v>4.2176</v>
      </c>
      <c r="M1468" s="6">
        <v>0.23710000000000001</v>
      </c>
      <c r="N1468" s="6">
        <v>4.2104999999999997</v>
      </c>
      <c r="O1468" s="6">
        <v>1</v>
      </c>
      <c r="P1468" s="5">
        <v>1260</v>
      </c>
      <c r="Q1468" s="4" t="s">
        <v>1390</v>
      </c>
    </row>
    <row r="1469" spans="1:17" x14ac:dyDescent="0.3">
      <c r="A1469" s="2" t="s">
        <v>1389</v>
      </c>
      <c r="B1469" s="3">
        <v>155759</v>
      </c>
      <c r="C1469" s="3">
        <v>215628</v>
      </c>
      <c r="D1469" s="4" t="s">
        <v>17</v>
      </c>
      <c r="E1469" s="4" t="s">
        <v>1284</v>
      </c>
      <c r="F1469" s="4" t="s">
        <v>19</v>
      </c>
      <c r="G1469" s="4" t="s">
        <v>20</v>
      </c>
      <c r="H1469" s="5">
        <v>11000</v>
      </c>
      <c r="I1469" s="4" t="s">
        <v>21</v>
      </c>
      <c r="J1469" s="5">
        <f t="shared" si="22"/>
        <v>-46208.800000000003</v>
      </c>
      <c r="K1469" s="4" t="s">
        <v>29</v>
      </c>
      <c r="L1469" s="6">
        <v>4.2008000000000001</v>
      </c>
      <c r="M1469" s="6">
        <v>0.23799999999999999</v>
      </c>
      <c r="N1469" s="6">
        <v>4.2104999999999997</v>
      </c>
      <c r="O1469" s="6">
        <v>1</v>
      </c>
      <c r="P1469" s="5">
        <v>106.69999999999709</v>
      </c>
      <c r="Q1469" s="4" t="s">
        <v>1390</v>
      </c>
    </row>
    <row r="1470" spans="1:17" x14ac:dyDescent="0.3">
      <c r="A1470" s="2" t="s">
        <v>1389</v>
      </c>
      <c r="B1470" s="3">
        <v>155773</v>
      </c>
      <c r="C1470" s="3">
        <v>892274</v>
      </c>
      <c r="D1470" s="4" t="s">
        <v>81</v>
      </c>
      <c r="E1470" s="4" t="s">
        <v>736</v>
      </c>
      <c r="F1470" s="4" t="s">
        <v>87</v>
      </c>
      <c r="G1470" s="4" t="s">
        <v>74</v>
      </c>
      <c r="H1470" s="5">
        <v>1030000</v>
      </c>
      <c r="I1470" s="4" t="s">
        <v>21</v>
      </c>
      <c r="J1470" s="5">
        <f t="shared" si="22"/>
        <v>-368019</v>
      </c>
      <c r="K1470" s="4" t="s">
        <v>47</v>
      </c>
      <c r="L1470" s="6">
        <v>0.35730000000000001</v>
      </c>
      <c r="M1470" s="6">
        <v>2.7988</v>
      </c>
      <c r="N1470" s="6">
        <v>0.35849999999999999</v>
      </c>
      <c r="O1470" s="6">
        <v>1</v>
      </c>
      <c r="P1470" s="5">
        <v>1236</v>
      </c>
      <c r="Q1470" s="4" t="s">
        <v>1390</v>
      </c>
    </row>
    <row r="1471" spans="1:17" x14ac:dyDescent="0.3">
      <c r="A1471" s="2" t="s">
        <v>1389</v>
      </c>
      <c r="B1471" s="3">
        <v>155774</v>
      </c>
      <c r="C1471" s="3">
        <v>892278</v>
      </c>
      <c r="D1471" s="4" t="s">
        <v>81</v>
      </c>
      <c r="E1471" s="4" t="s">
        <v>742</v>
      </c>
      <c r="F1471" s="4" t="s">
        <v>87</v>
      </c>
      <c r="G1471" s="4" t="s">
        <v>20</v>
      </c>
      <c r="H1471" s="5">
        <v>100000</v>
      </c>
      <c r="I1471" s="4" t="s">
        <v>74</v>
      </c>
      <c r="J1471" s="5">
        <f t="shared" si="22"/>
        <v>-1178620</v>
      </c>
      <c r="K1471" s="4" t="s">
        <v>47</v>
      </c>
      <c r="L1471" s="6">
        <v>11.786199999999999</v>
      </c>
      <c r="M1471" s="6">
        <v>8.48E-2</v>
      </c>
      <c r="N1471" s="6">
        <v>4.2126999999999999</v>
      </c>
      <c r="O1471" s="6">
        <v>0.35849999999999999</v>
      </c>
      <c r="P1471" s="5">
        <v>-1265.27</v>
      </c>
      <c r="Q1471" s="4" t="s">
        <v>1396</v>
      </c>
    </row>
    <row r="1472" spans="1:17" x14ac:dyDescent="0.3">
      <c r="A1472" s="2" t="s">
        <v>1389</v>
      </c>
      <c r="B1472" s="3">
        <v>155775</v>
      </c>
      <c r="C1472" s="3">
        <v>215636</v>
      </c>
      <c r="D1472" s="4" t="s">
        <v>17</v>
      </c>
      <c r="E1472" s="4" t="s">
        <v>1281</v>
      </c>
      <c r="F1472" s="4" t="s">
        <v>19</v>
      </c>
      <c r="G1472" s="4" t="s">
        <v>20</v>
      </c>
      <c r="H1472" s="5">
        <v>9000</v>
      </c>
      <c r="I1472" s="4" t="s">
        <v>21</v>
      </c>
      <c r="J1472" s="5">
        <f t="shared" si="22"/>
        <v>-37353.600000000006</v>
      </c>
      <c r="K1472" s="4" t="s">
        <v>29</v>
      </c>
      <c r="L1472" s="6">
        <v>4.1504000000000003</v>
      </c>
      <c r="M1472" s="6">
        <v>0.2409</v>
      </c>
      <c r="N1472" s="6">
        <v>4.2104999999999997</v>
      </c>
      <c r="O1472" s="6">
        <v>1</v>
      </c>
      <c r="P1472" s="5">
        <v>540.89999999999418</v>
      </c>
      <c r="Q1472" s="4" t="s">
        <v>1390</v>
      </c>
    </row>
    <row r="1473" spans="1:17" x14ac:dyDescent="0.3">
      <c r="A1473" s="2" t="s">
        <v>1389</v>
      </c>
      <c r="B1473" s="3">
        <v>155776</v>
      </c>
      <c r="C1473" s="3">
        <v>892282</v>
      </c>
      <c r="D1473" s="4" t="s">
        <v>81</v>
      </c>
      <c r="E1473" s="4" t="s">
        <v>736</v>
      </c>
      <c r="F1473" s="4" t="s">
        <v>87</v>
      </c>
      <c r="G1473" s="4" t="s">
        <v>89</v>
      </c>
      <c r="H1473" s="5">
        <v>500000</v>
      </c>
      <c r="I1473" s="4" t="s">
        <v>21</v>
      </c>
      <c r="J1473" s="5">
        <f t="shared" si="22"/>
        <v>-281850</v>
      </c>
      <c r="K1473" s="4" t="s">
        <v>47</v>
      </c>
      <c r="L1473" s="6">
        <v>0.56369999999999998</v>
      </c>
      <c r="M1473" s="6">
        <v>1.774</v>
      </c>
      <c r="N1473" s="6">
        <v>0.56379999999999997</v>
      </c>
      <c r="O1473" s="6">
        <v>1</v>
      </c>
      <c r="P1473" s="5">
        <v>50</v>
      </c>
      <c r="Q1473" s="4" t="s">
        <v>1390</v>
      </c>
    </row>
    <row r="1474" spans="1:17" x14ac:dyDescent="0.3">
      <c r="A1474" s="2" t="s">
        <v>1389</v>
      </c>
      <c r="B1474" s="3">
        <v>155777</v>
      </c>
      <c r="C1474" s="3">
        <v>892295</v>
      </c>
      <c r="D1474" s="4" t="s">
        <v>81</v>
      </c>
      <c r="E1474" s="4" t="s">
        <v>736</v>
      </c>
      <c r="F1474" s="4" t="s">
        <v>87</v>
      </c>
      <c r="G1474" s="4" t="s">
        <v>84</v>
      </c>
      <c r="H1474" s="5">
        <v>350000</v>
      </c>
      <c r="I1474" s="4" t="s">
        <v>21</v>
      </c>
      <c r="J1474" s="5">
        <f t="shared" si="22"/>
        <v>-136885</v>
      </c>
      <c r="K1474" s="4" t="s">
        <v>47</v>
      </c>
      <c r="L1474" s="6">
        <v>0.3911</v>
      </c>
      <c r="M1474" s="6">
        <v>2.5569000000000002</v>
      </c>
      <c r="N1474" s="6">
        <v>0.3921</v>
      </c>
      <c r="O1474" s="6">
        <v>1</v>
      </c>
      <c r="P1474" s="5">
        <v>350</v>
      </c>
      <c r="Q1474" s="4" t="s">
        <v>1390</v>
      </c>
    </row>
    <row r="1475" spans="1:17" x14ac:dyDescent="0.3">
      <c r="A1475" s="2" t="s">
        <v>1389</v>
      </c>
      <c r="B1475" s="3">
        <v>155778</v>
      </c>
      <c r="C1475" s="3">
        <v>215642</v>
      </c>
      <c r="D1475" s="4" t="s">
        <v>17</v>
      </c>
      <c r="E1475" s="4" t="s">
        <v>921</v>
      </c>
      <c r="F1475" s="4" t="s">
        <v>19</v>
      </c>
      <c r="G1475" s="4" t="s">
        <v>20</v>
      </c>
      <c r="H1475" s="5">
        <v>60000</v>
      </c>
      <c r="I1475" s="4" t="s">
        <v>21</v>
      </c>
      <c r="J1475" s="5">
        <f t="shared" si="22"/>
        <v>-252263.99999999997</v>
      </c>
      <c r="K1475" s="4" t="s">
        <v>29</v>
      </c>
      <c r="L1475" s="6">
        <v>4.2043999999999997</v>
      </c>
      <c r="M1475" s="6">
        <v>0.23780000000000001</v>
      </c>
      <c r="N1475" s="6">
        <v>4.2104999999999997</v>
      </c>
      <c r="O1475" s="6">
        <v>1</v>
      </c>
      <c r="P1475" s="5">
        <v>366</v>
      </c>
      <c r="Q1475" s="4" t="s">
        <v>1390</v>
      </c>
    </row>
    <row r="1476" spans="1:17" x14ac:dyDescent="0.3">
      <c r="A1476" s="2" t="s">
        <v>1389</v>
      </c>
      <c r="B1476" s="3">
        <v>155779</v>
      </c>
      <c r="C1476" s="3">
        <v>215643</v>
      </c>
      <c r="D1476" s="4" t="s">
        <v>17</v>
      </c>
      <c r="E1476" s="4" t="s">
        <v>1319</v>
      </c>
      <c r="F1476" s="4" t="s">
        <v>19</v>
      </c>
      <c r="G1476" s="4" t="s">
        <v>20</v>
      </c>
      <c r="H1476" s="5">
        <v>20000</v>
      </c>
      <c r="I1476" s="4" t="s">
        <v>21</v>
      </c>
      <c r="J1476" s="5">
        <f t="shared" ref="J1476:J1539" si="23">-H1476*L1476</f>
        <v>-84160</v>
      </c>
      <c r="K1476" s="4" t="s">
        <v>29</v>
      </c>
      <c r="L1476" s="6">
        <v>4.2080000000000002</v>
      </c>
      <c r="M1476" s="6">
        <v>0.23760000000000001</v>
      </c>
      <c r="N1476" s="6">
        <v>4.2104999999999997</v>
      </c>
      <c r="O1476" s="6">
        <v>1</v>
      </c>
      <c r="P1476" s="5">
        <v>50</v>
      </c>
      <c r="Q1476" s="4" t="s">
        <v>1390</v>
      </c>
    </row>
    <row r="1477" spans="1:17" x14ac:dyDescent="0.3">
      <c r="A1477" s="2" t="s">
        <v>1389</v>
      </c>
      <c r="B1477" s="3">
        <v>155784</v>
      </c>
      <c r="C1477" s="3">
        <v>215646</v>
      </c>
      <c r="D1477" s="4" t="s">
        <v>17</v>
      </c>
      <c r="E1477" s="4" t="s">
        <v>1180</v>
      </c>
      <c r="F1477" s="4" t="s">
        <v>19</v>
      </c>
      <c r="G1477" s="4" t="s">
        <v>20</v>
      </c>
      <c r="H1477" s="5">
        <v>5000</v>
      </c>
      <c r="I1477" s="4" t="s">
        <v>21</v>
      </c>
      <c r="J1477" s="5">
        <f t="shared" si="23"/>
        <v>-21025</v>
      </c>
      <c r="K1477" s="4" t="s">
        <v>29</v>
      </c>
      <c r="L1477" s="6">
        <v>4.2050000000000001</v>
      </c>
      <c r="M1477" s="6">
        <v>0.23780000000000001</v>
      </c>
      <c r="N1477" s="6">
        <v>4.2104999999999997</v>
      </c>
      <c r="O1477" s="6">
        <v>1</v>
      </c>
      <c r="P1477" s="5">
        <v>27.5</v>
      </c>
      <c r="Q1477" s="4" t="s">
        <v>1390</v>
      </c>
    </row>
    <row r="1478" spans="1:17" x14ac:dyDescent="0.3">
      <c r="A1478" s="2" t="s">
        <v>1389</v>
      </c>
      <c r="B1478" s="3">
        <v>155790</v>
      </c>
      <c r="C1478" s="3">
        <v>892366</v>
      </c>
      <c r="D1478" s="4" t="s">
        <v>81</v>
      </c>
      <c r="E1478" s="4" t="s">
        <v>855</v>
      </c>
      <c r="F1478" s="4" t="s">
        <v>87</v>
      </c>
      <c r="G1478" s="4" t="s">
        <v>20</v>
      </c>
      <c r="H1478" s="5">
        <v>15000</v>
      </c>
      <c r="I1478" s="4" t="s">
        <v>21</v>
      </c>
      <c r="J1478" s="5">
        <f t="shared" si="23"/>
        <v>-63159.000000000007</v>
      </c>
      <c r="K1478" s="4" t="s">
        <v>47</v>
      </c>
      <c r="L1478" s="6">
        <v>4.2106000000000003</v>
      </c>
      <c r="M1478" s="6">
        <v>0.23749999999999999</v>
      </c>
      <c r="N1478" s="6">
        <v>4.2126999999999999</v>
      </c>
      <c r="O1478" s="6">
        <v>1</v>
      </c>
      <c r="P1478" s="5">
        <v>31.5</v>
      </c>
      <c r="Q1478" s="4" t="s">
        <v>1390</v>
      </c>
    </row>
    <row r="1479" spans="1:17" x14ac:dyDescent="0.3">
      <c r="A1479" s="2" t="s">
        <v>1389</v>
      </c>
      <c r="B1479" s="3">
        <v>155792</v>
      </c>
      <c r="C1479" s="3">
        <v>892376</v>
      </c>
      <c r="D1479" s="4" t="s">
        <v>81</v>
      </c>
      <c r="E1479" s="4" t="s">
        <v>742</v>
      </c>
      <c r="F1479" s="4" t="s">
        <v>83</v>
      </c>
      <c r="G1479" s="4" t="s">
        <v>20</v>
      </c>
      <c r="H1479" s="5">
        <v>-500000</v>
      </c>
      <c r="I1479" s="4" t="s">
        <v>21</v>
      </c>
      <c r="J1479" s="5">
        <f t="shared" si="23"/>
        <v>2106000</v>
      </c>
      <c r="K1479" s="4" t="s">
        <v>47</v>
      </c>
      <c r="L1479" s="6">
        <v>4.2119999999999997</v>
      </c>
      <c r="M1479" s="6">
        <v>0.2374</v>
      </c>
      <c r="N1479" s="6">
        <v>4.2126999999999999</v>
      </c>
      <c r="O1479" s="6">
        <v>1</v>
      </c>
      <c r="P1479" s="5">
        <v>-350</v>
      </c>
      <c r="Q1479" s="4" t="s">
        <v>1396</v>
      </c>
    </row>
    <row r="1480" spans="1:17" x14ac:dyDescent="0.3">
      <c r="A1480" s="2" t="s">
        <v>1389</v>
      </c>
      <c r="B1480" s="3">
        <v>155793</v>
      </c>
      <c r="C1480" s="3">
        <v>215653</v>
      </c>
      <c r="D1480" s="4" t="s">
        <v>17</v>
      </c>
      <c r="E1480" s="4" t="s">
        <v>1324</v>
      </c>
      <c r="F1480" s="4" t="s">
        <v>19</v>
      </c>
      <c r="G1480" s="4" t="s">
        <v>20</v>
      </c>
      <c r="H1480" s="5">
        <v>87982.39</v>
      </c>
      <c r="I1480" s="4" t="s">
        <v>21</v>
      </c>
      <c r="J1480" s="5">
        <f t="shared" si="23"/>
        <v>-370053.93234000006</v>
      </c>
      <c r="K1480" s="4" t="s">
        <v>29</v>
      </c>
      <c r="L1480" s="6">
        <v>4.2060000000000004</v>
      </c>
      <c r="M1480" s="6">
        <v>0.23780000000000001</v>
      </c>
      <c r="N1480" s="6">
        <v>4.2104999999999997</v>
      </c>
      <c r="O1480" s="6">
        <v>1</v>
      </c>
      <c r="P1480" s="5">
        <v>395.92075499991188</v>
      </c>
      <c r="Q1480" s="4" t="s">
        <v>1390</v>
      </c>
    </row>
    <row r="1481" spans="1:17" x14ac:dyDescent="0.3">
      <c r="A1481" s="2" t="s">
        <v>1389</v>
      </c>
      <c r="B1481" s="3">
        <v>155794</v>
      </c>
      <c r="C1481" s="3">
        <v>892410</v>
      </c>
      <c r="D1481" s="4" t="s">
        <v>81</v>
      </c>
      <c r="E1481" s="4" t="s">
        <v>730</v>
      </c>
      <c r="F1481" s="4" t="s">
        <v>83</v>
      </c>
      <c r="G1481" s="4" t="s">
        <v>20</v>
      </c>
      <c r="H1481" s="5">
        <v>-1000000</v>
      </c>
      <c r="I1481" s="4" t="s">
        <v>21</v>
      </c>
      <c r="J1481" s="5">
        <f t="shared" si="23"/>
        <v>4212600</v>
      </c>
      <c r="K1481" s="4" t="s">
        <v>47</v>
      </c>
      <c r="L1481" s="6">
        <v>4.2126000000000001</v>
      </c>
      <c r="M1481" s="6">
        <v>0.2374</v>
      </c>
      <c r="N1481" s="6">
        <v>4.2126999999999999</v>
      </c>
      <c r="O1481" s="6">
        <v>1</v>
      </c>
      <c r="P1481" s="5">
        <v>-140</v>
      </c>
      <c r="Q1481" s="4" t="s">
        <v>1396</v>
      </c>
    </row>
    <row r="1482" spans="1:17" x14ac:dyDescent="0.3">
      <c r="A1482" s="2" t="s">
        <v>1389</v>
      </c>
      <c r="B1482" s="3">
        <v>155795</v>
      </c>
      <c r="C1482" s="3">
        <v>215656</v>
      </c>
      <c r="D1482" s="4" t="s">
        <v>17</v>
      </c>
      <c r="E1482" s="4" t="s">
        <v>943</v>
      </c>
      <c r="F1482" s="4" t="s">
        <v>32</v>
      </c>
      <c r="G1482" s="4" t="s">
        <v>20</v>
      </c>
      <c r="H1482" s="5">
        <v>-23736.06</v>
      </c>
      <c r="I1482" s="4" t="s">
        <v>21</v>
      </c>
      <c r="J1482" s="5">
        <f t="shared" si="23"/>
        <v>100237.38138000001</v>
      </c>
      <c r="K1482" s="4" t="s">
        <v>29</v>
      </c>
      <c r="L1482" s="6">
        <v>4.2229999999999999</v>
      </c>
      <c r="M1482" s="6">
        <v>0.23680000000000001</v>
      </c>
      <c r="N1482" s="6">
        <v>4.2104999999999997</v>
      </c>
      <c r="O1482" s="6">
        <v>1</v>
      </c>
      <c r="P1482" s="5">
        <v>59.319369999999999</v>
      </c>
      <c r="Q1482" s="4" t="s">
        <v>1390</v>
      </c>
    </row>
    <row r="1483" spans="1:17" x14ac:dyDescent="0.3">
      <c r="A1483" s="2" t="s">
        <v>1389</v>
      </c>
      <c r="B1483" s="3">
        <v>155796</v>
      </c>
      <c r="C1483" s="3">
        <v>892420</v>
      </c>
      <c r="D1483" s="4" t="s">
        <v>81</v>
      </c>
      <c r="E1483" s="4" t="s">
        <v>742</v>
      </c>
      <c r="F1483" s="4" t="s">
        <v>83</v>
      </c>
      <c r="G1483" s="4" t="s">
        <v>20</v>
      </c>
      <c r="H1483" s="5">
        <v>-500000</v>
      </c>
      <c r="I1483" s="4" t="s">
        <v>21</v>
      </c>
      <c r="J1483" s="5">
        <f t="shared" si="23"/>
        <v>2106150</v>
      </c>
      <c r="K1483" s="4" t="s">
        <v>47</v>
      </c>
      <c r="L1483" s="6">
        <v>4.2122999999999999</v>
      </c>
      <c r="M1483" s="6">
        <v>0.2374</v>
      </c>
      <c r="N1483" s="6">
        <v>4.2126999999999999</v>
      </c>
      <c r="O1483" s="6">
        <v>1</v>
      </c>
      <c r="P1483" s="5">
        <v>-205</v>
      </c>
      <c r="Q1483" s="4" t="s">
        <v>1396</v>
      </c>
    </row>
    <row r="1484" spans="1:17" x14ac:dyDescent="0.3">
      <c r="A1484" s="2" t="s">
        <v>1389</v>
      </c>
      <c r="B1484" s="3">
        <v>155797</v>
      </c>
      <c r="C1484" s="3">
        <v>892421</v>
      </c>
      <c r="D1484" s="4" t="s">
        <v>81</v>
      </c>
      <c r="E1484" s="4" t="s">
        <v>734</v>
      </c>
      <c r="F1484" s="4" t="s">
        <v>83</v>
      </c>
      <c r="G1484" s="4" t="s">
        <v>20</v>
      </c>
      <c r="H1484" s="5">
        <v>-300000</v>
      </c>
      <c r="I1484" s="4" t="s">
        <v>93</v>
      </c>
      <c r="J1484" s="5">
        <f t="shared" si="23"/>
        <v>279360</v>
      </c>
      <c r="K1484" s="4" t="s">
        <v>47</v>
      </c>
      <c r="L1484" s="6">
        <v>0.93120000000000003</v>
      </c>
      <c r="M1484" s="6">
        <v>1.0739000000000001</v>
      </c>
      <c r="N1484" s="6">
        <v>4.2126999999999999</v>
      </c>
      <c r="O1484" s="6">
        <v>4.5221999999999998</v>
      </c>
      <c r="P1484" s="5">
        <v>-461.07479999999998</v>
      </c>
      <c r="Q1484" s="4" t="s">
        <v>1393</v>
      </c>
    </row>
    <row r="1485" spans="1:17" x14ac:dyDescent="0.3">
      <c r="A1485" s="2" t="s">
        <v>1389</v>
      </c>
      <c r="B1485" s="3">
        <v>155798</v>
      </c>
      <c r="C1485" s="3">
        <v>892430</v>
      </c>
      <c r="D1485" s="4" t="s">
        <v>81</v>
      </c>
      <c r="E1485" s="4" t="s">
        <v>735</v>
      </c>
      <c r="F1485" s="4" t="s">
        <v>87</v>
      </c>
      <c r="G1485" s="4" t="s">
        <v>91</v>
      </c>
      <c r="H1485" s="5">
        <v>100000</v>
      </c>
      <c r="I1485" s="4" t="s">
        <v>21</v>
      </c>
      <c r="J1485" s="5">
        <f t="shared" si="23"/>
        <v>-485320</v>
      </c>
      <c r="K1485" s="4" t="s">
        <v>47</v>
      </c>
      <c r="L1485" s="6">
        <v>4.8532000000000002</v>
      </c>
      <c r="M1485" s="6">
        <v>0.20599999999999999</v>
      </c>
      <c r="N1485" s="6">
        <v>4.8525</v>
      </c>
      <c r="O1485" s="6">
        <v>1</v>
      </c>
      <c r="P1485" s="5">
        <v>-70</v>
      </c>
      <c r="Q1485" s="4" t="s">
        <v>1394</v>
      </c>
    </row>
    <row r="1486" spans="1:17" x14ac:dyDescent="0.3">
      <c r="A1486" s="2" t="s">
        <v>1389</v>
      </c>
      <c r="B1486" s="3">
        <v>155800</v>
      </c>
      <c r="C1486" s="3">
        <v>892442</v>
      </c>
      <c r="D1486" s="4" t="s">
        <v>81</v>
      </c>
      <c r="E1486" s="4" t="s">
        <v>742</v>
      </c>
      <c r="F1486" s="4" t="s">
        <v>87</v>
      </c>
      <c r="G1486" s="4" t="s">
        <v>20</v>
      </c>
      <c r="H1486" s="5">
        <v>100000</v>
      </c>
      <c r="I1486" s="4" t="s">
        <v>74</v>
      </c>
      <c r="J1486" s="5">
        <f t="shared" si="23"/>
        <v>-1178240</v>
      </c>
      <c r="K1486" s="4" t="s">
        <v>47</v>
      </c>
      <c r="L1486" s="6">
        <v>11.782400000000001</v>
      </c>
      <c r="M1486" s="6">
        <v>8.4900000000000003E-2</v>
      </c>
      <c r="N1486" s="6">
        <v>4.2126999999999999</v>
      </c>
      <c r="O1486" s="6">
        <v>0.35849999999999999</v>
      </c>
      <c r="P1486" s="5">
        <v>-1129.04</v>
      </c>
      <c r="Q1486" s="4" t="s">
        <v>1396</v>
      </c>
    </row>
    <row r="1487" spans="1:17" x14ac:dyDescent="0.3">
      <c r="A1487" s="2" t="s">
        <v>1389</v>
      </c>
      <c r="B1487" s="3">
        <v>155802</v>
      </c>
      <c r="C1487" s="3">
        <v>215663</v>
      </c>
      <c r="D1487" s="4" t="s">
        <v>17</v>
      </c>
      <c r="E1487" s="4" t="s">
        <v>841</v>
      </c>
      <c r="F1487" s="4" t="s">
        <v>32</v>
      </c>
      <c r="G1487" s="4" t="s">
        <v>20</v>
      </c>
      <c r="H1487" s="5">
        <v>-10000</v>
      </c>
      <c r="I1487" s="4" t="s">
        <v>21</v>
      </c>
      <c r="J1487" s="5">
        <f t="shared" si="23"/>
        <v>42200</v>
      </c>
      <c r="K1487" s="4" t="s">
        <v>29</v>
      </c>
      <c r="L1487" s="6">
        <v>4.22</v>
      </c>
      <c r="M1487" s="6">
        <v>0.23699999999999999</v>
      </c>
      <c r="N1487" s="6">
        <v>4.2104999999999997</v>
      </c>
      <c r="O1487" s="6">
        <v>1</v>
      </c>
      <c r="P1487" s="5">
        <v>95</v>
      </c>
      <c r="Q1487" s="4" t="s">
        <v>1390</v>
      </c>
    </row>
    <row r="1488" spans="1:17" x14ac:dyDescent="0.3">
      <c r="A1488" s="2" t="s">
        <v>1389</v>
      </c>
      <c r="B1488" s="3">
        <v>155804</v>
      </c>
      <c r="C1488" s="3">
        <v>215665</v>
      </c>
      <c r="D1488" s="4" t="s">
        <v>17</v>
      </c>
      <c r="E1488" s="4" t="s">
        <v>1325</v>
      </c>
      <c r="F1488" s="4" t="s">
        <v>19</v>
      </c>
      <c r="G1488" s="4" t="s">
        <v>34</v>
      </c>
      <c r="H1488" s="5">
        <v>80000</v>
      </c>
      <c r="I1488" s="4" t="s">
        <v>21</v>
      </c>
      <c r="J1488" s="5">
        <f t="shared" si="23"/>
        <v>-288960</v>
      </c>
      <c r="K1488" s="4" t="s">
        <v>29</v>
      </c>
      <c r="L1488" s="6">
        <v>3.6120000000000001</v>
      </c>
      <c r="M1488" s="6">
        <v>0.27689999999999998</v>
      </c>
      <c r="N1488" s="6">
        <v>3.6034999999999999</v>
      </c>
      <c r="O1488" s="6">
        <v>1</v>
      </c>
      <c r="P1488" s="5">
        <v>-680</v>
      </c>
      <c r="Q1488" s="4" t="s">
        <v>1390</v>
      </c>
    </row>
    <row r="1489" spans="1:17" x14ac:dyDescent="0.3">
      <c r="A1489" s="2" t="s">
        <v>1389</v>
      </c>
      <c r="B1489" s="3">
        <v>155805</v>
      </c>
      <c r="C1489" s="3">
        <v>892499</v>
      </c>
      <c r="D1489" s="4" t="s">
        <v>81</v>
      </c>
      <c r="E1489" s="4" t="s">
        <v>742</v>
      </c>
      <c r="F1489" s="4" t="s">
        <v>83</v>
      </c>
      <c r="G1489" s="4" t="s">
        <v>20</v>
      </c>
      <c r="H1489" s="5">
        <v>-500000</v>
      </c>
      <c r="I1489" s="4" t="s">
        <v>21</v>
      </c>
      <c r="J1489" s="5">
        <f t="shared" si="23"/>
        <v>2106550</v>
      </c>
      <c r="K1489" s="4" t="s">
        <v>47</v>
      </c>
      <c r="L1489" s="6">
        <v>4.2130999999999998</v>
      </c>
      <c r="M1489" s="6">
        <v>0.2374</v>
      </c>
      <c r="N1489" s="6">
        <v>4.2126999999999999</v>
      </c>
      <c r="O1489" s="6">
        <v>1</v>
      </c>
      <c r="P1489" s="5">
        <v>200</v>
      </c>
      <c r="Q1489" s="4" t="s">
        <v>1396</v>
      </c>
    </row>
    <row r="1490" spans="1:17" x14ac:dyDescent="0.3">
      <c r="A1490" s="2" t="s">
        <v>1389</v>
      </c>
      <c r="B1490" s="3">
        <v>155806</v>
      </c>
      <c r="C1490" s="3">
        <v>215667</v>
      </c>
      <c r="D1490" s="4" t="s">
        <v>17</v>
      </c>
      <c r="E1490" s="4" t="s">
        <v>1238</v>
      </c>
      <c r="F1490" s="4" t="s">
        <v>19</v>
      </c>
      <c r="G1490" s="4" t="s">
        <v>20</v>
      </c>
      <c r="H1490" s="5">
        <v>100000</v>
      </c>
      <c r="I1490" s="4" t="s">
        <v>21</v>
      </c>
      <c r="J1490" s="5">
        <f t="shared" si="23"/>
        <v>-421180</v>
      </c>
      <c r="K1490" s="4" t="s">
        <v>42</v>
      </c>
      <c r="L1490" s="6">
        <v>4.2118000000000002</v>
      </c>
      <c r="M1490" s="6">
        <v>0.2374</v>
      </c>
      <c r="N1490" s="6">
        <v>4.2119</v>
      </c>
      <c r="O1490" s="6">
        <v>1</v>
      </c>
      <c r="P1490" s="5">
        <v>10</v>
      </c>
      <c r="Q1490" s="4" t="s">
        <v>1390</v>
      </c>
    </row>
    <row r="1491" spans="1:17" x14ac:dyDescent="0.3">
      <c r="A1491" s="2" t="s">
        <v>1389</v>
      </c>
      <c r="B1491" s="3">
        <v>155807</v>
      </c>
      <c r="C1491" s="3">
        <v>215668</v>
      </c>
      <c r="D1491" s="4" t="s">
        <v>17</v>
      </c>
      <c r="E1491" s="4" t="s">
        <v>1022</v>
      </c>
      <c r="F1491" s="4" t="s">
        <v>32</v>
      </c>
      <c r="G1491" s="4" t="s">
        <v>20</v>
      </c>
      <c r="H1491" s="5">
        <v>-1000000</v>
      </c>
      <c r="I1491" s="4" t="s">
        <v>21</v>
      </c>
      <c r="J1491" s="5">
        <f t="shared" si="23"/>
        <v>4220400</v>
      </c>
      <c r="K1491" s="4" t="s">
        <v>46</v>
      </c>
      <c r="L1491" s="6">
        <v>4.2203999999999997</v>
      </c>
      <c r="M1491" s="6">
        <v>0.2369</v>
      </c>
      <c r="N1491" s="6">
        <v>4.2110000000000003</v>
      </c>
      <c r="O1491" s="6">
        <v>1</v>
      </c>
      <c r="P1491" s="5">
        <v>9000</v>
      </c>
      <c r="Q1491" s="4" t="s">
        <v>1390</v>
      </c>
    </row>
    <row r="1492" spans="1:17" x14ac:dyDescent="0.3">
      <c r="A1492" s="2" t="s">
        <v>1389</v>
      </c>
      <c r="B1492" s="3">
        <v>155808</v>
      </c>
      <c r="C1492" s="3">
        <v>892523</v>
      </c>
      <c r="D1492" s="4" t="s">
        <v>81</v>
      </c>
      <c r="E1492" s="4" t="s">
        <v>735</v>
      </c>
      <c r="F1492" s="4" t="s">
        <v>83</v>
      </c>
      <c r="G1492" s="4" t="s">
        <v>20</v>
      </c>
      <c r="H1492" s="5">
        <v>-500000</v>
      </c>
      <c r="I1492" s="4" t="s">
        <v>21</v>
      </c>
      <c r="J1492" s="5">
        <f t="shared" si="23"/>
        <v>2106300</v>
      </c>
      <c r="K1492" s="4" t="s">
        <v>47</v>
      </c>
      <c r="L1492" s="6">
        <v>4.2126000000000001</v>
      </c>
      <c r="M1492" s="6">
        <v>0.2374</v>
      </c>
      <c r="N1492" s="6">
        <v>4.2126999999999999</v>
      </c>
      <c r="O1492" s="6">
        <v>1</v>
      </c>
      <c r="P1492" s="5">
        <v>-50</v>
      </c>
      <c r="Q1492" s="4" t="s">
        <v>1394</v>
      </c>
    </row>
    <row r="1493" spans="1:17" x14ac:dyDescent="0.3">
      <c r="A1493" s="2" t="s">
        <v>1389</v>
      </c>
      <c r="B1493" s="3">
        <v>155812</v>
      </c>
      <c r="C1493" s="3">
        <v>215680</v>
      </c>
      <c r="D1493" s="4" t="s">
        <v>17</v>
      </c>
      <c r="E1493" s="4" t="s">
        <v>934</v>
      </c>
      <c r="F1493" s="4" t="s">
        <v>19</v>
      </c>
      <c r="G1493" s="4" t="s">
        <v>20</v>
      </c>
      <c r="H1493" s="5">
        <v>100000</v>
      </c>
      <c r="I1493" s="4" t="s">
        <v>21</v>
      </c>
      <c r="J1493" s="5">
        <f t="shared" si="23"/>
        <v>-420270</v>
      </c>
      <c r="K1493" s="4" t="s">
        <v>29</v>
      </c>
      <c r="L1493" s="6">
        <v>4.2027000000000001</v>
      </c>
      <c r="M1493" s="6">
        <v>0.2379</v>
      </c>
      <c r="N1493" s="6">
        <v>4.2104999999999997</v>
      </c>
      <c r="O1493" s="6">
        <v>1</v>
      </c>
      <c r="P1493" s="5">
        <v>779.99999999994179</v>
      </c>
      <c r="Q1493" s="4" t="s">
        <v>1390</v>
      </c>
    </row>
    <row r="1494" spans="1:17" x14ac:dyDescent="0.3">
      <c r="A1494" s="2" t="s">
        <v>1389</v>
      </c>
      <c r="B1494" s="3">
        <v>155814</v>
      </c>
      <c r="C1494" s="3">
        <v>215681</v>
      </c>
      <c r="D1494" s="4" t="s">
        <v>17</v>
      </c>
      <c r="E1494" s="4" t="s">
        <v>1151</v>
      </c>
      <c r="F1494" s="4" t="s">
        <v>19</v>
      </c>
      <c r="G1494" s="4" t="s">
        <v>20</v>
      </c>
      <c r="H1494" s="5">
        <v>40000</v>
      </c>
      <c r="I1494" s="4" t="s">
        <v>21</v>
      </c>
      <c r="J1494" s="5">
        <f t="shared" si="23"/>
        <v>-168108</v>
      </c>
      <c r="K1494" s="4" t="s">
        <v>29</v>
      </c>
      <c r="L1494" s="6">
        <v>4.2027000000000001</v>
      </c>
      <c r="M1494" s="6">
        <v>0.2379</v>
      </c>
      <c r="N1494" s="6">
        <v>4.2104999999999997</v>
      </c>
      <c r="O1494" s="6">
        <v>1</v>
      </c>
      <c r="P1494" s="5">
        <v>312</v>
      </c>
      <c r="Q1494" s="4" t="s">
        <v>1390</v>
      </c>
    </row>
    <row r="1495" spans="1:17" x14ac:dyDescent="0.3">
      <c r="A1495" s="2" t="s">
        <v>1389</v>
      </c>
      <c r="B1495" s="3">
        <v>155815</v>
      </c>
      <c r="C1495" s="3">
        <v>892559</v>
      </c>
      <c r="D1495" s="4" t="s">
        <v>81</v>
      </c>
      <c r="E1495" s="4" t="s">
        <v>855</v>
      </c>
      <c r="F1495" s="4" t="s">
        <v>87</v>
      </c>
      <c r="G1495" s="4" t="s">
        <v>20</v>
      </c>
      <c r="H1495" s="5">
        <v>15000</v>
      </c>
      <c r="I1495" s="4" t="s">
        <v>21</v>
      </c>
      <c r="J1495" s="5">
        <f t="shared" si="23"/>
        <v>-63168</v>
      </c>
      <c r="K1495" s="4" t="s">
        <v>47</v>
      </c>
      <c r="L1495" s="6">
        <v>4.2111999999999998</v>
      </c>
      <c r="M1495" s="6">
        <v>0.23749999999999999</v>
      </c>
      <c r="N1495" s="6">
        <v>4.2126999999999999</v>
      </c>
      <c r="O1495" s="6">
        <v>1</v>
      </c>
      <c r="P1495" s="5">
        <v>22.5</v>
      </c>
      <c r="Q1495" s="4" t="s">
        <v>1390</v>
      </c>
    </row>
    <row r="1496" spans="1:17" x14ac:dyDescent="0.3">
      <c r="A1496" s="2" t="s">
        <v>1389</v>
      </c>
      <c r="B1496" s="3">
        <v>155817</v>
      </c>
      <c r="C1496" s="3">
        <v>215683</v>
      </c>
      <c r="D1496" s="4" t="s">
        <v>17</v>
      </c>
      <c r="E1496" s="4" t="s">
        <v>1077</v>
      </c>
      <c r="F1496" s="4" t="s">
        <v>19</v>
      </c>
      <c r="G1496" s="4" t="s">
        <v>20</v>
      </c>
      <c r="H1496" s="5">
        <v>5000</v>
      </c>
      <c r="I1496" s="4" t="s">
        <v>21</v>
      </c>
      <c r="J1496" s="5">
        <f t="shared" si="23"/>
        <v>-21057.5</v>
      </c>
      <c r="K1496" s="4" t="s">
        <v>42</v>
      </c>
      <c r="L1496" s="6">
        <v>4.2115</v>
      </c>
      <c r="M1496" s="6">
        <v>0.2374</v>
      </c>
      <c r="N1496" s="6">
        <v>4.2119</v>
      </c>
      <c r="O1496" s="6">
        <v>1</v>
      </c>
      <c r="P1496" s="5">
        <v>2</v>
      </c>
      <c r="Q1496" s="4" t="s">
        <v>1390</v>
      </c>
    </row>
    <row r="1497" spans="1:17" x14ac:dyDescent="0.3">
      <c r="A1497" s="2" t="s">
        <v>1389</v>
      </c>
      <c r="B1497" s="3">
        <v>155818</v>
      </c>
      <c r="C1497" s="3">
        <v>215684</v>
      </c>
      <c r="D1497" s="4" t="s">
        <v>17</v>
      </c>
      <c r="E1497" s="4" t="s">
        <v>1077</v>
      </c>
      <c r="F1497" s="4" t="s">
        <v>19</v>
      </c>
      <c r="G1497" s="4" t="s">
        <v>20</v>
      </c>
      <c r="H1497" s="5">
        <v>5000</v>
      </c>
      <c r="I1497" s="4" t="s">
        <v>21</v>
      </c>
      <c r="J1497" s="5">
        <f t="shared" si="23"/>
        <v>-21055.5</v>
      </c>
      <c r="K1497" s="4" t="s">
        <v>42</v>
      </c>
      <c r="L1497" s="6">
        <v>4.2111000000000001</v>
      </c>
      <c r="M1497" s="6">
        <v>0.23749999999999999</v>
      </c>
      <c r="N1497" s="6">
        <v>4.2119</v>
      </c>
      <c r="O1497" s="6">
        <v>1</v>
      </c>
      <c r="P1497" s="5">
        <v>4</v>
      </c>
      <c r="Q1497" s="4" t="s">
        <v>1390</v>
      </c>
    </row>
    <row r="1498" spans="1:17" x14ac:dyDescent="0.3">
      <c r="A1498" s="2" t="s">
        <v>1389</v>
      </c>
      <c r="B1498" s="3">
        <v>155819</v>
      </c>
      <c r="C1498" s="3">
        <v>892572</v>
      </c>
      <c r="D1498" s="4" t="s">
        <v>81</v>
      </c>
      <c r="E1498" s="4" t="s">
        <v>735</v>
      </c>
      <c r="F1498" s="4" t="s">
        <v>83</v>
      </c>
      <c r="G1498" s="4" t="s">
        <v>20</v>
      </c>
      <c r="H1498" s="5">
        <v>-500000</v>
      </c>
      <c r="I1498" s="4" t="s">
        <v>21</v>
      </c>
      <c r="J1498" s="5">
        <f t="shared" si="23"/>
        <v>2106750</v>
      </c>
      <c r="K1498" s="4" t="s">
        <v>47</v>
      </c>
      <c r="L1498" s="6">
        <v>4.2134999999999998</v>
      </c>
      <c r="M1498" s="6">
        <v>0.23730000000000001</v>
      </c>
      <c r="N1498" s="6">
        <v>4.2126999999999999</v>
      </c>
      <c r="O1498" s="6">
        <v>1</v>
      </c>
      <c r="P1498" s="5">
        <v>400</v>
      </c>
      <c r="Q1498" s="4" t="s">
        <v>1394</v>
      </c>
    </row>
    <row r="1499" spans="1:17" x14ac:dyDescent="0.3">
      <c r="A1499" s="2" t="s">
        <v>1389</v>
      </c>
      <c r="B1499" s="3">
        <v>155820</v>
      </c>
      <c r="C1499" s="3">
        <v>215686</v>
      </c>
      <c r="D1499" s="4" t="s">
        <v>17</v>
      </c>
      <c r="E1499" s="4" t="s">
        <v>876</v>
      </c>
      <c r="F1499" s="4" t="s">
        <v>19</v>
      </c>
      <c r="G1499" s="4" t="s">
        <v>20</v>
      </c>
      <c r="H1499" s="5">
        <v>3800</v>
      </c>
      <c r="I1499" s="4" t="s">
        <v>21</v>
      </c>
      <c r="J1499" s="5">
        <f t="shared" si="23"/>
        <v>-15979</v>
      </c>
      <c r="K1499" s="4" t="s">
        <v>29</v>
      </c>
      <c r="L1499" s="6">
        <v>4.2050000000000001</v>
      </c>
      <c r="M1499" s="6">
        <v>0.23780000000000001</v>
      </c>
      <c r="N1499" s="6">
        <v>4.2104999999999997</v>
      </c>
      <c r="O1499" s="6">
        <v>1</v>
      </c>
      <c r="P1499" s="5">
        <v>20.899999999999636</v>
      </c>
      <c r="Q1499" s="4" t="s">
        <v>1390</v>
      </c>
    </row>
    <row r="1500" spans="1:17" x14ac:dyDescent="0.3">
      <c r="A1500" s="2" t="s">
        <v>1389</v>
      </c>
      <c r="B1500" s="3">
        <v>155821</v>
      </c>
      <c r="C1500" s="3">
        <v>215687</v>
      </c>
      <c r="D1500" s="4" t="s">
        <v>17</v>
      </c>
      <c r="E1500" s="4" t="s">
        <v>739</v>
      </c>
      <c r="F1500" s="4" t="s">
        <v>19</v>
      </c>
      <c r="G1500" s="4" t="s">
        <v>20</v>
      </c>
      <c r="H1500" s="5">
        <v>8600</v>
      </c>
      <c r="I1500" s="4" t="s">
        <v>21</v>
      </c>
      <c r="J1500" s="5">
        <f t="shared" si="23"/>
        <v>-36224.92</v>
      </c>
      <c r="K1500" s="4" t="s">
        <v>42</v>
      </c>
      <c r="L1500" s="6">
        <v>4.2122000000000002</v>
      </c>
      <c r="M1500" s="6">
        <v>0.2374</v>
      </c>
      <c r="N1500" s="6">
        <v>4.2119</v>
      </c>
      <c r="O1500" s="6">
        <v>1</v>
      </c>
      <c r="P1500" s="5">
        <v>-2.5800000000017462</v>
      </c>
      <c r="Q1500" s="4" t="s">
        <v>1391</v>
      </c>
    </row>
    <row r="1501" spans="1:17" x14ac:dyDescent="0.3">
      <c r="A1501" s="2" t="s">
        <v>1389</v>
      </c>
      <c r="B1501" s="3">
        <v>155822</v>
      </c>
      <c r="C1501" s="3">
        <v>215688</v>
      </c>
      <c r="D1501" s="4" t="s">
        <v>17</v>
      </c>
      <c r="E1501" s="4" t="s">
        <v>881</v>
      </c>
      <c r="F1501" s="4" t="s">
        <v>32</v>
      </c>
      <c r="G1501" s="4" t="s">
        <v>20</v>
      </c>
      <c r="H1501" s="5">
        <v>-8600</v>
      </c>
      <c r="I1501" s="4" t="s">
        <v>21</v>
      </c>
      <c r="J1501" s="5">
        <f t="shared" si="23"/>
        <v>36322.1</v>
      </c>
      <c r="K1501" s="4" t="s">
        <v>42</v>
      </c>
      <c r="L1501" s="6">
        <v>4.2234999999999996</v>
      </c>
      <c r="M1501" s="6">
        <v>0.23680000000000001</v>
      </c>
      <c r="N1501" s="6">
        <v>4.2119</v>
      </c>
      <c r="O1501" s="6">
        <v>1</v>
      </c>
      <c r="P1501" s="5">
        <v>94.6</v>
      </c>
      <c r="Q1501" s="4" t="s">
        <v>1390</v>
      </c>
    </row>
    <row r="1502" spans="1:17" x14ac:dyDescent="0.3">
      <c r="A1502" s="2" t="s">
        <v>1389</v>
      </c>
      <c r="B1502" s="3">
        <v>155823</v>
      </c>
      <c r="C1502" s="3">
        <v>892585</v>
      </c>
      <c r="D1502" s="4" t="s">
        <v>81</v>
      </c>
      <c r="E1502" s="4" t="s">
        <v>739</v>
      </c>
      <c r="F1502" s="4" t="s">
        <v>83</v>
      </c>
      <c r="G1502" s="4" t="s">
        <v>20</v>
      </c>
      <c r="H1502" s="5">
        <v>-100107.06</v>
      </c>
      <c r="I1502" s="4" t="s">
        <v>21</v>
      </c>
      <c r="J1502" s="5">
        <f t="shared" si="23"/>
        <v>421620.90460200002</v>
      </c>
      <c r="K1502" s="4" t="s">
        <v>47</v>
      </c>
      <c r="L1502" s="6">
        <v>4.2117000000000004</v>
      </c>
      <c r="M1502" s="6">
        <v>0.2374</v>
      </c>
      <c r="N1502" s="6">
        <v>4.2126999999999999</v>
      </c>
      <c r="O1502" s="6">
        <v>1</v>
      </c>
      <c r="P1502" s="5">
        <v>-99.101662000000005</v>
      </c>
      <c r="Q1502" s="4" t="s">
        <v>1391</v>
      </c>
    </row>
    <row r="1503" spans="1:17" x14ac:dyDescent="0.3">
      <c r="A1503" s="2" t="s">
        <v>1389</v>
      </c>
      <c r="B1503" s="3">
        <v>155824</v>
      </c>
      <c r="C1503" s="3">
        <v>892587</v>
      </c>
      <c r="D1503" s="4" t="s">
        <v>81</v>
      </c>
      <c r="E1503" s="4" t="s">
        <v>739</v>
      </c>
      <c r="F1503" s="4" t="s">
        <v>83</v>
      </c>
      <c r="G1503" s="4" t="s">
        <v>34</v>
      </c>
      <c r="H1503" s="5">
        <v>-52679.58</v>
      </c>
      <c r="I1503" s="4" t="s">
        <v>21</v>
      </c>
      <c r="J1503" s="5">
        <f t="shared" si="23"/>
        <v>190431.413742</v>
      </c>
      <c r="K1503" s="4" t="s">
        <v>47</v>
      </c>
      <c r="L1503" s="6">
        <v>3.6149</v>
      </c>
      <c r="M1503" s="6">
        <v>0.27660000000000001</v>
      </c>
      <c r="N1503" s="6">
        <v>3.6183999999999998</v>
      </c>
      <c r="O1503" s="6">
        <v>1</v>
      </c>
      <c r="P1503" s="5">
        <v>-183.322272</v>
      </c>
      <c r="Q1503" s="4" t="s">
        <v>1391</v>
      </c>
    </row>
    <row r="1504" spans="1:17" x14ac:dyDescent="0.3">
      <c r="A1504" s="2" t="s">
        <v>1389</v>
      </c>
      <c r="B1504" s="3">
        <v>155825</v>
      </c>
      <c r="C1504" s="3">
        <v>892588</v>
      </c>
      <c r="D1504" s="4" t="s">
        <v>81</v>
      </c>
      <c r="E1504" s="4" t="s">
        <v>739</v>
      </c>
      <c r="F1504" s="4" t="s">
        <v>83</v>
      </c>
      <c r="G1504" s="4" t="s">
        <v>20</v>
      </c>
      <c r="H1504" s="5">
        <v>-61715.29</v>
      </c>
      <c r="I1504" s="4" t="s">
        <v>21</v>
      </c>
      <c r="J1504" s="5">
        <f t="shared" si="23"/>
        <v>259994.17371199999</v>
      </c>
      <c r="K1504" s="4" t="s">
        <v>47</v>
      </c>
      <c r="L1504" s="6">
        <v>4.2127999999999997</v>
      </c>
      <c r="M1504" s="6">
        <v>0.2374</v>
      </c>
      <c r="N1504" s="6">
        <v>4.2126999999999999</v>
      </c>
      <c r="O1504" s="6">
        <v>1</v>
      </c>
      <c r="P1504" s="5">
        <v>8.0278170000000006</v>
      </c>
      <c r="Q1504" s="4" t="s">
        <v>1391</v>
      </c>
    </row>
    <row r="1505" spans="1:17" x14ac:dyDescent="0.3">
      <c r="A1505" s="2" t="s">
        <v>1389</v>
      </c>
      <c r="B1505" s="3">
        <v>155826</v>
      </c>
      <c r="C1505" s="3">
        <v>892589</v>
      </c>
      <c r="D1505" s="4" t="s">
        <v>81</v>
      </c>
      <c r="E1505" s="4" t="s">
        <v>735</v>
      </c>
      <c r="F1505" s="4" t="s">
        <v>87</v>
      </c>
      <c r="G1505" s="4" t="s">
        <v>91</v>
      </c>
      <c r="H1505" s="5">
        <v>2166.11</v>
      </c>
      <c r="I1505" s="4" t="s">
        <v>21</v>
      </c>
      <c r="J1505" s="5">
        <f t="shared" si="23"/>
        <v>-10516.897272</v>
      </c>
      <c r="K1505" s="4" t="s">
        <v>47</v>
      </c>
      <c r="L1505" s="6">
        <v>4.8552</v>
      </c>
      <c r="M1505" s="6">
        <v>0.20599999999999999</v>
      </c>
      <c r="N1505" s="6">
        <v>4.8525</v>
      </c>
      <c r="O1505" s="6">
        <v>1</v>
      </c>
      <c r="P1505" s="5">
        <v>-5.8512250000000003</v>
      </c>
      <c r="Q1505" s="4" t="s">
        <v>1394</v>
      </c>
    </row>
    <row r="1506" spans="1:17" x14ac:dyDescent="0.3">
      <c r="A1506" s="2" t="s">
        <v>1389</v>
      </c>
      <c r="B1506" s="3">
        <v>155827</v>
      </c>
      <c r="C1506" s="3">
        <v>892590</v>
      </c>
      <c r="D1506" s="4" t="s">
        <v>81</v>
      </c>
      <c r="E1506" s="4" t="s">
        <v>735</v>
      </c>
      <c r="F1506" s="4" t="s">
        <v>87</v>
      </c>
      <c r="G1506" s="4" t="s">
        <v>93</v>
      </c>
      <c r="H1506" s="5">
        <v>527.30999999999995</v>
      </c>
      <c r="I1506" s="4" t="s">
        <v>21</v>
      </c>
      <c r="J1506" s="5">
        <f t="shared" si="23"/>
        <v>-2384.9703989999998</v>
      </c>
      <c r="K1506" s="4" t="s">
        <v>47</v>
      </c>
      <c r="L1506" s="6">
        <v>4.5228999999999999</v>
      </c>
      <c r="M1506" s="6">
        <v>0.22109999999999999</v>
      </c>
      <c r="N1506" s="6">
        <v>4.5221999999999998</v>
      </c>
      <c r="O1506" s="6">
        <v>1</v>
      </c>
      <c r="P1506" s="5">
        <v>-0.36871799999999999</v>
      </c>
      <c r="Q1506" s="4" t="s">
        <v>1394</v>
      </c>
    </row>
    <row r="1507" spans="1:17" x14ac:dyDescent="0.3">
      <c r="A1507" s="2" t="s">
        <v>1389</v>
      </c>
      <c r="B1507" s="3">
        <v>155828</v>
      </c>
      <c r="C1507" s="3">
        <v>892595</v>
      </c>
      <c r="D1507" s="4" t="s">
        <v>81</v>
      </c>
      <c r="E1507" s="4" t="s">
        <v>734</v>
      </c>
      <c r="F1507" s="4" t="s">
        <v>83</v>
      </c>
      <c r="G1507" s="4" t="s">
        <v>20</v>
      </c>
      <c r="H1507" s="5">
        <v>-101735.42</v>
      </c>
      <c r="I1507" s="4" t="s">
        <v>21</v>
      </c>
      <c r="J1507" s="5">
        <f t="shared" si="23"/>
        <v>428590.97737599997</v>
      </c>
      <c r="K1507" s="4" t="s">
        <v>47</v>
      </c>
      <c r="L1507" s="6">
        <v>4.2127999999999997</v>
      </c>
      <c r="M1507" s="6">
        <v>0.2374</v>
      </c>
      <c r="N1507" s="6">
        <v>4.2126999999999999</v>
      </c>
      <c r="O1507" s="6">
        <v>1</v>
      </c>
      <c r="P1507" s="5">
        <v>12.206166</v>
      </c>
      <c r="Q1507" s="4" t="s">
        <v>1393</v>
      </c>
    </row>
    <row r="1508" spans="1:17" x14ac:dyDescent="0.3">
      <c r="A1508" s="2" t="s">
        <v>1389</v>
      </c>
      <c r="B1508" s="3">
        <v>155829</v>
      </c>
      <c r="C1508" s="3">
        <v>215689</v>
      </c>
      <c r="D1508" s="4" t="s">
        <v>17</v>
      </c>
      <c r="E1508" s="4" t="s">
        <v>734</v>
      </c>
      <c r="F1508" s="4" t="s">
        <v>32</v>
      </c>
      <c r="G1508" s="4" t="s">
        <v>20</v>
      </c>
      <c r="H1508" s="5">
        <v>-30000</v>
      </c>
      <c r="I1508" s="4" t="s">
        <v>21</v>
      </c>
      <c r="J1508" s="5">
        <f t="shared" si="23"/>
        <v>126383.99999999999</v>
      </c>
      <c r="K1508" s="4" t="s">
        <v>42</v>
      </c>
      <c r="L1508" s="6">
        <v>4.2127999999999997</v>
      </c>
      <c r="M1508" s="6">
        <v>0.2374</v>
      </c>
      <c r="N1508" s="6">
        <v>4.2119</v>
      </c>
      <c r="O1508" s="6">
        <v>1</v>
      </c>
      <c r="P1508" s="5">
        <v>6.74</v>
      </c>
      <c r="Q1508" s="4" t="s">
        <v>1393</v>
      </c>
    </row>
    <row r="1509" spans="1:17" x14ac:dyDescent="0.3">
      <c r="A1509" s="2" t="s">
        <v>1389</v>
      </c>
      <c r="B1509" s="3">
        <v>155830</v>
      </c>
      <c r="C1509" s="3">
        <v>215690</v>
      </c>
      <c r="D1509" s="4" t="s">
        <v>17</v>
      </c>
      <c r="E1509" s="4" t="s">
        <v>1075</v>
      </c>
      <c r="F1509" s="4" t="s">
        <v>19</v>
      </c>
      <c r="G1509" s="4" t="s">
        <v>20</v>
      </c>
      <c r="H1509" s="5">
        <v>30000</v>
      </c>
      <c r="I1509" s="4" t="s">
        <v>21</v>
      </c>
      <c r="J1509" s="5">
        <f t="shared" si="23"/>
        <v>-126234</v>
      </c>
      <c r="K1509" s="4" t="s">
        <v>42</v>
      </c>
      <c r="L1509" s="6">
        <v>4.2077999999999998</v>
      </c>
      <c r="M1509" s="6">
        <v>0.23769999999999999</v>
      </c>
      <c r="N1509" s="6">
        <v>4.2119</v>
      </c>
      <c r="O1509" s="6">
        <v>1</v>
      </c>
      <c r="P1509" s="5">
        <v>123</v>
      </c>
      <c r="Q1509" s="4" t="s">
        <v>1390</v>
      </c>
    </row>
    <row r="1510" spans="1:17" x14ac:dyDescent="0.3">
      <c r="A1510" s="2" t="s">
        <v>1389</v>
      </c>
      <c r="B1510" s="3">
        <v>155831</v>
      </c>
      <c r="C1510" s="3">
        <v>892601</v>
      </c>
      <c r="D1510" s="4" t="s">
        <v>81</v>
      </c>
      <c r="E1510" s="4" t="s">
        <v>734</v>
      </c>
      <c r="F1510" s="4" t="s">
        <v>83</v>
      </c>
      <c r="G1510" s="4" t="s">
        <v>20</v>
      </c>
      <c r="H1510" s="5">
        <v>-100218.47</v>
      </c>
      <c r="I1510" s="4" t="s">
        <v>21</v>
      </c>
      <c r="J1510" s="5">
        <f t="shared" si="23"/>
        <v>422080.10825200001</v>
      </c>
      <c r="K1510" s="4" t="s">
        <v>47</v>
      </c>
      <c r="L1510" s="6">
        <v>4.2115999999999998</v>
      </c>
      <c r="M1510" s="6">
        <v>0.2374</v>
      </c>
      <c r="N1510" s="6">
        <v>4.2126999999999999</v>
      </c>
      <c r="O1510" s="6">
        <v>1</v>
      </c>
      <c r="P1510" s="5">
        <v>-107.238569</v>
      </c>
      <c r="Q1510" s="4" t="s">
        <v>1393</v>
      </c>
    </row>
    <row r="1511" spans="1:17" x14ac:dyDescent="0.3">
      <c r="A1511" s="2" t="s">
        <v>1389</v>
      </c>
      <c r="B1511" s="3">
        <v>155832</v>
      </c>
      <c r="C1511" s="3">
        <v>892602</v>
      </c>
      <c r="D1511" s="4" t="s">
        <v>81</v>
      </c>
      <c r="E1511" s="4" t="s">
        <v>734</v>
      </c>
      <c r="F1511" s="4" t="s">
        <v>83</v>
      </c>
      <c r="G1511" s="4" t="s">
        <v>93</v>
      </c>
      <c r="H1511" s="5">
        <v>-694.64</v>
      </c>
      <c r="I1511" s="4" t="s">
        <v>21</v>
      </c>
      <c r="J1511" s="5">
        <f t="shared" si="23"/>
        <v>3140.5369039999996</v>
      </c>
      <c r="K1511" s="4" t="s">
        <v>47</v>
      </c>
      <c r="L1511" s="6">
        <v>4.5210999999999997</v>
      </c>
      <c r="M1511" s="6">
        <v>0.22120000000000001</v>
      </c>
      <c r="N1511" s="6">
        <v>4.5221999999999998</v>
      </c>
      <c r="O1511" s="6">
        <v>1</v>
      </c>
      <c r="P1511" s="5">
        <v>-0.73100799999999999</v>
      </c>
      <c r="Q1511" s="4" t="s">
        <v>1393</v>
      </c>
    </row>
    <row r="1512" spans="1:17" x14ac:dyDescent="0.3">
      <c r="A1512" s="2" t="s">
        <v>1389</v>
      </c>
      <c r="B1512" s="3">
        <v>155833</v>
      </c>
      <c r="C1512" s="3">
        <v>892603</v>
      </c>
      <c r="D1512" s="4" t="s">
        <v>81</v>
      </c>
      <c r="E1512" s="4" t="s">
        <v>734</v>
      </c>
      <c r="F1512" s="4" t="s">
        <v>83</v>
      </c>
      <c r="G1512" s="4" t="s">
        <v>20</v>
      </c>
      <c r="H1512" s="5">
        <v>-1749.43</v>
      </c>
      <c r="I1512" s="4" t="s">
        <v>21</v>
      </c>
      <c r="J1512" s="5">
        <f t="shared" si="23"/>
        <v>7367.1996159999999</v>
      </c>
      <c r="K1512" s="4" t="s">
        <v>47</v>
      </c>
      <c r="L1512" s="6">
        <v>4.2111999999999998</v>
      </c>
      <c r="M1512" s="6">
        <v>0.23749999999999999</v>
      </c>
      <c r="N1512" s="6">
        <v>4.2126999999999999</v>
      </c>
      <c r="O1512" s="6">
        <v>1</v>
      </c>
      <c r="P1512" s="5">
        <v>-2.5937610000000002</v>
      </c>
      <c r="Q1512" s="4" t="s">
        <v>1393</v>
      </c>
    </row>
    <row r="1513" spans="1:17" x14ac:dyDescent="0.3">
      <c r="A1513" s="2" t="s">
        <v>1389</v>
      </c>
      <c r="B1513" s="3">
        <v>155834</v>
      </c>
      <c r="C1513" s="3">
        <v>892604</v>
      </c>
      <c r="D1513" s="4" t="s">
        <v>81</v>
      </c>
      <c r="E1513" s="4" t="s">
        <v>734</v>
      </c>
      <c r="F1513" s="4" t="s">
        <v>83</v>
      </c>
      <c r="G1513" s="4" t="s">
        <v>34</v>
      </c>
      <c r="H1513" s="5">
        <v>-23354.15</v>
      </c>
      <c r="I1513" s="4" t="s">
        <v>21</v>
      </c>
      <c r="J1513" s="5">
        <f t="shared" si="23"/>
        <v>84418.246005000008</v>
      </c>
      <c r="K1513" s="4" t="s">
        <v>47</v>
      </c>
      <c r="L1513" s="6">
        <v>3.6147</v>
      </c>
      <c r="M1513" s="6">
        <v>0.27660000000000001</v>
      </c>
      <c r="N1513" s="6">
        <v>3.6183999999999998</v>
      </c>
      <c r="O1513" s="6">
        <v>1</v>
      </c>
      <c r="P1513" s="5">
        <v>-85.47636</v>
      </c>
      <c r="Q1513" s="4" t="s">
        <v>1393</v>
      </c>
    </row>
    <row r="1514" spans="1:17" x14ac:dyDescent="0.3">
      <c r="A1514" s="2" t="s">
        <v>1389</v>
      </c>
      <c r="B1514" s="3">
        <v>155835</v>
      </c>
      <c r="C1514" s="3">
        <v>892605</v>
      </c>
      <c r="D1514" s="4" t="s">
        <v>81</v>
      </c>
      <c r="E1514" s="4" t="s">
        <v>734</v>
      </c>
      <c r="F1514" s="4" t="s">
        <v>83</v>
      </c>
      <c r="G1514" s="4" t="s">
        <v>91</v>
      </c>
      <c r="H1514" s="5">
        <v>-56088.83</v>
      </c>
      <c r="I1514" s="4" t="s">
        <v>21</v>
      </c>
      <c r="J1514" s="5">
        <f t="shared" si="23"/>
        <v>272283.22523500002</v>
      </c>
      <c r="K1514" s="4" t="s">
        <v>47</v>
      </c>
      <c r="L1514" s="6">
        <v>4.8544999999999998</v>
      </c>
      <c r="M1514" s="6">
        <v>0.20599999999999999</v>
      </c>
      <c r="N1514" s="6">
        <v>4.8525</v>
      </c>
      <c r="O1514" s="6">
        <v>1</v>
      </c>
      <c r="P1514" s="5">
        <v>112.18242499999999</v>
      </c>
      <c r="Q1514" s="4" t="s">
        <v>1393</v>
      </c>
    </row>
    <row r="1515" spans="1:17" x14ac:dyDescent="0.3">
      <c r="A1515" s="2" t="s">
        <v>1389</v>
      </c>
      <c r="B1515" s="3">
        <v>155836</v>
      </c>
      <c r="C1515" s="3">
        <v>215691</v>
      </c>
      <c r="D1515" s="4" t="s">
        <v>17</v>
      </c>
      <c r="E1515" s="4" t="s">
        <v>743</v>
      </c>
      <c r="F1515" s="4" t="s">
        <v>32</v>
      </c>
      <c r="G1515" s="4" t="s">
        <v>20</v>
      </c>
      <c r="H1515" s="5">
        <v>-50000</v>
      </c>
      <c r="I1515" s="4" t="s">
        <v>21</v>
      </c>
      <c r="J1515" s="5">
        <f t="shared" si="23"/>
        <v>210570</v>
      </c>
      <c r="K1515" s="4" t="s">
        <v>42</v>
      </c>
      <c r="L1515" s="6">
        <v>4.2114000000000003</v>
      </c>
      <c r="M1515" s="6">
        <v>0.23749999999999999</v>
      </c>
      <c r="N1515" s="6">
        <v>4.2119</v>
      </c>
      <c r="O1515" s="6">
        <v>1</v>
      </c>
      <c r="P1515" s="5">
        <v>-60.8</v>
      </c>
      <c r="Q1515" s="4" t="s">
        <v>1395</v>
      </c>
    </row>
    <row r="1516" spans="1:17" x14ac:dyDescent="0.3">
      <c r="A1516" s="2" t="s">
        <v>1389</v>
      </c>
      <c r="B1516" s="3">
        <v>155837</v>
      </c>
      <c r="C1516" s="3">
        <v>215692</v>
      </c>
      <c r="D1516" s="4" t="s">
        <v>17</v>
      </c>
      <c r="E1516" s="4" t="s">
        <v>1251</v>
      </c>
      <c r="F1516" s="4" t="s">
        <v>19</v>
      </c>
      <c r="G1516" s="4" t="s">
        <v>20</v>
      </c>
      <c r="H1516" s="5">
        <v>50000</v>
      </c>
      <c r="I1516" s="4" t="s">
        <v>21</v>
      </c>
      <c r="J1516" s="5">
        <f t="shared" si="23"/>
        <v>-210265</v>
      </c>
      <c r="K1516" s="4" t="s">
        <v>42</v>
      </c>
      <c r="L1516" s="6">
        <v>4.2053000000000003</v>
      </c>
      <c r="M1516" s="6">
        <v>0.23780000000000001</v>
      </c>
      <c r="N1516" s="6">
        <v>4.2119</v>
      </c>
      <c r="O1516" s="6">
        <v>1</v>
      </c>
      <c r="P1516" s="5">
        <v>330</v>
      </c>
      <c r="Q1516" s="4" t="s">
        <v>1390</v>
      </c>
    </row>
    <row r="1517" spans="1:17" x14ac:dyDescent="0.3">
      <c r="A1517" s="2" t="s">
        <v>1389</v>
      </c>
      <c r="B1517" s="3">
        <v>155838</v>
      </c>
      <c r="C1517" s="3">
        <v>892615</v>
      </c>
      <c r="D1517" s="4" t="s">
        <v>81</v>
      </c>
      <c r="E1517" s="4" t="s">
        <v>734</v>
      </c>
      <c r="F1517" s="4" t="s">
        <v>83</v>
      </c>
      <c r="G1517" s="4" t="s">
        <v>34</v>
      </c>
      <c r="H1517" s="5">
        <v>-22037.52</v>
      </c>
      <c r="I1517" s="4" t="s">
        <v>21</v>
      </c>
      <c r="J1517" s="5">
        <f t="shared" si="23"/>
        <v>79597.318488000004</v>
      </c>
      <c r="K1517" s="4" t="s">
        <v>48</v>
      </c>
      <c r="L1517" s="6">
        <v>3.6118999999999999</v>
      </c>
      <c r="M1517" s="6">
        <v>0.27689999999999998</v>
      </c>
      <c r="N1517" s="6">
        <v>3.6036999999999999</v>
      </c>
      <c r="O1517" s="6">
        <v>1</v>
      </c>
      <c r="P1517" s="5">
        <v>180.26917599999999</v>
      </c>
      <c r="Q1517" s="4" t="s">
        <v>1393</v>
      </c>
    </row>
    <row r="1518" spans="1:17" x14ac:dyDescent="0.3">
      <c r="A1518" s="2" t="s">
        <v>1389</v>
      </c>
      <c r="B1518" s="3">
        <v>155839</v>
      </c>
      <c r="C1518" s="3">
        <v>892616</v>
      </c>
      <c r="D1518" s="4" t="s">
        <v>81</v>
      </c>
      <c r="E1518" s="4" t="s">
        <v>735</v>
      </c>
      <c r="F1518" s="4" t="s">
        <v>87</v>
      </c>
      <c r="G1518" s="4" t="s">
        <v>20</v>
      </c>
      <c r="H1518" s="5">
        <v>24442.959999999999</v>
      </c>
      <c r="I1518" s="4" t="s">
        <v>21</v>
      </c>
      <c r="J1518" s="5">
        <f t="shared" si="23"/>
        <v>-102980.63477599999</v>
      </c>
      <c r="K1518" s="4" t="s">
        <v>48</v>
      </c>
      <c r="L1518" s="6">
        <v>4.2130999999999998</v>
      </c>
      <c r="M1518" s="6">
        <v>0.2374</v>
      </c>
      <c r="N1518" s="6">
        <v>4.2096999999999998</v>
      </c>
      <c r="O1518" s="6">
        <v>1</v>
      </c>
      <c r="P1518" s="5">
        <v>-83.101287999999997</v>
      </c>
      <c r="Q1518" s="4" t="s">
        <v>1394</v>
      </c>
    </row>
    <row r="1519" spans="1:17" x14ac:dyDescent="0.3">
      <c r="A1519" s="2" t="s">
        <v>1389</v>
      </c>
      <c r="B1519" s="3">
        <v>155840</v>
      </c>
      <c r="C1519" s="3">
        <v>892617</v>
      </c>
      <c r="D1519" s="4" t="s">
        <v>81</v>
      </c>
      <c r="E1519" s="4" t="s">
        <v>734</v>
      </c>
      <c r="F1519" s="4" t="s">
        <v>83</v>
      </c>
      <c r="G1519" s="4" t="s">
        <v>93</v>
      </c>
      <c r="H1519" s="5">
        <v>-530</v>
      </c>
      <c r="I1519" s="4" t="s">
        <v>21</v>
      </c>
      <c r="J1519" s="5">
        <f t="shared" si="23"/>
        <v>2395.7060000000001</v>
      </c>
      <c r="K1519" s="4" t="s">
        <v>48</v>
      </c>
      <c r="L1519" s="6">
        <v>4.5202</v>
      </c>
      <c r="M1519" s="6">
        <v>0.22120000000000001</v>
      </c>
      <c r="N1519" s="6">
        <v>4.5212000000000003</v>
      </c>
      <c r="O1519" s="6">
        <v>1</v>
      </c>
      <c r="P1519" s="5">
        <v>-0.52600000000000002</v>
      </c>
      <c r="Q1519" s="4" t="s">
        <v>1393</v>
      </c>
    </row>
    <row r="1520" spans="1:17" x14ac:dyDescent="0.3">
      <c r="A1520" s="2" t="s">
        <v>1389</v>
      </c>
      <c r="B1520" s="3">
        <v>155841</v>
      </c>
      <c r="C1520" s="3">
        <v>892622</v>
      </c>
      <c r="D1520" s="4" t="s">
        <v>81</v>
      </c>
      <c r="E1520" s="4" t="s">
        <v>734</v>
      </c>
      <c r="F1520" s="4" t="s">
        <v>83</v>
      </c>
      <c r="G1520" s="4" t="s">
        <v>91</v>
      </c>
      <c r="H1520" s="5">
        <v>-13508.33</v>
      </c>
      <c r="I1520" s="4" t="s">
        <v>21</v>
      </c>
      <c r="J1520" s="5">
        <f t="shared" si="23"/>
        <v>65561.328821999996</v>
      </c>
      <c r="K1520" s="4" t="s">
        <v>48</v>
      </c>
      <c r="L1520" s="6">
        <v>4.8533999999999997</v>
      </c>
      <c r="M1520" s="6">
        <v>0.20599999999999999</v>
      </c>
      <c r="N1520" s="6">
        <v>4.8482000000000003</v>
      </c>
      <c r="O1520" s="6">
        <v>1</v>
      </c>
      <c r="P1520" s="5">
        <v>70.244494000000003</v>
      </c>
      <c r="Q1520" s="4" t="s">
        <v>1393</v>
      </c>
    </row>
    <row r="1521" spans="1:17" x14ac:dyDescent="0.3">
      <c r="A1521" s="2" t="s">
        <v>1389</v>
      </c>
      <c r="B1521" s="3">
        <v>155842</v>
      </c>
      <c r="C1521" s="3">
        <v>215693</v>
      </c>
      <c r="D1521" s="4" t="s">
        <v>17</v>
      </c>
      <c r="E1521" s="4" t="s">
        <v>727</v>
      </c>
      <c r="F1521" s="4" t="s">
        <v>19</v>
      </c>
      <c r="G1521" s="4" t="s">
        <v>20</v>
      </c>
      <c r="H1521" s="5">
        <v>147633.60000000001</v>
      </c>
      <c r="I1521" s="4" t="s">
        <v>21</v>
      </c>
      <c r="J1521" s="5">
        <f t="shared" si="23"/>
        <v>-622083.70032000006</v>
      </c>
      <c r="K1521" s="4" t="s">
        <v>42</v>
      </c>
      <c r="L1521" s="6">
        <v>4.2137000000000002</v>
      </c>
      <c r="M1521" s="6">
        <v>0.23730000000000001</v>
      </c>
      <c r="N1521" s="6">
        <v>4.2119</v>
      </c>
      <c r="O1521" s="6">
        <v>1</v>
      </c>
      <c r="P1521" s="5">
        <v>-265.74048000003677</v>
      </c>
      <c r="Q1521" s="4" t="s">
        <v>1397</v>
      </c>
    </row>
    <row r="1522" spans="1:17" x14ac:dyDescent="0.3">
      <c r="A1522" s="2" t="s">
        <v>1389</v>
      </c>
      <c r="B1522" s="3">
        <v>155843</v>
      </c>
      <c r="C1522" s="3">
        <v>892666</v>
      </c>
      <c r="D1522" s="4" t="s">
        <v>81</v>
      </c>
      <c r="E1522" s="4" t="s">
        <v>730</v>
      </c>
      <c r="F1522" s="4" t="s">
        <v>83</v>
      </c>
      <c r="G1522" s="4" t="s">
        <v>20</v>
      </c>
      <c r="H1522" s="5">
        <v>-25940.44</v>
      </c>
      <c r="I1522" s="4" t="s">
        <v>21</v>
      </c>
      <c r="J1522" s="5">
        <f t="shared" si="23"/>
        <v>109263.72732400001</v>
      </c>
      <c r="K1522" s="4" t="s">
        <v>48</v>
      </c>
      <c r="L1522" s="6">
        <v>4.2121000000000004</v>
      </c>
      <c r="M1522" s="6">
        <v>0.2374</v>
      </c>
      <c r="N1522" s="6">
        <v>4.2096999999999998</v>
      </c>
      <c r="O1522" s="6">
        <v>1</v>
      </c>
      <c r="P1522" s="5">
        <v>61.219732</v>
      </c>
      <c r="Q1522" s="4" t="s">
        <v>1396</v>
      </c>
    </row>
    <row r="1523" spans="1:17" x14ac:dyDescent="0.3">
      <c r="A1523" s="2" t="s">
        <v>1389</v>
      </c>
      <c r="B1523" s="3">
        <v>155844</v>
      </c>
      <c r="C1523" s="3">
        <v>892667</v>
      </c>
      <c r="D1523" s="4" t="s">
        <v>81</v>
      </c>
      <c r="E1523" s="4" t="s">
        <v>730</v>
      </c>
      <c r="F1523" s="4" t="s">
        <v>83</v>
      </c>
      <c r="G1523" s="4" t="s">
        <v>34</v>
      </c>
      <c r="H1523" s="5">
        <v>-7403.12</v>
      </c>
      <c r="I1523" s="4" t="s">
        <v>21</v>
      </c>
      <c r="J1523" s="5">
        <f t="shared" si="23"/>
        <v>26755.615991999999</v>
      </c>
      <c r="K1523" s="4" t="s">
        <v>48</v>
      </c>
      <c r="L1523" s="6">
        <v>3.6141000000000001</v>
      </c>
      <c r="M1523" s="6">
        <v>0.2767</v>
      </c>
      <c r="N1523" s="6">
        <v>3.6036999999999999</v>
      </c>
      <c r="O1523" s="6">
        <v>1</v>
      </c>
      <c r="P1523" s="5">
        <v>77.216455999999994</v>
      </c>
      <c r="Q1523" s="4" t="s">
        <v>1396</v>
      </c>
    </row>
    <row r="1524" spans="1:17" x14ac:dyDescent="0.3">
      <c r="A1524" s="2" t="s">
        <v>1389</v>
      </c>
      <c r="B1524" s="3">
        <v>155845</v>
      </c>
      <c r="C1524" s="3">
        <v>892668</v>
      </c>
      <c r="D1524" s="4" t="s">
        <v>81</v>
      </c>
      <c r="E1524" s="4" t="s">
        <v>730</v>
      </c>
      <c r="F1524" s="4" t="s">
        <v>83</v>
      </c>
      <c r="G1524" s="4" t="s">
        <v>91</v>
      </c>
      <c r="H1524" s="5">
        <v>-2027.22</v>
      </c>
      <c r="I1524" s="4" t="s">
        <v>21</v>
      </c>
      <c r="J1524" s="5">
        <f t="shared" si="23"/>
        <v>9843.1667100000013</v>
      </c>
      <c r="K1524" s="4" t="s">
        <v>48</v>
      </c>
      <c r="L1524" s="6">
        <v>4.8555000000000001</v>
      </c>
      <c r="M1524" s="6">
        <v>0.20599999999999999</v>
      </c>
      <c r="N1524" s="6">
        <v>4.8482000000000003</v>
      </c>
      <c r="O1524" s="6">
        <v>1</v>
      </c>
      <c r="P1524" s="5">
        <v>14.721996000000001</v>
      </c>
      <c r="Q1524" s="4" t="s">
        <v>1396</v>
      </c>
    </row>
    <row r="1525" spans="1:17" x14ac:dyDescent="0.3">
      <c r="A1525" s="2" t="s">
        <v>1389</v>
      </c>
      <c r="B1525" s="3">
        <v>155846</v>
      </c>
      <c r="C1525" s="3">
        <v>892669</v>
      </c>
      <c r="D1525" s="4" t="s">
        <v>81</v>
      </c>
      <c r="E1525" s="4" t="s">
        <v>730</v>
      </c>
      <c r="F1525" s="4" t="s">
        <v>83</v>
      </c>
      <c r="G1525" s="4" t="s">
        <v>93</v>
      </c>
      <c r="H1525" s="5">
        <v>-1099.6300000000001</v>
      </c>
      <c r="I1525" s="4" t="s">
        <v>21</v>
      </c>
      <c r="J1525" s="5">
        <f t="shared" si="23"/>
        <v>4970.2176370000007</v>
      </c>
      <c r="K1525" s="4" t="s">
        <v>48</v>
      </c>
      <c r="L1525" s="6">
        <v>4.5198999999999998</v>
      </c>
      <c r="M1525" s="6">
        <v>0.22120000000000001</v>
      </c>
      <c r="N1525" s="6">
        <v>4.5212000000000003</v>
      </c>
      <c r="O1525" s="6">
        <v>1</v>
      </c>
      <c r="P1525" s="5">
        <v>-1.3971560000000001</v>
      </c>
      <c r="Q1525" s="4" t="s">
        <v>1396</v>
      </c>
    </row>
    <row r="1526" spans="1:17" x14ac:dyDescent="0.3">
      <c r="A1526" s="2" t="s">
        <v>1389</v>
      </c>
      <c r="B1526" s="3">
        <v>155847</v>
      </c>
      <c r="C1526" s="3">
        <v>215695</v>
      </c>
      <c r="D1526" s="4" t="s">
        <v>17</v>
      </c>
      <c r="E1526" s="4" t="s">
        <v>734</v>
      </c>
      <c r="F1526" s="4" t="s">
        <v>32</v>
      </c>
      <c r="G1526" s="4" t="s">
        <v>20</v>
      </c>
      <c r="H1526" s="5">
        <v>-20000</v>
      </c>
      <c r="I1526" s="4" t="s">
        <v>21</v>
      </c>
      <c r="J1526" s="5">
        <f t="shared" si="23"/>
        <v>84234.000000000015</v>
      </c>
      <c r="K1526" s="4" t="s">
        <v>42</v>
      </c>
      <c r="L1526" s="6">
        <v>4.2117000000000004</v>
      </c>
      <c r="M1526" s="6">
        <v>0.2374</v>
      </c>
      <c r="N1526" s="6">
        <v>4.2119</v>
      </c>
      <c r="O1526" s="6">
        <v>1</v>
      </c>
      <c r="P1526" s="5">
        <v>-28.19</v>
      </c>
      <c r="Q1526" s="4" t="s">
        <v>1393</v>
      </c>
    </row>
    <row r="1527" spans="1:17" x14ac:dyDescent="0.3">
      <c r="A1527" s="2" t="s">
        <v>1389</v>
      </c>
      <c r="B1527" s="3">
        <v>155848</v>
      </c>
      <c r="C1527" s="3">
        <v>215697</v>
      </c>
      <c r="D1527" s="4" t="s">
        <v>17</v>
      </c>
      <c r="E1527" s="4" t="s">
        <v>734</v>
      </c>
      <c r="F1527" s="4" t="s">
        <v>32</v>
      </c>
      <c r="G1527" s="4" t="s">
        <v>20</v>
      </c>
      <c r="H1527" s="5">
        <v>-4000</v>
      </c>
      <c r="I1527" s="4" t="s">
        <v>21</v>
      </c>
      <c r="J1527" s="5">
        <f t="shared" si="23"/>
        <v>16847.2</v>
      </c>
      <c r="K1527" s="4" t="s">
        <v>42</v>
      </c>
      <c r="L1527" s="6">
        <v>4.2118000000000002</v>
      </c>
      <c r="M1527" s="6">
        <v>0.2374</v>
      </c>
      <c r="N1527" s="6">
        <v>4.2119</v>
      </c>
      <c r="O1527" s="6">
        <v>1</v>
      </c>
      <c r="P1527" s="5">
        <v>-4.25</v>
      </c>
      <c r="Q1527" s="4" t="s">
        <v>1393</v>
      </c>
    </row>
    <row r="1528" spans="1:17" x14ac:dyDescent="0.3">
      <c r="A1528" s="2" t="s">
        <v>1389</v>
      </c>
      <c r="B1528" s="3">
        <v>155849</v>
      </c>
      <c r="C1528" s="3">
        <v>215699</v>
      </c>
      <c r="D1528" s="4" t="s">
        <v>17</v>
      </c>
      <c r="E1528" s="4" t="s">
        <v>727</v>
      </c>
      <c r="F1528" s="4" t="s">
        <v>32</v>
      </c>
      <c r="G1528" s="4" t="s">
        <v>20</v>
      </c>
      <c r="H1528" s="5">
        <v>-100000</v>
      </c>
      <c r="I1528" s="4" t="s">
        <v>21</v>
      </c>
      <c r="J1528" s="5">
        <f t="shared" si="23"/>
        <v>421150</v>
      </c>
      <c r="K1528" s="4" t="s">
        <v>42</v>
      </c>
      <c r="L1528" s="6">
        <v>4.2115</v>
      </c>
      <c r="M1528" s="6">
        <v>0.2374</v>
      </c>
      <c r="N1528" s="6">
        <v>4.2119</v>
      </c>
      <c r="O1528" s="6">
        <v>1</v>
      </c>
      <c r="P1528" s="5">
        <v>-124.9</v>
      </c>
      <c r="Q1528" s="4" t="s">
        <v>1397</v>
      </c>
    </row>
    <row r="1529" spans="1:17" x14ac:dyDescent="0.3">
      <c r="A1529" s="2" t="s">
        <v>1389</v>
      </c>
      <c r="B1529" s="3">
        <v>155850</v>
      </c>
      <c r="C1529" s="3">
        <v>215702</v>
      </c>
      <c r="D1529" s="4" t="s">
        <v>17</v>
      </c>
      <c r="E1529" s="4" t="s">
        <v>727</v>
      </c>
      <c r="F1529" s="4" t="s">
        <v>32</v>
      </c>
      <c r="G1529" s="4" t="s">
        <v>20</v>
      </c>
      <c r="H1529" s="5">
        <v>-104000</v>
      </c>
      <c r="I1529" s="4" t="s">
        <v>21</v>
      </c>
      <c r="J1529" s="5">
        <f t="shared" si="23"/>
        <v>437996</v>
      </c>
      <c r="K1529" s="4" t="s">
        <v>42</v>
      </c>
      <c r="L1529" s="6">
        <v>4.2115</v>
      </c>
      <c r="M1529" s="6">
        <v>0.2374</v>
      </c>
      <c r="N1529" s="6">
        <v>4.2119</v>
      </c>
      <c r="O1529" s="6">
        <v>1</v>
      </c>
      <c r="P1529" s="5">
        <v>-128.96</v>
      </c>
      <c r="Q1529" s="4" t="s">
        <v>1397</v>
      </c>
    </row>
    <row r="1530" spans="1:17" x14ac:dyDescent="0.3">
      <c r="A1530" s="2" t="s">
        <v>1389</v>
      </c>
      <c r="B1530" s="3">
        <v>155851</v>
      </c>
      <c r="C1530" s="3">
        <v>215704</v>
      </c>
      <c r="D1530" s="4" t="s">
        <v>17</v>
      </c>
      <c r="E1530" s="4" t="s">
        <v>735</v>
      </c>
      <c r="F1530" s="4" t="s">
        <v>19</v>
      </c>
      <c r="G1530" s="4" t="s">
        <v>20</v>
      </c>
      <c r="H1530" s="5">
        <v>2100</v>
      </c>
      <c r="I1530" s="4" t="s">
        <v>21</v>
      </c>
      <c r="J1530" s="5">
        <f t="shared" si="23"/>
        <v>-8847.09</v>
      </c>
      <c r="K1530" s="4" t="s">
        <v>42</v>
      </c>
      <c r="L1530" s="6">
        <v>4.2129000000000003</v>
      </c>
      <c r="M1530" s="6">
        <v>0.2374</v>
      </c>
      <c r="N1530" s="6">
        <v>4.2119</v>
      </c>
      <c r="O1530" s="6">
        <v>1</v>
      </c>
      <c r="P1530" s="5">
        <v>-2.1000000000003638</v>
      </c>
      <c r="Q1530" s="4" t="s">
        <v>1394</v>
      </c>
    </row>
    <row r="1531" spans="1:17" x14ac:dyDescent="0.3">
      <c r="A1531" s="2" t="s">
        <v>1389</v>
      </c>
      <c r="B1531" s="3">
        <v>155852</v>
      </c>
      <c r="C1531" s="3">
        <v>215705</v>
      </c>
      <c r="D1531" s="4" t="s">
        <v>17</v>
      </c>
      <c r="E1531" s="4" t="s">
        <v>727</v>
      </c>
      <c r="F1531" s="4" t="s">
        <v>32</v>
      </c>
      <c r="G1531" s="4" t="s">
        <v>20</v>
      </c>
      <c r="H1531" s="5">
        <v>-20000</v>
      </c>
      <c r="I1531" s="4" t="s">
        <v>21</v>
      </c>
      <c r="J1531" s="5">
        <f t="shared" si="23"/>
        <v>84232</v>
      </c>
      <c r="K1531" s="4" t="s">
        <v>42</v>
      </c>
      <c r="L1531" s="6">
        <v>4.2115999999999998</v>
      </c>
      <c r="M1531" s="6">
        <v>0.2374</v>
      </c>
      <c r="N1531" s="6">
        <v>4.2119</v>
      </c>
      <c r="O1531" s="6">
        <v>1</v>
      </c>
      <c r="P1531" s="5">
        <v>-23.76</v>
      </c>
      <c r="Q1531" s="4" t="s">
        <v>1397</v>
      </c>
    </row>
    <row r="1532" spans="1:17" x14ac:dyDescent="0.3">
      <c r="A1532" s="2" t="s">
        <v>1389</v>
      </c>
      <c r="B1532" s="3">
        <v>155853</v>
      </c>
      <c r="C1532" s="3">
        <v>215707</v>
      </c>
      <c r="D1532" s="4" t="s">
        <v>17</v>
      </c>
      <c r="E1532" s="4" t="s">
        <v>727</v>
      </c>
      <c r="F1532" s="4" t="s">
        <v>32</v>
      </c>
      <c r="G1532" s="4" t="s">
        <v>20</v>
      </c>
      <c r="H1532" s="5">
        <v>-11600</v>
      </c>
      <c r="I1532" s="4" t="s">
        <v>21</v>
      </c>
      <c r="J1532" s="5">
        <f t="shared" si="23"/>
        <v>48854.559999999998</v>
      </c>
      <c r="K1532" s="4" t="s">
        <v>42</v>
      </c>
      <c r="L1532" s="6">
        <v>4.2115999999999998</v>
      </c>
      <c r="M1532" s="6">
        <v>0.2374</v>
      </c>
      <c r="N1532" s="6">
        <v>4.2119</v>
      </c>
      <c r="O1532" s="6">
        <v>1</v>
      </c>
      <c r="P1532" s="5">
        <v>-14.24</v>
      </c>
      <c r="Q1532" s="4" t="s">
        <v>1397</v>
      </c>
    </row>
    <row r="1533" spans="1:17" x14ac:dyDescent="0.3">
      <c r="A1533" s="2" t="s">
        <v>1389</v>
      </c>
      <c r="B1533" s="3">
        <v>155854</v>
      </c>
      <c r="C1533" s="3">
        <v>215709</v>
      </c>
      <c r="D1533" s="4" t="s">
        <v>17</v>
      </c>
      <c r="E1533" s="4" t="s">
        <v>727</v>
      </c>
      <c r="F1533" s="4" t="s">
        <v>32</v>
      </c>
      <c r="G1533" s="4" t="s">
        <v>20</v>
      </c>
      <c r="H1533" s="5">
        <v>-1300</v>
      </c>
      <c r="I1533" s="4" t="s">
        <v>21</v>
      </c>
      <c r="J1533" s="5">
        <f t="shared" si="23"/>
        <v>5474.95</v>
      </c>
      <c r="K1533" s="4" t="s">
        <v>42</v>
      </c>
      <c r="L1533" s="6">
        <v>4.2115</v>
      </c>
      <c r="M1533" s="6">
        <v>0.2374</v>
      </c>
      <c r="N1533" s="6">
        <v>4.2119</v>
      </c>
      <c r="O1533" s="6">
        <v>1</v>
      </c>
      <c r="P1533" s="5">
        <v>-1.64</v>
      </c>
      <c r="Q1533" s="4" t="s">
        <v>1397</v>
      </c>
    </row>
    <row r="1534" spans="1:17" x14ac:dyDescent="0.3">
      <c r="A1534" s="2" t="s">
        <v>1389</v>
      </c>
      <c r="B1534" s="3">
        <v>155855</v>
      </c>
      <c r="C1534" s="3">
        <v>215711</v>
      </c>
      <c r="D1534" s="4" t="s">
        <v>17</v>
      </c>
      <c r="E1534" s="4" t="s">
        <v>727</v>
      </c>
      <c r="F1534" s="4" t="s">
        <v>19</v>
      </c>
      <c r="G1534" s="4" t="s">
        <v>20</v>
      </c>
      <c r="H1534" s="5">
        <v>14223</v>
      </c>
      <c r="I1534" s="4" t="s">
        <v>21</v>
      </c>
      <c r="J1534" s="5">
        <f t="shared" si="23"/>
        <v>-59918.654399999992</v>
      </c>
      <c r="K1534" s="4" t="s">
        <v>42</v>
      </c>
      <c r="L1534" s="6">
        <v>4.2127999999999997</v>
      </c>
      <c r="M1534" s="6">
        <v>0.2374</v>
      </c>
      <c r="N1534" s="6">
        <v>4.2119</v>
      </c>
      <c r="O1534" s="6">
        <v>1</v>
      </c>
      <c r="P1534" s="5">
        <v>-12.800699999992503</v>
      </c>
      <c r="Q1534" s="4" t="s">
        <v>1397</v>
      </c>
    </row>
    <row r="1535" spans="1:17" x14ac:dyDescent="0.3">
      <c r="A1535" s="2" t="s">
        <v>1389</v>
      </c>
      <c r="B1535" s="3">
        <v>155856</v>
      </c>
      <c r="C1535" s="3">
        <v>215714</v>
      </c>
      <c r="D1535" s="4" t="s">
        <v>17</v>
      </c>
      <c r="E1535" s="4" t="s">
        <v>727</v>
      </c>
      <c r="F1535" s="4" t="s">
        <v>32</v>
      </c>
      <c r="G1535" s="4" t="s">
        <v>20</v>
      </c>
      <c r="H1535" s="5">
        <v>-1000</v>
      </c>
      <c r="I1535" s="4" t="s">
        <v>21</v>
      </c>
      <c r="J1535" s="5">
        <f t="shared" si="23"/>
        <v>4211.5</v>
      </c>
      <c r="K1535" s="4" t="s">
        <v>42</v>
      </c>
      <c r="L1535" s="6">
        <v>4.2115</v>
      </c>
      <c r="M1535" s="6">
        <v>0.2374</v>
      </c>
      <c r="N1535" s="6">
        <v>4.2119</v>
      </c>
      <c r="O1535" s="6">
        <v>1</v>
      </c>
      <c r="P1535" s="5">
        <v>-1.26</v>
      </c>
      <c r="Q1535" s="4" t="s">
        <v>1397</v>
      </c>
    </row>
    <row r="1536" spans="1:17" x14ac:dyDescent="0.3">
      <c r="A1536" s="2" t="s">
        <v>1389</v>
      </c>
      <c r="B1536" s="3">
        <v>155857</v>
      </c>
      <c r="C1536" s="3">
        <v>215715</v>
      </c>
      <c r="D1536" s="4" t="s">
        <v>17</v>
      </c>
      <c r="E1536" s="4" t="s">
        <v>1312</v>
      </c>
      <c r="F1536" s="4" t="s">
        <v>19</v>
      </c>
      <c r="G1536" s="4" t="s">
        <v>20</v>
      </c>
      <c r="H1536" s="5">
        <v>50000</v>
      </c>
      <c r="I1536" s="4" t="s">
        <v>21</v>
      </c>
      <c r="J1536" s="5">
        <f t="shared" si="23"/>
        <v>-210325</v>
      </c>
      <c r="K1536" s="4" t="s">
        <v>42</v>
      </c>
      <c r="L1536" s="6">
        <v>4.2065000000000001</v>
      </c>
      <c r="M1536" s="6">
        <v>0.23769999999999999</v>
      </c>
      <c r="N1536" s="6">
        <v>4.2119</v>
      </c>
      <c r="O1536" s="6">
        <v>1</v>
      </c>
      <c r="P1536" s="5">
        <v>270</v>
      </c>
      <c r="Q1536" s="4" t="s">
        <v>1390</v>
      </c>
    </row>
    <row r="1537" spans="1:17" x14ac:dyDescent="0.3">
      <c r="A1537" s="2" t="s">
        <v>1389</v>
      </c>
      <c r="B1537" s="3">
        <v>155858</v>
      </c>
      <c r="C1537" s="3">
        <v>215716</v>
      </c>
      <c r="D1537" s="4" t="s">
        <v>17</v>
      </c>
      <c r="E1537" s="4" t="s">
        <v>734</v>
      </c>
      <c r="F1537" s="4" t="s">
        <v>32</v>
      </c>
      <c r="G1537" s="4" t="s">
        <v>20</v>
      </c>
      <c r="H1537" s="5">
        <v>-50000</v>
      </c>
      <c r="I1537" s="4" t="s">
        <v>21</v>
      </c>
      <c r="J1537" s="5">
        <f t="shared" si="23"/>
        <v>210575</v>
      </c>
      <c r="K1537" s="4" t="s">
        <v>42</v>
      </c>
      <c r="L1537" s="6">
        <v>4.2115</v>
      </c>
      <c r="M1537" s="6">
        <v>0.2374</v>
      </c>
      <c r="N1537" s="6">
        <v>4.2119</v>
      </c>
      <c r="O1537" s="6">
        <v>1</v>
      </c>
      <c r="P1537" s="5">
        <v>-64.28</v>
      </c>
      <c r="Q1537" s="4" t="s">
        <v>1393</v>
      </c>
    </row>
    <row r="1538" spans="1:17" x14ac:dyDescent="0.3">
      <c r="A1538" s="2" t="s">
        <v>1389</v>
      </c>
      <c r="B1538" s="3">
        <v>155859</v>
      </c>
      <c r="C1538" s="3">
        <v>215718</v>
      </c>
      <c r="D1538" s="4" t="s">
        <v>17</v>
      </c>
      <c r="E1538" s="4" t="s">
        <v>735</v>
      </c>
      <c r="F1538" s="4" t="s">
        <v>32</v>
      </c>
      <c r="G1538" s="4" t="s">
        <v>20</v>
      </c>
      <c r="H1538" s="5">
        <v>-33200</v>
      </c>
      <c r="I1538" s="4" t="s">
        <v>21</v>
      </c>
      <c r="J1538" s="5">
        <f t="shared" si="23"/>
        <v>139821.79999999999</v>
      </c>
      <c r="K1538" s="4" t="s">
        <v>42</v>
      </c>
      <c r="L1538" s="6">
        <v>4.2115</v>
      </c>
      <c r="M1538" s="6">
        <v>0.2374</v>
      </c>
      <c r="N1538" s="6">
        <v>4.2119</v>
      </c>
      <c r="O1538" s="6">
        <v>1</v>
      </c>
      <c r="P1538" s="5">
        <v>-43.45</v>
      </c>
      <c r="Q1538" s="4" t="s">
        <v>1394</v>
      </c>
    </row>
    <row r="1539" spans="1:17" x14ac:dyDescent="0.3">
      <c r="A1539" s="2" t="s">
        <v>1389</v>
      </c>
      <c r="B1539" s="3">
        <v>155860</v>
      </c>
      <c r="C1539" s="3">
        <v>892725</v>
      </c>
      <c r="D1539" s="4" t="s">
        <v>81</v>
      </c>
      <c r="E1539" s="4" t="s">
        <v>730</v>
      </c>
      <c r="F1539" s="4" t="s">
        <v>87</v>
      </c>
      <c r="G1539" s="4" t="s">
        <v>20</v>
      </c>
      <c r="H1539" s="5">
        <v>500000</v>
      </c>
      <c r="I1539" s="4" t="s">
        <v>34</v>
      </c>
      <c r="J1539" s="5">
        <f t="shared" si="23"/>
        <v>-582350</v>
      </c>
      <c r="K1539" s="4" t="s">
        <v>48</v>
      </c>
      <c r="L1539" s="6">
        <v>1.1647000000000001</v>
      </c>
      <c r="M1539" s="6">
        <v>0.85860000000000003</v>
      </c>
      <c r="N1539" s="6">
        <v>4.2096999999999998</v>
      </c>
      <c r="O1539" s="6">
        <v>3.6036999999999999</v>
      </c>
      <c r="P1539" s="5">
        <v>6163.2309999999998</v>
      </c>
      <c r="Q1539" s="4" t="s">
        <v>1396</v>
      </c>
    </row>
    <row r="1540" spans="1:17" x14ac:dyDescent="0.3">
      <c r="A1540" s="2" t="s">
        <v>1389</v>
      </c>
      <c r="B1540" s="3">
        <v>155861</v>
      </c>
      <c r="C1540" s="3">
        <v>215719</v>
      </c>
      <c r="D1540" s="4" t="s">
        <v>17</v>
      </c>
      <c r="E1540" s="4" t="s">
        <v>735</v>
      </c>
      <c r="F1540" s="4" t="s">
        <v>19</v>
      </c>
      <c r="G1540" s="4" t="s">
        <v>20</v>
      </c>
      <c r="H1540" s="5">
        <v>137403.17000000001</v>
      </c>
      <c r="I1540" s="4" t="s">
        <v>21</v>
      </c>
      <c r="J1540" s="5">
        <f t="shared" ref="J1540:J1603" si="24">-H1540*L1540</f>
        <v>-578824.59394200006</v>
      </c>
      <c r="K1540" s="4" t="s">
        <v>42</v>
      </c>
      <c r="L1540" s="6">
        <v>4.2126000000000001</v>
      </c>
      <c r="M1540" s="6">
        <v>0.2374</v>
      </c>
      <c r="N1540" s="6">
        <v>4.2119</v>
      </c>
      <c r="O1540" s="6">
        <v>1</v>
      </c>
      <c r="P1540" s="5">
        <v>-96.182219000067562</v>
      </c>
      <c r="Q1540" s="4" t="s">
        <v>1394</v>
      </c>
    </row>
    <row r="1541" spans="1:17" x14ac:dyDescent="0.3">
      <c r="A1541" s="2" t="s">
        <v>1389</v>
      </c>
      <c r="B1541" s="3">
        <v>155862</v>
      </c>
      <c r="C1541" s="3">
        <v>215720</v>
      </c>
      <c r="D1541" s="4" t="s">
        <v>17</v>
      </c>
      <c r="E1541" s="4" t="s">
        <v>920</v>
      </c>
      <c r="F1541" s="4" t="s">
        <v>32</v>
      </c>
      <c r="G1541" s="4" t="s">
        <v>20</v>
      </c>
      <c r="H1541" s="5">
        <v>-137403.17000000001</v>
      </c>
      <c r="I1541" s="4" t="s">
        <v>21</v>
      </c>
      <c r="J1541" s="5">
        <f t="shared" si="24"/>
        <v>579442.90820700012</v>
      </c>
      <c r="K1541" s="4" t="s">
        <v>42</v>
      </c>
      <c r="L1541" s="6">
        <v>4.2171000000000003</v>
      </c>
      <c r="M1541" s="6">
        <v>0.23710000000000001</v>
      </c>
      <c r="N1541" s="6">
        <v>4.2119</v>
      </c>
      <c r="O1541" s="6">
        <v>1</v>
      </c>
      <c r="P1541" s="5">
        <v>618.31827699999997</v>
      </c>
      <c r="Q1541" s="4" t="s">
        <v>1390</v>
      </c>
    </row>
    <row r="1542" spans="1:17" x14ac:dyDescent="0.3">
      <c r="A1542" s="2" t="s">
        <v>1389</v>
      </c>
      <c r="B1542" s="3">
        <v>155863</v>
      </c>
      <c r="C1542" s="3">
        <v>215721</v>
      </c>
      <c r="D1542" s="4" t="s">
        <v>17</v>
      </c>
      <c r="E1542" s="4" t="s">
        <v>734</v>
      </c>
      <c r="F1542" s="4" t="s">
        <v>19</v>
      </c>
      <c r="G1542" s="4" t="s">
        <v>20</v>
      </c>
      <c r="H1542" s="5">
        <v>13431.6</v>
      </c>
      <c r="I1542" s="4" t="s">
        <v>21</v>
      </c>
      <c r="J1542" s="5">
        <f t="shared" si="24"/>
        <v>-56591.360280000008</v>
      </c>
      <c r="K1542" s="4" t="s">
        <v>42</v>
      </c>
      <c r="L1542" s="6">
        <v>4.2133000000000003</v>
      </c>
      <c r="M1542" s="6">
        <v>0.23730000000000001</v>
      </c>
      <c r="N1542" s="6">
        <v>4.2119</v>
      </c>
      <c r="O1542" s="6">
        <v>1</v>
      </c>
      <c r="P1542" s="5">
        <v>-18.804240000004938</v>
      </c>
      <c r="Q1542" s="4" t="s">
        <v>1393</v>
      </c>
    </row>
    <row r="1543" spans="1:17" x14ac:dyDescent="0.3">
      <c r="A1543" s="2" t="s">
        <v>1389</v>
      </c>
      <c r="B1543" s="3">
        <v>155864</v>
      </c>
      <c r="C1543" s="3">
        <v>892734</v>
      </c>
      <c r="D1543" s="4" t="s">
        <v>81</v>
      </c>
      <c r="E1543" s="4" t="s">
        <v>730</v>
      </c>
      <c r="F1543" s="4" t="s">
        <v>83</v>
      </c>
      <c r="G1543" s="4" t="s">
        <v>20</v>
      </c>
      <c r="H1543" s="5">
        <v>-100333.09</v>
      </c>
      <c r="I1543" s="4" t="s">
        <v>21</v>
      </c>
      <c r="J1543" s="5">
        <f t="shared" si="24"/>
        <v>422623.04169799999</v>
      </c>
      <c r="K1543" s="4" t="s">
        <v>48</v>
      </c>
      <c r="L1543" s="6">
        <v>4.2122000000000002</v>
      </c>
      <c r="M1543" s="6">
        <v>0.2374</v>
      </c>
      <c r="N1543" s="6">
        <v>4.2096999999999998</v>
      </c>
      <c r="O1543" s="6">
        <v>1</v>
      </c>
      <c r="P1543" s="5">
        <v>246.82102699999999</v>
      </c>
      <c r="Q1543" s="4" t="s">
        <v>1396</v>
      </c>
    </row>
    <row r="1544" spans="1:17" x14ac:dyDescent="0.3">
      <c r="A1544" s="2" t="s">
        <v>1389</v>
      </c>
      <c r="B1544" s="3">
        <v>155865</v>
      </c>
      <c r="C1544" s="3">
        <v>215723</v>
      </c>
      <c r="D1544" s="4" t="s">
        <v>17</v>
      </c>
      <c r="E1544" s="4" t="s">
        <v>735</v>
      </c>
      <c r="F1544" s="4" t="s">
        <v>32</v>
      </c>
      <c r="G1544" s="4" t="s">
        <v>20</v>
      </c>
      <c r="H1544" s="5">
        <v>-6600</v>
      </c>
      <c r="I1544" s="4" t="s">
        <v>21</v>
      </c>
      <c r="J1544" s="5">
        <f t="shared" si="24"/>
        <v>27795.9</v>
      </c>
      <c r="K1544" s="4" t="s">
        <v>42</v>
      </c>
      <c r="L1544" s="6">
        <v>4.2115</v>
      </c>
      <c r="M1544" s="6">
        <v>0.2374</v>
      </c>
      <c r="N1544" s="6">
        <v>4.2119</v>
      </c>
      <c r="O1544" s="6">
        <v>1</v>
      </c>
      <c r="P1544" s="5">
        <v>-8.52</v>
      </c>
      <c r="Q1544" s="4" t="s">
        <v>1394</v>
      </c>
    </row>
    <row r="1545" spans="1:17" x14ac:dyDescent="0.3">
      <c r="A1545" s="2" t="s">
        <v>1389</v>
      </c>
      <c r="B1545" s="3">
        <v>155866</v>
      </c>
      <c r="C1545" s="3">
        <v>215725</v>
      </c>
      <c r="D1545" s="4" t="s">
        <v>17</v>
      </c>
      <c r="E1545" s="4" t="s">
        <v>735</v>
      </c>
      <c r="F1545" s="4" t="s">
        <v>32</v>
      </c>
      <c r="G1545" s="4" t="s">
        <v>20</v>
      </c>
      <c r="H1545" s="5">
        <v>-3000</v>
      </c>
      <c r="I1545" s="4" t="s">
        <v>21</v>
      </c>
      <c r="J1545" s="5">
        <f t="shared" si="24"/>
        <v>12634.5</v>
      </c>
      <c r="K1545" s="4" t="s">
        <v>42</v>
      </c>
      <c r="L1545" s="6">
        <v>4.2115</v>
      </c>
      <c r="M1545" s="6">
        <v>0.2374</v>
      </c>
      <c r="N1545" s="6">
        <v>4.2119</v>
      </c>
      <c r="O1545" s="6">
        <v>1</v>
      </c>
      <c r="P1545" s="5">
        <v>-3.87</v>
      </c>
      <c r="Q1545" s="4" t="s">
        <v>1394</v>
      </c>
    </row>
    <row r="1546" spans="1:17" x14ac:dyDescent="0.3">
      <c r="A1546" s="2" t="s">
        <v>1389</v>
      </c>
      <c r="B1546" s="3">
        <v>155867</v>
      </c>
      <c r="C1546" s="3">
        <v>892744</v>
      </c>
      <c r="D1546" s="4" t="s">
        <v>81</v>
      </c>
      <c r="E1546" s="4" t="s">
        <v>735</v>
      </c>
      <c r="F1546" s="4" t="s">
        <v>83</v>
      </c>
      <c r="G1546" s="4" t="s">
        <v>91</v>
      </c>
      <c r="H1546" s="5">
        <v>-5129.57</v>
      </c>
      <c r="I1546" s="4" t="s">
        <v>21</v>
      </c>
      <c r="J1546" s="5">
        <f t="shared" si="24"/>
        <v>24895.855037999998</v>
      </c>
      <c r="K1546" s="4" t="s">
        <v>48</v>
      </c>
      <c r="L1546" s="6">
        <v>4.8533999999999997</v>
      </c>
      <c r="M1546" s="6">
        <v>0.20599999999999999</v>
      </c>
      <c r="N1546" s="6">
        <v>4.8482000000000003</v>
      </c>
      <c r="O1546" s="6">
        <v>1</v>
      </c>
      <c r="P1546" s="5">
        <v>26.678726000000001</v>
      </c>
      <c r="Q1546" s="4" t="s">
        <v>1394</v>
      </c>
    </row>
    <row r="1547" spans="1:17" x14ac:dyDescent="0.3">
      <c r="A1547" s="2" t="s">
        <v>1389</v>
      </c>
      <c r="B1547" s="3">
        <v>155868</v>
      </c>
      <c r="C1547" s="3">
        <v>892745</v>
      </c>
      <c r="D1547" s="4" t="s">
        <v>81</v>
      </c>
      <c r="E1547" s="4" t="s">
        <v>730</v>
      </c>
      <c r="F1547" s="4" t="s">
        <v>83</v>
      </c>
      <c r="G1547" s="4" t="s">
        <v>34</v>
      </c>
      <c r="H1547" s="5">
        <v>-62724.75</v>
      </c>
      <c r="I1547" s="4" t="s">
        <v>21</v>
      </c>
      <c r="J1547" s="5">
        <f t="shared" si="24"/>
        <v>226862.87580000001</v>
      </c>
      <c r="K1547" s="4" t="s">
        <v>48</v>
      </c>
      <c r="L1547" s="6">
        <v>3.6168</v>
      </c>
      <c r="M1547" s="6">
        <v>0.27650000000000002</v>
      </c>
      <c r="N1547" s="6">
        <v>3.6036999999999999</v>
      </c>
      <c r="O1547" s="6">
        <v>1</v>
      </c>
      <c r="P1547" s="5">
        <v>818.55842500000006</v>
      </c>
      <c r="Q1547" s="4" t="s">
        <v>1396</v>
      </c>
    </row>
    <row r="1548" spans="1:17" x14ac:dyDescent="0.3">
      <c r="A1548" s="2" t="s">
        <v>1389</v>
      </c>
      <c r="B1548" s="3">
        <v>155869</v>
      </c>
      <c r="C1548" s="3">
        <v>892746</v>
      </c>
      <c r="D1548" s="4" t="s">
        <v>81</v>
      </c>
      <c r="E1548" s="4" t="s">
        <v>730</v>
      </c>
      <c r="F1548" s="4" t="s">
        <v>83</v>
      </c>
      <c r="G1548" s="4" t="s">
        <v>20</v>
      </c>
      <c r="H1548" s="5">
        <v>-11297.92</v>
      </c>
      <c r="I1548" s="4" t="s">
        <v>21</v>
      </c>
      <c r="J1548" s="5">
        <f t="shared" si="24"/>
        <v>47585.709247999999</v>
      </c>
      <c r="K1548" s="4" t="s">
        <v>48</v>
      </c>
      <c r="L1548" s="6">
        <v>4.2119</v>
      </c>
      <c r="M1548" s="6">
        <v>0.2374</v>
      </c>
      <c r="N1548" s="6">
        <v>4.2096999999999998</v>
      </c>
      <c r="O1548" s="6">
        <v>1</v>
      </c>
      <c r="P1548" s="5">
        <v>25.196176000000001</v>
      </c>
      <c r="Q1548" s="4" t="s">
        <v>1396</v>
      </c>
    </row>
    <row r="1549" spans="1:17" x14ac:dyDescent="0.3">
      <c r="A1549" s="2" t="s">
        <v>1389</v>
      </c>
      <c r="B1549" s="3">
        <v>155870</v>
      </c>
      <c r="C1549" s="3">
        <v>215728</v>
      </c>
      <c r="D1549" s="4" t="s">
        <v>17</v>
      </c>
      <c r="E1549" s="4" t="s">
        <v>734</v>
      </c>
      <c r="F1549" s="4" t="s">
        <v>19</v>
      </c>
      <c r="G1549" s="4" t="s">
        <v>34</v>
      </c>
      <c r="H1549" s="5">
        <v>6000</v>
      </c>
      <c r="I1549" s="4" t="s">
        <v>21</v>
      </c>
      <c r="J1549" s="5">
        <f t="shared" si="24"/>
        <v>-21702.600000000002</v>
      </c>
      <c r="K1549" s="4" t="s">
        <v>42</v>
      </c>
      <c r="L1549" s="6">
        <v>3.6171000000000002</v>
      </c>
      <c r="M1549" s="6">
        <v>0.27650000000000002</v>
      </c>
      <c r="N1549" s="6">
        <v>3.6070000000000002</v>
      </c>
      <c r="O1549" s="6">
        <v>1</v>
      </c>
      <c r="P1549" s="5">
        <v>-60.600000000002183</v>
      </c>
      <c r="Q1549" s="4" t="s">
        <v>1393</v>
      </c>
    </row>
    <row r="1550" spans="1:17" x14ac:dyDescent="0.3">
      <c r="A1550" s="2" t="s">
        <v>1389</v>
      </c>
      <c r="B1550" s="3">
        <v>155871</v>
      </c>
      <c r="C1550" s="3">
        <v>215729</v>
      </c>
      <c r="D1550" s="4" t="s">
        <v>17</v>
      </c>
      <c r="E1550" s="4" t="s">
        <v>727</v>
      </c>
      <c r="F1550" s="4" t="s">
        <v>32</v>
      </c>
      <c r="G1550" s="4" t="s">
        <v>20</v>
      </c>
      <c r="H1550" s="5">
        <v>-200000</v>
      </c>
      <c r="I1550" s="4" t="s">
        <v>21</v>
      </c>
      <c r="J1550" s="5">
        <f t="shared" si="24"/>
        <v>842420.00000000012</v>
      </c>
      <c r="K1550" s="4" t="s">
        <v>42</v>
      </c>
      <c r="L1550" s="6">
        <v>4.2121000000000004</v>
      </c>
      <c r="M1550" s="6">
        <v>0.2374</v>
      </c>
      <c r="N1550" s="6">
        <v>4.2119</v>
      </c>
      <c r="O1550" s="6">
        <v>1</v>
      </c>
      <c r="P1550" s="5">
        <v>-214.4</v>
      </c>
      <c r="Q1550" s="4" t="s">
        <v>1397</v>
      </c>
    </row>
    <row r="1551" spans="1:17" x14ac:dyDescent="0.3">
      <c r="A1551" s="2" t="s">
        <v>1389</v>
      </c>
      <c r="B1551" s="3">
        <v>155872</v>
      </c>
      <c r="C1551" s="3">
        <v>215731</v>
      </c>
      <c r="D1551" s="4" t="s">
        <v>17</v>
      </c>
      <c r="E1551" s="4" t="s">
        <v>727</v>
      </c>
      <c r="F1551" s="4" t="s">
        <v>32</v>
      </c>
      <c r="G1551" s="4" t="s">
        <v>20</v>
      </c>
      <c r="H1551" s="5">
        <v>-200000</v>
      </c>
      <c r="I1551" s="4" t="s">
        <v>21</v>
      </c>
      <c r="J1551" s="5">
        <f t="shared" si="24"/>
        <v>842340.00000000012</v>
      </c>
      <c r="K1551" s="4" t="s">
        <v>42</v>
      </c>
      <c r="L1551" s="6">
        <v>4.2117000000000004</v>
      </c>
      <c r="M1551" s="6">
        <v>0.2374</v>
      </c>
      <c r="N1551" s="6">
        <v>4.2119</v>
      </c>
      <c r="O1551" s="6">
        <v>1</v>
      </c>
      <c r="P1551" s="5">
        <v>-278.39999999999998</v>
      </c>
      <c r="Q1551" s="4" t="s">
        <v>1397</v>
      </c>
    </row>
    <row r="1552" spans="1:17" x14ac:dyDescent="0.3">
      <c r="A1552" s="2" t="s">
        <v>1389</v>
      </c>
      <c r="B1552" s="3">
        <v>155873</v>
      </c>
      <c r="C1552" s="3">
        <v>215733</v>
      </c>
      <c r="D1552" s="4" t="s">
        <v>17</v>
      </c>
      <c r="E1552" s="4" t="s">
        <v>735</v>
      </c>
      <c r="F1552" s="4" t="s">
        <v>32</v>
      </c>
      <c r="G1552" s="4" t="s">
        <v>20</v>
      </c>
      <c r="H1552" s="5">
        <v>-60000</v>
      </c>
      <c r="I1552" s="4" t="s">
        <v>21</v>
      </c>
      <c r="J1552" s="5">
        <f t="shared" si="24"/>
        <v>252653.99999999997</v>
      </c>
      <c r="K1552" s="4" t="s">
        <v>42</v>
      </c>
      <c r="L1552" s="6">
        <v>4.2108999999999996</v>
      </c>
      <c r="M1552" s="6">
        <v>0.23749999999999999</v>
      </c>
      <c r="N1552" s="6">
        <v>4.2119</v>
      </c>
      <c r="O1552" s="6">
        <v>1</v>
      </c>
      <c r="P1552" s="5">
        <v>-112.84</v>
      </c>
      <c r="Q1552" s="4" t="s">
        <v>1394</v>
      </c>
    </row>
    <row r="1553" spans="1:17" x14ac:dyDescent="0.3">
      <c r="A1553" s="2" t="s">
        <v>1389</v>
      </c>
      <c r="B1553" s="3">
        <v>155874</v>
      </c>
      <c r="C1553" s="3">
        <v>215735</v>
      </c>
      <c r="D1553" s="4" t="s">
        <v>17</v>
      </c>
      <c r="E1553" s="4" t="s">
        <v>734</v>
      </c>
      <c r="F1553" s="4" t="s">
        <v>19</v>
      </c>
      <c r="G1553" s="4" t="s">
        <v>20</v>
      </c>
      <c r="H1553" s="5">
        <v>12226.89</v>
      </c>
      <c r="I1553" s="4" t="s">
        <v>21</v>
      </c>
      <c r="J1553" s="5">
        <f t="shared" si="24"/>
        <v>-51499.660679999994</v>
      </c>
      <c r="K1553" s="4" t="s">
        <v>42</v>
      </c>
      <c r="L1553" s="6">
        <v>4.2119999999999997</v>
      </c>
      <c r="M1553" s="6">
        <v>0.2374</v>
      </c>
      <c r="N1553" s="6">
        <v>4.2119</v>
      </c>
      <c r="O1553" s="6">
        <v>1</v>
      </c>
      <c r="P1553" s="5">
        <v>-1.2226889999947161</v>
      </c>
      <c r="Q1553" s="4" t="s">
        <v>1393</v>
      </c>
    </row>
    <row r="1554" spans="1:17" x14ac:dyDescent="0.3">
      <c r="A1554" s="2" t="s">
        <v>1389</v>
      </c>
      <c r="B1554" s="3">
        <v>155875</v>
      </c>
      <c r="C1554" s="3">
        <v>215737</v>
      </c>
      <c r="D1554" s="4" t="s">
        <v>17</v>
      </c>
      <c r="E1554" s="4" t="s">
        <v>1272</v>
      </c>
      <c r="F1554" s="4" t="s">
        <v>32</v>
      </c>
      <c r="G1554" s="4" t="s">
        <v>34</v>
      </c>
      <c r="H1554" s="5">
        <v>-25000</v>
      </c>
      <c r="I1554" s="4" t="s">
        <v>21</v>
      </c>
      <c r="J1554" s="5">
        <f t="shared" si="24"/>
        <v>90587.5</v>
      </c>
      <c r="K1554" s="4" t="s">
        <v>42</v>
      </c>
      <c r="L1554" s="6">
        <v>3.6234999999999999</v>
      </c>
      <c r="M1554" s="6">
        <v>0.27600000000000002</v>
      </c>
      <c r="N1554" s="6">
        <v>3.6070000000000002</v>
      </c>
      <c r="O1554" s="6">
        <v>1</v>
      </c>
      <c r="P1554" s="5">
        <v>412.5</v>
      </c>
      <c r="Q1554" s="4" t="s">
        <v>1390</v>
      </c>
    </row>
    <row r="1555" spans="1:17" x14ac:dyDescent="0.3">
      <c r="A1555" s="2" t="s">
        <v>1389</v>
      </c>
      <c r="B1555" s="3">
        <v>155876</v>
      </c>
      <c r="C1555" s="3">
        <v>892816</v>
      </c>
      <c r="D1555" s="4" t="s">
        <v>81</v>
      </c>
      <c r="E1555" s="4" t="s">
        <v>1332</v>
      </c>
      <c r="F1555" s="4" t="s">
        <v>83</v>
      </c>
      <c r="G1555" s="4" t="s">
        <v>20</v>
      </c>
      <c r="H1555" s="5">
        <v>-1000</v>
      </c>
      <c r="I1555" s="4" t="s">
        <v>21</v>
      </c>
      <c r="J1555" s="5">
        <f t="shared" si="24"/>
        <v>4218.2000000000007</v>
      </c>
      <c r="K1555" s="4" t="s">
        <v>48</v>
      </c>
      <c r="L1555" s="6">
        <v>4.2182000000000004</v>
      </c>
      <c r="M1555" s="6">
        <v>0.23710000000000001</v>
      </c>
      <c r="N1555" s="6">
        <v>4.2096999999999998</v>
      </c>
      <c r="O1555" s="6">
        <v>1</v>
      </c>
      <c r="P1555" s="5">
        <v>8.5</v>
      </c>
      <c r="Q1555" s="4" t="s">
        <v>1390</v>
      </c>
    </row>
    <row r="1556" spans="1:17" x14ac:dyDescent="0.3">
      <c r="A1556" s="2" t="s">
        <v>1389</v>
      </c>
      <c r="B1556" s="3">
        <v>155878</v>
      </c>
      <c r="C1556" s="3">
        <v>892827</v>
      </c>
      <c r="D1556" s="4" t="s">
        <v>81</v>
      </c>
      <c r="E1556" s="4" t="s">
        <v>732</v>
      </c>
      <c r="F1556" s="4" t="s">
        <v>87</v>
      </c>
      <c r="G1556" s="4" t="s">
        <v>20</v>
      </c>
      <c r="H1556" s="5">
        <v>1000000</v>
      </c>
      <c r="I1556" s="4" t="s">
        <v>21</v>
      </c>
      <c r="J1556" s="5">
        <f t="shared" si="24"/>
        <v>-4212200</v>
      </c>
      <c r="K1556" s="4" t="s">
        <v>48</v>
      </c>
      <c r="L1556" s="6">
        <v>4.2122000000000002</v>
      </c>
      <c r="M1556" s="6">
        <v>0.2374</v>
      </c>
      <c r="N1556" s="6">
        <v>4.2096999999999998</v>
      </c>
      <c r="O1556" s="6">
        <v>1</v>
      </c>
      <c r="P1556" s="5">
        <v>-2500</v>
      </c>
      <c r="Q1556" s="4" t="s">
        <v>1394</v>
      </c>
    </row>
    <row r="1557" spans="1:17" x14ac:dyDescent="0.3">
      <c r="A1557" s="2" t="s">
        <v>1389</v>
      </c>
      <c r="B1557" s="3">
        <v>155879</v>
      </c>
      <c r="C1557" s="3">
        <v>215760</v>
      </c>
      <c r="D1557" s="4" t="s">
        <v>17</v>
      </c>
      <c r="E1557" s="4" t="s">
        <v>1138</v>
      </c>
      <c r="F1557" s="4" t="s">
        <v>19</v>
      </c>
      <c r="G1557" s="4" t="s">
        <v>20</v>
      </c>
      <c r="H1557" s="5">
        <v>9800</v>
      </c>
      <c r="I1557" s="4" t="s">
        <v>34</v>
      </c>
      <c r="J1557" s="5">
        <f t="shared" si="24"/>
        <v>-11404.26</v>
      </c>
      <c r="K1557" s="4" t="s">
        <v>42</v>
      </c>
      <c r="L1557" s="6">
        <v>1.1637</v>
      </c>
      <c r="M1557" s="6">
        <v>0.85929999999999995</v>
      </c>
      <c r="N1557" s="6">
        <v>4.2119</v>
      </c>
      <c r="O1557" s="6">
        <v>3.6070000000000002</v>
      </c>
      <c r="P1557" s="5">
        <v>141.45418000000063</v>
      </c>
      <c r="Q1557" s="4" t="s">
        <v>1390</v>
      </c>
    </row>
    <row r="1558" spans="1:17" x14ac:dyDescent="0.3">
      <c r="A1558" s="2" t="s">
        <v>1389</v>
      </c>
      <c r="B1558" s="3">
        <v>155880</v>
      </c>
      <c r="C1558" s="3">
        <v>215761</v>
      </c>
      <c r="D1558" s="4" t="s">
        <v>17</v>
      </c>
      <c r="E1558" s="4" t="s">
        <v>1259</v>
      </c>
      <c r="F1558" s="4" t="s">
        <v>19</v>
      </c>
      <c r="G1558" s="4" t="s">
        <v>20</v>
      </c>
      <c r="H1558" s="5">
        <v>70000</v>
      </c>
      <c r="I1558" s="4" t="s">
        <v>21</v>
      </c>
      <c r="J1558" s="5">
        <f t="shared" si="24"/>
        <v>-294056</v>
      </c>
      <c r="K1558" s="4" t="s">
        <v>42</v>
      </c>
      <c r="L1558" s="6">
        <v>4.2008000000000001</v>
      </c>
      <c r="M1558" s="6">
        <v>0.23799999999999999</v>
      </c>
      <c r="N1558" s="6">
        <v>4.2119</v>
      </c>
      <c r="O1558" s="6">
        <v>1</v>
      </c>
      <c r="P1558" s="5">
        <v>777</v>
      </c>
      <c r="Q1558" s="4" t="s">
        <v>1390</v>
      </c>
    </row>
    <row r="1559" spans="1:17" x14ac:dyDescent="0.3">
      <c r="A1559" s="2" t="s">
        <v>1389</v>
      </c>
      <c r="B1559" s="3">
        <v>155881</v>
      </c>
      <c r="C1559" s="3">
        <v>215762</v>
      </c>
      <c r="D1559" s="4" t="s">
        <v>17</v>
      </c>
      <c r="E1559" s="4" t="s">
        <v>1199</v>
      </c>
      <c r="F1559" s="4" t="s">
        <v>32</v>
      </c>
      <c r="G1559" s="4" t="s">
        <v>20</v>
      </c>
      <c r="H1559" s="5">
        <v>-50000</v>
      </c>
      <c r="I1559" s="4" t="s">
        <v>34</v>
      </c>
      <c r="J1559" s="5">
        <f t="shared" si="24"/>
        <v>58255</v>
      </c>
      <c r="K1559" s="4" t="s">
        <v>42</v>
      </c>
      <c r="L1559" s="6">
        <v>1.1651</v>
      </c>
      <c r="M1559" s="6">
        <v>0.85829999999999995</v>
      </c>
      <c r="N1559" s="6">
        <v>4.2119</v>
      </c>
      <c r="O1559" s="6">
        <v>3.6070000000000002</v>
      </c>
      <c r="P1559" s="5">
        <v>-523.32000000000005</v>
      </c>
      <c r="Q1559" s="4" t="s">
        <v>1390</v>
      </c>
    </row>
    <row r="1560" spans="1:17" x14ac:dyDescent="0.3">
      <c r="A1560" s="2" t="s">
        <v>1389</v>
      </c>
      <c r="B1560" s="3">
        <v>155882</v>
      </c>
      <c r="C1560" s="3">
        <v>215764</v>
      </c>
      <c r="D1560" s="4" t="s">
        <v>17</v>
      </c>
      <c r="E1560" s="4" t="s">
        <v>788</v>
      </c>
      <c r="F1560" s="4" t="s">
        <v>19</v>
      </c>
      <c r="G1560" s="4" t="s">
        <v>20</v>
      </c>
      <c r="H1560" s="5">
        <v>310000</v>
      </c>
      <c r="I1560" s="4" t="s">
        <v>21</v>
      </c>
      <c r="J1560" s="5">
        <f t="shared" si="24"/>
        <v>-1304108</v>
      </c>
      <c r="K1560" s="4" t="s">
        <v>42</v>
      </c>
      <c r="L1560" s="6">
        <v>4.2068000000000003</v>
      </c>
      <c r="M1560" s="6">
        <v>0.23769999999999999</v>
      </c>
      <c r="N1560" s="6">
        <v>4.2119</v>
      </c>
      <c r="O1560" s="6">
        <v>1</v>
      </c>
      <c r="P1560" s="5">
        <v>1581</v>
      </c>
      <c r="Q1560" s="4" t="s">
        <v>1390</v>
      </c>
    </row>
    <row r="1561" spans="1:17" x14ac:dyDescent="0.3">
      <c r="A1561" s="2" t="s">
        <v>1389</v>
      </c>
      <c r="B1561" s="3">
        <v>155883</v>
      </c>
      <c r="C1561" s="3">
        <v>215765</v>
      </c>
      <c r="D1561" s="4" t="s">
        <v>17</v>
      </c>
      <c r="E1561" s="4" t="s">
        <v>1180</v>
      </c>
      <c r="F1561" s="4" t="s">
        <v>19</v>
      </c>
      <c r="G1561" s="4" t="s">
        <v>20</v>
      </c>
      <c r="H1561" s="5">
        <v>771.21</v>
      </c>
      <c r="I1561" s="4" t="s">
        <v>21</v>
      </c>
      <c r="J1561" s="5">
        <f t="shared" si="24"/>
        <v>-3241.3956300000004</v>
      </c>
      <c r="K1561" s="4" t="s">
        <v>42</v>
      </c>
      <c r="L1561" s="6">
        <v>4.2030000000000003</v>
      </c>
      <c r="M1561" s="6">
        <v>0.2379</v>
      </c>
      <c r="N1561" s="6">
        <v>4.2119</v>
      </c>
      <c r="O1561" s="6">
        <v>1</v>
      </c>
      <c r="P1561" s="5">
        <v>6.8637689999995928</v>
      </c>
      <c r="Q1561" s="4" t="s">
        <v>1390</v>
      </c>
    </row>
    <row r="1562" spans="1:17" x14ac:dyDescent="0.3">
      <c r="A1562" s="2" t="s">
        <v>1389</v>
      </c>
      <c r="B1562" s="3">
        <v>155884</v>
      </c>
      <c r="C1562" s="3">
        <v>215766</v>
      </c>
      <c r="D1562" s="4" t="s">
        <v>17</v>
      </c>
      <c r="E1562" s="4" t="s">
        <v>917</v>
      </c>
      <c r="F1562" s="4" t="s">
        <v>19</v>
      </c>
      <c r="G1562" s="4" t="s">
        <v>20</v>
      </c>
      <c r="H1562" s="5">
        <v>20000</v>
      </c>
      <c r="I1562" s="4" t="s">
        <v>21</v>
      </c>
      <c r="J1562" s="5">
        <f t="shared" si="24"/>
        <v>-83900</v>
      </c>
      <c r="K1562" s="4" t="s">
        <v>42</v>
      </c>
      <c r="L1562" s="6">
        <v>4.1950000000000003</v>
      </c>
      <c r="M1562" s="6">
        <v>0.2384</v>
      </c>
      <c r="N1562" s="6">
        <v>4.2119</v>
      </c>
      <c r="O1562" s="6">
        <v>1</v>
      </c>
      <c r="P1562" s="5">
        <v>338</v>
      </c>
      <c r="Q1562" s="4" t="s">
        <v>1390</v>
      </c>
    </row>
    <row r="1563" spans="1:17" x14ac:dyDescent="0.3">
      <c r="A1563" s="2" t="s">
        <v>1389</v>
      </c>
      <c r="B1563" s="3">
        <v>155886</v>
      </c>
      <c r="C1563" s="3">
        <v>215771</v>
      </c>
      <c r="D1563" s="4" t="s">
        <v>17</v>
      </c>
      <c r="E1563" s="4" t="s">
        <v>728</v>
      </c>
      <c r="F1563" s="4" t="s">
        <v>19</v>
      </c>
      <c r="G1563" s="4" t="s">
        <v>34</v>
      </c>
      <c r="H1563" s="5">
        <v>5399.85</v>
      </c>
      <c r="I1563" s="4" t="s">
        <v>21</v>
      </c>
      <c r="J1563" s="5">
        <f t="shared" si="24"/>
        <v>-19569.056400000001</v>
      </c>
      <c r="K1563" s="4" t="s">
        <v>42</v>
      </c>
      <c r="L1563" s="6">
        <v>3.6240000000000001</v>
      </c>
      <c r="M1563" s="6">
        <v>0.27589999999999998</v>
      </c>
      <c r="N1563" s="6">
        <v>3.6070000000000002</v>
      </c>
      <c r="O1563" s="6">
        <v>1</v>
      </c>
      <c r="P1563" s="5">
        <v>-91.797449999998207</v>
      </c>
      <c r="Q1563" s="4" t="s">
        <v>1390</v>
      </c>
    </row>
    <row r="1564" spans="1:17" x14ac:dyDescent="0.3">
      <c r="A1564" s="2" t="s">
        <v>1389</v>
      </c>
      <c r="B1564" s="3">
        <v>155889</v>
      </c>
      <c r="C1564" s="3">
        <v>215773</v>
      </c>
      <c r="D1564" s="4" t="s">
        <v>17</v>
      </c>
      <c r="E1564" s="4" t="s">
        <v>728</v>
      </c>
      <c r="F1564" s="4" t="s">
        <v>32</v>
      </c>
      <c r="G1564" s="4" t="s">
        <v>34</v>
      </c>
      <c r="H1564" s="5">
        <v>-5399.85</v>
      </c>
      <c r="I1564" s="4" t="s">
        <v>21</v>
      </c>
      <c r="J1564" s="5">
        <f t="shared" si="24"/>
        <v>19569.056400000001</v>
      </c>
      <c r="K1564" s="4" t="s">
        <v>42</v>
      </c>
      <c r="L1564" s="6">
        <v>3.6240000000000001</v>
      </c>
      <c r="M1564" s="6">
        <v>0.27589999999999998</v>
      </c>
      <c r="N1564" s="6">
        <v>3.6070000000000002</v>
      </c>
      <c r="O1564" s="6">
        <v>1</v>
      </c>
      <c r="P1564" s="5">
        <v>91.801050000000004</v>
      </c>
      <c r="Q1564" s="4" t="s">
        <v>1390</v>
      </c>
    </row>
    <row r="1565" spans="1:17" x14ac:dyDescent="0.3">
      <c r="A1565" s="2" t="s">
        <v>1389</v>
      </c>
      <c r="B1565" s="3">
        <v>155890</v>
      </c>
      <c r="C1565" s="3">
        <v>892912</v>
      </c>
      <c r="D1565" s="4" t="s">
        <v>81</v>
      </c>
      <c r="E1565" s="4" t="s">
        <v>725</v>
      </c>
      <c r="F1565" s="4" t="s">
        <v>83</v>
      </c>
      <c r="G1565" s="4" t="s">
        <v>20</v>
      </c>
      <c r="H1565" s="5">
        <v>-1000000</v>
      </c>
      <c r="I1565" s="4" t="s">
        <v>21</v>
      </c>
      <c r="J1565" s="5">
        <f t="shared" si="24"/>
        <v>4214200</v>
      </c>
      <c r="K1565" s="4" t="s">
        <v>48</v>
      </c>
      <c r="L1565" s="6">
        <v>4.2141999999999999</v>
      </c>
      <c r="M1565" s="6">
        <v>0.23730000000000001</v>
      </c>
      <c r="N1565" s="6">
        <v>4.2096999999999998</v>
      </c>
      <c r="O1565" s="6">
        <v>1</v>
      </c>
      <c r="P1565" s="5">
        <v>4480</v>
      </c>
      <c r="Q1565" s="4" t="s">
        <v>1392</v>
      </c>
    </row>
    <row r="1566" spans="1:17" x14ac:dyDescent="0.3">
      <c r="A1566" s="2" t="s">
        <v>1389</v>
      </c>
      <c r="B1566" s="3">
        <v>155891</v>
      </c>
      <c r="C1566" s="3">
        <v>215781</v>
      </c>
      <c r="D1566" s="4" t="s">
        <v>17</v>
      </c>
      <c r="E1566" s="4" t="s">
        <v>1312</v>
      </c>
      <c r="F1566" s="4" t="s">
        <v>19</v>
      </c>
      <c r="G1566" s="4" t="s">
        <v>20</v>
      </c>
      <c r="H1566" s="5">
        <v>100000</v>
      </c>
      <c r="I1566" s="4" t="s">
        <v>21</v>
      </c>
      <c r="J1566" s="5">
        <f t="shared" si="24"/>
        <v>-421150</v>
      </c>
      <c r="K1566" s="4" t="s">
        <v>42</v>
      </c>
      <c r="L1566" s="6">
        <v>4.2115</v>
      </c>
      <c r="M1566" s="6">
        <v>0.2374</v>
      </c>
      <c r="N1566" s="6">
        <v>4.2119</v>
      </c>
      <c r="O1566" s="6">
        <v>1</v>
      </c>
      <c r="P1566" s="5">
        <v>40</v>
      </c>
      <c r="Q1566" s="4" t="s">
        <v>1390</v>
      </c>
    </row>
    <row r="1567" spans="1:17" x14ac:dyDescent="0.3">
      <c r="A1567" s="2" t="s">
        <v>1389</v>
      </c>
      <c r="B1567" s="3">
        <v>155892</v>
      </c>
      <c r="C1567" s="3">
        <v>892916</v>
      </c>
      <c r="D1567" s="4" t="s">
        <v>81</v>
      </c>
      <c r="E1567" s="4" t="s">
        <v>734</v>
      </c>
      <c r="F1567" s="4" t="s">
        <v>83</v>
      </c>
      <c r="G1567" s="4" t="s">
        <v>20</v>
      </c>
      <c r="H1567" s="5">
        <v>-500000</v>
      </c>
      <c r="I1567" s="4" t="s">
        <v>21</v>
      </c>
      <c r="J1567" s="5">
        <f t="shared" si="24"/>
        <v>2107350</v>
      </c>
      <c r="K1567" s="4" t="s">
        <v>48</v>
      </c>
      <c r="L1567" s="6">
        <v>4.2146999999999997</v>
      </c>
      <c r="M1567" s="6">
        <v>0.23730000000000001</v>
      </c>
      <c r="N1567" s="6">
        <v>4.2096999999999998</v>
      </c>
      <c r="O1567" s="6">
        <v>1</v>
      </c>
      <c r="P1567" s="5">
        <v>2500</v>
      </c>
      <c r="Q1567" s="4" t="s">
        <v>1393</v>
      </c>
    </row>
    <row r="1568" spans="1:17" x14ac:dyDescent="0.3">
      <c r="A1568" s="2" t="s">
        <v>1389</v>
      </c>
      <c r="B1568" s="3">
        <v>155893</v>
      </c>
      <c r="C1568" s="3">
        <v>215784</v>
      </c>
      <c r="D1568" s="4" t="s">
        <v>17</v>
      </c>
      <c r="E1568" s="4" t="s">
        <v>1259</v>
      </c>
      <c r="F1568" s="4" t="s">
        <v>19</v>
      </c>
      <c r="G1568" s="4" t="s">
        <v>20</v>
      </c>
      <c r="H1568" s="5">
        <v>30000</v>
      </c>
      <c r="I1568" s="4" t="s">
        <v>21</v>
      </c>
      <c r="J1568" s="5">
        <f t="shared" si="24"/>
        <v>-126084</v>
      </c>
      <c r="K1568" s="4" t="s">
        <v>42</v>
      </c>
      <c r="L1568" s="6">
        <v>4.2027999999999999</v>
      </c>
      <c r="M1568" s="6">
        <v>0.2379</v>
      </c>
      <c r="N1568" s="6">
        <v>4.2119</v>
      </c>
      <c r="O1568" s="6">
        <v>1</v>
      </c>
      <c r="P1568" s="5">
        <v>273</v>
      </c>
      <c r="Q1568" s="4" t="s">
        <v>1390</v>
      </c>
    </row>
    <row r="1569" spans="1:17" x14ac:dyDescent="0.3">
      <c r="A1569" s="2" t="s">
        <v>1389</v>
      </c>
      <c r="B1569" s="3">
        <v>155894</v>
      </c>
      <c r="C1569" s="3">
        <v>215785</v>
      </c>
      <c r="D1569" s="4" t="s">
        <v>17</v>
      </c>
      <c r="E1569" s="4" t="s">
        <v>757</v>
      </c>
      <c r="F1569" s="4" t="s">
        <v>19</v>
      </c>
      <c r="G1569" s="4" t="s">
        <v>20</v>
      </c>
      <c r="H1569" s="5">
        <v>5000</v>
      </c>
      <c r="I1569" s="4" t="s">
        <v>21</v>
      </c>
      <c r="J1569" s="5">
        <f t="shared" si="24"/>
        <v>-21016.499999999996</v>
      </c>
      <c r="K1569" s="4" t="s">
        <v>42</v>
      </c>
      <c r="L1569" s="6">
        <v>4.2032999999999996</v>
      </c>
      <c r="M1569" s="6">
        <v>0.2379</v>
      </c>
      <c r="N1569" s="6">
        <v>4.2119</v>
      </c>
      <c r="O1569" s="6">
        <v>1</v>
      </c>
      <c r="P1569" s="5">
        <v>43.000000000003638</v>
      </c>
      <c r="Q1569" s="4" t="s">
        <v>1390</v>
      </c>
    </row>
    <row r="1570" spans="1:17" x14ac:dyDescent="0.3">
      <c r="A1570" s="2" t="s">
        <v>1389</v>
      </c>
      <c r="B1570" s="3">
        <v>155895</v>
      </c>
      <c r="C1570" s="3">
        <v>215786</v>
      </c>
      <c r="D1570" s="4" t="s">
        <v>17</v>
      </c>
      <c r="E1570" s="4" t="s">
        <v>1330</v>
      </c>
      <c r="F1570" s="4" t="s">
        <v>32</v>
      </c>
      <c r="G1570" s="4" t="s">
        <v>20</v>
      </c>
      <c r="H1570" s="5">
        <v>-775000</v>
      </c>
      <c r="I1570" s="4" t="s">
        <v>21</v>
      </c>
      <c r="J1570" s="5">
        <f t="shared" si="24"/>
        <v>3270500</v>
      </c>
      <c r="K1570" s="4" t="s">
        <v>42</v>
      </c>
      <c r="L1570" s="6">
        <v>4.22</v>
      </c>
      <c r="M1570" s="6">
        <v>0.23699999999999999</v>
      </c>
      <c r="N1570" s="6">
        <v>4.2119</v>
      </c>
      <c r="O1570" s="6">
        <v>1</v>
      </c>
      <c r="P1570" s="5">
        <v>6277.5</v>
      </c>
      <c r="Q1570" s="4" t="s">
        <v>1390</v>
      </c>
    </row>
    <row r="1571" spans="1:17" x14ac:dyDescent="0.3">
      <c r="A1571" s="2" t="s">
        <v>1389</v>
      </c>
      <c r="B1571" s="3">
        <v>155896</v>
      </c>
      <c r="C1571" s="3">
        <v>215789</v>
      </c>
      <c r="D1571" s="4" t="s">
        <v>17</v>
      </c>
      <c r="E1571" s="4" t="s">
        <v>963</v>
      </c>
      <c r="F1571" s="4" t="s">
        <v>19</v>
      </c>
      <c r="G1571" s="4" t="s">
        <v>20</v>
      </c>
      <c r="H1571" s="5">
        <v>350000</v>
      </c>
      <c r="I1571" s="4" t="s">
        <v>21</v>
      </c>
      <c r="J1571" s="5">
        <f t="shared" si="24"/>
        <v>-1463000</v>
      </c>
      <c r="K1571" s="4" t="s">
        <v>42</v>
      </c>
      <c r="L1571" s="6">
        <v>4.18</v>
      </c>
      <c r="M1571" s="6">
        <v>0.2392</v>
      </c>
      <c r="N1571" s="6">
        <v>4.2119</v>
      </c>
      <c r="O1571" s="6">
        <v>1</v>
      </c>
      <c r="P1571" s="5">
        <v>11165</v>
      </c>
      <c r="Q1571" s="4" t="s">
        <v>1390</v>
      </c>
    </row>
    <row r="1572" spans="1:17" x14ac:dyDescent="0.3">
      <c r="A1572" s="2" t="s">
        <v>1389</v>
      </c>
      <c r="B1572" s="3">
        <v>155898</v>
      </c>
      <c r="C1572" s="3">
        <v>215791</v>
      </c>
      <c r="D1572" s="4" t="s">
        <v>17</v>
      </c>
      <c r="E1572" s="4" t="s">
        <v>1225</v>
      </c>
      <c r="F1572" s="4" t="s">
        <v>32</v>
      </c>
      <c r="G1572" s="4" t="s">
        <v>34</v>
      </c>
      <c r="H1572" s="5">
        <v>-6150</v>
      </c>
      <c r="I1572" s="4" t="s">
        <v>21</v>
      </c>
      <c r="J1572" s="5">
        <f t="shared" si="24"/>
        <v>22299.899999999998</v>
      </c>
      <c r="K1572" s="4" t="s">
        <v>42</v>
      </c>
      <c r="L1572" s="6">
        <v>3.6259999999999999</v>
      </c>
      <c r="M1572" s="6">
        <v>0.27579999999999999</v>
      </c>
      <c r="N1572" s="6">
        <v>3.6070000000000002</v>
      </c>
      <c r="O1572" s="6">
        <v>1</v>
      </c>
      <c r="P1572" s="5">
        <v>116.85</v>
      </c>
      <c r="Q1572" s="4" t="s">
        <v>1390</v>
      </c>
    </row>
    <row r="1573" spans="1:17" x14ac:dyDescent="0.3">
      <c r="A1573" s="2" t="s">
        <v>1389</v>
      </c>
      <c r="B1573" s="3">
        <v>155900</v>
      </c>
      <c r="C1573" s="3">
        <v>215798</v>
      </c>
      <c r="D1573" s="4" t="s">
        <v>17</v>
      </c>
      <c r="E1573" s="4" t="s">
        <v>729</v>
      </c>
      <c r="F1573" s="4" t="s">
        <v>32</v>
      </c>
      <c r="G1573" s="4" t="s">
        <v>34</v>
      </c>
      <c r="H1573" s="5">
        <v>-5399.85</v>
      </c>
      <c r="I1573" s="4" t="s">
        <v>21</v>
      </c>
      <c r="J1573" s="5">
        <f t="shared" si="24"/>
        <v>19569.056400000001</v>
      </c>
      <c r="K1573" s="4" t="s">
        <v>42</v>
      </c>
      <c r="L1573" s="6">
        <v>3.6240000000000001</v>
      </c>
      <c r="M1573" s="6">
        <v>0.27589999999999998</v>
      </c>
      <c r="N1573" s="6">
        <v>3.6070000000000002</v>
      </c>
      <c r="O1573" s="6">
        <v>1</v>
      </c>
      <c r="P1573" s="5">
        <v>91.801050000000004</v>
      </c>
      <c r="Q1573" s="4" t="s">
        <v>1390</v>
      </c>
    </row>
    <row r="1574" spans="1:17" x14ac:dyDescent="0.3">
      <c r="A1574" s="2" t="s">
        <v>1389</v>
      </c>
      <c r="B1574" s="3">
        <v>155901</v>
      </c>
      <c r="C1574" s="3">
        <v>892978</v>
      </c>
      <c r="D1574" s="4" t="s">
        <v>81</v>
      </c>
      <c r="E1574" s="4" t="s">
        <v>732</v>
      </c>
      <c r="F1574" s="4" t="s">
        <v>87</v>
      </c>
      <c r="G1574" s="4" t="s">
        <v>20</v>
      </c>
      <c r="H1574" s="5">
        <v>500000</v>
      </c>
      <c r="I1574" s="4" t="s">
        <v>21</v>
      </c>
      <c r="J1574" s="5">
        <f t="shared" si="24"/>
        <v>-2107450</v>
      </c>
      <c r="K1574" s="4" t="s">
        <v>48</v>
      </c>
      <c r="L1574" s="6">
        <v>4.2149000000000001</v>
      </c>
      <c r="M1574" s="6">
        <v>0.23730000000000001</v>
      </c>
      <c r="N1574" s="6">
        <v>4.2096999999999998</v>
      </c>
      <c r="O1574" s="6">
        <v>1</v>
      </c>
      <c r="P1574" s="5">
        <v>-2600</v>
      </c>
      <c r="Q1574" s="4" t="s">
        <v>1394</v>
      </c>
    </row>
    <row r="1575" spans="1:17" x14ac:dyDescent="0.3">
      <c r="A1575" s="2" t="s">
        <v>1389</v>
      </c>
      <c r="B1575" s="3">
        <v>155902</v>
      </c>
      <c r="C1575" s="3">
        <v>215800</v>
      </c>
      <c r="D1575" s="4" t="s">
        <v>17</v>
      </c>
      <c r="E1575" s="4" t="s">
        <v>1219</v>
      </c>
      <c r="F1575" s="4" t="s">
        <v>19</v>
      </c>
      <c r="G1575" s="4" t="s">
        <v>20</v>
      </c>
      <c r="H1575" s="5">
        <v>150000</v>
      </c>
      <c r="I1575" s="4" t="s">
        <v>21</v>
      </c>
      <c r="J1575" s="5">
        <f t="shared" si="24"/>
        <v>-630870</v>
      </c>
      <c r="K1575" s="4" t="s">
        <v>42</v>
      </c>
      <c r="L1575" s="6">
        <v>4.2058</v>
      </c>
      <c r="M1575" s="6">
        <v>0.23780000000000001</v>
      </c>
      <c r="N1575" s="6">
        <v>4.2119</v>
      </c>
      <c r="O1575" s="6">
        <v>1</v>
      </c>
      <c r="P1575" s="5">
        <v>915</v>
      </c>
      <c r="Q1575" s="4" t="s">
        <v>1390</v>
      </c>
    </row>
    <row r="1576" spans="1:17" x14ac:dyDescent="0.3">
      <c r="A1576" s="2" t="s">
        <v>1389</v>
      </c>
      <c r="B1576" s="3">
        <v>155903</v>
      </c>
      <c r="C1576" s="3">
        <v>215802</v>
      </c>
      <c r="D1576" s="4" t="s">
        <v>17</v>
      </c>
      <c r="E1576" s="4" t="s">
        <v>1121</v>
      </c>
      <c r="F1576" s="4" t="s">
        <v>19</v>
      </c>
      <c r="G1576" s="4" t="s">
        <v>20</v>
      </c>
      <c r="H1576" s="5">
        <v>125837.88</v>
      </c>
      <c r="I1576" s="4" t="s">
        <v>21</v>
      </c>
      <c r="J1576" s="5">
        <f t="shared" si="24"/>
        <v>-525624.82475999999</v>
      </c>
      <c r="K1576" s="4" t="s">
        <v>42</v>
      </c>
      <c r="L1576" s="6">
        <v>4.1769999999999996</v>
      </c>
      <c r="M1576" s="6">
        <v>0.2394</v>
      </c>
      <c r="N1576" s="6">
        <v>4.2119</v>
      </c>
      <c r="O1576" s="6">
        <v>1</v>
      </c>
      <c r="P1576" s="5">
        <v>4391.7420120000606</v>
      </c>
      <c r="Q1576" s="4" t="s">
        <v>1390</v>
      </c>
    </row>
    <row r="1577" spans="1:17" x14ac:dyDescent="0.3">
      <c r="A1577" s="2" t="s">
        <v>1389</v>
      </c>
      <c r="B1577" s="3">
        <v>155904</v>
      </c>
      <c r="C1577" s="3">
        <v>892995</v>
      </c>
      <c r="D1577" s="4" t="s">
        <v>81</v>
      </c>
      <c r="E1577" s="4" t="s">
        <v>735</v>
      </c>
      <c r="F1577" s="4" t="s">
        <v>87</v>
      </c>
      <c r="G1577" s="4" t="s">
        <v>34</v>
      </c>
      <c r="H1577" s="5">
        <v>500000</v>
      </c>
      <c r="I1577" s="4" t="s">
        <v>21</v>
      </c>
      <c r="J1577" s="5">
        <f t="shared" si="24"/>
        <v>-1810100</v>
      </c>
      <c r="K1577" s="4" t="s">
        <v>48</v>
      </c>
      <c r="L1577" s="6">
        <v>3.6202000000000001</v>
      </c>
      <c r="M1577" s="6">
        <v>0.2762</v>
      </c>
      <c r="N1577" s="6">
        <v>3.6036999999999999</v>
      </c>
      <c r="O1577" s="6">
        <v>1</v>
      </c>
      <c r="P1577" s="5">
        <v>-8250</v>
      </c>
      <c r="Q1577" s="4" t="s">
        <v>1394</v>
      </c>
    </row>
    <row r="1578" spans="1:17" x14ac:dyDescent="0.3">
      <c r="A1578" s="2" t="s">
        <v>1389</v>
      </c>
      <c r="B1578" s="3">
        <v>155905</v>
      </c>
      <c r="C1578" s="3">
        <v>215805</v>
      </c>
      <c r="D1578" s="4" t="s">
        <v>17</v>
      </c>
      <c r="E1578" s="4" t="s">
        <v>1041</v>
      </c>
      <c r="F1578" s="4" t="s">
        <v>32</v>
      </c>
      <c r="G1578" s="4" t="s">
        <v>20</v>
      </c>
      <c r="H1578" s="5">
        <v>-50000</v>
      </c>
      <c r="I1578" s="4" t="s">
        <v>21</v>
      </c>
      <c r="J1578" s="5">
        <f t="shared" si="24"/>
        <v>211249.99999999997</v>
      </c>
      <c r="K1578" s="4" t="s">
        <v>42</v>
      </c>
      <c r="L1578" s="6">
        <v>4.2249999999999996</v>
      </c>
      <c r="M1578" s="6">
        <v>0.23669999999999999</v>
      </c>
      <c r="N1578" s="6">
        <v>4.2119</v>
      </c>
      <c r="O1578" s="6">
        <v>1</v>
      </c>
      <c r="P1578" s="5">
        <v>655</v>
      </c>
      <c r="Q1578" s="4" t="s">
        <v>1390</v>
      </c>
    </row>
    <row r="1579" spans="1:17" x14ac:dyDescent="0.3">
      <c r="A1579" s="2" t="s">
        <v>1389</v>
      </c>
      <c r="B1579" s="3">
        <v>155906</v>
      </c>
      <c r="C1579" s="3">
        <v>215806</v>
      </c>
      <c r="D1579" s="4" t="s">
        <v>17</v>
      </c>
      <c r="E1579" s="4" t="s">
        <v>1036</v>
      </c>
      <c r="F1579" s="4" t="s">
        <v>19</v>
      </c>
      <c r="G1579" s="4" t="s">
        <v>20</v>
      </c>
      <c r="H1579" s="5">
        <v>18000</v>
      </c>
      <c r="I1579" s="4" t="s">
        <v>21</v>
      </c>
      <c r="J1579" s="5">
        <f t="shared" si="24"/>
        <v>-75632.400000000009</v>
      </c>
      <c r="K1579" s="4" t="s">
        <v>42</v>
      </c>
      <c r="L1579" s="6">
        <v>4.2018000000000004</v>
      </c>
      <c r="M1579" s="6">
        <v>0.23799999999999999</v>
      </c>
      <c r="N1579" s="6">
        <v>4.2119</v>
      </c>
      <c r="O1579" s="6">
        <v>1</v>
      </c>
      <c r="P1579" s="5">
        <v>181.79999999998836</v>
      </c>
      <c r="Q1579" s="4" t="s">
        <v>1390</v>
      </c>
    </row>
    <row r="1580" spans="1:17" x14ac:dyDescent="0.3">
      <c r="A1580" s="2" t="s">
        <v>1389</v>
      </c>
      <c r="B1580" s="3">
        <v>155907</v>
      </c>
      <c r="C1580" s="3">
        <v>215812</v>
      </c>
      <c r="D1580" s="4" t="s">
        <v>17</v>
      </c>
      <c r="E1580" s="4" t="s">
        <v>1184</v>
      </c>
      <c r="F1580" s="4" t="s">
        <v>19</v>
      </c>
      <c r="G1580" s="4" t="s">
        <v>91</v>
      </c>
      <c r="H1580" s="5">
        <v>5000</v>
      </c>
      <c r="I1580" s="4" t="s">
        <v>21</v>
      </c>
      <c r="J1580" s="5">
        <f t="shared" si="24"/>
        <v>-24220</v>
      </c>
      <c r="K1580" s="4" t="s">
        <v>42</v>
      </c>
      <c r="L1580" s="6">
        <v>4.8440000000000003</v>
      </c>
      <c r="M1580" s="6">
        <v>0.2064</v>
      </c>
      <c r="N1580" s="6">
        <v>4.8471000000000002</v>
      </c>
      <c r="O1580" s="6">
        <v>1</v>
      </c>
      <c r="P1580" s="5">
        <v>15.5</v>
      </c>
      <c r="Q1580" s="4" t="s">
        <v>1390</v>
      </c>
    </row>
    <row r="1581" spans="1:17" x14ac:dyDescent="0.3">
      <c r="A1581" s="2" t="s">
        <v>1389</v>
      </c>
      <c r="B1581" s="3">
        <v>155908</v>
      </c>
      <c r="C1581" s="3">
        <v>215814</v>
      </c>
      <c r="D1581" s="4" t="s">
        <v>17</v>
      </c>
      <c r="E1581" s="4" t="s">
        <v>1184</v>
      </c>
      <c r="F1581" s="4" t="s">
        <v>19</v>
      </c>
      <c r="G1581" s="4" t="s">
        <v>20</v>
      </c>
      <c r="H1581" s="5">
        <v>35000</v>
      </c>
      <c r="I1581" s="4" t="s">
        <v>21</v>
      </c>
      <c r="J1581" s="5">
        <f t="shared" si="24"/>
        <v>-147168</v>
      </c>
      <c r="K1581" s="4" t="s">
        <v>42</v>
      </c>
      <c r="L1581" s="6">
        <v>4.2047999999999996</v>
      </c>
      <c r="M1581" s="6">
        <v>0.23780000000000001</v>
      </c>
      <c r="N1581" s="6">
        <v>4.2119</v>
      </c>
      <c r="O1581" s="6">
        <v>1</v>
      </c>
      <c r="P1581" s="5">
        <v>248.5</v>
      </c>
      <c r="Q1581" s="4" t="s">
        <v>1390</v>
      </c>
    </row>
    <row r="1582" spans="1:17" x14ac:dyDescent="0.3">
      <c r="A1582" s="2" t="s">
        <v>1389</v>
      </c>
      <c r="B1582" s="3">
        <v>155910</v>
      </c>
      <c r="C1582" s="3">
        <v>215817</v>
      </c>
      <c r="D1582" s="4" t="s">
        <v>17</v>
      </c>
      <c r="E1582" s="4" t="s">
        <v>1337</v>
      </c>
      <c r="F1582" s="4" t="s">
        <v>32</v>
      </c>
      <c r="G1582" s="4" t="s">
        <v>20</v>
      </c>
      <c r="H1582" s="5">
        <v>-20000</v>
      </c>
      <c r="I1582" s="4" t="s">
        <v>21</v>
      </c>
      <c r="J1582" s="5">
        <f t="shared" si="24"/>
        <v>84476</v>
      </c>
      <c r="K1582" s="4" t="s">
        <v>42</v>
      </c>
      <c r="L1582" s="6">
        <v>4.2237999999999998</v>
      </c>
      <c r="M1582" s="6">
        <v>0.23680000000000001</v>
      </c>
      <c r="N1582" s="6">
        <v>4.2119</v>
      </c>
      <c r="O1582" s="6">
        <v>1</v>
      </c>
      <c r="P1582" s="5">
        <v>222</v>
      </c>
      <c r="Q1582" s="4" t="s">
        <v>1390</v>
      </c>
    </row>
    <row r="1583" spans="1:17" x14ac:dyDescent="0.3">
      <c r="A1583" s="2" t="s">
        <v>1389</v>
      </c>
      <c r="B1583" s="3">
        <v>155911</v>
      </c>
      <c r="C1583" s="3">
        <v>215820</v>
      </c>
      <c r="D1583" s="4" t="s">
        <v>17</v>
      </c>
      <c r="E1583" s="4" t="s">
        <v>1143</v>
      </c>
      <c r="F1583" s="4" t="s">
        <v>32</v>
      </c>
      <c r="G1583" s="4" t="s">
        <v>34</v>
      </c>
      <c r="H1583" s="5">
        <v>-91794.6</v>
      </c>
      <c r="I1583" s="4" t="s">
        <v>21</v>
      </c>
      <c r="J1583" s="5">
        <f t="shared" si="24"/>
        <v>332838.04014000006</v>
      </c>
      <c r="K1583" s="4" t="s">
        <v>42</v>
      </c>
      <c r="L1583" s="6">
        <v>3.6259000000000001</v>
      </c>
      <c r="M1583" s="6">
        <v>0.27579999999999999</v>
      </c>
      <c r="N1583" s="6">
        <v>3.6070000000000002</v>
      </c>
      <c r="O1583" s="6">
        <v>1</v>
      </c>
      <c r="P1583" s="5">
        <v>1734.9177999999999</v>
      </c>
      <c r="Q1583" s="4" t="s">
        <v>1390</v>
      </c>
    </row>
    <row r="1584" spans="1:17" x14ac:dyDescent="0.3">
      <c r="A1584" s="2" t="s">
        <v>1389</v>
      </c>
      <c r="B1584" s="3">
        <v>155912</v>
      </c>
      <c r="C1584" s="3">
        <v>215823</v>
      </c>
      <c r="D1584" s="4" t="s">
        <v>17</v>
      </c>
      <c r="E1584" s="4" t="s">
        <v>1303</v>
      </c>
      <c r="F1584" s="4" t="s">
        <v>32</v>
      </c>
      <c r="G1584" s="4" t="s">
        <v>34</v>
      </c>
      <c r="H1584" s="5">
        <v>-24480</v>
      </c>
      <c r="I1584" s="4" t="s">
        <v>21</v>
      </c>
      <c r="J1584" s="5">
        <f t="shared" si="24"/>
        <v>88992.144</v>
      </c>
      <c r="K1584" s="4" t="s">
        <v>42</v>
      </c>
      <c r="L1584" s="6">
        <v>3.6353</v>
      </c>
      <c r="M1584" s="6">
        <v>0.27510000000000001</v>
      </c>
      <c r="N1584" s="6">
        <v>3.6070000000000002</v>
      </c>
      <c r="O1584" s="6">
        <v>1</v>
      </c>
      <c r="P1584" s="5">
        <v>692.78</v>
      </c>
      <c r="Q1584" s="4" t="s">
        <v>1390</v>
      </c>
    </row>
    <row r="1585" spans="1:17" x14ac:dyDescent="0.3">
      <c r="A1585" s="2" t="s">
        <v>1389</v>
      </c>
      <c r="B1585" s="3">
        <v>155914</v>
      </c>
      <c r="C1585" s="3">
        <v>215828</v>
      </c>
      <c r="D1585" s="4" t="s">
        <v>17</v>
      </c>
      <c r="E1585" s="4" t="s">
        <v>1119</v>
      </c>
      <c r="F1585" s="4" t="s">
        <v>32</v>
      </c>
      <c r="G1585" s="4" t="s">
        <v>20</v>
      </c>
      <c r="H1585" s="5">
        <v>-24000</v>
      </c>
      <c r="I1585" s="4" t="s">
        <v>21</v>
      </c>
      <c r="J1585" s="5">
        <f t="shared" si="24"/>
        <v>101591.99999999999</v>
      </c>
      <c r="K1585" s="4" t="s">
        <v>42</v>
      </c>
      <c r="L1585" s="6">
        <v>4.2329999999999997</v>
      </c>
      <c r="M1585" s="6">
        <v>0.23619999999999999</v>
      </c>
      <c r="N1585" s="6">
        <v>4.2119</v>
      </c>
      <c r="O1585" s="6">
        <v>1</v>
      </c>
      <c r="P1585" s="5">
        <v>506.4</v>
      </c>
      <c r="Q1585" s="4" t="s">
        <v>1390</v>
      </c>
    </row>
    <row r="1586" spans="1:17" x14ac:dyDescent="0.3">
      <c r="A1586" s="2" t="s">
        <v>1389</v>
      </c>
      <c r="B1586" s="3">
        <v>155915</v>
      </c>
      <c r="C1586" s="3">
        <v>215830</v>
      </c>
      <c r="D1586" s="4" t="s">
        <v>17</v>
      </c>
      <c r="E1586" s="4" t="s">
        <v>1061</v>
      </c>
      <c r="F1586" s="4" t="s">
        <v>19</v>
      </c>
      <c r="G1586" s="4" t="s">
        <v>20</v>
      </c>
      <c r="H1586" s="5">
        <v>160629</v>
      </c>
      <c r="I1586" s="4" t="s">
        <v>21</v>
      </c>
      <c r="J1586" s="5">
        <f t="shared" si="24"/>
        <v>-676376.5932</v>
      </c>
      <c r="K1586" s="4" t="s">
        <v>42</v>
      </c>
      <c r="L1586" s="6">
        <v>4.2107999999999999</v>
      </c>
      <c r="M1586" s="6">
        <v>0.23749999999999999</v>
      </c>
      <c r="N1586" s="6">
        <v>4.2119</v>
      </c>
      <c r="O1586" s="6">
        <v>1</v>
      </c>
      <c r="P1586" s="5">
        <v>176.69189999997616</v>
      </c>
      <c r="Q1586" s="4" t="s">
        <v>1390</v>
      </c>
    </row>
    <row r="1587" spans="1:17" x14ac:dyDescent="0.3">
      <c r="A1587" s="2" t="s">
        <v>1389</v>
      </c>
      <c r="B1587" s="3">
        <v>155916</v>
      </c>
      <c r="C1587" s="3">
        <v>215831</v>
      </c>
      <c r="D1587" s="4" t="s">
        <v>17</v>
      </c>
      <c r="E1587" s="4" t="s">
        <v>765</v>
      </c>
      <c r="F1587" s="4" t="s">
        <v>32</v>
      </c>
      <c r="G1587" s="4" t="s">
        <v>20</v>
      </c>
      <c r="H1587" s="5">
        <v>-1500000</v>
      </c>
      <c r="I1587" s="4" t="s">
        <v>21</v>
      </c>
      <c r="J1587" s="5">
        <f t="shared" si="24"/>
        <v>6329700</v>
      </c>
      <c r="K1587" s="4" t="s">
        <v>42</v>
      </c>
      <c r="L1587" s="6">
        <v>4.2198000000000002</v>
      </c>
      <c r="M1587" s="6">
        <v>0.23699999999999999</v>
      </c>
      <c r="N1587" s="6">
        <v>4.2119</v>
      </c>
      <c r="O1587" s="6">
        <v>1</v>
      </c>
      <c r="P1587" s="5">
        <v>10650</v>
      </c>
      <c r="Q1587" s="4" t="s">
        <v>1390</v>
      </c>
    </row>
    <row r="1588" spans="1:17" x14ac:dyDescent="0.3">
      <c r="A1588" s="2" t="s">
        <v>1389</v>
      </c>
      <c r="B1588" s="3">
        <v>155917</v>
      </c>
      <c r="C1588" s="3">
        <v>215834</v>
      </c>
      <c r="D1588" s="4" t="s">
        <v>17</v>
      </c>
      <c r="E1588" s="4" t="s">
        <v>1346</v>
      </c>
      <c r="F1588" s="4" t="s">
        <v>19</v>
      </c>
      <c r="G1588" s="4" t="s">
        <v>34</v>
      </c>
      <c r="H1588" s="5">
        <v>300000</v>
      </c>
      <c r="I1588" s="4" t="s">
        <v>21</v>
      </c>
      <c r="J1588" s="5">
        <f t="shared" si="24"/>
        <v>-1083630</v>
      </c>
      <c r="K1588" s="4" t="s">
        <v>42</v>
      </c>
      <c r="L1588" s="6">
        <v>3.6120999999999999</v>
      </c>
      <c r="M1588" s="6">
        <v>0.27679999999999999</v>
      </c>
      <c r="N1588" s="6">
        <v>3.6070000000000002</v>
      </c>
      <c r="O1588" s="6">
        <v>1</v>
      </c>
      <c r="P1588" s="5">
        <v>-1530</v>
      </c>
      <c r="Q1588" s="4" t="s">
        <v>1390</v>
      </c>
    </row>
    <row r="1589" spans="1:17" x14ac:dyDescent="0.3">
      <c r="A1589" s="2" t="s">
        <v>1389</v>
      </c>
      <c r="B1589" s="3">
        <v>155919</v>
      </c>
      <c r="C1589" s="3">
        <v>215837</v>
      </c>
      <c r="D1589" s="4" t="s">
        <v>17</v>
      </c>
      <c r="E1589" s="4" t="s">
        <v>819</v>
      </c>
      <c r="F1589" s="4" t="s">
        <v>32</v>
      </c>
      <c r="G1589" s="4" t="s">
        <v>20</v>
      </c>
      <c r="H1589" s="5">
        <v>-30000</v>
      </c>
      <c r="I1589" s="4" t="s">
        <v>21</v>
      </c>
      <c r="J1589" s="5">
        <f t="shared" si="24"/>
        <v>126540</v>
      </c>
      <c r="K1589" s="4" t="s">
        <v>42</v>
      </c>
      <c r="L1589" s="6">
        <v>4.218</v>
      </c>
      <c r="M1589" s="6">
        <v>0.23710000000000001</v>
      </c>
      <c r="N1589" s="6">
        <v>4.2119</v>
      </c>
      <c r="O1589" s="6">
        <v>1</v>
      </c>
      <c r="P1589" s="5">
        <v>183</v>
      </c>
      <c r="Q1589" s="4" t="s">
        <v>1390</v>
      </c>
    </row>
    <row r="1590" spans="1:17" x14ac:dyDescent="0.3">
      <c r="A1590" s="2" t="s">
        <v>1389</v>
      </c>
      <c r="B1590" s="3">
        <v>155920</v>
      </c>
      <c r="C1590" s="3">
        <v>893108</v>
      </c>
      <c r="D1590" s="4" t="s">
        <v>81</v>
      </c>
      <c r="E1590" s="4" t="s">
        <v>734</v>
      </c>
      <c r="F1590" s="4" t="s">
        <v>83</v>
      </c>
      <c r="G1590" s="4" t="s">
        <v>20</v>
      </c>
      <c r="H1590" s="5">
        <v>-100000</v>
      </c>
      <c r="I1590" s="4" t="s">
        <v>110</v>
      </c>
      <c r="J1590" s="5">
        <f t="shared" si="24"/>
        <v>174250</v>
      </c>
      <c r="K1590" s="4" t="s">
        <v>48</v>
      </c>
      <c r="L1590" s="6">
        <v>1.7424999999999999</v>
      </c>
      <c r="M1590" s="6">
        <v>0.57389999999999997</v>
      </c>
      <c r="N1590" s="6">
        <v>4.2096999999999998</v>
      </c>
      <c r="O1590" s="6">
        <v>2.4167000000000001</v>
      </c>
      <c r="P1590" s="5">
        <v>135.14160000000001</v>
      </c>
      <c r="Q1590" s="4" t="s">
        <v>1393</v>
      </c>
    </row>
    <row r="1591" spans="1:17" x14ac:dyDescent="0.3">
      <c r="A1591" s="2" t="s">
        <v>1389</v>
      </c>
      <c r="B1591" s="3">
        <v>155921</v>
      </c>
      <c r="C1591" s="3">
        <v>215841</v>
      </c>
      <c r="D1591" s="4" t="s">
        <v>17</v>
      </c>
      <c r="E1591" s="4" t="s">
        <v>935</v>
      </c>
      <c r="F1591" s="4" t="s">
        <v>19</v>
      </c>
      <c r="G1591" s="4" t="s">
        <v>20</v>
      </c>
      <c r="H1591" s="5">
        <v>33000</v>
      </c>
      <c r="I1591" s="4" t="s">
        <v>21</v>
      </c>
      <c r="J1591" s="5">
        <f t="shared" si="24"/>
        <v>-138666</v>
      </c>
      <c r="K1591" s="4" t="s">
        <v>42</v>
      </c>
      <c r="L1591" s="6">
        <v>4.202</v>
      </c>
      <c r="M1591" s="6">
        <v>0.23799999999999999</v>
      </c>
      <c r="N1591" s="6">
        <v>4.2119</v>
      </c>
      <c r="O1591" s="6">
        <v>1</v>
      </c>
      <c r="P1591" s="5">
        <v>326.70000000001164</v>
      </c>
      <c r="Q1591" s="4" t="s">
        <v>1390</v>
      </c>
    </row>
    <row r="1592" spans="1:17" x14ac:dyDescent="0.3">
      <c r="A1592" s="2" t="s">
        <v>1389</v>
      </c>
      <c r="B1592" s="3">
        <v>155927</v>
      </c>
      <c r="C1592" s="3">
        <v>215848</v>
      </c>
      <c r="D1592" s="4" t="s">
        <v>17</v>
      </c>
      <c r="E1592" s="4" t="s">
        <v>970</v>
      </c>
      <c r="F1592" s="4" t="s">
        <v>19</v>
      </c>
      <c r="G1592" s="4" t="s">
        <v>20</v>
      </c>
      <c r="H1592" s="5">
        <v>140000</v>
      </c>
      <c r="I1592" s="4" t="s">
        <v>21</v>
      </c>
      <c r="J1592" s="5">
        <f t="shared" si="24"/>
        <v>-588840</v>
      </c>
      <c r="K1592" s="4" t="s">
        <v>42</v>
      </c>
      <c r="L1592" s="6">
        <v>4.2060000000000004</v>
      </c>
      <c r="M1592" s="6">
        <v>0.23780000000000001</v>
      </c>
      <c r="N1592" s="6">
        <v>4.2119</v>
      </c>
      <c r="O1592" s="6">
        <v>1</v>
      </c>
      <c r="P1592" s="5">
        <v>826</v>
      </c>
      <c r="Q1592" s="4" t="s">
        <v>1390</v>
      </c>
    </row>
    <row r="1593" spans="1:17" x14ac:dyDescent="0.3">
      <c r="A1593" s="2" t="s">
        <v>1389</v>
      </c>
      <c r="B1593" s="3">
        <v>155931</v>
      </c>
      <c r="C1593" s="3">
        <v>215853</v>
      </c>
      <c r="D1593" s="4" t="s">
        <v>17</v>
      </c>
      <c r="E1593" s="4" t="s">
        <v>1042</v>
      </c>
      <c r="F1593" s="4" t="s">
        <v>19</v>
      </c>
      <c r="G1593" s="4" t="s">
        <v>20</v>
      </c>
      <c r="H1593" s="5">
        <v>192327.2</v>
      </c>
      <c r="I1593" s="4" t="s">
        <v>21</v>
      </c>
      <c r="J1593" s="5">
        <f t="shared" si="24"/>
        <v>-808966.66864000005</v>
      </c>
      <c r="K1593" s="4" t="s">
        <v>42</v>
      </c>
      <c r="L1593" s="6">
        <v>4.2061999999999999</v>
      </c>
      <c r="M1593" s="6">
        <v>0.23769999999999999</v>
      </c>
      <c r="N1593" s="6">
        <v>4.2119</v>
      </c>
      <c r="O1593" s="6">
        <v>1</v>
      </c>
      <c r="P1593" s="5">
        <v>1096.2650399999693</v>
      </c>
      <c r="Q1593" s="4" t="s">
        <v>1390</v>
      </c>
    </row>
    <row r="1594" spans="1:17" x14ac:dyDescent="0.3">
      <c r="A1594" s="2" t="s">
        <v>1389</v>
      </c>
      <c r="B1594" s="3">
        <v>155932</v>
      </c>
      <c r="C1594" s="3">
        <v>893155</v>
      </c>
      <c r="D1594" s="4" t="s">
        <v>81</v>
      </c>
      <c r="E1594" s="4" t="s">
        <v>735</v>
      </c>
      <c r="F1594" s="4" t="s">
        <v>83</v>
      </c>
      <c r="G1594" s="4" t="s">
        <v>20</v>
      </c>
      <c r="H1594" s="5">
        <v>-500000</v>
      </c>
      <c r="I1594" s="4" t="s">
        <v>21</v>
      </c>
      <c r="J1594" s="5">
        <f t="shared" si="24"/>
        <v>2106350</v>
      </c>
      <c r="K1594" s="4" t="s">
        <v>48</v>
      </c>
      <c r="L1594" s="6">
        <v>4.2126999999999999</v>
      </c>
      <c r="M1594" s="6">
        <v>0.2374</v>
      </c>
      <c r="N1594" s="6">
        <v>4.2096999999999998</v>
      </c>
      <c r="O1594" s="6">
        <v>1</v>
      </c>
      <c r="P1594" s="5">
        <v>1500</v>
      </c>
      <c r="Q1594" s="4" t="s">
        <v>1394</v>
      </c>
    </row>
    <row r="1595" spans="1:17" x14ac:dyDescent="0.3">
      <c r="A1595" s="2" t="s">
        <v>1389</v>
      </c>
      <c r="B1595" s="3">
        <v>155933</v>
      </c>
      <c r="C1595" s="3">
        <v>215855</v>
      </c>
      <c r="D1595" s="4" t="s">
        <v>17</v>
      </c>
      <c r="E1595" s="4" t="s">
        <v>818</v>
      </c>
      <c r="F1595" s="4" t="s">
        <v>32</v>
      </c>
      <c r="G1595" s="4" t="s">
        <v>20</v>
      </c>
      <c r="H1595" s="5">
        <v>-99903.02</v>
      </c>
      <c r="I1595" s="4" t="s">
        <v>34</v>
      </c>
      <c r="J1595" s="5">
        <f t="shared" si="24"/>
        <v>116426.979508</v>
      </c>
      <c r="K1595" s="4" t="s">
        <v>42</v>
      </c>
      <c r="L1595" s="6">
        <v>1.1654</v>
      </c>
      <c r="M1595" s="6">
        <v>0.85809999999999997</v>
      </c>
      <c r="N1595" s="6">
        <v>4.2119</v>
      </c>
      <c r="O1595" s="6">
        <v>3.6070000000000002</v>
      </c>
      <c r="P1595" s="5">
        <v>-1189.7523779999999</v>
      </c>
      <c r="Q1595" s="4" t="s">
        <v>1390</v>
      </c>
    </row>
    <row r="1596" spans="1:17" x14ac:dyDescent="0.3">
      <c r="A1596" s="2" t="s">
        <v>1389</v>
      </c>
      <c r="B1596" s="3">
        <v>155934</v>
      </c>
      <c r="C1596" s="3">
        <v>893163</v>
      </c>
      <c r="D1596" s="4" t="s">
        <v>81</v>
      </c>
      <c r="E1596" s="4" t="s">
        <v>1062</v>
      </c>
      <c r="F1596" s="4" t="s">
        <v>87</v>
      </c>
      <c r="G1596" s="4" t="s">
        <v>20</v>
      </c>
      <c r="H1596" s="5">
        <v>50000</v>
      </c>
      <c r="I1596" s="4" t="s">
        <v>21</v>
      </c>
      <c r="J1596" s="5">
        <f t="shared" si="24"/>
        <v>-210310</v>
      </c>
      <c r="K1596" s="4" t="s">
        <v>48</v>
      </c>
      <c r="L1596" s="6">
        <v>4.2061999999999999</v>
      </c>
      <c r="M1596" s="6">
        <v>0.23769999999999999</v>
      </c>
      <c r="N1596" s="6">
        <v>4.2096999999999998</v>
      </c>
      <c r="O1596" s="6">
        <v>1</v>
      </c>
      <c r="P1596" s="5">
        <v>175</v>
      </c>
      <c r="Q1596" s="4" t="s">
        <v>1390</v>
      </c>
    </row>
    <row r="1597" spans="1:17" x14ac:dyDescent="0.3">
      <c r="A1597" s="2" t="s">
        <v>1389</v>
      </c>
      <c r="B1597" s="3">
        <v>155935</v>
      </c>
      <c r="C1597" s="3">
        <v>215856</v>
      </c>
      <c r="D1597" s="4" t="s">
        <v>17</v>
      </c>
      <c r="E1597" s="4" t="s">
        <v>1042</v>
      </c>
      <c r="F1597" s="4" t="s">
        <v>19</v>
      </c>
      <c r="G1597" s="4" t="s">
        <v>20</v>
      </c>
      <c r="H1597" s="5">
        <v>73470</v>
      </c>
      <c r="I1597" s="4" t="s">
        <v>21</v>
      </c>
      <c r="J1597" s="5">
        <f t="shared" si="24"/>
        <v>-309022.16700000002</v>
      </c>
      <c r="K1597" s="4" t="s">
        <v>42</v>
      </c>
      <c r="L1597" s="6">
        <v>4.2061000000000002</v>
      </c>
      <c r="M1597" s="6">
        <v>0.23769999999999999</v>
      </c>
      <c r="N1597" s="6">
        <v>4.2119</v>
      </c>
      <c r="O1597" s="6">
        <v>1</v>
      </c>
      <c r="P1597" s="5">
        <v>426.12599999998929</v>
      </c>
      <c r="Q1597" s="4" t="s">
        <v>1390</v>
      </c>
    </row>
    <row r="1598" spans="1:17" x14ac:dyDescent="0.3">
      <c r="A1598" s="2" t="s">
        <v>1389</v>
      </c>
      <c r="B1598" s="3">
        <v>155936</v>
      </c>
      <c r="C1598" s="3">
        <v>893167</v>
      </c>
      <c r="D1598" s="4" t="s">
        <v>81</v>
      </c>
      <c r="E1598" s="4" t="s">
        <v>1062</v>
      </c>
      <c r="F1598" s="4" t="s">
        <v>87</v>
      </c>
      <c r="G1598" s="4" t="s">
        <v>20</v>
      </c>
      <c r="H1598" s="5">
        <v>20000</v>
      </c>
      <c r="I1598" s="4" t="s">
        <v>21</v>
      </c>
      <c r="J1598" s="5">
        <f t="shared" si="24"/>
        <v>-84120.000000000015</v>
      </c>
      <c r="K1598" s="4" t="s">
        <v>48</v>
      </c>
      <c r="L1598" s="6">
        <v>4.2060000000000004</v>
      </c>
      <c r="M1598" s="6">
        <v>0.23780000000000001</v>
      </c>
      <c r="N1598" s="6">
        <v>4.2096999999999998</v>
      </c>
      <c r="O1598" s="6">
        <v>1</v>
      </c>
      <c r="P1598" s="5">
        <v>74</v>
      </c>
      <c r="Q1598" s="4" t="s">
        <v>1390</v>
      </c>
    </row>
    <row r="1599" spans="1:17" x14ac:dyDescent="0.3">
      <c r="A1599" s="2" t="s">
        <v>1389</v>
      </c>
      <c r="B1599" s="3">
        <v>155937</v>
      </c>
      <c r="C1599" s="3">
        <v>215857</v>
      </c>
      <c r="D1599" s="4" t="s">
        <v>17</v>
      </c>
      <c r="E1599" s="4" t="s">
        <v>1042</v>
      </c>
      <c r="F1599" s="4" t="s">
        <v>19</v>
      </c>
      <c r="G1599" s="4" t="s">
        <v>20</v>
      </c>
      <c r="H1599" s="5">
        <v>72720</v>
      </c>
      <c r="I1599" s="4" t="s">
        <v>21</v>
      </c>
      <c r="J1599" s="5">
        <f t="shared" si="24"/>
        <v>-305860.32</v>
      </c>
      <c r="K1599" s="4" t="s">
        <v>42</v>
      </c>
      <c r="L1599" s="6">
        <v>4.2060000000000004</v>
      </c>
      <c r="M1599" s="6">
        <v>0.23780000000000001</v>
      </c>
      <c r="N1599" s="6">
        <v>4.2119</v>
      </c>
      <c r="O1599" s="6">
        <v>1</v>
      </c>
      <c r="P1599" s="5">
        <v>429.04800000000978</v>
      </c>
      <c r="Q1599" s="4" t="s">
        <v>1390</v>
      </c>
    </row>
    <row r="1600" spans="1:17" x14ac:dyDescent="0.3">
      <c r="A1600" s="2" t="s">
        <v>1389</v>
      </c>
      <c r="B1600" s="3">
        <v>155939</v>
      </c>
      <c r="C1600" s="3">
        <v>893171</v>
      </c>
      <c r="D1600" s="4" t="s">
        <v>81</v>
      </c>
      <c r="E1600" s="4" t="s">
        <v>735</v>
      </c>
      <c r="F1600" s="4" t="s">
        <v>83</v>
      </c>
      <c r="G1600" s="4" t="s">
        <v>20</v>
      </c>
      <c r="H1600" s="5">
        <v>-500000</v>
      </c>
      <c r="I1600" s="4" t="s">
        <v>21</v>
      </c>
      <c r="J1600" s="5">
        <f t="shared" si="24"/>
        <v>2106150</v>
      </c>
      <c r="K1600" s="4" t="s">
        <v>48</v>
      </c>
      <c r="L1600" s="6">
        <v>4.2122999999999999</v>
      </c>
      <c r="M1600" s="6">
        <v>0.2374</v>
      </c>
      <c r="N1600" s="6">
        <v>4.2096999999999998</v>
      </c>
      <c r="O1600" s="6">
        <v>1</v>
      </c>
      <c r="P1600" s="5">
        <v>1300</v>
      </c>
      <c r="Q1600" s="4" t="s">
        <v>1394</v>
      </c>
    </row>
    <row r="1601" spans="1:17" x14ac:dyDescent="0.3">
      <c r="A1601" s="2" t="s">
        <v>1389</v>
      </c>
      <c r="B1601" s="3">
        <v>155940</v>
      </c>
      <c r="C1601" s="3">
        <v>215860</v>
      </c>
      <c r="D1601" s="4" t="s">
        <v>17</v>
      </c>
      <c r="E1601" s="4" t="s">
        <v>1224</v>
      </c>
      <c r="F1601" s="4" t="s">
        <v>32</v>
      </c>
      <c r="G1601" s="4" t="s">
        <v>20</v>
      </c>
      <c r="H1601" s="5">
        <v>-10000</v>
      </c>
      <c r="I1601" s="4" t="s">
        <v>21</v>
      </c>
      <c r="J1601" s="5">
        <f t="shared" si="24"/>
        <v>42154</v>
      </c>
      <c r="K1601" s="4" t="s">
        <v>42</v>
      </c>
      <c r="L1601" s="6">
        <v>4.2153999999999998</v>
      </c>
      <c r="M1601" s="6">
        <v>0.23719999999999999</v>
      </c>
      <c r="N1601" s="6">
        <v>4.2119</v>
      </c>
      <c r="O1601" s="6">
        <v>1</v>
      </c>
      <c r="P1601" s="5">
        <v>26</v>
      </c>
      <c r="Q1601" s="4" t="s">
        <v>1390</v>
      </c>
    </row>
    <row r="1602" spans="1:17" x14ac:dyDescent="0.3">
      <c r="A1602" s="2" t="s">
        <v>1389</v>
      </c>
      <c r="B1602" s="3">
        <v>155941</v>
      </c>
      <c r="C1602" s="3">
        <v>215861</v>
      </c>
      <c r="D1602" s="4" t="s">
        <v>17</v>
      </c>
      <c r="E1602" s="4" t="s">
        <v>1224</v>
      </c>
      <c r="F1602" s="4" t="s">
        <v>32</v>
      </c>
      <c r="G1602" s="4" t="s">
        <v>20</v>
      </c>
      <c r="H1602" s="5">
        <v>-10000</v>
      </c>
      <c r="I1602" s="4" t="s">
        <v>21</v>
      </c>
      <c r="J1602" s="5">
        <f t="shared" si="24"/>
        <v>42154</v>
      </c>
      <c r="K1602" s="4" t="s">
        <v>42</v>
      </c>
      <c r="L1602" s="6">
        <v>4.2153999999999998</v>
      </c>
      <c r="M1602" s="6">
        <v>0.23719999999999999</v>
      </c>
      <c r="N1602" s="6">
        <v>4.2119</v>
      </c>
      <c r="O1602" s="6">
        <v>1</v>
      </c>
      <c r="P1602" s="5">
        <v>26</v>
      </c>
      <c r="Q1602" s="4" t="s">
        <v>1390</v>
      </c>
    </row>
    <row r="1603" spans="1:17" x14ac:dyDescent="0.3">
      <c r="A1603" s="2" t="s">
        <v>1389</v>
      </c>
      <c r="B1603" s="3">
        <v>155942</v>
      </c>
      <c r="C1603" s="3">
        <v>215862</v>
      </c>
      <c r="D1603" s="4" t="s">
        <v>17</v>
      </c>
      <c r="E1603" s="4" t="s">
        <v>958</v>
      </c>
      <c r="F1603" s="4" t="s">
        <v>19</v>
      </c>
      <c r="G1603" s="4" t="s">
        <v>20</v>
      </c>
      <c r="H1603" s="5">
        <v>8613.26</v>
      </c>
      <c r="I1603" s="4" t="s">
        <v>34</v>
      </c>
      <c r="J1603" s="5">
        <f t="shared" si="24"/>
        <v>-10004.30149</v>
      </c>
      <c r="K1603" s="4" t="s">
        <v>42</v>
      </c>
      <c r="L1603" s="6">
        <v>1.1615</v>
      </c>
      <c r="M1603" s="6">
        <v>0.86099999999999999</v>
      </c>
      <c r="N1603" s="6">
        <v>4.2119</v>
      </c>
      <c r="O1603" s="6">
        <v>3.6070000000000002</v>
      </c>
      <c r="P1603" s="5">
        <v>192.67431956999644</v>
      </c>
      <c r="Q1603" s="4" t="s">
        <v>1390</v>
      </c>
    </row>
    <row r="1604" spans="1:17" x14ac:dyDescent="0.3">
      <c r="A1604" s="2" t="s">
        <v>1389</v>
      </c>
      <c r="B1604" s="3">
        <v>155943</v>
      </c>
      <c r="C1604" s="3">
        <v>215865</v>
      </c>
      <c r="D1604" s="4" t="s">
        <v>17</v>
      </c>
      <c r="E1604" s="4" t="s">
        <v>969</v>
      </c>
      <c r="F1604" s="4" t="s">
        <v>32</v>
      </c>
      <c r="G1604" s="4" t="s">
        <v>34</v>
      </c>
      <c r="H1604" s="5">
        <v>-10000</v>
      </c>
      <c r="I1604" s="4" t="s">
        <v>21</v>
      </c>
      <c r="J1604" s="5">
        <f t="shared" ref="J1604:J1667" si="25">-H1604*L1604</f>
        <v>36305</v>
      </c>
      <c r="K1604" s="4" t="s">
        <v>42</v>
      </c>
      <c r="L1604" s="6">
        <v>3.6305000000000001</v>
      </c>
      <c r="M1604" s="6">
        <v>0.27539999999999998</v>
      </c>
      <c r="N1604" s="6">
        <v>3.6070000000000002</v>
      </c>
      <c r="O1604" s="6">
        <v>1</v>
      </c>
      <c r="P1604" s="5">
        <v>230</v>
      </c>
      <c r="Q1604" s="4" t="s">
        <v>1390</v>
      </c>
    </row>
    <row r="1605" spans="1:17" x14ac:dyDescent="0.3">
      <c r="A1605" s="2" t="s">
        <v>1389</v>
      </c>
      <c r="B1605" s="3">
        <v>155944</v>
      </c>
      <c r="C1605" s="3">
        <v>893197</v>
      </c>
      <c r="D1605" s="4" t="s">
        <v>81</v>
      </c>
      <c r="E1605" s="4" t="s">
        <v>735</v>
      </c>
      <c r="F1605" s="4" t="s">
        <v>83</v>
      </c>
      <c r="G1605" s="4" t="s">
        <v>20</v>
      </c>
      <c r="H1605" s="5">
        <v>-500000</v>
      </c>
      <c r="I1605" s="4" t="s">
        <v>21</v>
      </c>
      <c r="J1605" s="5">
        <f t="shared" si="25"/>
        <v>2106200</v>
      </c>
      <c r="K1605" s="4" t="s">
        <v>48</v>
      </c>
      <c r="L1605" s="6">
        <v>4.2123999999999997</v>
      </c>
      <c r="M1605" s="6">
        <v>0.2374</v>
      </c>
      <c r="N1605" s="6">
        <v>4.2096999999999998</v>
      </c>
      <c r="O1605" s="6">
        <v>1</v>
      </c>
      <c r="P1605" s="5">
        <v>1350</v>
      </c>
      <c r="Q1605" s="4" t="s">
        <v>1394</v>
      </c>
    </row>
    <row r="1606" spans="1:17" x14ac:dyDescent="0.3">
      <c r="A1606" s="2" t="s">
        <v>1389</v>
      </c>
      <c r="B1606" s="3">
        <v>155946</v>
      </c>
      <c r="C1606" s="3">
        <v>215873</v>
      </c>
      <c r="D1606" s="4" t="s">
        <v>17</v>
      </c>
      <c r="E1606" s="4" t="s">
        <v>936</v>
      </c>
      <c r="F1606" s="4" t="s">
        <v>32</v>
      </c>
      <c r="G1606" s="4" t="s">
        <v>34</v>
      </c>
      <c r="H1606" s="5">
        <v>-120000</v>
      </c>
      <c r="I1606" s="4" t="s">
        <v>21</v>
      </c>
      <c r="J1606" s="5">
        <f t="shared" si="25"/>
        <v>434760</v>
      </c>
      <c r="K1606" s="4" t="s">
        <v>42</v>
      </c>
      <c r="L1606" s="6">
        <v>3.6230000000000002</v>
      </c>
      <c r="M1606" s="6">
        <v>0.27600000000000002</v>
      </c>
      <c r="N1606" s="6">
        <v>3.6070000000000002</v>
      </c>
      <c r="O1606" s="6">
        <v>1</v>
      </c>
      <c r="P1606" s="5">
        <v>1920</v>
      </c>
      <c r="Q1606" s="4" t="s">
        <v>1390</v>
      </c>
    </row>
    <row r="1607" spans="1:17" x14ac:dyDescent="0.3">
      <c r="A1607" s="2" t="s">
        <v>1389</v>
      </c>
      <c r="B1607" s="3">
        <v>155947</v>
      </c>
      <c r="C1607" s="3">
        <v>215874</v>
      </c>
      <c r="D1607" s="4" t="s">
        <v>17</v>
      </c>
      <c r="E1607" s="4" t="s">
        <v>1202</v>
      </c>
      <c r="F1607" s="4" t="s">
        <v>19</v>
      </c>
      <c r="G1607" s="4" t="s">
        <v>20</v>
      </c>
      <c r="H1607" s="5">
        <v>50000</v>
      </c>
      <c r="I1607" s="4" t="s">
        <v>21</v>
      </c>
      <c r="J1607" s="5">
        <f t="shared" si="25"/>
        <v>-210090.00000000003</v>
      </c>
      <c r="K1607" s="4" t="s">
        <v>42</v>
      </c>
      <c r="L1607" s="6">
        <v>4.2018000000000004</v>
      </c>
      <c r="M1607" s="6">
        <v>0.23799999999999999</v>
      </c>
      <c r="N1607" s="6">
        <v>4.2119</v>
      </c>
      <c r="O1607" s="6">
        <v>1</v>
      </c>
      <c r="P1607" s="5">
        <v>504.9999999999709</v>
      </c>
      <c r="Q1607" s="4" t="s">
        <v>1390</v>
      </c>
    </row>
    <row r="1608" spans="1:17" x14ac:dyDescent="0.3">
      <c r="A1608" s="2" t="s">
        <v>1389</v>
      </c>
      <c r="B1608" s="3">
        <v>155948</v>
      </c>
      <c r="C1608" s="3">
        <v>893228</v>
      </c>
      <c r="D1608" s="4" t="s">
        <v>81</v>
      </c>
      <c r="E1608" s="4" t="s">
        <v>735</v>
      </c>
      <c r="F1608" s="4" t="s">
        <v>83</v>
      </c>
      <c r="G1608" s="4" t="s">
        <v>20</v>
      </c>
      <c r="H1608" s="5">
        <v>-500000</v>
      </c>
      <c r="I1608" s="4" t="s">
        <v>21</v>
      </c>
      <c r="J1608" s="5">
        <f t="shared" si="25"/>
        <v>2106100</v>
      </c>
      <c r="K1608" s="4" t="s">
        <v>48</v>
      </c>
      <c r="L1608" s="6">
        <v>4.2122000000000002</v>
      </c>
      <c r="M1608" s="6">
        <v>0.2374</v>
      </c>
      <c r="N1608" s="6">
        <v>4.2096999999999998</v>
      </c>
      <c r="O1608" s="6">
        <v>1</v>
      </c>
      <c r="P1608" s="5">
        <v>1250</v>
      </c>
      <c r="Q1608" s="4" t="s">
        <v>1394</v>
      </c>
    </row>
    <row r="1609" spans="1:17" x14ac:dyDescent="0.3">
      <c r="A1609" s="2" t="s">
        <v>1389</v>
      </c>
      <c r="B1609" s="3">
        <v>155949</v>
      </c>
      <c r="C1609" s="3">
        <v>215876</v>
      </c>
      <c r="D1609" s="4" t="s">
        <v>17</v>
      </c>
      <c r="E1609" s="4" t="s">
        <v>1088</v>
      </c>
      <c r="F1609" s="4" t="s">
        <v>19</v>
      </c>
      <c r="G1609" s="4" t="s">
        <v>20</v>
      </c>
      <c r="H1609" s="5">
        <v>100000</v>
      </c>
      <c r="I1609" s="4" t="s">
        <v>21</v>
      </c>
      <c r="J1609" s="5">
        <f t="shared" si="25"/>
        <v>-419500</v>
      </c>
      <c r="K1609" s="4" t="s">
        <v>42</v>
      </c>
      <c r="L1609" s="6">
        <v>4.1950000000000003</v>
      </c>
      <c r="M1609" s="6">
        <v>0.2384</v>
      </c>
      <c r="N1609" s="6">
        <v>4.2119</v>
      </c>
      <c r="O1609" s="6">
        <v>1</v>
      </c>
      <c r="P1609" s="5">
        <v>1690</v>
      </c>
      <c r="Q1609" s="4" t="s">
        <v>1390</v>
      </c>
    </row>
    <row r="1610" spans="1:17" x14ac:dyDescent="0.3">
      <c r="A1610" s="2" t="s">
        <v>1389</v>
      </c>
      <c r="B1610" s="3">
        <v>155950</v>
      </c>
      <c r="C1610" s="3">
        <v>215877</v>
      </c>
      <c r="D1610" s="4" t="s">
        <v>17</v>
      </c>
      <c r="E1610" s="4" t="s">
        <v>1139</v>
      </c>
      <c r="F1610" s="4" t="s">
        <v>19</v>
      </c>
      <c r="G1610" s="4" t="s">
        <v>20</v>
      </c>
      <c r="H1610" s="5">
        <v>39000</v>
      </c>
      <c r="I1610" s="4" t="s">
        <v>21</v>
      </c>
      <c r="J1610" s="5">
        <f t="shared" si="25"/>
        <v>-163909.19999999998</v>
      </c>
      <c r="K1610" s="4" t="s">
        <v>42</v>
      </c>
      <c r="L1610" s="6">
        <v>4.2027999999999999</v>
      </c>
      <c r="M1610" s="6">
        <v>0.2379</v>
      </c>
      <c r="N1610" s="6">
        <v>4.2119</v>
      </c>
      <c r="O1610" s="6">
        <v>1</v>
      </c>
      <c r="P1610" s="5">
        <v>354.90000000002328</v>
      </c>
      <c r="Q1610" s="4" t="s">
        <v>1390</v>
      </c>
    </row>
    <row r="1611" spans="1:17" x14ac:dyDescent="0.3">
      <c r="A1611" s="2" t="s">
        <v>1389</v>
      </c>
      <c r="B1611" s="3">
        <v>155951</v>
      </c>
      <c r="C1611" s="3">
        <v>215878</v>
      </c>
      <c r="D1611" s="4" t="s">
        <v>17</v>
      </c>
      <c r="E1611" s="4" t="s">
        <v>1059</v>
      </c>
      <c r="F1611" s="4" t="s">
        <v>19</v>
      </c>
      <c r="G1611" s="4" t="s">
        <v>20</v>
      </c>
      <c r="H1611" s="5">
        <v>75500</v>
      </c>
      <c r="I1611" s="4" t="s">
        <v>21</v>
      </c>
      <c r="J1611" s="5">
        <f t="shared" si="25"/>
        <v>-317787.05000000005</v>
      </c>
      <c r="K1611" s="4" t="s">
        <v>42</v>
      </c>
      <c r="L1611" s="6">
        <v>4.2091000000000003</v>
      </c>
      <c r="M1611" s="6">
        <v>0.23760000000000001</v>
      </c>
      <c r="N1611" s="6">
        <v>4.2119</v>
      </c>
      <c r="O1611" s="6">
        <v>1</v>
      </c>
      <c r="P1611" s="5">
        <v>211.39999999996508</v>
      </c>
      <c r="Q1611" s="4" t="s">
        <v>1390</v>
      </c>
    </row>
    <row r="1612" spans="1:17" x14ac:dyDescent="0.3">
      <c r="A1612" s="2" t="s">
        <v>1389</v>
      </c>
      <c r="B1612" s="3">
        <v>155952</v>
      </c>
      <c r="C1612" s="3">
        <v>215879</v>
      </c>
      <c r="D1612" s="4" t="s">
        <v>17</v>
      </c>
      <c r="E1612" s="4" t="s">
        <v>1139</v>
      </c>
      <c r="F1612" s="4" t="s">
        <v>19</v>
      </c>
      <c r="G1612" s="4" t="s">
        <v>34</v>
      </c>
      <c r="H1612" s="5">
        <v>39000</v>
      </c>
      <c r="I1612" s="4" t="s">
        <v>21</v>
      </c>
      <c r="J1612" s="5">
        <f t="shared" si="25"/>
        <v>-140637.9</v>
      </c>
      <c r="K1612" s="4" t="s">
        <v>42</v>
      </c>
      <c r="L1612" s="6">
        <v>3.6061000000000001</v>
      </c>
      <c r="M1612" s="6">
        <v>0.27729999999999999</v>
      </c>
      <c r="N1612" s="6">
        <v>3.6070000000000002</v>
      </c>
      <c r="O1612" s="6">
        <v>1</v>
      </c>
      <c r="P1612" s="5">
        <v>35.100000000005821</v>
      </c>
      <c r="Q1612" s="4" t="s">
        <v>1390</v>
      </c>
    </row>
    <row r="1613" spans="1:17" x14ac:dyDescent="0.3">
      <c r="A1613" s="2" t="s">
        <v>1389</v>
      </c>
      <c r="B1613" s="3">
        <v>155953</v>
      </c>
      <c r="C1613" s="3">
        <v>893245</v>
      </c>
      <c r="D1613" s="4" t="s">
        <v>81</v>
      </c>
      <c r="E1613" s="4" t="s">
        <v>725</v>
      </c>
      <c r="F1613" s="4" t="s">
        <v>83</v>
      </c>
      <c r="G1613" s="4" t="s">
        <v>20</v>
      </c>
      <c r="H1613" s="5">
        <v>-1000000</v>
      </c>
      <c r="I1613" s="4" t="s">
        <v>21</v>
      </c>
      <c r="J1613" s="5">
        <f t="shared" si="25"/>
        <v>4212600</v>
      </c>
      <c r="K1613" s="4" t="s">
        <v>48</v>
      </c>
      <c r="L1613" s="6">
        <v>4.2126000000000001</v>
      </c>
      <c r="M1613" s="6">
        <v>0.2374</v>
      </c>
      <c r="N1613" s="6">
        <v>4.2096999999999998</v>
      </c>
      <c r="O1613" s="6">
        <v>1</v>
      </c>
      <c r="P1613" s="5">
        <v>2910</v>
      </c>
      <c r="Q1613" s="4" t="s">
        <v>1392</v>
      </c>
    </row>
    <row r="1614" spans="1:17" x14ac:dyDescent="0.3">
      <c r="A1614" s="2" t="s">
        <v>1389</v>
      </c>
      <c r="B1614" s="3">
        <v>155954</v>
      </c>
      <c r="C1614" s="3">
        <v>893249</v>
      </c>
      <c r="D1614" s="4" t="s">
        <v>81</v>
      </c>
      <c r="E1614" s="4" t="s">
        <v>734</v>
      </c>
      <c r="F1614" s="4" t="s">
        <v>87</v>
      </c>
      <c r="G1614" s="4" t="s">
        <v>20</v>
      </c>
      <c r="H1614" s="5">
        <v>500000</v>
      </c>
      <c r="I1614" s="4" t="s">
        <v>34</v>
      </c>
      <c r="J1614" s="5">
        <f t="shared" si="25"/>
        <v>-582200</v>
      </c>
      <c r="K1614" s="4" t="s">
        <v>48</v>
      </c>
      <c r="L1614" s="6">
        <v>1.1644000000000001</v>
      </c>
      <c r="M1614" s="6">
        <v>0.85880000000000001</v>
      </c>
      <c r="N1614" s="6">
        <v>4.2096999999999998</v>
      </c>
      <c r="O1614" s="6">
        <v>3.6036999999999999</v>
      </c>
      <c r="P1614" s="5">
        <v>6757.8415000000005</v>
      </c>
      <c r="Q1614" s="4" t="s">
        <v>1393</v>
      </c>
    </row>
    <row r="1615" spans="1:17" x14ac:dyDescent="0.3">
      <c r="A1615" s="2" t="s">
        <v>1389</v>
      </c>
      <c r="B1615" s="3">
        <v>155955</v>
      </c>
      <c r="C1615" s="3">
        <v>215885</v>
      </c>
      <c r="D1615" s="4" t="s">
        <v>17</v>
      </c>
      <c r="E1615" s="4" t="s">
        <v>1042</v>
      </c>
      <c r="F1615" s="4" t="s">
        <v>19</v>
      </c>
      <c r="G1615" s="4" t="s">
        <v>20</v>
      </c>
      <c r="H1615" s="5">
        <v>252745.60000000001</v>
      </c>
      <c r="I1615" s="4" t="s">
        <v>21</v>
      </c>
      <c r="J1615" s="5">
        <f t="shared" si="25"/>
        <v>-1063199.64096</v>
      </c>
      <c r="K1615" s="4" t="s">
        <v>42</v>
      </c>
      <c r="L1615" s="6">
        <v>4.2065999999999999</v>
      </c>
      <c r="M1615" s="6">
        <v>0.23769999999999999</v>
      </c>
      <c r="N1615" s="6">
        <v>4.2119</v>
      </c>
      <c r="O1615" s="6">
        <v>1</v>
      </c>
      <c r="P1615" s="5">
        <v>1339.5516800000332</v>
      </c>
      <c r="Q1615" s="4" t="s">
        <v>1390</v>
      </c>
    </row>
    <row r="1616" spans="1:17" x14ac:dyDescent="0.3">
      <c r="A1616" s="2" t="s">
        <v>1389</v>
      </c>
      <c r="B1616" s="3">
        <v>155956</v>
      </c>
      <c r="C1616" s="3">
        <v>215886</v>
      </c>
      <c r="D1616" s="4" t="s">
        <v>17</v>
      </c>
      <c r="E1616" s="4" t="s">
        <v>896</v>
      </c>
      <c r="F1616" s="4" t="s">
        <v>19</v>
      </c>
      <c r="G1616" s="4" t="s">
        <v>20</v>
      </c>
      <c r="H1616" s="5">
        <v>26000</v>
      </c>
      <c r="I1616" s="4" t="s">
        <v>21</v>
      </c>
      <c r="J1616" s="5">
        <f t="shared" si="25"/>
        <v>-108809.99999999999</v>
      </c>
      <c r="K1616" s="4" t="s">
        <v>42</v>
      </c>
      <c r="L1616" s="6">
        <v>4.1849999999999996</v>
      </c>
      <c r="M1616" s="6">
        <v>0.2389</v>
      </c>
      <c r="N1616" s="6">
        <v>4.2119</v>
      </c>
      <c r="O1616" s="6">
        <v>1</v>
      </c>
      <c r="P1616" s="5">
        <v>699.40000000000873</v>
      </c>
      <c r="Q1616" s="4" t="s">
        <v>1390</v>
      </c>
    </row>
    <row r="1617" spans="1:17" x14ac:dyDescent="0.3">
      <c r="A1617" s="2" t="s">
        <v>1389</v>
      </c>
      <c r="B1617" s="3">
        <v>155960</v>
      </c>
      <c r="C1617" s="3">
        <v>215888</v>
      </c>
      <c r="D1617" s="4" t="s">
        <v>17</v>
      </c>
      <c r="E1617" s="4" t="s">
        <v>1224</v>
      </c>
      <c r="F1617" s="4" t="s">
        <v>32</v>
      </c>
      <c r="G1617" s="4" t="s">
        <v>20</v>
      </c>
      <c r="H1617" s="5">
        <v>-10000</v>
      </c>
      <c r="I1617" s="4" t="s">
        <v>21</v>
      </c>
      <c r="J1617" s="5">
        <f t="shared" si="25"/>
        <v>42157</v>
      </c>
      <c r="K1617" s="4" t="s">
        <v>42</v>
      </c>
      <c r="L1617" s="6">
        <v>4.2157</v>
      </c>
      <c r="M1617" s="6">
        <v>0.23719999999999999</v>
      </c>
      <c r="N1617" s="6">
        <v>4.2119</v>
      </c>
      <c r="O1617" s="6">
        <v>1</v>
      </c>
      <c r="P1617" s="5">
        <v>30</v>
      </c>
      <c r="Q1617" s="4" t="s">
        <v>1390</v>
      </c>
    </row>
    <row r="1618" spans="1:17" x14ac:dyDescent="0.3">
      <c r="A1618" s="2" t="s">
        <v>1389</v>
      </c>
      <c r="B1618" s="3">
        <v>155961</v>
      </c>
      <c r="C1618" s="3">
        <v>215889</v>
      </c>
      <c r="D1618" s="4" t="s">
        <v>17</v>
      </c>
      <c r="E1618" s="4" t="s">
        <v>1157</v>
      </c>
      <c r="F1618" s="4" t="s">
        <v>19</v>
      </c>
      <c r="G1618" s="4" t="s">
        <v>20</v>
      </c>
      <c r="H1618" s="5">
        <v>5700</v>
      </c>
      <c r="I1618" s="4" t="s">
        <v>21</v>
      </c>
      <c r="J1618" s="5">
        <f t="shared" si="25"/>
        <v>-23944.560000000001</v>
      </c>
      <c r="K1618" s="4" t="s">
        <v>42</v>
      </c>
      <c r="L1618" s="6">
        <v>4.2008000000000001</v>
      </c>
      <c r="M1618" s="6">
        <v>0.23799999999999999</v>
      </c>
      <c r="N1618" s="6">
        <v>4.2119</v>
      </c>
      <c r="O1618" s="6">
        <v>1</v>
      </c>
      <c r="P1618" s="5">
        <v>63.269999999996799</v>
      </c>
      <c r="Q1618" s="4" t="s">
        <v>1390</v>
      </c>
    </row>
    <row r="1619" spans="1:17" x14ac:dyDescent="0.3">
      <c r="A1619" s="2" t="s">
        <v>1389</v>
      </c>
      <c r="B1619" s="3">
        <v>155963</v>
      </c>
      <c r="C1619" s="3">
        <v>215891</v>
      </c>
      <c r="D1619" s="4" t="s">
        <v>17</v>
      </c>
      <c r="E1619" s="4" t="s">
        <v>1224</v>
      </c>
      <c r="F1619" s="4" t="s">
        <v>32</v>
      </c>
      <c r="G1619" s="4" t="s">
        <v>20</v>
      </c>
      <c r="H1619" s="5">
        <v>-10000</v>
      </c>
      <c r="I1619" s="4" t="s">
        <v>21</v>
      </c>
      <c r="J1619" s="5">
        <f t="shared" si="25"/>
        <v>42158</v>
      </c>
      <c r="K1619" s="4" t="s">
        <v>42</v>
      </c>
      <c r="L1619" s="6">
        <v>4.2157999999999998</v>
      </c>
      <c r="M1619" s="6">
        <v>0.23719999999999999</v>
      </c>
      <c r="N1619" s="6">
        <v>4.2119</v>
      </c>
      <c r="O1619" s="6">
        <v>1</v>
      </c>
      <c r="P1619" s="5">
        <v>31</v>
      </c>
      <c r="Q1619" s="4" t="s">
        <v>1390</v>
      </c>
    </row>
    <row r="1620" spans="1:17" x14ac:dyDescent="0.3">
      <c r="A1620" s="2" t="s">
        <v>1389</v>
      </c>
      <c r="B1620" s="3">
        <v>155964</v>
      </c>
      <c r="C1620" s="3">
        <v>215892</v>
      </c>
      <c r="D1620" s="4" t="s">
        <v>17</v>
      </c>
      <c r="E1620" s="4" t="s">
        <v>1247</v>
      </c>
      <c r="F1620" s="4" t="s">
        <v>19</v>
      </c>
      <c r="G1620" s="4" t="s">
        <v>20</v>
      </c>
      <c r="H1620" s="5">
        <v>100000</v>
      </c>
      <c r="I1620" s="4" t="s">
        <v>21</v>
      </c>
      <c r="J1620" s="5">
        <f t="shared" si="25"/>
        <v>-420500</v>
      </c>
      <c r="K1620" s="4" t="s">
        <v>42</v>
      </c>
      <c r="L1620" s="6">
        <v>4.2050000000000001</v>
      </c>
      <c r="M1620" s="6">
        <v>0.23780000000000001</v>
      </c>
      <c r="N1620" s="6">
        <v>4.2119</v>
      </c>
      <c r="O1620" s="6">
        <v>1</v>
      </c>
      <c r="P1620" s="5">
        <v>690</v>
      </c>
      <c r="Q1620" s="4" t="s">
        <v>1390</v>
      </c>
    </row>
    <row r="1621" spans="1:17" x14ac:dyDescent="0.3">
      <c r="A1621" s="2" t="s">
        <v>1389</v>
      </c>
      <c r="B1621" s="3">
        <v>155965</v>
      </c>
      <c r="C1621" s="3">
        <v>215893</v>
      </c>
      <c r="D1621" s="4" t="s">
        <v>17</v>
      </c>
      <c r="E1621" s="4" t="s">
        <v>1224</v>
      </c>
      <c r="F1621" s="4" t="s">
        <v>32</v>
      </c>
      <c r="G1621" s="4" t="s">
        <v>20</v>
      </c>
      <c r="H1621" s="5">
        <v>-10000</v>
      </c>
      <c r="I1621" s="4" t="s">
        <v>21</v>
      </c>
      <c r="J1621" s="5">
        <f t="shared" si="25"/>
        <v>42162</v>
      </c>
      <c r="K1621" s="4" t="s">
        <v>42</v>
      </c>
      <c r="L1621" s="6">
        <v>4.2161999999999997</v>
      </c>
      <c r="M1621" s="6">
        <v>0.23719999999999999</v>
      </c>
      <c r="N1621" s="6">
        <v>4.2119</v>
      </c>
      <c r="O1621" s="6">
        <v>1</v>
      </c>
      <c r="P1621" s="5">
        <v>35</v>
      </c>
      <c r="Q1621" s="4" t="s">
        <v>1390</v>
      </c>
    </row>
    <row r="1622" spans="1:17" x14ac:dyDescent="0.3">
      <c r="A1622" s="2" t="s">
        <v>1389</v>
      </c>
      <c r="B1622" s="3">
        <v>155967</v>
      </c>
      <c r="C1622" s="3">
        <v>215895</v>
      </c>
      <c r="D1622" s="4" t="s">
        <v>17</v>
      </c>
      <c r="E1622" s="4" t="s">
        <v>1160</v>
      </c>
      <c r="F1622" s="4" t="s">
        <v>19</v>
      </c>
      <c r="G1622" s="4" t="s">
        <v>20</v>
      </c>
      <c r="H1622" s="5">
        <v>200000</v>
      </c>
      <c r="I1622" s="4" t="s">
        <v>21</v>
      </c>
      <c r="J1622" s="5">
        <f t="shared" si="25"/>
        <v>-840000</v>
      </c>
      <c r="K1622" s="4" t="s">
        <v>42</v>
      </c>
      <c r="L1622" s="6">
        <v>4.2</v>
      </c>
      <c r="M1622" s="6">
        <v>0.23810000000000001</v>
      </c>
      <c r="N1622" s="6">
        <v>4.2119</v>
      </c>
      <c r="O1622" s="6">
        <v>1</v>
      </c>
      <c r="P1622" s="5">
        <v>2380</v>
      </c>
      <c r="Q1622" s="4" t="s">
        <v>1390</v>
      </c>
    </row>
    <row r="1623" spans="1:17" x14ac:dyDescent="0.3">
      <c r="A1623" s="2" t="s">
        <v>1389</v>
      </c>
      <c r="B1623" s="3">
        <v>155969</v>
      </c>
      <c r="C1623" s="3">
        <v>215896</v>
      </c>
      <c r="D1623" s="4" t="s">
        <v>17</v>
      </c>
      <c r="E1623" s="4" t="s">
        <v>1076</v>
      </c>
      <c r="F1623" s="4" t="s">
        <v>19</v>
      </c>
      <c r="G1623" s="4" t="s">
        <v>20</v>
      </c>
      <c r="H1623" s="5">
        <v>315000</v>
      </c>
      <c r="I1623" s="4" t="s">
        <v>21</v>
      </c>
      <c r="J1623" s="5">
        <f t="shared" si="25"/>
        <v>-1326150</v>
      </c>
      <c r="K1623" s="4" t="s">
        <v>42</v>
      </c>
      <c r="L1623" s="6">
        <v>4.21</v>
      </c>
      <c r="M1623" s="6">
        <v>0.23749999999999999</v>
      </c>
      <c r="N1623" s="6">
        <v>4.2119</v>
      </c>
      <c r="O1623" s="6">
        <v>1</v>
      </c>
      <c r="P1623" s="5">
        <v>598.5</v>
      </c>
      <c r="Q1623" s="4" t="s">
        <v>1390</v>
      </c>
    </row>
    <row r="1624" spans="1:17" x14ac:dyDescent="0.3">
      <c r="A1624" s="2" t="s">
        <v>1389</v>
      </c>
      <c r="B1624" s="3">
        <v>155970</v>
      </c>
      <c r="C1624" s="3">
        <v>215898</v>
      </c>
      <c r="D1624" s="4" t="s">
        <v>17</v>
      </c>
      <c r="E1624" s="4" t="s">
        <v>1295</v>
      </c>
      <c r="F1624" s="4" t="s">
        <v>19</v>
      </c>
      <c r="G1624" s="4" t="s">
        <v>20</v>
      </c>
      <c r="H1624" s="5">
        <v>50000</v>
      </c>
      <c r="I1624" s="4" t="s">
        <v>21</v>
      </c>
      <c r="J1624" s="5">
        <f t="shared" si="25"/>
        <v>-209000</v>
      </c>
      <c r="K1624" s="4" t="s">
        <v>42</v>
      </c>
      <c r="L1624" s="6">
        <v>4.18</v>
      </c>
      <c r="M1624" s="6">
        <v>0.2392</v>
      </c>
      <c r="N1624" s="6">
        <v>4.2119</v>
      </c>
      <c r="O1624" s="6">
        <v>1</v>
      </c>
      <c r="P1624" s="5">
        <v>1595</v>
      </c>
      <c r="Q1624" s="4" t="s">
        <v>1390</v>
      </c>
    </row>
    <row r="1625" spans="1:17" x14ac:dyDescent="0.3">
      <c r="A1625" s="2" t="s">
        <v>1389</v>
      </c>
      <c r="B1625" s="3">
        <v>155973</v>
      </c>
      <c r="C1625" s="3">
        <v>893316</v>
      </c>
      <c r="D1625" s="4" t="s">
        <v>81</v>
      </c>
      <c r="E1625" s="4" t="s">
        <v>742</v>
      </c>
      <c r="F1625" s="4" t="s">
        <v>83</v>
      </c>
      <c r="G1625" s="4" t="s">
        <v>34</v>
      </c>
      <c r="H1625" s="5">
        <v>-1000000</v>
      </c>
      <c r="I1625" s="4" t="s">
        <v>21</v>
      </c>
      <c r="J1625" s="5">
        <f t="shared" si="25"/>
        <v>3618800</v>
      </c>
      <c r="K1625" s="4" t="s">
        <v>48</v>
      </c>
      <c r="L1625" s="6">
        <v>3.6187999999999998</v>
      </c>
      <c r="M1625" s="6">
        <v>0.27629999999999999</v>
      </c>
      <c r="N1625" s="6">
        <v>3.6036999999999999</v>
      </c>
      <c r="O1625" s="6">
        <v>1</v>
      </c>
      <c r="P1625" s="5">
        <v>15100</v>
      </c>
      <c r="Q1625" s="4" t="s">
        <v>1396</v>
      </c>
    </row>
    <row r="1626" spans="1:17" x14ac:dyDescent="0.3">
      <c r="A1626" s="2" t="s">
        <v>1389</v>
      </c>
      <c r="B1626" s="3">
        <v>155975</v>
      </c>
      <c r="C1626" s="3">
        <v>215911</v>
      </c>
      <c r="D1626" s="4" t="s">
        <v>17</v>
      </c>
      <c r="E1626" s="4" t="s">
        <v>1224</v>
      </c>
      <c r="F1626" s="4" t="s">
        <v>32</v>
      </c>
      <c r="G1626" s="4" t="s">
        <v>20</v>
      </c>
      <c r="H1626" s="5">
        <v>-10000</v>
      </c>
      <c r="I1626" s="4" t="s">
        <v>21</v>
      </c>
      <c r="J1626" s="5">
        <f t="shared" si="25"/>
        <v>42164</v>
      </c>
      <c r="K1626" s="4" t="s">
        <v>42</v>
      </c>
      <c r="L1626" s="6">
        <v>4.2164000000000001</v>
      </c>
      <c r="M1626" s="6">
        <v>0.23719999999999999</v>
      </c>
      <c r="N1626" s="6">
        <v>4.2119</v>
      </c>
      <c r="O1626" s="6">
        <v>1</v>
      </c>
      <c r="P1626" s="5">
        <v>37</v>
      </c>
      <c r="Q1626" s="4" t="s">
        <v>1390</v>
      </c>
    </row>
    <row r="1627" spans="1:17" x14ac:dyDescent="0.3">
      <c r="A1627" s="2" t="s">
        <v>1389</v>
      </c>
      <c r="B1627" s="3">
        <v>155976</v>
      </c>
      <c r="C1627" s="3">
        <v>893348</v>
      </c>
      <c r="D1627" s="4" t="s">
        <v>81</v>
      </c>
      <c r="E1627" s="4" t="s">
        <v>735</v>
      </c>
      <c r="F1627" s="4" t="s">
        <v>83</v>
      </c>
      <c r="G1627" s="4" t="s">
        <v>20</v>
      </c>
      <c r="H1627" s="5">
        <v>-500000</v>
      </c>
      <c r="I1627" s="4" t="s">
        <v>21</v>
      </c>
      <c r="J1627" s="5">
        <f t="shared" si="25"/>
        <v>2106750</v>
      </c>
      <c r="K1627" s="4" t="s">
        <v>48</v>
      </c>
      <c r="L1627" s="6">
        <v>4.2134999999999998</v>
      </c>
      <c r="M1627" s="6">
        <v>0.23730000000000001</v>
      </c>
      <c r="N1627" s="6">
        <v>4.2096999999999998</v>
      </c>
      <c r="O1627" s="6">
        <v>1</v>
      </c>
      <c r="P1627" s="5">
        <v>1900</v>
      </c>
      <c r="Q1627" s="4" t="s">
        <v>1394</v>
      </c>
    </row>
    <row r="1628" spans="1:17" x14ac:dyDescent="0.3">
      <c r="A1628" s="2" t="s">
        <v>1389</v>
      </c>
      <c r="B1628" s="3">
        <v>155977</v>
      </c>
      <c r="C1628" s="3">
        <v>215912</v>
      </c>
      <c r="D1628" s="4" t="s">
        <v>17</v>
      </c>
      <c r="E1628" s="4" t="s">
        <v>890</v>
      </c>
      <c r="F1628" s="4" t="s">
        <v>19</v>
      </c>
      <c r="G1628" s="4" t="s">
        <v>20</v>
      </c>
      <c r="H1628" s="5">
        <v>100000</v>
      </c>
      <c r="I1628" s="4" t="s">
        <v>21</v>
      </c>
      <c r="J1628" s="5">
        <f t="shared" si="25"/>
        <v>-417800</v>
      </c>
      <c r="K1628" s="4" t="s">
        <v>42</v>
      </c>
      <c r="L1628" s="6">
        <v>4.1779999999999999</v>
      </c>
      <c r="M1628" s="6">
        <v>0.23930000000000001</v>
      </c>
      <c r="N1628" s="6">
        <v>4.2119</v>
      </c>
      <c r="O1628" s="6">
        <v>1</v>
      </c>
      <c r="P1628" s="5">
        <v>3390</v>
      </c>
      <c r="Q1628" s="4" t="s">
        <v>1390</v>
      </c>
    </row>
    <row r="1629" spans="1:17" x14ac:dyDescent="0.3">
      <c r="A1629" s="2" t="s">
        <v>1389</v>
      </c>
      <c r="B1629" s="3">
        <v>155979</v>
      </c>
      <c r="C1629" s="3">
        <v>215913</v>
      </c>
      <c r="D1629" s="4" t="s">
        <v>17</v>
      </c>
      <c r="E1629" s="4" t="s">
        <v>890</v>
      </c>
      <c r="F1629" s="4" t="s">
        <v>19</v>
      </c>
      <c r="G1629" s="4" t="s">
        <v>93</v>
      </c>
      <c r="H1629" s="5">
        <v>21550</v>
      </c>
      <c r="I1629" s="4" t="s">
        <v>21</v>
      </c>
      <c r="J1629" s="5">
        <f t="shared" si="25"/>
        <v>-96867.25</v>
      </c>
      <c r="K1629" s="4" t="s">
        <v>42</v>
      </c>
      <c r="L1629" s="6">
        <v>4.4950000000000001</v>
      </c>
      <c r="M1629" s="6">
        <v>0.2225</v>
      </c>
      <c r="N1629" s="6">
        <v>4.5228000000000002</v>
      </c>
      <c r="O1629" s="6">
        <v>1</v>
      </c>
      <c r="P1629" s="5">
        <v>599.08999999999651</v>
      </c>
      <c r="Q1629" s="4" t="s">
        <v>1390</v>
      </c>
    </row>
    <row r="1630" spans="1:17" x14ac:dyDescent="0.3">
      <c r="A1630" s="2" t="s">
        <v>1389</v>
      </c>
      <c r="B1630" s="3">
        <v>155986</v>
      </c>
      <c r="C1630" s="3">
        <v>215926</v>
      </c>
      <c r="D1630" s="4" t="s">
        <v>17</v>
      </c>
      <c r="E1630" s="4" t="s">
        <v>817</v>
      </c>
      <c r="F1630" s="4" t="s">
        <v>19</v>
      </c>
      <c r="G1630" s="4" t="s">
        <v>20</v>
      </c>
      <c r="H1630" s="5">
        <v>25000</v>
      </c>
      <c r="I1630" s="4" t="s">
        <v>21</v>
      </c>
      <c r="J1630" s="5">
        <f t="shared" si="25"/>
        <v>-105020</v>
      </c>
      <c r="K1630" s="4" t="s">
        <v>42</v>
      </c>
      <c r="L1630" s="6">
        <v>4.2008000000000001</v>
      </c>
      <c r="M1630" s="6">
        <v>0.23799999999999999</v>
      </c>
      <c r="N1630" s="6">
        <v>4.2119</v>
      </c>
      <c r="O1630" s="6">
        <v>1</v>
      </c>
      <c r="P1630" s="5">
        <v>277.5</v>
      </c>
      <c r="Q1630" s="4" t="s">
        <v>1390</v>
      </c>
    </row>
    <row r="1631" spans="1:17" x14ac:dyDescent="0.3">
      <c r="A1631" s="2" t="s">
        <v>1389</v>
      </c>
      <c r="B1631" s="3">
        <v>155988</v>
      </c>
      <c r="C1631" s="3">
        <v>215927</v>
      </c>
      <c r="D1631" s="4" t="s">
        <v>17</v>
      </c>
      <c r="E1631" s="4" t="s">
        <v>1204</v>
      </c>
      <c r="F1631" s="4" t="s">
        <v>32</v>
      </c>
      <c r="G1631" s="4" t="s">
        <v>34</v>
      </c>
      <c r="H1631" s="5">
        <v>-64500</v>
      </c>
      <c r="I1631" s="4" t="s">
        <v>21</v>
      </c>
      <c r="J1631" s="5">
        <f t="shared" si="25"/>
        <v>233748</v>
      </c>
      <c r="K1631" s="4" t="s">
        <v>42</v>
      </c>
      <c r="L1631" s="6">
        <v>3.6240000000000001</v>
      </c>
      <c r="M1631" s="6">
        <v>0.27589999999999998</v>
      </c>
      <c r="N1631" s="6">
        <v>3.6070000000000002</v>
      </c>
      <c r="O1631" s="6">
        <v>1</v>
      </c>
      <c r="P1631" s="5">
        <v>1096.5</v>
      </c>
      <c r="Q1631" s="4" t="s">
        <v>1390</v>
      </c>
    </row>
    <row r="1632" spans="1:17" x14ac:dyDescent="0.3">
      <c r="A1632" s="2" t="s">
        <v>1389</v>
      </c>
      <c r="B1632" s="3">
        <v>155991</v>
      </c>
      <c r="C1632" s="3">
        <v>893403</v>
      </c>
      <c r="D1632" s="4" t="s">
        <v>81</v>
      </c>
      <c r="E1632" s="4" t="s">
        <v>735</v>
      </c>
      <c r="F1632" s="4" t="s">
        <v>83</v>
      </c>
      <c r="G1632" s="4" t="s">
        <v>20</v>
      </c>
      <c r="H1632" s="5">
        <v>-500000</v>
      </c>
      <c r="I1632" s="4" t="s">
        <v>21</v>
      </c>
      <c r="J1632" s="5">
        <f t="shared" si="25"/>
        <v>2106150</v>
      </c>
      <c r="K1632" s="4" t="s">
        <v>48</v>
      </c>
      <c r="L1632" s="6">
        <v>4.2122999999999999</v>
      </c>
      <c r="M1632" s="6">
        <v>0.2374</v>
      </c>
      <c r="N1632" s="6">
        <v>4.2096999999999998</v>
      </c>
      <c r="O1632" s="6">
        <v>1</v>
      </c>
      <c r="P1632" s="5">
        <v>1300</v>
      </c>
      <c r="Q1632" s="4" t="s">
        <v>1394</v>
      </c>
    </row>
    <row r="1633" spans="1:17" x14ac:dyDescent="0.3">
      <c r="A1633" s="2" t="s">
        <v>1389</v>
      </c>
      <c r="B1633" s="3">
        <v>155992</v>
      </c>
      <c r="C1633" s="3">
        <v>893407</v>
      </c>
      <c r="D1633" s="4" t="s">
        <v>81</v>
      </c>
      <c r="E1633" s="4" t="s">
        <v>725</v>
      </c>
      <c r="F1633" s="4" t="s">
        <v>83</v>
      </c>
      <c r="G1633" s="4" t="s">
        <v>20</v>
      </c>
      <c r="H1633" s="5">
        <v>-1000000</v>
      </c>
      <c r="I1633" s="4" t="s">
        <v>21</v>
      </c>
      <c r="J1633" s="5">
        <f t="shared" si="25"/>
        <v>4212400</v>
      </c>
      <c r="K1633" s="4" t="s">
        <v>48</v>
      </c>
      <c r="L1633" s="6">
        <v>4.2123999999999997</v>
      </c>
      <c r="M1633" s="6">
        <v>0.2374</v>
      </c>
      <c r="N1633" s="6">
        <v>4.2096999999999998</v>
      </c>
      <c r="O1633" s="6">
        <v>1</v>
      </c>
      <c r="P1633" s="5">
        <v>2700</v>
      </c>
      <c r="Q1633" s="4" t="s">
        <v>1392</v>
      </c>
    </row>
    <row r="1634" spans="1:17" x14ac:dyDescent="0.3">
      <c r="A1634" s="2" t="s">
        <v>1389</v>
      </c>
      <c r="B1634" s="3">
        <v>155993</v>
      </c>
      <c r="C1634" s="3">
        <v>215929</v>
      </c>
      <c r="D1634" s="4" t="s">
        <v>17</v>
      </c>
      <c r="E1634" s="4" t="s">
        <v>1192</v>
      </c>
      <c r="F1634" s="4" t="s">
        <v>19</v>
      </c>
      <c r="G1634" s="4" t="s">
        <v>20</v>
      </c>
      <c r="H1634" s="5">
        <v>398879.34</v>
      </c>
      <c r="I1634" s="4" t="s">
        <v>21</v>
      </c>
      <c r="J1634" s="5">
        <f t="shared" si="25"/>
        <v>-1679481.46107</v>
      </c>
      <c r="K1634" s="4" t="s">
        <v>42</v>
      </c>
      <c r="L1634" s="6">
        <v>4.2104999999999997</v>
      </c>
      <c r="M1634" s="6">
        <v>0.23749999999999999</v>
      </c>
      <c r="N1634" s="6">
        <v>4.2119</v>
      </c>
      <c r="O1634" s="6">
        <v>1</v>
      </c>
      <c r="P1634" s="5">
        <v>558.43107600021176</v>
      </c>
      <c r="Q1634" s="4" t="s">
        <v>1390</v>
      </c>
    </row>
    <row r="1635" spans="1:17" x14ac:dyDescent="0.3">
      <c r="A1635" s="2" t="s">
        <v>1389</v>
      </c>
      <c r="B1635" s="3">
        <v>155995</v>
      </c>
      <c r="C1635" s="3">
        <v>215932</v>
      </c>
      <c r="D1635" s="4" t="s">
        <v>17</v>
      </c>
      <c r="E1635" s="4" t="s">
        <v>978</v>
      </c>
      <c r="F1635" s="4" t="s">
        <v>19</v>
      </c>
      <c r="G1635" s="4" t="s">
        <v>20</v>
      </c>
      <c r="H1635" s="5">
        <v>200000</v>
      </c>
      <c r="I1635" s="4" t="s">
        <v>21</v>
      </c>
      <c r="J1635" s="5">
        <f t="shared" si="25"/>
        <v>-842099.99999999988</v>
      </c>
      <c r="K1635" s="4" t="s">
        <v>42</v>
      </c>
      <c r="L1635" s="6">
        <v>4.2104999999999997</v>
      </c>
      <c r="M1635" s="6">
        <v>0.23749999999999999</v>
      </c>
      <c r="N1635" s="6">
        <v>4.2119</v>
      </c>
      <c r="O1635" s="6">
        <v>1</v>
      </c>
      <c r="P1635" s="5">
        <v>280.00000000011642</v>
      </c>
      <c r="Q1635" s="4" t="s">
        <v>1390</v>
      </c>
    </row>
    <row r="1636" spans="1:17" x14ac:dyDescent="0.3">
      <c r="A1636" s="2" t="s">
        <v>1389</v>
      </c>
      <c r="B1636" s="3">
        <v>155997</v>
      </c>
      <c r="C1636" s="3">
        <v>893424</v>
      </c>
      <c r="D1636" s="4" t="s">
        <v>81</v>
      </c>
      <c r="E1636" s="4" t="s">
        <v>732</v>
      </c>
      <c r="F1636" s="4" t="s">
        <v>87</v>
      </c>
      <c r="G1636" s="4" t="s">
        <v>34</v>
      </c>
      <c r="H1636" s="5">
        <v>1000000</v>
      </c>
      <c r="I1636" s="4" t="s">
        <v>21</v>
      </c>
      <c r="J1636" s="5">
        <f t="shared" si="25"/>
        <v>-3617300</v>
      </c>
      <c r="K1636" s="4" t="s">
        <v>48</v>
      </c>
      <c r="L1636" s="6">
        <v>3.6173000000000002</v>
      </c>
      <c r="M1636" s="6">
        <v>0.27650000000000002</v>
      </c>
      <c r="N1636" s="6">
        <v>3.6036999999999999</v>
      </c>
      <c r="O1636" s="6">
        <v>1</v>
      </c>
      <c r="P1636" s="5">
        <v>-13570</v>
      </c>
      <c r="Q1636" s="4" t="s">
        <v>1394</v>
      </c>
    </row>
    <row r="1637" spans="1:17" x14ac:dyDescent="0.3">
      <c r="A1637" s="2" t="s">
        <v>1389</v>
      </c>
      <c r="B1637" s="3">
        <v>155998</v>
      </c>
      <c r="C1637" s="3">
        <v>215935</v>
      </c>
      <c r="D1637" s="4" t="s">
        <v>17</v>
      </c>
      <c r="E1637" s="4" t="s">
        <v>1115</v>
      </c>
      <c r="F1637" s="4" t="s">
        <v>32</v>
      </c>
      <c r="G1637" s="4" t="s">
        <v>34</v>
      </c>
      <c r="H1637" s="5">
        <v>-956000</v>
      </c>
      <c r="I1637" s="4" t="s">
        <v>21</v>
      </c>
      <c r="J1637" s="5">
        <f t="shared" si="25"/>
        <v>3459764</v>
      </c>
      <c r="K1637" s="4" t="s">
        <v>42</v>
      </c>
      <c r="L1637" s="6">
        <v>3.6190000000000002</v>
      </c>
      <c r="M1637" s="6">
        <v>0.27629999999999999</v>
      </c>
      <c r="N1637" s="6">
        <v>3.6070000000000002</v>
      </c>
      <c r="O1637" s="6">
        <v>1</v>
      </c>
      <c r="P1637" s="5">
        <v>11472</v>
      </c>
      <c r="Q1637" s="4" t="s">
        <v>1390</v>
      </c>
    </row>
    <row r="1638" spans="1:17" x14ac:dyDescent="0.3">
      <c r="A1638" s="2" t="s">
        <v>1389</v>
      </c>
      <c r="B1638" s="3">
        <v>156000</v>
      </c>
      <c r="C1638" s="3">
        <v>215937</v>
      </c>
      <c r="D1638" s="4" t="s">
        <v>17</v>
      </c>
      <c r="E1638" s="4" t="s">
        <v>1057</v>
      </c>
      <c r="F1638" s="4" t="s">
        <v>19</v>
      </c>
      <c r="G1638" s="4" t="s">
        <v>20</v>
      </c>
      <c r="H1638" s="5">
        <v>50000</v>
      </c>
      <c r="I1638" s="4" t="s">
        <v>21</v>
      </c>
      <c r="J1638" s="5">
        <f t="shared" si="25"/>
        <v>-210425</v>
      </c>
      <c r="K1638" s="4" t="s">
        <v>42</v>
      </c>
      <c r="L1638" s="6">
        <v>4.2084999999999999</v>
      </c>
      <c r="M1638" s="6">
        <v>0.23760000000000001</v>
      </c>
      <c r="N1638" s="6">
        <v>4.2119</v>
      </c>
      <c r="O1638" s="6">
        <v>1</v>
      </c>
      <c r="P1638" s="5">
        <v>170</v>
      </c>
      <c r="Q1638" s="4" t="s">
        <v>1390</v>
      </c>
    </row>
    <row r="1639" spans="1:17" x14ac:dyDescent="0.3">
      <c r="A1639" s="2" t="s">
        <v>1389</v>
      </c>
      <c r="B1639" s="3">
        <v>156001</v>
      </c>
      <c r="C1639" s="3">
        <v>215939</v>
      </c>
      <c r="D1639" s="4" t="s">
        <v>17</v>
      </c>
      <c r="E1639" s="4" t="s">
        <v>1224</v>
      </c>
      <c r="F1639" s="4" t="s">
        <v>32</v>
      </c>
      <c r="G1639" s="4" t="s">
        <v>20</v>
      </c>
      <c r="H1639" s="5">
        <v>-10000</v>
      </c>
      <c r="I1639" s="4" t="s">
        <v>21</v>
      </c>
      <c r="J1639" s="5">
        <f t="shared" si="25"/>
        <v>42144.000000000007</v>
      </c>
      <c r="K1639" s="4" t="s">
        <v>42</v>
      </c>
      <c r="L1639" s="6">
        <v>4.2144000000000004</v>
      </c>
      <c r="M1639" s="6">
        <v>0.23730000000000001</v>
      </c>
      <c r="N1639" s="6">
        <v>4.2119</v>
      </c>
      <c r="O1639" s="6">
        <v>1</v>
      </c>
      <c r="P1639" s="5">
        <v>17</v>
      </c>
      <c r="Q1639" s="4" t="s">
        <v>1390</v>
      </c>
    </row>
    <row r="1640" spans="1:17" x14ac:dyDescent="0.3">
      <c r="A1640" s="2" t="s">
        <v>1389</v>
      </c>
      <c r="B1640" s="3">
        <v>156003</v>
      </c>
      <c r="C1640" s="3">
        <v>215941</v>
      </c>
      <c r="D1640" s="4" t="s">
        <v>17</v>
      </c>
      <c r="E1640" s="4" t="s">
        <v>1003</v>
      </c>
      <c r="F1640" s="4" t="s">
        <v>19</v>
      </c>
      <c r="G1640" s="4" t="s">
        <v>20</v>
      </c>
      <c r="H1640" s="5">
        <v>30000</v>
      </c>
      <c r="I1640" s="4" t="s">
        <v>21</v>
      </c>
      <c r="J1640" s="5">
        <f t="shared" si="25"/>
        <v>-125760</v>
      </c>
      <c r="K1640" s="4" t="s">
        <v>42</v>
      </c>
      <c r="L1640" s="6">
        <v>4.1920000000000002</v>
      </c>
      <c r="M1640" s="6">
        <v>0.23849999999999999</v>
      </c>
      <c r="N1640" s="6">
        <v>4.2119</v>
      </c>
      <c r="O1640" s="6">
        <v>1</v>
      </c>
      <c r="P1640" s="5">
        <v>597</v>
      </c>
      <c r="Q1640" s="4" t="s">
        <v>1390</v>
      </c>
    </row>
    <row r="1641" spans="1:17" x14ac:dyDescent="0.3">
      <c r="A1641" s="2" t="s">
        <v>1389</v>
      </c>
      <c r="B1641" s="3">
        <v>156004</v>
      </c>
      <c r="C1641" s="3">
        <v>215942</v>
      </c>
      <c r="D1641" s="4" t="s">
        <v>17</v>
      </c>
      <c r="E1641" s="4" t="s">
        <v>928</v>
      </c>
      <c r="F1641" s="4" t="s">
        <v>32</v>
      </c>
      <c r="G1641" s="4" t="s">
        <v>20</v>
      </c>
      <c r="H1641" s="5">
        <v>-142000</v>
      </c>
      <c r="I1641" s="4" t="s">
        <v>21</v>
      </c>
      <c r="J1641" s="5">
        <f t="shared" si="25"/>
        <v>599098</v>
      </c>
      <c r="K1641" s="4" t="s">
        <v>42</v>
      </c>
      <c r="L1641" s="6">
        <v>4.2190000000000003</v>
      </c>
      <c r="M1641" s="6">
        <v>0.23699999999999999</v>
      </c>
      <c r="N1641" s="6">
        <v>4.2119</v>
      </c>
      <c r="O1641" s="6">
        <v>1</v>
      </c>
      <c r="P1641" s="5">
        <v>1008.2</v>
      </c>
      <c r="Q1641" s="4" t="s">
        <v>1390</v>
      </c>
    </row>
    <row r="1642" spans="1:17" x14ac:dyDescent="0.3">
      <c r="A1642" s="2" t="s">
        <v>1389</v>
      </c>
      <c r="B1642" s="3">
        <v>156005</v>
      </c>
      <c r="C1642" s="3">
        <v>215943</v>
      </c>
      <c r="D1642" s="4" t="s">
        <v>17</v>
      </c>
      <c r="E1642" s="4" t="s">
        <v>1128</v>
      </c>
      <c r="F1642" s="4" t="s">
        <v>32</v>
      </c>
      <c r="G1642" s="4" t="s">
        <v>20</v>
      </c>
      <c r="H1642" s="5">
        <v>-85000</v>
      </c>
      <c r="I1642" s="4" t="s">
        <v>21</v>
      </c>
      <c r="J1642" s="5">
        <f t="shared" si="25"/>
        <v>358190.00000000006</v>
      </c>
      <c r="K1642" s="4" t="s">
        <v>42</v>
      </c>
      <c r="L1642" s="6">
        <v>4.2140000000000004</v>
      </c>
      <c r="M1642" s="6">
        <v>0.23730000000000001</v>
      </c>
      <c r="N1642" s="6">
        <v>4.2119</v>
      </c>
      <c r="O1642" s="6">
        <v>1</v>
      </c>
      <c r="P1642" s="5">
        <v>178.5</v>
      </c>
      <c r="Q1642" s="4" t="s">
        <v>1390</v>
      </c>
    </row>
    <row r="1643" spans="1:17" x14ac:dyDescent="0.3">
      <c r="A1643" s="2" t="s">
        <v>1389</v>
      </c>
      <c r="B1643" s="3">
        <v>156006</v>
      </c>
      <c r="C1643" s="3">
        <v>215944</v>
      </c>
      <c r="D1643" s="4" t="s">
        <v>17</v>
      </c>
      <c r="E1643" s="4" t="s">
        <v>932</v>
      </c>
      <c r="F1643" s="4" t="s">
        <v>32</v>
      </c>
      <c r="G1643" s="4" t="s">
        <v>20</v>
      </c>
      <c r="H1643" s="5">
        <v>-30000</v>
      </c>
      <c r="I1643" s="4" t="s">
        <v>21</v>
      </c>
      <c r="J1643" s="5">
        <f t="shared" si="25"/>
        <v>126773.99999999999</v>
      </c>
      <c r="K1643" s="4" t="s">
        <v>42</v>
      </c>
      <c r="L1643" s="6">
        <v>4.2257999999999996</v>
      </c>
      <c r="M1643" s="6">
        <v>0.2366</v>
      </c>
      <c r="N1643" s="6">
        <v>4.2119</v>
      </c>
      <c r="O1643" s="6">
        <v>1</v>
      </c>
      <c r="P1643" s="5">
        <v>393</v>
      </c>
      <c r="Q1643" s="4" t="s">
        <v>1390</v>
      </c>
    </row>
    <row r="1644" spans="1:17" x14ac:dyDescent="0.3">
      <c r="A1644" s="2" t="s">
        <v>1389</v>
      </c>
      <c r="B1644" s="3">
        <v>156007</v>
      </c>
      <c r="C1644" s="3">
        <v>215945</v>
      </c>
      <c r="D1644" s="4" t="s">
        <v>17</v>
      </c>
      <c r="E1644" s="4" t="s">
        <v>896</v>
      </c>
      <c r="F1644" s="4" t="s">
        <v>19</v>
      </c>
      <c r="G1644" s="4" t="s">
        <v>20</v>
      </c>
      <c r="H1644" s="5">
        <v>2061.5</v>
      </c>
      <c r="I1644" s="4" t="s">
        <v>34</v>
      </c>
      <c r="J1644" s="5">
        <f t="shared" si="25"/>
        <v>-2372.7865000000002</v>
      </c>
      <c r="K1644" s="4" t="s">
        <v>42</v>
      </c>
      <c r="L1644" s="6">
        <v>1.151</v>
      </c>
      <c r="M1644" s="6">
        <v>0.86880000000000002</v>
      </c>
      <c r="N1644" s="6">
        <v>4.2119</v>
      </c>
      <c r="O1644" s="6">
        <v>3.6070000000000002</v>
      </c>
      <c r="P1644" s="5">
        <v>124.19094450000011</v>
      </c>
      <c r="Q1644" s="4" t="s">
        <v>1390</v>
      </c>
    </row>
    <row r="1645" spans="1:17" x14ac:dyDescent="0.3">
      <c r="A1645" s="2" t="s">
        <v>1389</v>
      </c>
      <c r="B1645" s="3">
        <v>156008</v>
      </c>
      <c r="C1645" s="3">
        <v>893476</v>
      </c>
      <c r="D1645" s="4" t="s">
        <v>81</v>
      </c>
      <c r="E1645" s="4" t="s">
        <v>734</v>
      </c>
      <c r="F1645" s="4" t="s">
        <v>87</v>
      </c>
      <c r="G1645" s="4" t="s">
        <v>20</v>
      </c>
      <c r="H1645" s="5">
        <v>150000</v>
      </c>
      <c r="I1645" s="4" t="s">
        <v>91</v>
      </c>
      <c r="J1645" s="5">
        <f t="shared" si="25"/>
        <v>-130259.99999999999</v>
      </c>
      <c r="K1645" s="4" t="s">
        <v>48</v>
      </c>
      <c r="L1645" s="6">
        <v>0.86839999999999995</v>
      </c>
      <c r="M1645" s="6">
        <v>1.1515</v>
      </c>
      <c r="N1645" s="6">
        <v>4.2096999999999998</v>
      </c>
      <c r="O1645" s="6">
        <v>4.8482000000000003</v>
      </c>
      <c r="P1645" s="5">
        <v>-93.3489</v>
      </c>
      <c r="Q1645" s="4" t="s">
        <v>1393</v>
      </c>
    </row>
    <row r="1646" spans="1:17" x14ac:dyDescent="0.3">
      <c r="A1646" s="2" t="s">
        <v>1389</v>
      </c>
      <c r="B1646" s="3">
        <v>156009</v>
      </c>
      <c r="C1646" s="3">
        <v>215948</v>
      </c>
      <c r="D1646" s="4" t="s">
        <v>17</v>
      </c>
      <c r="E1646" s="4" t="s">
        <v>1070</v>
      </c>
      <c r="F1646" s="4" t="s">
        <v>32</v>
      </c>
      <c r="G1646" s="4" t="s">
        <v>34</v>
      </c>
      <c r="H1646" s="5">
        <v>-62000</v>
      </c>
      <c r="I1646" s="4" t="s">
        <v>21</v>
      </c>
      <c r="J1646" s="5">
        <f t="shared" si="25"/>
        <v>224514.4</v>
      </c>
      <c r="K1646" s="4" t="s">
        <v>42</v>
      </c>
      <c r="L1646" s="6">
        <v>3.6212</v>
      </c>
      <c r="M1646" s="6">
        <v>0.2762</v>
      </c>
      <c r="N1646" s="6">
        <v>3.6070000000000002</v>
      </c>
      <c r="O1646" s="6">
        <v>1</v>
      </c>
      <c r="P1646" s="5">
        <v>880.4</v>
      </c>
      <c r="Q1646" s="4" t="s">
        <v>1390</v>
      </c>
    </row>
    <row r="1647" spans="1:17" x14ac:dyDescent="0.3">
      <c r="A1647" s="2" t="s">
        <v>1389</v>
      </c>
      <c r="B1647" s="3">
        <v>156010</v>
      </c>
      <c r="C1647" s="3">
        <v>215949</v>
      </c>
      <c r="D1647" s="4" t="s">
        <v>17</v>
      </c>
      <c r="E1647" s="4" t="s">
        <v>1096</v>
      </c>
      <c r="F1647" s="4" t="s">
        <v>19</v>
      </c>
      <c r="G1647" s="4" t="s">
        <v>20</v>
      </c>
      <c r="H1647" s="5">
        <v>35000</v>
      </c>
      <c r="I1647" s="4" t="s">
        <v>21</v>
      </c>
      <c r="J1647" s="5">
        <f t="shared" si="25"/>
        <v>-147266</v>
      </c>
      <c r="K1647" s="4" t="s">
        <v>42</v>
      </c>
      <c r="L1647" s="6">
        <v>4.2076000000000002</v>
      </c>
      <c r="M1647" s="6">
        <v>0.23769999999999999</v>
      </c>
      <c r="N1647" s="6">
        <v>4.2119</v>
      </c>
      <c r="O1647" s="6">
        <v>1</v>
      </c>
      <c r="P1647" s="5">
        <v>150.5</v>
      </c>
      <c r="Q1647" s="4" t="s">
        <v>1390</v>
      </c>
    </row>
    <row r="1648" spans="1:17" x14ac:dyDescent="0.3">
      <c r="A1648" s="2" t="s">
        <v>1389</v>
      </c>
      <c r="B1648" s="3">
        <v>156012</v>
      </c>
      <c r="C1648" s="3">
        <v>215952</v>
      </c>
      <c r="D1648" s="4" t="s">
        <v>17</v>
      </c>
      <c r="E1648" s="4" t="s">
        <v>1132</v>
      </c>
      <c r="F1648" s="4" t="s">
        <v>19</v>
      </c>
      <c r="G1648" s="4" t="s">
        <v>20</v>
      </c>
      <c r="H1648" s="5">
        <v>50000</v>
      </c>
      <c r="I1648" s="4" t="s">
        <v>21</v>
      </c>
      <c r="J1648" s="5">
        <f t="shared" si="25"/>
        <v>-210390</v>
      </c>
      <c r="K1648" s="4" t="s">
        <v>42</v>
      </c>
      <c r="L1648" s="6">
        <v>4.2077999999999998</v>
      </c>
      <c r="M1648" s="6">
        <v>0.23769999999999999</v>
      </c>
      <c r="N1648" s="6">
        <v>4.2119</v>
      </c>
      <c r="O1648" s="6">
        <v>1</v>
      </c>
      <c r="P1648" s="5">
        <v>205</v>
      </c>
      <c r="Q1648" s="4" t="s">
        <v>1390</v>
      </c>
    </row>
    <row r="1649" spans="1:17" x14ac:dyDescent="0.3">
      <c r="A1649" s="2" t="s">
        <v>1389</v>
      </c>
      <c r="B1649" s="3">
        <v>156014</v>
      </c>
      <c r="C1649" s="3">
        <v>215955</v>
      </c>
      <c r="D1649" s="4" t="s">
        <v>17</v>
      </c>
      <c r="E1649" s="4" t="s">
        <v>904</v>
      </c>
      <c r="F1649" s="4" t="s">
        <v>19</v>
      </c>
      <c r="G1649" s="4" t="s">
        <v>20</v>
      </c>
      <c r="H1649" s="5">
        <v>80000</v>
      </c>
      <c r="I1649" s="4" t="s">
        <v>34</v>
      </c>
      <c r="J1649" s="5">
        <f t="shared" si="25"/>
        <v>-92960</v>
      </c>
      <c r="K1649" s="4" t="s">
        <v>42</v>
      </c>
      <c r="L1649" s="6">
        <v>1.1619999999999999</v>
      </c>
      <c r="M1649" s="6">
        <v>0.86060000000000003</v>
      </c>
      <c r="N1649" s="6">
        <v>4.2119</v>
      </c>
      <c r="O1649" s="6">
        <v>3.6070000000000002</v>
      </c>
      <c r="P1649" s="5">
        <v>1645.2799999999697</v>
      </c>
      <c r="Q1649" s="4" t="s">
        <v>1390</v>
      </c>
    </row>
    <row r="1650" spans="1:17" x14ac:dyDescent="0.3">
      <c r="A1650" s="2" t="s">
        <v>1389</v>
      </c>
      <c r="B1650" s="3">
        <v>156015</v>
      </c>
      <c r="C1650" s="3">
        <v>215958</v>
      </c>
      <c r="D1650" s="4" t="s">
        <v>17</v>
      </c>
      <c r="E1650" s="4" t="s">
        <v>878</v>
      </c>
      <c r="F1650" s="4" t="s">
        <v>19</v>
      </c>
      <c r="G1650" s="4" t="s">
        <v>20</v>
      </c>
      <c r="H1650" s="5">
        <v>245000</v>
      </c>
      <c r="I1650" s="4" t="s">
        <v>21</v>
      </c>
      <c r="J1650" s="5">
        <f t="shared" si="25"/>
        <v>-1030225</v>
      </c>
      <c r="K1650" s="4" t="s">
        <v>42</v>
      </c>
      <c r="L1650" s="6">
        <v>4.2050000000000001</v>
      </c>
      <c r="M1650" s="6">
        <v>0.23780000000000001</v>
      </c>
      <c r="N1650" s="6">
        <v>4.2119</v>
      </c>
      <c r="O1650" s="6">
        <v>1</v>
      </c>
      <c r="P1650" s="5">
        <v>1690.5</v>
      </c>
      <c r="Q1650" s="4" t="s">
        <v>1390</v>
      </c>
    </row>
    <row r="1651" spans="1:17" x14ac:dyDescent="0.3">
      <c r="A1651" s="2" t="s">
        <v>1389</v>
      </c>
      <c r="B1651" s="3">
        <v>156016</v>
      </c>
      <c r="C1651" s="3">
        <v>215959</v>
      </c>
      <c r="D1651" s="4" t="s">
        <v>17</v>
      </c>
      <c r="E1651" s="4" t="s">
        <v>1024</v>
      </c>
      <c r="F1651" s="4" t="s">
        <v>19</v>
      </c>
      <c r="G1651" s="4" t="s">
        <v>20</v>
      </c>
      <c r="H1651" s="5">
        <v>5000</v>
      </c>
      <c r="I1651" s="4" t="s">
        <v>21</v>
      </c>
      <c r="J1651" s="5">
        <f t="shared" si="25"/>
        <v>-21030.000000000004</v>
      </c>
      <c r="K1651" s="4" t="s">
        <v>42</v>
      </c>
      <c r="L1651" s="6">
        <v>4.2060000000000004</v>
      </c>
      <c r="M1651" s="6">
        <v>0.23780000000000001</v>
      </c>
      <c r="N1651" s="6">
        <v>4.2119</v>
      </c>
      <c r="O1651" s="6">
        <v>1</v>
      </c>
      <c r="P1651" s="5">
        <v>29.499999999996362</v>
      </c>
      <c r="Q1651" s="4" t="s">
        <v>1390</v>
      </c>
    </row>
    <row r="1652" spans="1:17" x14ac:dyDescent="0.3">
      <c r="A1652" s="2" t="s">
        <v>1389</v>
      </c>
      <c r="B1652" s="3">
        <v>156017</v>
      </c>
      <c r="C1652" s="3">
        <v>215960</v>
      </c>
      <c r="D1652" s="4" t="s">
        <v>17</v>
      </c>
      <c r="E1652" s="4" t="s">
        <v>920</v>
      </c>
      <c r="F1652" s="4" t="s">
        <v>32</v>
      </c>
      <c r="G1652" s="4" t="s">
        <v>34</v>
      </c>
      <c r="H1652" s="5">
        <v>-5724</v>
      </c>
      <c r="I1652" s="4" t="s">
        <v>21</v>
      </c>
      <c r="J1652" s="5">
        <f t="shared" si="25"/>
        <v>20722.5972</v>
      </c>
      <c r="K1652" s="4" t="s">
        <v>42</v>
      </c>
      <c r="L1652" s="6">
        <v>3.6202999999999999</v>
      </c>
      <c r="M1652" s="6">
        <v>0.2762</v>
      </c>
      <c r="N1652" s="6">
        <v>3.6070000000000002</v>
      </c>
      <c r="O1652" s="6">
        <v>1</v>
      </c>
      <c r="P1652" s="5">
        <v>75.552000000000007</v>
      </c>
      <c r="Q1652" s="4" t="s">
        <v>1390</v>
      </c>
    </row>
    <row r="1653" spans="1:17" x14ac:dyDescent="0.3">
      <c r="A1653" s="2" t="s">
        <v>1389</v>
      </c>
      <c r="B1653" s="3">
        <v>156018</v>
      </c>
      <c r="C1653" s="3">
        <v>893529</v>
      </c>
      <c r="D1653" s="4" t="s">
        <v>81</v>
      </c>
      <c r="E1653" s="4" t="s">
        <v>725</v>
      </c>
      <c r="F1653" s="4" t="s">
        <v>83</v>
      </c>
      <c r="G1653" s="4" t="s">
        <v>20</v>
      </c>
      <c r="H1653" s="5">
        <v>-1000000</v>
      </c>
      <c r="I1653" s="4" t="s">
        <v>21</v>
      </c>
      <c r="J1653" s="5">
        <f t="shared" si="25"/>
        <v>4211100</v>
      </c>
      <c r="K1653" s="4" t="s">
        <v>48</v>
      </c>
      <c r="L1653" s="6">
        <v>4.2111000000000001</v>
      </c>
      <c r="M1653" s="6">
        <v>0.23749999999999999</v>
      </c>
      <c r="N1653" s="6">
        <v>4.2096999999999998</v>
      </c>
      <c r="O1653" s="6">
        <v>1</v>
      </c>
      <c r="P1653" s="5">
        <v>1380</v>
      </c>
      <c r="Q1653" s="4" t="s">
        <v>1392</v>
      </c>
    </row>
    <row r="1654" spans="1:17" x14ac:dyDescent="0.3">
      <c r="A1654" s="2" t="s">
        <v>1389</v>
      </c>
      <c r="B1654" s="3">
        <v>156023</v>
      </c>
      <c r="C1654" s="3">
        <v>893550</v>
      </c>
      <c r="D1654" s="4" t="s">
        <v>81</v>
      </c>
      <c r="E1654" s="4" t="s">
        <v>732</v>
      </c>
      <c r="F1654" s="4" t="s">
        <v>83</v>
      </c>
      <c r="G1654" s="4" t="s">
        <v>20</v>
      </c>
      <c r="H1654" s="5">
        <v>-1000000</v>
      </c>
      <c r="I1654" s="4" t="s">
        <v>21</v>
      </c>
      <c r="J1654" s="5">
        <f t="shared" si="25"/>
        <v>4210800</v>
      </c>
      <c r="K1654" s="4" t="s">
        <v>48</v>
      </c>
      <c r="L1654" s="6">
        <v>4.2107999999999999</v>
      </c>
      <c r="M1654" s="6">
        <v>0.23749999999999999</v>
      </c>
      <c r="N1654" s="6">
        <v>4.2096999999999998</v>
      </c>
      <c r="O1654" s="6">
        <v>1</v>
      </c>
      <c r="P1654" s="5">
        <v>1070</v>
      </c>
      <c r="Q1654" s="4" t="s">
        <v>1394</v>
      </c>
    </row>
    <row r="1655" spans="1:17" x14ac:dyDescent="0.3">
      <c r="A1655" s="2" t="s">
        <v>1389</v>
      </c>
      <c r="B1655" s="3">
        <v>156024</v>
      </c>
      <c r="C1655" s="3">
        <v>893551</v>
      </c>
      <c r="D1655" s="4" t="s">
        <v>81</v>
      </c>
      <c r="E1655" s="4" t="s">
        <v>735</v>
      </c>
      <c r="F1655" s="4" t="s">
        <v>83</v>
      </c>
      <c r="G1655" s="4" t="s">
        <v>20</v>
      </c>
      <c r="H1655" s="5">
        <v>-500000</v>
      </c>
      <c r="I1655" s="4" t="s">
        <v>21</v>
      </c>
      <c r="J1655" s="5">
        <f t="shared" si="25"/>
        <v>2105350</v>
      </c>
      <c r="K1655" s="4" t="s">
        <v>48</v>
      </c>
      <c r="L1655" s="6">
        <v>4.2107000000000001</v>
      </c>
      <c r="M1655" s="6">
        <v>0.23749999999999999</v>
      </c>
      <c r="N1655" s="6">
        <v>4.2096999999999998</v>
      </c>
      <c r="O1655" s="6">
        <v>1</v>
      </c>
      <c r="P1655" s="5">
        <v>500</v>
      </c>
      <c r="Q1655" s="4" t="s">
        <v>1394</v>
      </c>
    </row>
    <row r="1656" spans="1:17" x14ac:dyDescent="0.3">
      <c r="A1656" s="2" t="s">
        <v>1389</v>
      </c>
      <c r="B1656" s="3">
        <v>156025</v>
      </c>
      <c r="C1656" s="3">
        <v>215971</v>
      </c>
      <c r="D1656" s="4" t="s">
        <v>17</v>
      </c>
      <c r="E1656" s="4" t="s">
        <v>1224</v>
      </c>
      <c r="F1656" s="4" t="s">
        <v>32</v>
      </c>
      <c r="G1656" s="4" t="s">
        <v>20</v>
      </c>
      <c r="H1656" s="5">
        <v>-10000</v>
      </c>
      <c r="I1656" s="4" t="s">
        <v>21</v>
      </c>
      <c r="J1656" s="5">
        <f t="shared" si="25"/>
        <v>42138</v>
      </c>
      <c r="K1656" s="4" t="s">
        <v>42</v>
      </c>
      <c r="L1656" s="6">
        <v>4.2138</v>
      </c>
      <c r="M1656" s="6">
        <v>0.23730000000000001</v>
      </c>
      <c r="N1656" s="6">
        <v>4.2119</v>
      </c>
      <c r="O1656" s="6">
        <v>1</v>
      </c>
      <c r="P1656" s="5">
        <v>11</v>
      </c>
      <c r="Q1656" s="4" t="s">
        <v>1390</v>
      </c>
    </row>
    <row r="1657" spans="1:17" x14ac:dyDescent="0.3">
      <c r="A1657" s="2" t="s">
        <v>1389</v>
      </c>
      <c r="B1657" s="3">
        <v>156026</v>
      </c>
      <c r="C1657" s="3">
        <v>893558</v>
      </c>
      <c r="D1657" s="4" t="s">
        <v>81</v>
      </c>
      <c r="E1657" s="4" t="s">
        <v>734</v>
      </c>
      <c r="F1657" s="4" t="s">
        <v>83</v>
      </c>
      <c r="G1657" s="4" t="s">
        <v>20</v>
      </c>
      <c r="H1657" s="5">
        <v>-500000</v>
      </c>
      <c r="I1657" s="4" t="s">
        <v>34</v>
      </c>
      <c r="J1657" s="5">
        <f t="shared" si="25"/>
        <v>582250</v>
      </c>
      <c r="K1657" s="4" t="s">
        <v>48</v>
      </c>
      <c r="L1657" s="6">
        <v>1.1645000000000001</v>
      </c>
      <c r="M1657" s="6">
        <v>0.85870000000000002</v>
      </c>
      <c r="N1657" s="6">
        <v>4.2096999999999998</v>
      </c>
      <c r="O1657" s="6">
        <v>3.6036999999999999</v>
      </c>
      <c r="P1657" s="5">
        <v>-6559.6379999999999</v>
      </c>
      <c r="Q1657" s="4" t="s">
        <v>1393</v>
      </c>
    </row>
    <row r="1658" spans="1:17" x14ac:dyDescent="0.3">
      <c r="A1658" s="2" t="s">
        <v>1389</v>
      </c>
      <c r="B1658" s="3">
        <v>156027</v>
      </c>
      <c r="C1658" s="3">
        <v>215973</v>
      </c>
      <c r="D1658" s="4" t="s">
        <v>17</v>
      </c>
      <c r="E1658" s="4" t="s">
        <v>1180</v>
      </c>
      <c r="F1658" s="4" t="s">
        <v>19</v>
      </c>
      <c r="G1658" s="4" t="s">
        <v>20</v>
      </c>
      <c r="H1658" s="5">
        <v>19500</v>
      </c>
      <c r="I1658" s="4" t="s">
        <v>21</v>
      </c>
      <c r="J1658" s="5">
        <f t="shared" si="25"/>
        <v>-81958.5</v>
      </c>
      <c r="K1658" s="4" t="s">
        <v>42</v>
      </c>
      <c r="L1658" s="6">
        <v>4.2030000000000003</v>
      </c>
      <c r="M1658" s="6">
        <v>0.2379</v>
      </c>
      <c r="N1658" s="6">
        <v>4.2119</v>
      </c>
      <c r="O1658" s="6">
        <v>1</v>
      </c>
      <c r="P1658" s="5">
        <v>173.55000000000291</v>
      </c>
      <c r="Q1658" s="4" t="s">
        <v>1390</v>
      </c>
    </row>
    <row r="1659" spans="1:17" x14ac:dyDescent="0.3">
      <c r="A1659" s="2" t="s">
        <v>1389</v>
      </c>
      <c r="B1659" s="3">
        <v>156030</v>
      </c>
      <c r="C1659" s="3">
        <v>215978</v>
      </c>
      <c r="D1659" s="4" t="s">
        <v>17</v>
      </c>
      <c r="E1659" s="4" t="s">
        <v>1070</v>
      </c>
      <c r="F1659" s="4" t="s">
        <v>32</v>
      </c>
      <c r="G1659" s="4" t="s">
        <v>34</v>
      </c>
      <c r="H1659" s="5">
        <v>-100000</v>
      </c>
      <c r="I1659" s="4" t="s">
        <v>21</v>
      </c>
      <c r="J1659" s="5">
        <f t="shared" si="25"/>
        <v>362060</v>
      </c>
      <c r="K1659" s="4" t="s">
        <v>42</v>
      </c>
      <c r="L1659" s="6">
        <v>3.6206</v>
      </c>
      <c r="M1659" s="6">
        <v>0.2762</v>
      </c>
      <c r="N1659" s="6">
        <v>3.6070000000000002</v>
      </c>
      <c r="O1659" s="6">
        <v>1</v>
      </c>
      <c r="P1659" s="5">
        <v>1350</v>
      </c>
      <c r="Q1659" s="4" t="s">
        <v>1390</v>
      </c>
    </row>
    <row r="1660" spans="1:17" x14ac:dyDescent="0.3">
      <c r="A1660" s="2" t="s">
        <v>1389</v>
      </c>
      <c r="B1660" s="3">
        <v>156031</v>
      </c>
      <c r="C1660" s="3">
        <v>893590</v>
      </c>
      <c r="D1660" s="4" t="s">
        <v>81</v>
      </c>
      <c r="E1660" s="4" t="s">
        <v>735</v>
      </c>
      <c r="F1660" s="4" t="s">
        <v>87</v>
      </c>
      <c r="G1660" s="4" t="s">
        <v>34</v>
      </c>
      <c r="H1660" s="5">
        <v>500000</v>
      </c>
      <c r="I1660" s="4" t="s">
        <v>21</v>
      </c>
      <c r="J1660" s="5">
        <f t="shared" si="25"/>
        <v>-1808200</v>
      </c>
      <c r="K1660" s="4" t="s">
        <v>48</v>
      </c>
      <c r="L1660" s="6">
        <v>3.6164000000000001</v>
      </c>
      <c r="M1660" s="6">
        <v>0.27650000000000002</v>
      </c>
      <c r="N1660" s="6">
        <v>3.6036999999999999</v>
      </c>
      <c r="O1660" s="6">
        <v>1</v>
      </c>
      <c r="P1660" s="5">
        <v>-6350</v>
      </c>
      <c r="Q1660" s="4" t="s">
        <v>1394</v>
      </c>
    </row>
    <row r="1661" spans="1:17" x14ac:dyDescent="0.3">
      <c r="A1661" s="2" t="s">
        <v>1389</v>
      </c>
      <c r="B1661" s="3">
        <v>156041</v>
      </c>
      <c r="C1661" s="3">
        <v>215982</v>
      </c>
      <c r="D1661" s="4" t="s">
        <v>17</v>
      </c>
      <c r="E1661" s="4" t="s">
        <v>1047</v>
      </c>
      <c r="F1661" s="4" t="s">
        <v>32</v>
      </c>
      <c r="G1661" s="4" t="s">
        <v>34</v>
      </c>
      <c r="H1661" s="5">
        <v>-250000</v>
      </c>
      <c r="I1661" s="4" t="s">
        <v>21</v>
      </c>
      <c r="J1661" s="5">
        <f t="shared" si="25"/>
        <v>905250</v>
      </c>
      <c r="K1661" s="4" t="s">
        <v>42</v>
      </c>
      <c r="L1661" s="6">
        <v>3.621</v>
      </c>
      <c r="M1661" s="6">
        <v>0.2762</v>
      </c>
      <c r="N1661" s="6">
        <v>3.6070000000000002</v>
      </c>
      <c r="O1661" s="6">
        <v>1</v>
      </c>
      <c r="P1661" s="5">
        <v>3500</v>
      </c>
      <c r="Q1661" s="4" t="s">
        <v>1390</v>
      </c>
    </row>
    <row r="1662" spans="1:17" x14ac:dyDescent="0.3">
      <c r="A1662" s="2" t="s">
        <v>1389</v>
      </c>
      <c r="B1662" s="3">
        <v>156042</v>
      </c>
      <c r="C1662" s="3">
        <v>215983</v>
      </c>
      <c r="D1662" s="4" t="s">
        <v>17</v>
      </c>
      <c r="E1662" s="4" t="s">
        <v>921</v>
      </c>
      <c r="F1662" s="4" t="s">
        <v>19</v>
      </c>
      <c r="G1662" s="4" t="s">
        <v>20</v>
      </c>
      <c r="H1662" s="5">
        <v>200000</v>
      </c>
      <c r="I1662" s="4" t="s">
        <v>21</v>
      </c>
      <c r="J1662" s="5">
        <f t="shared" si="25"/>
        <v>-841160</v>
      </c>
      <c r="K1662" s="4" t="s">
        <v>42</v>
      </c>
      <c r="L1662" s="6">
        <v>4.2058</v>
      </c>
      <c r="M1662" s="6">
        <v>0.23780000000000001</v>
      </c>
      <c r="N1662" s="6">
        <v>4.2119</v>
      </c>
      <c r="O1662" s="6">
        <v>1</v>
      </c>
      <c r="P1662" s="5">
        <v>1220</v>
      </c>
      <c r="Q1662" s="4" t="s">
        <v>1390</v>
      </c>
    </row>
    <row r="1663" spans="1:17" x14ac:dyDescent="0.3">
      <c r="A1663" s="2" t="s">
        <v>1389</v>
      </c>
      <c r="B1663" s="3">
        <v>156043</v>
      </c>
      <c r="C1663" s="3">
        <v>215990</v>
      </c>
      <c r="D1663" s="4" t="s">
        <v>17</v>
      </c>
      <c r="E1663" s="4" t="s">
        <v>1352</v>
      </c>
      <c r="F1663" s="4" t="s">
        <v>19</v>
      </c>
      <c r="G1663" s="4" t="s">
        <v>20</v>
      </c>
      <c r="H1663" s="5">
        <v>23000</v>
      </c>
      <c r="I1663" s="4" t="s">
        <v>21</v>
      </c>
      <c r="J1663" s="5">
        <f t="shared" si="25"/>
        <v>-96383.8</v>
      </c>
      <c r="K1663" s="4" t="s">
        <v>42</v>
      </c>
      <c r="L1663" s="6">
        <v>4.1905999999999999</v>
      </c>
      <c r="M1663" s="6">
        <v>0.23860000000000001</v>
      </c>
      <c r="N1663" s="6">
        <v>4.2119</v>
      </c>
      <c r="O1663" s="6">
        <v>1</v>
      </c>
      <c r="P1663" s="5">
        <v>489.89999999999418</v>
      </c>
      <c r="Q1663" s="4" t="s">
        <v>1390</v>
      </c>
    </row>
    <row r="1664" spans="1:17" x14ac:dyDescent="0.3">
      <c r="A1664" s="2" t="s">
        <v>1389</v>
      </c>
      <c r="B1664" s="3">
        <v>156044</v>
      </c>
      <c r="C1664" s="3">
        <v>215991</v>
      </c>
      <c r="D1664" s="4" t="s">
        <v>17</v>
      </c>
      <c r="E1664" s="4" t="s">
        <v>1284</v>
      </c>
      <c r="F1664" s="4" t="s">
        <v>19</v>
      </c>
      <c r="G1664" s="4" t="s">
        <v>20</v>
      </c>
      <c r="H1664" s="5">
        <v>100000</v>
      </c>
      <c r="I1664" s="4" t="s">
        <v>21</v>
      </c>
      <c r="J1664" s="5">
        <f t="shared" si="25"/>
        <v>-420080</v>
      </c>
      <c r="K1664" s="4" t="s">
        <v>42</v>
      </c>
      <c r="L1664" s="6">
        <v>4.2008000000000001</v>
      </c>
      <c r="M1664" s="6">
        <v>0.23799999999999999</v>
      </c>
      <c r="N1664" s="6">
        <v>4.2119</v>
      </c>
      <c r="O1664" s="6">
        <v>1</v>
      </c>
      <c r="P1664" s="5">
        <v>1110</v>
      </c>
      <c r="Q1664" s="4" t="s">
        <v>1390</v>
      </c>
    </row>
    <row r="1665" spans="1:17" x14ac:dyDescent="0.3">
      <c r="A1665" s="2" t="s">
        <v>1389</v>
      </c>
      <c r="B1665" s="3">
        <v>156045</v>
      </c>
      <c r="C1665" s="3">
        <v>893634</v>
      </c>
      <c r="D1665" s="4" t="s">
        <v>81</v>
      </c>
      <c r="E1665" s="4" t="s">
        <v>1077</v>
      </c>
      <c r="F1665" s="4" t="s">
        <v>87</v>
      </c>
      <c r="G1665" s="4" t="s">
        <v>20</v>
      </c>
      <c r="H1665" s="5">
        <v>25000</v>
      </c>
      <c r="I1665" s="4" t="s">
        <v>21</v>
      </c>
      <c r="J1665" s="5">
        <f t="shared" si="25"/>
        <v>-105270</v>
      </c>
      <c r="K1665" s="4" t="s">
        <v>48</v>
      </c>
      <c r="L1665" s="6">
        <v>4.2107999999999999</v>
      </c>
      <c r="M1665" s="6">
        <v>0.23749999999999999</v>
      </c>
      <c r="N1665" s="6">
        <v>4.2096999999999998</v>
      </c>
      <c r="O1665" s="6">
        <v>1</v>
      </c>
      <c r="P1665" s="5">
        <v>-27.5</v>
      </c>
      <c r="Q1665" s="4" t="s">
        <v>1390</v>
      </c>
    </row>
    <row r="1666" spans="1:17" x14ac:dyDescent="0.3">
      <c r="A1666" s="2" t="s">
        <v>1389</v>
      </c>
      <c r="B1666" s="3">
        <v>156054</v>
      </c>
      <c r="C1666" s="3">
        <v>216005</v>
      </c>
      <c r="D1666" s="4" t="s">
        <v>17</v>
      </c>
      <c r="E1666" s="4" t="s">
        <v>1070</v>
      </c>
      <c r="F1666" s="4" t="s">
        <v>32</v>
      </c>
      <c r="G1666" s="4" t="s">
        <v>34</v>
      </c>
      <c r="H1666" s="5">
        <v>-100000</v>
      </c>
      <c r="I1666" s="4" t="s">
        <v>21</v>
      </c>
      <c r="J1666" s="5">
        <f t="shared" si="25"/>
        <v>362210</v>
      </c>
      <c r="K1666" s="4" t="s">
        <v>42</v>
      </c>
      <c r="L1666" s="6">
        <v>3.6221000000000001</v>
      </c>
      <c r="M1666" s="6">
        <v>0.27610000000000001</v>
      </c>
      <c r="N1666" s="6">
        <v>3.6070000000000002</v>
      </c>
      <c r="O1666" s="6">
        <v>1</v>
      </c>
      <c r="P1666" s="5">
        <v>1500</v>
      </c>
      <c r="Q1666" s="4" t="s">
        <v>1390</v>
      </c>
    </row>
    <row r="1667" spans="1:17" x14ac:dyDescent="0.3">
      <c r="A1667" s="2" t="s">
        <v>1389</v>
      </c>
      <c r="B1667" s="3">
        <v>156055</v>
      </c>
      <c r="C1667" s="3">
        <v>216006</v>
      </c>
      <c r="D1667" s="4" t="s">
        <v>17</v>
      </c>
      <c r="E1667" s="4" t="s">
        <v>1188</v>
      </c>
      <c r="F1667" s="4" t="s">
        <v>19</v>
      </c>
      <c r="G1667" s="4" t="s">
        <v>20</v>
      </c>
      <c r="H1667" s="5">
        <v>10000</v>
      </c>
      <c r="I1667" s="4" t="s">
        <v>21</v>
      </c>
      <c r="J1667" s="5">
        <f t="shared" si="25"/>
        <v>-42085</v>
      </c>
      <c r="K1667" s="4" t="s">
        <v>42</v>
      </c>
      <c r="L1667" s="6">
        <v>4.2084999999999999</v>
      </c>
      <c r="M1667" s="6">
        <v>0.23760000000000001</v>
      </c>
      <c r="N1667" s="6">
        <v>4.2119</v>
      </c>
      <c r="O1667" s="6">
        <v>1</v>
      </c>
      <c r="P1667" s="5">
        <v>34</v>
      </c>
      <c r="Q1667" s="4" t="s">
        <v>1390</v>
      </c>
    </row>
    <row r="1668" spans="1:17" x14ac:dyDescent="0.3">
      <c r="A1668" s="2" t="s">
        <v>1389</v>
      </c>
      <c r="B1668" s="3">
        <v>156056</v>
      </c>
      <c r="C1668" s="3">
        <v>893679</v>
      </c>
      <c r="D1668" s="4" t="s">
        <v>81</v>
      </c>
      <c r="E1668" s="4" t="s">
        <v>732</v>
      </c>
      <c r="F1668" s="4" t="s">
        <v>83</v>
      </c>
      <c r="G1668" s="4" t="s">
        <v>20</v>
      </c>
      <c r="H1668" s="5">
        <v>-1000000</v>
      </c>
      <c r="I1668" s="4" t="s">
        <v>21</v>
      </c>
      <c r="J1668" s="5">
        <f t="shared" ref="J1668:J1731" si="26">-H1668*L1668</f>
        <v>4213000</v>
      </c>
      <c r="K1668" s="4" t="s">
        <v>48</v>
      </c>
      <c r="L1668" s="6">
        <v>4.2130000000000001</v>
      </c>
      <c r="M1668" s="6">
        <v>0.2374</v>
      </c>
      <c r="N1668" s="6">
        <v>4.2096999999999998</v>
      </c>
      <c r="O1668" s="6">
        <v>1</v>
      </c>
      <c r="P1668" s="5">
        <v>3340</v>
      </c>
      <c r="Q1668" s="4" t="s">
        <v>1394</v>
      </c>
    </row>
    <row r="1669" spans="1:17" x14ac:dyDescent="0.3">
      <c r="A1669" s="2" t="s">
        <v>1389</v>
      </c>
      <c r="B1669" s="3">
        <v>156058</v>
      </c>
      <c r="C1669" s="3">
        <v>216009</v>
      </c>
      <c r="D1669" s="4" t="s">
        <v>17</v>
      </c>
      <c r="E1669" s="4" t="s">
        <v>1271</v>
      </c>
      <c r="F1669" s="4" t="s">
        <v>19</v>
      </c>
      <c r="G1669" s="4" t="s">
        <v>20</v>
      </c>
      <c r="H1669" s="5">
        <v>100000</v>
      </c>
      <c r="I1669" s="4" t="s">
        <v>21</v>
      </c>
      <c r="J1669" s="5">
        <f t="shared" si="26"/>
        <v>-421000</v>
      </c>
      <c r="K1669" s="4" t="s">
        <v>42</v>
      </c>
      <c r="L1669" s="6">
        <v>4.21</v>
      </c>
      <c r="M1669" s="6">
        <v>0.23749999999999999</v>
      </c>
      <c r="N1669" s="6">
        <v>4.2119</v>
      </c>
      <c r="O1669" s="6">
        <v>1</v>
      </c>
      <c r="P1669" s="5">
        <v>190</v>
      </c>
      <c r="Q1669" s="4" t="s">
        <v>1390</v>
      </c>
    </row>
    <row r="1670" spans="1:17" x14ac:dyDescent="0.3">
      <c r="A1670" s="2" t="s">
        <v>1389</v>
      </c>
      <c r="B1670" s="3">
        <v>156059</v>
      </c>
      <c r="C1670" s="3">
        <v>216010</v>
      </c>
      <c r="D1670" s="4" t="s">
        <v>17</v>
      </c>
      <c r="E1670" s="4" t="s">
        <v>1292</v>
      </c>
      <c r="F1670" s="4" t="s">
        <v>19</v>
      </c>
      <c r="G1670" s="4" t="s">
        <v>20</v>
      </c>
      <c r="H1670" s="5">
        <v>40000</v>
      </c>
      <c r="I1670" s="4" t="s">
        <v>21</v>
      </c>
      <c r="J1670" s="5">
        <f t="shared" si="26"/>
        <v>-167811.99999999997</v>
      </c>
      <c r="K1670" s="4" t="s">
        <v>42</v>
      </c>
      <c r="L1670" s="6">
        <v>4.1952999999999996</v>
      </c>
      <c r="M1670" s="6">
        <v>0.2384</v>
      </c>
      <c r="N1670" s="6">
        <v>4.2119</v>
      </c>
      <c r="O1670" s="6">
        <v>1</v>
      </c>
      <c r="P1670" s="5">
        <v>664.0000000000291</v>
      </c>
      <c r="Q1670" s="4" t="s">
        <v>1390</v>
      </c>
    </row>
    <row r="1671" spans="1:17" x14ac:dyDescent="0.3">
      <c r="A1671" s="2" t="s">
        <v>1389</v>
      </c>
      <c r="B1671" s="3">
        <v>156060</v>
      </c>
      <c r="C1671" s="3">
        <v>216012</v>
      </c>
      <c r="D1671" s="4" t="s">
        <v>17</v>
      </c>
      <c r="E1671" s="4" t="s">
        <v>1271</v>
      </c>
      <c r="F1671" s="4" t="s">
        <v>19</v>
      </c>
      <c r="G1671" s="4" t="s">
        <v>20</v>
      </c>
      <c r="H1671" s="5">
        <v>57603.69</v>
      </c>
      <c r="I1671" s="4" t="s">
        <v>91</v>
      </c>
      <c r="J1671" s="5">
        <f t="shared" si="26"/>
        <v>-49769.588159999999</v>
      </c>
      <c r="K1671" s="4" t="s">
        <v>42</v>
      </c>
      <c r="L1671" s="6">
        <v>0.86399999999999999</v>
      </c>
      <c r="M1671" s="6">
        <v>1.1574</v>
      </c>
      <c r="N1671" s="6">
        <v>4.2119</v>
      </c>
      <c r="O1671" s="6">
        <v>4.8471000000000002</v>
      </c>
      <c r="P1671" s="5">
        <v>1382.8111406640091</v>
      </c>
      <c r="Q1671" s="4" t="s">
        <v>1390</v>
      </c>
    </row>
    <row r="1672" spans="1:17" x14ac:dyDescent="0.3">
      <c r="A1672" s="2" t="s">
        <v>1389</v>
      </c>
      <c r="B1672" s="3">
        <v>156061</v>
      </c>
      <c r="C1672" s="3">
        <v>216015</v>
      </c>
      <c r="D1672" s="4" t="s">
        <v>17</v>
      </c>
      <c r="E1672" s="4" t="s">
        <v>845</v>
      </c>
      <c r="F1672" s="4" t="s">
        <v>32</v>
      </c>
      <c r="G1672" s="4" t="s">
        <v>34</v>
      </c>
      <c r="H1672" s="5">
        <v>-50000</v>
      </c>
      <c r="I1672" s="4" t="s">
        <v>21</v>
      </c>
      <c r="J1672" s="5">
        <f t="shared" si="26"/>
        <v>181250</v>
      </c>
      <c r="K1672" s="4" t="s">
        <v>42</v>
      </c>
      <c r="L1672" s="6">
        <v>3.625</v>
      </c>
      <c r="M1672" s="6">
        <v>0.27589999999999998</v>
      </c>
      <c r="N1672" s="6">
        <v>3.6070000000000002</v>
      </c>
      <c r="O1672" s="6">
        <v>1</v>
      </c>
      <c r="P1672" s="5">
        <v>900</v>
      </c>
      <c r="Q1672" s="4" t="s">
        <v>1390</v>
      </c>
    </row>
    <row r="1673" spans="1:17" x14ac:dyDescent="0.3">
      <c r="A1673" s="2" t="s">
        <v>1389</v>
      </c>
      <c r="B1673" s="3">
        <v>156062</v>
      </c>
      <c r="C1673" s="3">
        <v>893737</v>
      </c>
      <c r="D1673" s="4" t="s">
        <v>81</v>
      </c>
      <c r="E1673" s="4" t="s">
        <v>735</v>
      </c>
      <c r="F1673" s="4" t="s">
        <v>87</v>
      </c>
      <c r="G1673" s="4" t="s">
        <v>34</v>
      </c>
      <c r="H1673" s="5">
        <v>500000</v>
      </c>
      <c r="I1673" s="4" t="s">
        <v>21</v>
      </c>
      <c r="J1673" s="5">
        <f t="shared" si="26"/>
        <v>-1809150</v>
      </c>
      <c r="K1673" s="4" t="s">
        <v>48</v>
      </c>
      <c r="L1673" s="6">
        <v>3.6183000000000001</v>
      </c>
      <c r="M1673" s="6">
        <v>0.27639999999999998</v>
      </c>
      <c r="N1673" s="6">
        <v>3.6036999999999999</v>
      </c>
      <c r="O1673" s="6">
        <v>1</v>
      </c>
      <c r="P1673" s="5">
        <v>-7300</v>
      </c>
      <c r="Q1673" s="4" t="s">
        <v>1394</v>
      </c>
    </row>
    <row r="1674" spans="1:17" x14ac:dyDescent="0.3">
      <c r="A1674" s="2" t="s">
        <v>1389</v>
      </c>
      <c r="B1674" s="3">
        <v>156063</v>
      </c>
      <c r="C1674" s="3">
        <v>216031</v>
      </c>
      <c r="D1674" s="4" t="s">
        <v>17</v>
      </c>
      <c r="E1674" s="4" t="s">
        <v>1236</v>
      </c>
      <c r="F1674" s="4" t="s">
        <v>32</v>
      </c>
      <c r="G1674" s="4" t="s">
        <v>20</v>
      </c>
      <c r="H1674" s="5">
        <v>-100000</v>
      </c>
      <c r="I1674" s="4" t="s">
        <v>21</v>
      </c>
      <c r="J1674" s="5">
        <f t="shared" si="26"/>
        <v>422000</v>
      </c>
      <c r="K1674" s="4" t="s">
        <v>39</v>
      </c>
      <c r="L1674" s="6">
        <v>4.22</v>
      </c>
      <c r="M1674" s="6">
        <v>0.23699999999999999</v>
      </c>
      <c r="N1674" s="6">
        <v>4.2230999999999996</v>
      </c>
      <c r="O1674" s="6">
        <v>1</v>
      </c>
      <c r="P1674" s="5">
        <v>-110</v>
      </c>
      <c r="Q1674" s="4" t="s">
        <v>1390</v>
      </c>
    </row>
    <row r="1675" spans="1:17" x14ac:dyDescent="0.3">
      <c r="A1675" s="2" t="s">
        <v>1389</v>
      </c>
      <c r="B1675" s="3">
        <v>156064</v>
      </c>
      <c r="C1675" s="3">
        <v>893764</v>
      </c>
      <c r="D1675" s="4" t="s">
        <v>81</v>
      </c>
      <c r="E1675" s="4" t="s">
        <v>730</v>
      </c>
      <c r="F1675" s="4" t="s">
        <v>83</v>
      </c>
      <c r="G1675" s="4" t="s">
        <v>34</v>
      </c>
      <c r="H1675" s="5">
        <v>-200000</v>
      </c>
      <c r="I1675" s="4" t="s">
        <v>74</v>
      </c>
      <c r="J1675" s="5">
        <f t="shared" si="26"/>
        <v>2022880</v>
      </c>
      <c r="K1675" s="4" t="s">
        <v>48</v>
      </c>
      <c r="L1675" s="6">
        <v>10.1144</v>
      </c>
      <c r="M1675" s="6">
        <v>9.8900000000000002E-2</v>
      </c>
      <c r="N1675" s="6">
        <v>3.6036999999999999</v>
      </c>
      <c r="O1675" s="6">
        <v>0.3579</v>
      </c>
      <c r="P1675" s="5">
        <v>3247.3204000000001</v>
      </c>
      <c r="Q1675" s="4" t="s">
        <v>1396</v>
      </c>
    </row>
    <row r="1676" spans="1:17" x14ac:dyDescent="0.3">
      <c r="A1676" s="2" t="s">
        <v>1389</v>
      </c>
      <c r="B1676" s="3">
        <v>156065</v>
      </c>
      <c r="C1676" s="3">
        <v>216039</v>
      </c>
      <c r="D1676" s="4" t="s">
        <v>17</v>
      </c>
      <c r="E1676" s="4" t="s">
        <v>1218</v>
      </c>
      <c r="F1676" s="4" t="s">
        <v>19</v>
      </c>
      <c r="G1676" s="4" t="s">
        <v>20</v>
      </c>
      <c r="H1676" s="5">
        <v>20000</v>
      </c>
      <c r="I1676" s="4" t="s">
        <v>21</v>
      </c>
      <c r="J1676" s="5">
        <f t="shared" si="26"/>
        <v>-84072</v>
      </c>
      <c r="K1676" s="4" t="s">
        <v>42</v>
      </c>
      <c r="L1676" s="6">
        <v>4.2035999999999998</v>
      </c>
      <c r="M1676" s="6">
        <v>0.2379</v>
      </c>
      <c r="N1676" s="6">
        <v>4.2119</v>
      </c>
      <c r="O1676" s="6">
        <v>1</v>
      </c>
      <c r="P1676" s="5">
        <v>166</v>
      </c>
      <c r="Q1676" s="4" t="s">
        <v>1390</v>
      </c>
    </row>
    <row r="1677" spans="1:17" x14ac:dyDescent="0.3">
      <c r="A1677" s="2" t="s">
        <v>1389</v>
      </c>
      <c r="B1677" s="3">
        <v>156070</v>
      </c>
      <c r="C1677" s="3">
        <v>216047</v>
      </c>
      <c r="D1677" s="4" t="s">
        <v>17</v>
      </c>
      <c r="E1677" s="4" t="s">
        <v>1180</v>
      </c>
      <c r="F1677" s="4" t="s">
        <v>19</v>
      </c>
      <c r="G1677" s="4" t="s">
        <v>20</v>
      </c>
      <c r="H1677" s="5">
        <v>54742.96</v>
      </c>
      <c r="I1677" s="4" t="s">
        <v>21</v>
      </c>
      <c r="J1677" s="5">
        <f t="shared" si="26"/>
        <v>-230303.63271999999</v>
      </c>
      <c r="K1677" s="4" t="s">
        <v>42</v>
      </c>
      <c r="L1677" s="6">
        <v>4.2069999999999999</v>
      </c>
      <c r="M1677" s="6">
        <v>0.23769999999999999</v>
      </c>
      <c r="N1677" s="6">
        <v>4.2119</v>
      </c>
      <c r="O1677" s="6">
        <v>1</v>
      </c>
      <c r="P1677" s="5">
        <v>268.24050399998669</v>
      </c>
      <c r="Q1677" s="4" t="s">
        <v>1390</v>
      </c>
    </row>
    <row r="1678" spans="1:17" x14ac:dyDescent="0.3">
      <c r="A1678" s="2" t="s">
        <v>1389</v>
      </c>
      <c r="B1678" s="3">
        <v>156071</v>
      </c>
      <c r="C1678" s="3">
        <v>216051</v>
      </c>
      <c r="D1678" s="4" t="s">
        <v>17</v>
      </c>
      <c r="E1678" s="4" t="s">
        <v>1180</v>
      </c>
      <c r="F1678" s="4" t="s">
        <v>19</v>
      </c>
      <c r="G1678" s="4" t="s">
        <v>91</v>
      </c>
      <c r="H1678" s="5">
        <v>8947.2800000000007</v>
      </c>
      <c r="I1678" s="4" t="s">
        <v>21</v>
      </c>
      <c r="J1678" s="5">
        <f t="shared" si="26"/>
        <v>-43403.255280000005</v>
      </c>
      <c r="K1678" s="4" t="s">
        <v>42</v>
      </c>
      <c r="L1678" s="6">
        <v>4.851</v>
      </c>
      <c r="M1678" s="6">
        <v>0.20610000000000001</v>
      </c>
      <c r="N1678" s="6">
        <v>4.8471000000000002</v>
      </c>
      <c r="O1678" s="6">
        <v>1</v>
      </c>
      <c r="P1678" s="5">
        <v>-34.894392000001972</v>
      </c>
      <c r="Q1678" s="4" t="s">
        <v>1390</v>
      </c>
    </row>
    <row r="1679" spans="1:17" x14ac:dyDescent="0.3">
      <c r="A1679" s="2" t="s">
        <v>1389</v>
      </c>
      <c r="B1679" s="3">
        <v>156072</v>
      </c>
      <c r="C1679" s="3">
        <v>893817</v>
      </c>
      <c r="D1679" s="4" t="s">
        <v>81</v>
      </c>
      <c r="E1679" s="4" t="s">
        <v>742</v>
      </c>
      <c r="F1679" s="4" t="s">
        <v>83</v>
      </c>
      <c r="G1679" s="4" t="s">
        <v>20</v>
      </c>
      <c r="H1679" s="5">
        <v>-500000</v>
      </c>
      <c r="I1679" s="4" t="s">
        <v>21</v>
      </c>
      <c r="J1679" s="5">
        <f t="shared" si="26"/>
        <v>2106800</v>
      </c>
      <c r="K1679" s="4" t="s">
        <v>48</v>
      </c>
      <c r="L1679" s="6">
        <v>4.2135999999999996</v>
      </c>
      <c r="M1679" s="6">
        <v>0.23730000000000001</v>
      </c>
      <c r="N1679" s="6">
        <v>4.2096999999999998</v>
      </c>
      <c r="O1679" s="6">
        <v>1</v>
      </c>
      <c r="P1679" s="5">
        <v>1950</v>
      </c>
      <c r="Q1679" s="4" t="s">
        <v>1396</v>
      </c>
    </row>
    <row r="1680" spans="1:17" x14ac:dyDescent="0.3">
      <c r="A1680" s="2" t="s">
        <v>1389</v>
      </c>
      <c r="B1680" s="3">
        <v>156074</v>
      </c>
      <c r="C1680" s="3">
        <v>893842</v>
      </c>
      <c r="D1680" s="4" t="s">
        <v>81</v>
      </c>
      <c r="E1680" s="4" t="s">
        <v>734</v>
      </c>
      <c r="F1680" s="4" t="s">
        <v>83</v>
      </c>
      <c r="G1680" s="4" t="s">
        <v>34</v>
      </c>
      <c r="H1680" s="5">
        <v>-500000</v>
      </c>
      <c r="I1680" s="4" t="s">
        <v>21</v>
      </c>
      <c r="J1680" s="5">
        <f t="shared" si="26"/>
        <v>1809700</v>
      </c>
      <c r="K1680" s="4" t="s">
        <v>48</v>
      </c>
      <c r="L1680" s="6">
        <v>3.6194000000000002</v>
      </c>
      <c r="M1680" s="6">
        <v>0.27629999999999999</v>
      </c>
      <c r="N1680" s="6">
        <v>3.6036999999999999</v>
      </c>
      <c r="O1680" s="6">
        <v>1</v>
      </c>
      <c r="P1680" s="5">
        <v>7850</v>
      </c>
      <c r="Q1680" s="4" t="s">
        <v>1393</v>
      </c>
    </row>
    <row r="1681" spans="1:17" x14ac:dyDescent="0.3">
      <c r="A1681" s="2" t="s">
        <v>1389</v>
      </c>
      <c r="B1681" s="3">
        <v>156076</v>
      </c>
      <c r="C1681" s="3">
        <v>216064</v>
      </c>
      <c r="D1681" s="4" t="s">
        <v>17</v>
      </c>
      <c r="E1681" s="4" t="s">
        <v>1096</v>
      </c>
      <c r="F1681" s="4" t="s">
        <v>19</v>
      </c>
      <c r="G1681" s="4" t="s">
        <v>20</v>
      </c>
      <c r="H1681" s="5">
        <v>3000</v>
      </c>
      <c r="I1681" s="4" t="s">
        <v>21</v>
      </c>
      <c r="J1681" s="5">
        <f t="shared" si="26"/>
        <v>-12616.5</v>
      </c>
      <c r="K1681" s="4" t="s">
        <v>42</v>
      </c>
      <c r="L1681" s="6">
        <v>4.2054999999999998</v>
      </c>
      <c r="M1681" s="6">
        <v>0.23780000000000001</v>
      </c>
      <c r="N1681" s="6">
        <v>4.2119</v>
      </c>
      <c r="O1681" s="6">
        <v>1</v>
      </c>
      <c r="P1681" s="5">
        <v>19.200000000000728</v>
      </c>
      <c r="Q1681" s="4" t="s">
        <v>1390</v>
      </c>
    </row>
    <row r="1682" spans="1:17" x14ac:dyDescent="0.3">
      <c r="A1682" s="2" t="s">
        <v>1389</v>
      </c>
      <c r="B1682" s="3">
        <v>156078</v>
      </c>
      <c r="C1682" s="3">
        <v>216065</v>
      </c>
      <c r="D1682" s="4" t="s">
        <v>17</v>
      </c>
      <c r="E1682" s="4" t="s">
        <v>1179</v>
      </c>
      <c r="F1682" s="4" t="s">
        <v>19</v>
      </c>
      <c r="G1682" s="4" t="s">
        <v>20</v>
      </c>
      <c r="H1682" s="5">
        <v>23896.35</v>
      </c>
      <c r="I1682" s="4" t="s">
        <v>34</v>
      </c>
      <c r="J1682" s="5">
        <f t="shared" si="26"/>
        <v>-27815.351399999996</v>
      </c>
      <c r="K1682" s="4" t="s">
        <v>42</v>
      </c>
      <c r="L1682" s="6">
        <v>1.1639999999999999</v>
      </c>
      <c r="M1682" s="6">
        <v>0.85909999999999997</v>
      </c>
      <c r="N1682" s="6">
        <v>4.2119</v>
      </c>
      <c r="O1682" s="6">
        <v>3.6070000000000002</v>
      </c>
      <c r="P1682" s="5">
        <v>319.06406520000019</v>
      </c>
      <c r="Q1682" s="4" t="s">
        <v>1390</v>
      </c>
    </row>
    <row r="1683" spans="1:17" x14ac:dyDescent="0.3">
      <c r="A1683" s="2" t="s">
        <v>1389</v>
      </c>
      <c r="B1683" s="3">
        <v>156079</v>
      </c>
      <c r="C1683" s="3">
        <v>893865</v>
      </c>
      <c r="D1683" s="4" t="s">
        <v>81</v>
      </c>
      <c r="E1683" s="4" t="s">
        <v>730</v>
      </c>
      <c r="F1683" s="4" t="s">
        <v>87</v>
      </c>
      <c r="G1683" s="4" t="s">
        <v>20</v>
      </c>
      <c r="H1683" s="5">
        <v>200000</v>
      </c>
      <c r="I1683" s="4" t="s">
        <v>34</v>
      </c>
      <c r="J1683" s="5">
        <f t="shared" si="26"/>
        <v>-233040</v>
      </c>
      <c r="K1683" s="4" t="s">
        <v>48</v>
      </c>
      <c r="L1683" s="6">
        <v>1.1652</v>
      </c>
      <c r="M1683" s="6">
        <v>0.85819999999999996</v>
      </c>
      <c r="N1683" s="6">
        <v>4.2096999999999998</v>
      </c>
      <c r="O1683" s="6">
        <v>3.6036999999999999</v>
      </c>
      <c r="P1683" s="5">
        <v>2133.752</v>
      </c>
      <c r="Q1683" s="4" t="s">
        <v>1396</v>
      </c>
    </row>
    <row r="1684" spans="1:17" x14ac:dyDescent="0.3">
      <c r="A1684" s="2" t="s">
        <v>1389</v>
      </c>
      <c r="B1684" s="3">
        <v>156080</v>
      </c>
      <c r="C1684" s="3">
        <v>893869</v>
      </c>
      <c r="D1684" s="4" t="s">
        <v>81</v>
      </c>
      <c r="E1684" s="4" t="s">
        <v>735</v>
      </c>
      <c r="F1684" s="4" t="s">
        <v>87</v>
      </c>
      <c r="G1684" s="4" t="s">
        <v>20</v>
      </c>
      <c r="H1684" s="5">
        <v>500000</v>
      </c>
      <c r="I1684" s="4" t="s">
        <v>21</v>
      </c>
      <c r="J1684" s="5">
        <f t="shared" si="26"/>
        <v>-2105600</v>
      </c>
      <c r="K1684" s="4" t="s">
        <v>48</v>
      </c>
      <c r="L1684" s="6">
        <v>4.2111999999999998</v>
      </c>
      <c r="M1684" s="6">
        <v>0.23749999999999999</v>
      </c>
      <c r="N1684" s="6">
        <v>4.2096999999999998</v>
      </c>
      <c r="O1684" s="6">
        <v>1</v>
      </c>
      <c r="P1684" s="5">
        <v>-750</v>
      </c>
      <c r="Q1684" s="4" t="s">
        <v>1394</v>
      </c>
    </row>
    <row r="1685" spans="1:17" x14ac:dyDescent="0.3">
      <c r="A1685" s="2" t="s">
        <v>1389</v>
      </c>
      <c r="B1685" s="3">
        <v>156086</v>
      </c>
      <c r="C1685" s="3">
        <v>893916</v>
      </c>
      <c r="D1685" s="4" t="s">
        <v>81</v>
      </c>
      <c r="E1685" s="4" t="s">
        <v>734</v>
      </c>
      <c r="F1685" s="4" t="s">
        <v>87</v>
      </c>
      <c r="G1685" s="4" t="s">
        <v>20</v>
      </c>
      <c r="H1685" s="5">
        <v>500000</v>
      </c>
      <c r="I1685" s="4" t="s">
        <v>21</v>
      </c>
      <c r="J1685" s="5">
        <f t="shared" si="26"/>
        <v>-2104900</v>
      </c>
      <c r="K1685" s="4" t="s">
        <v>48</v>
      </c>
      <c r="L1685" s="6">
        <v>4.2098000000000004</v>
      </c>
      <c r="M1685" s="6">
        <v>0.23749999999999999</v>
      </c>
      <c r="N1685" s="6">
        <v>4.2096999999999998</v>
      </c>
      <c r="O1685" s="6">
        <v>1</v>
      </c>
      <c r="P1685" s="5">
        <v>-50</v>
      </c>
      <c r="Q1685" s="4" t="s">
        <v>1393</v>
      </c>
    </row>
    <row r="1686" spans="1:17" x14ac:dyDescent="0.3">
      <c r="A1686" s="2" t="s">
        <v>1389</v>
      </c>
      <c r="B1686" s="3">
        <v>156088</v>
      </c>
      <c r="C1686" s="3">
        <v>893926</v>
      </c>
      <c r="D1686" s="4" t="s">
        <v>81</v>
      </c>
      <c r="E1686" s="4" t="s">
        <v>734</v>
      </c>
      <c r="F1686" s="4" t="s">
        <v>83</v>
      </c>
      <c r="G1686" s="4" t="s">
        <v>20</v>
      </c>
      <c r="H1686" s="5">
        <v>-200000</v>
      </c>
      <c r="I1686" s="4" t="s">
        <v>80</v>
      </c>
      <c r="J1686" s="5">
        <f t="shared" si="26"/>
        <v>1625760</v>
      </c>
      <c r="K1686" s="4" t="s">
        <v>48</v>
      </c>
      <c r="L1686" s="6">
        <v>8.1288</v>
      </c>
      <c r="M1686" s="6">
        <v>0.123</v>
      </c>
      <c r="N1686" s="6">
        <v>4.2096999999999998</v>
      </c>
      <c r="O1686" s="6">
        <v>0.51680000000000004</v>
      </c>
      <c r="P1686" s="5">
        <v>-1751.3664000000001</v>
      </c>
      <c r="Q1686" s="4" t="s">
        <v>1393</v>
      </c>
    </row>
    <row r="1687" spans="1:17" x14ac:dyDescent="0.3">
      <c r="A1687" s="2" t="s">
        <v>1389</v>
      </c>
      <c r="B1687" s="3">
        <v>156089</v>
      </c>
      <c r="C1687" s="3">
        <v>893947</v>
      </c>
      <c r="D1687" s="4" t="s">
        <v>81</v>
      </c>
      <c r="E1687" s="4" t="s">
        <v>736</v>
      </c>
      <c r="F1687" s="4" t="s">
        <v>87</v>
      </c>
      <c r="G1687" s="4" t="s">
        <v>84</v>
      </c>
      <c r="H1687" s="5">
        <v>860000</v>
      </c>
      <c r="I1687" s="4" t="s">
        <v>21</v>
      </c>
      <c r="J1687" s="5">
        <f t="shared" si="26"/>
        <v>-337378</v>
      </c>
      <c r="K1687" s="4" t="s">
        <v>48</v>
      </c>
      <c r="L1687" s="6">
        <v>0.39229999999999998</v>
      </c>
      <c r="M1687" s="6">
        <v>2.5491000000000001</v>
      </c>
      <c r="N1687" s="6">
        <v>0.39279999999999998</v>
      </c>
      <c r="O1687" s="6">
        <v>1</v>
      </c>
      <c r="P1687" s="5">
        <v>430</v>
      </c>
      <c r="Q1687" s="4" t="s">
        <v>1390</v>
      </c>
    </row>
    <row r="1688" spans="1:17" x14ac:dyDescent="0.3">
      <c r="A1688" s="2" t="s">
        <v>1389</v>
      </c>
      <c r="B1688" s="3">
        <v>156090</v>
      </c>
      <c r="C1688" s="3">
        <v>893951</v>
      </c>
      <c r="D1688" s="4" t="s">
        <v>81</v>
      </c>
      <c r="E1688" s="4" t="s">
        <v>730</v>
      </c>
      <c r="F1688" s="4" t="s">
        <v>87</v>
      </c>
      <c r="G1688" s="4" t="s">
        <v>20</v>
      </c>
      <c r="H1688" s="5">
        <v>100000</v>
      </c>
      <c r="I1688" s="4" t="s">
        <v>84</v>
      </c>
      <c r="J1688" s="5">
        <f t="shared" si="26"/>
        <v>-1073650</v>
      </c>
      <c r="K1688" s="4" t="s">
        <v>48</v>
      </c>
      <c r="L1688" s="6">
        <v>10.736499999999999</v>
      </c>
      <c r="M1688" s="6">
        <v>9.3100000000000002E-2</v>
      </c>
      <c r="N1688" s="6">
        <v>4.2096999999999998</v>
      </c>
      <c r="O1688" s="6">
        <v>0.39279999999999998</v>
      </c>
      <c r="P1688" s="5">
        <v>-758.54160000000002</v>
      </c>
      <c r="Q1688" s="4" t="s">
        <v>1396</v>
      </c>
    </row>
    <row r="1689" spans="1:17" x14ac:dyDescent="0.3">
      <c r="A1689" s="2" t="s">
        <v>1389</v>
      </c>
      <c r="B1689" s="3">
        <v>156091</v>
      </c>
      <c r="C1689" s="3">
        <v>893952</v>
      </c>
      <c r="D1689" s="4" t="s">
        <v>81</v>
      </c>
      <c r="E1689" s="4" t="s">
        <v>736</v>
      </c>
      <c r="F1689" s="4" t="s">
        <v>87</v>
      </c>
      <c r="G1689" s="4" t="s">
        <v>74</v>
      </c>
      <c r="H1689" s="5">
        <v>1020000</v>
      </c>
      <c r="I1689" s="4" t="s">
        <v>21</v>
      </c>
      <c r="J1689" s="5">
        <f t="shared" si="26"/>
        <v>-365058</v>
      </c>
      <c r="K1689" s="4" t="s">
        <v>48</v>
      </c>
      <c r="L1689" s="6">
        <v>0.3579</v>
      </c>
      <c r="M1689" s="6">
        <v>2.7940999999999998</v>
      </c>
      <c r="N1689" s="6">
        <v>0.3579</v>
      </c>
      <c r="O1689" s="6">
        <v>1</v>
      </c>
      <c r="P1689" s="5">
        <v>0</v>
      </c>
      <c r="Q1689" s="4" t="s">
        <v>1390</v>
      </c>
    </row>
    <row r="1690" spans="1:17" x14ac:dyDescent="0.3">
      <c r="A1690" s="2" t="s">
        <v>1389</v>
      </c>
      <c r="B1690" s="3">
        <v>156092</v>
      </c>
      <c r="C1690" s="3">
        <v>893953</v>
      </c>
      <c r="D1690" s="4" t="s">
        <v>81</v>
      </c>
      <c r="E1690" s="4" t="s">
        <v>734</v>
      </c>
      <c r="F1690" s="4" t="s">
        <v>83</v>
      </c>
      <c r="G1690" s="4" t="s">
        <v>20</v>
      </c>
      <c r="H1690" s="5">
        <v>-200000</v>
      </c>
      <c r="I1690" s="4" t="s">
        <v>80</v>
      </c>
      <c r="J1690" s="5">
        <f t="shared" si="26"/>
        <v>1624880</v>
      </c>
      <c r="K1690" s="4" t="s">
        <v>48</v>
      </c>
      <c r="L1690" s="6">
        <v>8.1243999999999996</v>
      </c>
      <c r="M1690" s="6">
        <v>0.1231</v>
      </c>
      <c r="N1690" s="6">
        <v>4.2096999999999998</v>
      </c>
      <c r="O1690" s="6">
        <v>0.51680000000000004</v>
      </c>
      <c r="P1690" s="5">
        <v>-2203.0495999999998</v>
      </c>
      <c r="Q1690" s="4" t="s">
        <v>1393</v>
      </c>
    </row>
    <row r="1691" spans="1:17" x14ac:dyDescent="0.3">
      <c r="A1691" s="2" t="s">
        <v>1389</v>
      </c>
      <c r="B1691" s="3">
        <v>156094</v>
      </c>
      <c r="C1691" s="3">
        <v>893957</v>
      </c>
      <c r="D1691" s="4" t="s">
        <v>81</v>
      </c>
      <c r="E1691" s="4" t="s">
        <v>742</v>
      </c>
      <c r="F1691" s="4" t="s">
        <v>87</v>
      </c>
      <c r="G1691" s="4" t="s">
        <v>20</v>
      </c>
      <c r="H1691" s="5">
        <v>100000</v>
      </c>
      <c r="I1691" s="4" t="s">
        <v>74</v>
      </c>
      <c r="J1691" s="5">
        <f t="shared" si="26"/>
        <v>-1176560</v>
      </c>
      <c r="K1691" s="4" t="s">
        <v>48</v>
      </c>
      <c r="L1691" s="6">
        <v>11.765599999999999</v>
      </c>
      <c r="M1691" s="6">
        <v>8.5000000000000006E-2</v>
      </c>
      <c r="N1691" s="6">
        <v>4.2096999999999998</v>
      </c>
      <c r="O1691" s="6">
        <v>0.3579</v>
      </c>
      <c r="P1691" s="5">
        <v>-120.824</v>
      </c>
      <c r="Q1691" s="4" t="s">
        <v>1396</v>
      </c>
    </row>
    <row r="1692" spans="1:17" x14ac:dyDescent="0.3">
      <c r="A1692" s="2" t="s">
        <v>1389</v>
      </c>
      <c r="B1692" s="3">
        <v>156097</v>
      </c>
      <c r="C1692" s="3">
        <v>216089</v>
      </c>
      <c r="D1692" s="4" t="s">
        <v>17</v>
      </c>
      <c r="E1692" s="4" t="s">
        <v>1042</v>
      </c>
      <c r="F1692" s="4" t="s">
        <v>19</v>
      </c>
      <c r="G1692" s="4" t="s">
        <v>20</v>
      </c>
      <c r="H1692" s="5">
        <v>64655.78</v>
      </c>
      <c r="I1692" s="4" t="s">
        <v>21</v>
      </c>
      <c r="J1692" s="5">
        <f t="shared" si="26"/>
        <v>-271864.62374399998</v>
      </c>
      <c r="K1692" s="4" t="s">
        <v>42</v>
      </c>
      <c r="L1692" s="6">
        <v>4.2047999999999996</v>
      </c>
      <c r="M1692" s="6">
        <v>0.23780000000000001</v>
      </c>
      <c r="N1692" s="6">
        <v>4.2119</v>
      </c>
      <c r="O1692" s="6">
        <v>1</v>
      </c>
      <c r="P1692" s="5">
        <v>459.05603800003882</v>
      </c>
      <c r="Q1692" s="4" t="s">
        <v>1390</v>
      </c>
    </row>
    <row r="1693" spans="1:17" x14ac:dyDescent="0.3">
      <c r="A1693" s="2" t="s">
        <v>1389</v>
      </c>
      <c r="B1693" s="3">
        <v>156100</v>
      </c>
      <c r="C1693" s="3">
        <v>893993</v>
      </c>
      <c r="D1693" s="4" t="s">
        <v>81</v>
      </c>
      <c r="E1693" s="4" t="s">
        <v>734</v>
      </c>
      <c r="F1693" s="4" t="s">
        <v>83</v>
      </c>
      <c r="G1693" s="4" t="s">
        <v>20</v>
      </c>
      <c r="H1693" s="5">
        <v>-500000</v>
      </c>
      <c r="I1693" s="4" t="s">
        <v>21</v>
      </c>
      <c r="J1693" s="5">
        <f t="shared" si="26"/>
        <v>2106400</v>
      </c>
      <c r="K1693" s="4" t="s">
        <v>48</v>
      </c>
      <c r="L1693" s="6">
        <v>4.2127999999999997</v>
      </c>
      <c r="M1693" s="6">
        <v>0.2374</v>
      </c>
      <c r="N1693" s="6">
        <v>4.2096999999999998</v>
      </c>
      <c r="O1693" s="6">
        <v>1</v>
      </c>
      <c r="P1693" s="5">
        <v>1550</v>
      </c>
      <c r="Q1693" s="4" t="s">
        <v>1393</v>
      </c>
    </row>
    <row r="1694" spans="1:17" x14ac:dyDescent="0.3">
      <c r="A1694" s="2" t="s">
        <v>1389</v>
      </c>
      <c r="B1694" s="3">
        <v>156101</v>
      </c>
      <c r="C1694" s="3">
        <v>894007</v>
      </c>
      <c r="D1694" s="4" t="s">
        <v>81</v>
      </c>
      <c r="E1694" s="4" t="s">
        <v>725</v>
      </c>
      <c r="F1694" s="4" t="s">
        <v>83</v>
      </c>
      <c r="G1694" s="4" t="s">
        <v>20</v>
      </c>
      <c r="H1694" s="5">
        <v>-500000</v>
      </c>
      <c r="I1694" s="4" t="s">
        <v>21</v>
      </c>
      <c r="J1694" s="5">
        <f t="shared" si="26"/>
        <v>2106300</v>
      </c>
      <c r="K1694" s="4" t="s">
        <v>48</v>
      </c>
      <c r="L1694" s="6">
        <v>4.2126000000000001</v>
      </c>
      <c r="M1694" s="6">
        <v>0.2374</v>
      </c>
      <c r="N1694" s="6">
        <v>4.2096999999999998</v>
      </c>
      <c r="O1694" s="6">
        <v>1</v>
      </c>
      <c r="P1694" s="5">
        <v>1470</v>
      </c>
      <c r="Q1694" s="4" t="s">
        <v>1392</v>
      </c>
    </row>
    <row r="1695" spans="1:17" x14ac:dyDescent="0.3">
      <c r="A1695" s="2" t="s">
        <v>1389</v>
      </c>
      <c r="B1695" s="3">
        <v>156104</v>
      </c>
      <c r="C1695" s="3">
        <v>216093</v>
      </c>
      <c r="D1695" s="4" t="s">
        <v>17</v>
      </c>
      <c r="E1695" s="4" t="s">
        <v>1186</v>
      </c>
      <c r="F1695" s="4" t="s">
        <v>19</v>
      </c>
      <c r="G1695" s="4" t="s">
        <v>20</v>
      </c>
      <c r="H1695" s="5">
        <v>25500</v>
      </c>
      <c r="I1695" s="4" t="s">
        <v>21</v>
      </c>
      <c r="J1695" s="5">
        <f t="shared" si="26"/>
        <v>-107112.75</v>
      </c>
      <c r="K1695" s="4" t="s">
        <v>42</v>
      </c>
      <c r="L1695" s="6">
        <v>4.2004999999999999</v>
      </c>
      <c r="M1695" s="6">
        <v>0.23810000000000001</v>
      </c>
      <c r="N1695" s="6">
        <v>4.2119</v>
      </c>
      <c r="O1695" s="6">
        <v>1</v>
      </c>
      <c r="P1695" s="5">
        <v>290.69999999999709</v>
      </c>
      <c r="Q1695" s="4" t="s">
        <v>1390</v>
      </c>
    </row>
    <row r="1696" spans="1:17" x14ac:dyDescent="0.3">
      <c r="A1696" s="2" t="s">
        <v>1389</v>
      </c>
      <c r="B1696" s="3">
        <v>156105</v>
      </c>
      <c r="C1696" s="3">
        <v>216094</v>
      </c>
      <c r="D1696" s="4" t="s">
        <v>17</v>
      </c>
      <c r="E1696" s="4" t="s">
        <v>1315</v>
      </c>
      <c r="F1696" s="4" t="s">
        <v>19</v>
      </c>
      <c r="G1696" s="4" t="s">
        <v>20</v>
      </c>
      <c r="H1696" s="5">
        <v>591707.55000000005</v>
      </c>
      <c r="I1696" s="4" t="s">
        <v>21</v>
      </c>
      <c r="J1696" s="5">
        <f t="shared" si="26"/>
        <v>-2488603.6137900003</v>
      </c>
      <c r="K1696" s="4" t="s">
        <v>42</v>
      </c>
      <c r="L1696" s="6">
        <v>4.2058</v>
      </c>
      <c r="M1696" s="6">
        <v>0.23780000000000001</v>
      </c>
      <c r="N1696" s="6">
        <v>4.2119</v>
      </c>
      <c r="O1696" s="6">
        <v>1</v>
      </c>
      <c r="P1696" s="5">
        <v>3609.4160549999215</v>
      </c>
      <c r="Q1696" s="4" t="s">
        <v>1390</v>
      </c>
    </row>
    <row r="1697" spans="1:17" x14ac:dyDescent="0.3">
      <c r="A1697" s="2" t="s">
        <v>1389</v>
      </c>
      <c r="B1697" s="3">
        <v>156106</v>
      </c>
      <c r="C1697" s="3">
        <v>216096</v>
      </c>
      <c r="D1697" s="4" t="s">
        <v>17</v>
      </c>
      <c r="E1697" s="4" t="s">
        <v>921</v>
      </c>
      <c r="F1697" s="4" t="s">
        <v>19</v>
      </c>
      <c r="G1697" s="4" t="s">
        <v>20</v>
      </c>
      <c r="H1697" s="5">
        <v>30000</v>
      </c>
      <c r="I1697" s="4" t="s">
        <v>21</v>
      </c>
      <c r="J1697" s="5">
        <f t="shared" si="26"/>
        <v>-126174</v>
      </c>
      <c r="K1697" s="4" t="s">
        <v>42</v>
      </c>
      <c r="L1697" s="6">
        <v>4.2058</v>
      </c>
      <c r="M1697" s="6">
        <v>0.23780000000000001</v>
      </c>
      <c r="N1697" s="6">
        <v>4.2119</v>
      </c>
      <c r="O1697" s="6">
        <v>1</v>
      </c>
      <c r="P1697" s="5">
        <v>183</v>
      </c>
      <c r="Q1697" s="4" t="s">
        <v>1390</v>
      </c>
    </row>
    <row r="1698" spans="1:17" x14ac:dyDescent="0.3">
      <c r="A1698" s="2" t="s">
        <v>1389</v>
      </c>
      <c r="B1698" s="3">
        <v>156107</v>
      </c>
      <c r="C1698" s="3">
        <v>894035</v>
      </c>
      <c r="D1698" s="4" t="s">
        <v>81</v>
      </c>
      <c r="E1698" s="4" t="s">
        <v>725</v>
      </c>
      <c r="F1698" s="4" t="s">
        <v>83</v>
      </c>
      <c r="G1698" s="4" t="s">
        <v>20</v>
      </c>
      <c r="H1698" s="5">
        <v>-1000000</v>
      </c>
      <c r="I1698" s="4" t="s">
        <v>21</v>
      </c>
      <c r="J1698" s="5">
        <f t="shared" si="26"/>
        <v>4212600</v>
      </c>
      <c r="K1698" s="4" t="s">
        <v>48</v>
      </c>
      <c r="L1698" s="6">
        <v>4.2126000000000001</v>
      </c>
      <c r="M1698" s="6">
        <v>0.2374</v>
      </c>
      <c r="N1698" s="6">
        <v>4.2096999999999998</v>
      </c>
      <c r="O1698" s="6">
        <v>1</v>
      </c>
      <c r="P1698" s="5">
        <v>2860</v>
      </c>
      <c r="Q1698" s="4" t="s">
        <v>1392</v>
      </c>
    </row>
    <row r="1699" spans="1:17" x14ac:dyDescent="0.3">
      <c r="A1699" s="2" t="s">
        <v>1389</v>
      </c>
      <c r="B1699" s="3">
        <v>156111</v>
      </c>
      <c r="C1699" s="3">
        <v>216102</v>
      </c>
      <c r="D1699" s="4" t="s">
        <v>17</v>
      </c>
      <c r="E1699" s="4" t="s">
        <v>786</v>
      </c>
      <c r="F1699" s="4" t="s">
        <v>19</v>
      </c>
      <c r="G1699" s="4" t="s">
        <v>34</v>
      </c>
      <c r="H1699" s="5">
        <v>70000</v>
      </c>
      <c r="I1699" s="4" t="s">
        <v>21</v>
      </c>
      <c r="J1699" s="5">
        <f t="shared" si="26"/>
        <v>-253295</v>
      </c>
      <c r="K1699" s="4" t="s">
        <v>42</v>
      </c>
      <c r="L1699" s="6">
        <v>3.6185</v>
      </c>
      <c r="M1699" s="6">
        <v>0.27639999999999998</v>
      </c>
      <c r="N1699" s="6">
        <v>3.6070000000000002</v>
      </c>
      <c r="O1699" s="6">
        <v>1</v>
      </c>
      <c r="P1699" s="5">
        <v>-805</v>
      </c>
      <c r="Q1699" s="4" t="s">
        <v>1390</v>
      </c>
    </row>
    <row r="1700" spans="1:17" x14ac:dyDescent="0.3">
      <c r="A1700" s="2" t="s">
        <v>1389</v>
      </c>
      <c r="B1700" s="3">
        <v>156112</v>
      </c>
      <c r="C1700" s="3">
        <v>894057</v>
      </c>
      <c r="D1700" s="4" t="s">
        <v>81</v>
      </c>
      <c r="E1700" s="4" t="s">
        <v>732</v>
      </c>
      <c r="F1700" s="4" t="s">
        <v>87</v>
      </c>
      <c r="G1700" s="4" t="s">
        <v>20</v>
      </c>
      <c r="H1700" s="5">
        <v>1000000</v>
      </c>
      <c r="I1700" s="4" t="s">
        <v>21</v>
      </c>
      <c r="J1700" s="5">
        <f t="shared" si="26"/>
        <v>-4213000</v>
      </c>
      <c r="K1700" s="4" t="s">
        <v>48</v>
      </c>
      <c r="L1700" s="6">
        <v>4.2130000000000001</v>
      </c>
      <c r="M1700" s="6">
        <v>0.2374</v>
      </c>
      <c r="N1700" s="6">
        <v>4.2096999999999998</v>
      </c>
      <c r="O1700" s="6">
        <v>1</v>
      </c>
      <c r="P1700" s="5">
        <v>-3300</v>
      </c>
      <c r="Q1700" s="4" t="s">
        <v>1394</v>
      </c>
    </row>
    <row r="1701" spans="1:17" x14ac:dyDescent="0.3">
      <c r="A1701" s="2" t="s">
        <v>1389</v>
      </c>
      <c r="B1701" s="3">
        <v>156113</v>
      </c>
      <c r="C1701" s="3">
        <v>216107</v>
      </c>
      <c r="D1701" s="4" t="s">
        <v>17</v>
      </c>
      <c r="E1701" s="4" t="s">
        <v>828</v>
      </c>
      <c r="F1701" s="4" t="s">
        <v>19</v>
      </c>
      <c r="G1701" s="4" t="s">
        <v>20</v>
      </c>
      <c r="H1701" s="5">
        <v>100000</v>
      </c>
      <c r="I1701" s="4" t="s">
        <v>21</v>
      </c>
      <c r="J1701" s="5">
        <f t="shared" si="26"/>
        <v>-420990</v>
      </c>
      <c r="K1701" s="4" t="s">
        <v>47</v>
      </c>
      <c r="L1701" s="6">
        <v>4.2099000000000002</v>
      </c>
      <c r="M1701" s="6">
        <v>0.23749999999999999</v>
      </c>
      <c r="N1701" s="6">
        <v>4.2126999999999999</v>
      </c>
      <c r="O1701" s="6">
        <v>1</v>
      </c>
      <c r="P1701" s="5">
        <v>280</v>
      </c>
      <c r="Q1701" s="4" t="s">
        <v>1390</v>
      </c>
    </row>
    <row r="1702" spans="1:17" x14ac:dyDescent="0.3">
      <c r="A1702" s="2" t="s">
        <v>1389</v>
      </c>
      <c r="B1702" s="3">
        <v>156114</v>
      </c>
      <c r="C1702" s="3">
        <v>894071</v>
      </c>
      <c r="D1702" s="4" t="s">
        <v>81</v>
      </c>
      <c r="E1702" s="4" t="s">
        <v>733</v>
      </c>
      <c r="F1702" s="4" t="s">
        <v>87</v>
      </c>
      <c r="G1702" s="4" t="s">
        <v>34</v>
      </c>
      <c r="H1702" s="5">
        <v>500000</v>
      </c>
      <c r="I1702" s="4" t="s">
        <v>21</v>
      </c>
      <c r="J1702" s="5">
        <f t="shared" si="26"/>
        <v>-1810900</v>
      </c>
      <c r="K1702" s="4" t="s">
        <v>48</v>
      </c>
      <c r="L1702" s="6">
        <v>3.6217999999999999</v>
      </c>
      <c r="M1702" s="6">
        <v>0.27610000000000001</v>
      </c>
      <c r="N1702" s="6">
        <v>3.6036999999999999</v>
      </c>
      <c r="O1702" s="6">
        <v>1</v>
      </c>
      <c r="P1702" s="5">
        <v>-9045</v>
      </c>
      <c r="Q1702" s="4" t="s">
        <v>1391</v>
      </c>
    </row>
    <row r="1703" spans="1:17" x14ac:dyDescent="0.3">
      <c r="A1703" s="2" t="s">
        <v>1389</v>
      </c>
      <c r="B1703" s="3">
        <v>156115</v>
      </c>
      <c r="C1703" s="3">
        <v>894072</v>
      </c>
      <c r="D1703" s="4" t="s">
        <v>81</v>
      </c>
      <c r="E1703" s="4" t="s">
        <v>730</v>
      </c>
      <c r="F1703" s="4" t="s">
        <v>87</v>
      </c>
      <c r="G1703" s="4" t="s">
        <v>34</v>
      </c>
      <c r="H1703" s="5">
        <v>500000</v>
      </c>
      <c r="I1703" s="4" t="s">
        <v>21</v>
      </c>
      <c r="J1703" s="5">
        <f t="shared" si="26"/>
        <v>-1810450</v>
      </c>
      <c r="K1703" s="4" t="s">
        <v>48</v>
      </c>
      <c r="L1703" s="6">
        <v>3.6208999999999998</v>
      </c>
      <c r="M1703" s="6">
        <v>0.2762</v>
      </c>
      <c r="N1703" s="6">
        <v>3.6036999999999999</v>
      </c>
      <c r="O1703" s="6">
        <v>1</v>
      </c>
      <c r="P1703" s="5">
        <v>-8615</v>
      </c>
      <c r="Q1703" s="4" t="s">
        <v>1396</v>
      </c>
    </row>
    <row r="1704" spans="1:17" x14ac:dyDescent="0.3">
      <c r="A1704" s="2" t="s">
        <v>1389</v>
      </c>
      <c r="B1704" s="3">
        <v>156116</v>
      </c>
      <c r="C1704" s="3">
        <v>216111</v>
      </c>
      <c r="D1704" s="4" t="s">
        <v>17</v>
      </c>
      <c r="E1704" s="4" t="s">
        <v>1091</v>
      </c>
      <c r="F1704" s="4" t="s">
        <v>19</v>
      </c>
      <c r="G1704" s="4" t="s">
        <v>20</v>
      </c>
      <c r="H1704" s="5">
        <v>20000</v>
      </c>
      <c r="I1704" s="4" t="s">
        <v>21</v>
      </c>
      <c r="J1704" s="5">
        <f t="shared" si="26"/>
        <v>-84158.000000000015</v>
      </c>
      <c r="K1704" s="4" t="s">
        <v>47</v>
      </c>
      <c r="L1704" s="6">
        <v>4.2079000000000004</v>
      </c>
      <c r="M1704" s="6">
        <v>0.23760000000000001</v>
      </c>
      <c r="N1704" s="6">
        <v>4.2126999999999999</v>
      </c>
      <c r="O1704" s="6">
        <v>1</v>
      </c>
      <c r="P1704" s="5">
        <v>95.999999999985448</v>
      </c>
      <c r="Q1704" s="4" t="s">
        <v>1390</v>
      </c>
    </row>
    <row r="1705" spans="1:17" x14ac:dyDescent="0.3">
      <c r="A1705" s="2" t="s">
        <v>1389</v>
      </c>
      <c r="B1705" s="3">
        <v>156117</v>
      </c>
      <c r="C1705" s="3">
        <v>894089</v>
      </c>
      <c r="D1705" s="4" t="s">
        <v>81</v>
      </c>
      <c r="E1705" s="4" t="s">
        <v>742</v>
      </c>
      <c r="F1705" s="4" t="s">
        <v>83</v>
      </c>
      <c r="G1705" s="4" t="s">
        <v>20</v>
      </c>
      <c r="H1705" s="5">
        <v>-500000</v>
      </c>
      <c r="I1705" s="4" t="s">
        <v>21</v>
      </c>
      <c r="J1705" s="5">
        <f t="shared" si="26"/>
        <v>2106400</v>
      </c>
      <c r="K1705" s="4" t="s">
        <v>48</v>
      </c>
      <c r="L1705" s="6">
        <v>4.2127999999999997</v>
      </c>
      <c r="M1705" s="6">
        <v>0.2374</v>
      </c>
      <c r="N1705" s="6">
        <v>4.2096999999999998</v>
      </c>
      <c r="O1705" s="6">
        <v>1</v>
      </c>
      <c r="P1705" s="5">
        <v>1550</v>
      </c>
      <c r="Q1705" s="4" t="s">
        <v>1396</v>
      </c>
    </row>
    <row r="1706" spans="1:17" x14ac:dyDescent="0.3">
      <c r="A1706" s="2" t="s">
        <v>1389</v>
      </c>
      <c r="B1706" s="3">
        <v>156118</v>
      </c>
      <c r="C1706" s="3">
        <v>216113</v>
      </c>
      <c r="D1706" s="4" t="s">
        <v>17</v>
      </c>
      <c r="E1706" s="4" t="s">
        <v>1164</v>
      </c>
      <c r="F1706" s="4" t="s">
        <v>19</v>
      </c>
      <c r="G1706" s="4" t="s">
        <v>20</v>
      </c>
      <c r="H1706" s="5">
        <v>20000</v>
      </c>
      <c r="I1706" s="4" t="s">
        <v>21</v>
      </c>
      <c r="J1706" s="5">
        <f t="shared" si="26"/>
        <v>-84116</v>
      </c>
      <c r="K1706" s="4" t="s">
        <v>42</v>
      </c>
      <c r="L1706" s="6">
        <v>4.2058</v>
      </c>
      <c r="M1706" s="6">
        <v>0.23780000000000001</v>
      </c>
      <c r="N1706" s="6">
        <v>4.2119</v>
      </c>
      <c r="O1706" s="6">
        <v>1</v>
      </c>
      <c r="P1706" s="5">
        <v>122</v>
      </c>
      <c r="Q1706" s="4" t="s">
        <v>1390</v>
      </c>
    </row>
    <row r="1707" spans="1:17" x14ac:dyDescent="0.3">
      <c r="A1707" s="2" t="s">
        <v>1389</v>
      </c>
      <c r="B1707" s="3">
        <v>156119</v>
      </c>
      <c r="C1707" s="3">
        <v>894096</v>
      </c>
      <c r="D1707" s="4" t="s">
        <v>81</v>
      </c>
      <c r="E1707" s="4" t="s">
        <v>732</v>
      </c>
      <c r="F1707" s="4" t="s">
        <v>87</v>
      </c>
      <c r="G1707" s="4" t="s">
        <v>34</v>
      </c>
      <c r="H1707" s="5">
        <v>500000</v>
      </c>
      <c r="I1707" s="4" t="s">
        <v>21</v>
      </c>
      <c r="J1707" s="5">
        <f t="shared" si="26"/>
        <v>-1812500</v>
      </c>
      <c r="K1707" s="4" t="s">
        <v>48</v>
      </c>
      <c r="L1707" s="6">
        <v>3.625</v>
      </c>
      <c r="M1707" s="6">
        <v>0.27589999999999998</v>
      </c>
      <c r="N1707" s="6">
        <v>3.6036999999999999</v>
      </c>
      <c r="O1707" s="6">
        <v>1</v>
      </c>
      <c r="P1707" s="5">
        <v>-10630</v>
      </c>
      <c r="Q1707" s="4" t="s">
        <v>1394</v>
      </c>
    </row>
    <row r="1708" spans="1:17" x14ac:dyDescent="0.3">
      <c r="A1708" s="2" t="s">
        <v>1389</v>
      </c>
      <c r="B1708" s="3">
        <v>156122</v>
      </c>
      <c r="C1708" s="3">
        <v>216115</v>
      </c>
      <c r="D1708" s="4" t="s">
        <v>17</v>
      </c>
      <c r="E1708" s="4" t="s">
        <v>1088</v>
      </c>
      <c r="F1708" s="4" t="s">
        <v>19</v>
      </c>
      <c r="G1708" s="4" t="s">
        <v>20</v>
      </c>
      <c r="H1708" s="5">
        <v>250000</v>
      </c>
      <c r="I1708" s="4" t="s">
        <v>21</v>
      </c>
      <c r="J1708" s="5">
        <f t="shared" si="26"/>
        <v>-1049000</v>
      </c>
      <c r="K1708" s="4" t="s">
        <v>42</v>
      </c>
      <c r="L1708" s="6">
        <v>4.1959999999999997</v>
      </c>
      <c r="M1708" s="6">
        <v>0.23830000000000001</v>
      </c>
      <c r="N1708" s="6">
        <v>4.2119</v>
      </c>
      <c r="O1708" s="6">
        <v>1</v>
      </c>
      <c r="P1708" s="5">
        <v>3975</v>
      </c>
      <c r="Q1708" s="4" t="s">
        <v>1390</v>
      </c>
    </row>
    <row r="1709" spans="1:17" x14ac:dyDescent="0.3">
      <c r="A1709" s="2" t="s">
        <v>1389</v>
      </c>
      <c r="B1709" s="3">
        <v>156123</v>
      </c>
      <c r="C1709" s="3">
        <v>894159</v>
      </c>
      <c r="D1709" s="4" t="s">
        <v>81</v>
      </c>
      <c r="E1709" s="4" t="s">
        <v>725</v>
      </c>
      <c r="F1709" s="4" t="s">
        <v>83</v>
      </c>
      <c r="G1709" s="4" t="s">
        <v>20</v>
      </c>
      <c r="H1709" s="5">
        <v>-500000</v>
      </c>
      <c r="I1709" s="4" t="s">
        <v>21</v>
      </c>
      <c r="J1709" s="5">
        <f t="shared" si="26"/>
        <v>2105500</v>
      </c>
      <c r="K1709" s="4" t="s">
        <v>48</v>
      </c>
      <c r="L1709" s="6">
        <v>4.2110000000000003</v>
      </c>
      <c r="M1709" s="6">
        <v>0.23749999999999999</v>
      </c>
      <c r="N1709" s="6">
        <v>4.2096999999999998</v>
      </c>
      <c r="O1709" s="6">
        <v>1</v>
      </c>
      <c r="P1709" s="5">
        <v>670</v>
      </c>
      <c r="Q1709" s="4" t="s">
        <v>1392</v>
      </c>
    </row>
    <row r="1710" spans="1:17" x14ac:dyDescent="0.3">
      <c r="A1710" s="2" t="s">
        <v>1389</v>
      </c>
      <c r="B1710" s="3">
        <v>156128</v>
      </c>
      <c r="C1710" s="3">
        <v>216125</v>
      </c>
      <c r="D1710" s="4" t="s">
        <v>17</v>
      </c>
      <c r="E1710" s="4" t="s">
        <v>1124</v>
      </c>
      <c r="F1710" s="4" t="s">
        <v>19</v>
      </c>
      <c r="G1710" s="4" t="s">
        <v>20</v>
      </c>
      <c r="H1710" s="5">
        <v>12000</v>
      </c>
      <c r="I1710" s="4" t="s">
        <v>21</v>
      </c>
      <c r="J1710" s="5">
        <f t="shared" si="26"/>
        <v>-50411.999999999993</v>
      </c>
      <c r="K1710" s="4" t="s">
        <v>42</v>
      </c>
      <c r="L1710" s="6">
        <v>4.2009999999999996</v>
      </c>
      <c r="M1710" s="6">
        <v>0.23799999999999999</v>
      </c>
      <c r="N1710" s="6">
        <v>4.2119</v>
      </c>
      <c r="O1710" s="6">
        <v>1</v>
      </c>
      <c r="P1710" s="5">
        <v>130.80000000001019</v>
      </c>
      <c r="Q1710" s="4" t="s">
        <v>1390</v>
      </c>
    </row>
    <row r="1711" spans="1:17" x14ac:dyDescent="0.3">
      <c r="A1711" s="2" t="s">
        <v>1389</v>
      </c>
      <c r="B1711" s="3">
        <v>156129</v>
      </c>
      <c r="C1711" s="3">
        <v>894204</v>
      </c>
      <c r="D1711" s="4" t="s">
        <v>81</v>
      </c>
      <c r="E1711" s="4" t="s">
        <v>743</v>
      </c>
      <c r="F1711" s="4" t="s">
        <v>83</v>
      </c>
      <c r="G1711" s="4" t="s">
        <v>20</v>
      </c>
      <c r="H1711" s="5">
        <v>-30000</v>
      </c>
      <c r="I1711" s="4" t="s">
        <v>21</v>
      </c>
      <c r="J1711" s="5">
        <f t="shared" si="26"/>
        <v>126342.00000000001</v>
      </c>
      <c r="K1711" s="4" t="s">
        <v>48</v>
      </c>
      <c r="L1711" s="6">
        <v>4.2114000000000003</v>
      </c>
      <c r="M1711" s="6">
        <v>0.2374</v>
      </c>
      <c r="N1711" s="6">
        <v>4.2096999999999998</v>
      </c>
      <c r="O1711" s="6">
        <v>1</v>
      </c>
      <c r="P1711" s="5">
        <v>51.9</v>
      </c>
      <c r="Q1711" s="4" t="s">
        <v>1395</v>
      </c>
    </row>
    <row r="1712" spans="1:17" x14ac:dyDescent="0.3">
      <c r="A1712" s="2" t="s">
        <v>1389</v>
      </c>
      <c r="B1712" s="3">
        <v>156130</v>
      </c>
      <c r="C1712" s="3">
        <v>894205</v>
      </c>
      <c r="D1712" s="4" t="s">
        <v>81</v>
      </c>
      <c r="E1712" s="4" t="s">
        <v>1214</v>
      </c>
      <c r="F1712" s="4" t="s">
        <v>87</v>
      </c>
      <c r="G1712" s="4" t="s">
        <v>20</v>
      </c>
      <c r="H1712" s="5">
        <v>30000</v>
      </c>
      <c r="I1712" s="4" t="s">
        <v>21</v>
      </c>
      <c r="J1712" s="5">
        <f t="shared" si="26"/>
        <v>-125777.99999999999</v>
      </c>
      <c r="K1712" s="4" t="s">
        <v>48</v>
      </c>
      <c r="L1712" s="6">
        <v>4.1925999999999997</v>
      </c>
      <c r="M1712" s="6">
        <v>0.23849999999999999</v>
      </c>
      <c r="N1712" s="6">
        <v>4.2096999999999998</v>
      </c>
      <c r="O1712" s="6">
        <v>1</v>
      </c>
      <c r="P1712" s="5">
        <v>513</v>
      </c>
      <c r="Q1712" s="4" t="s">
        <v>1390</v>
      </c>
    </row>
    <row r="1713" spans="1:17" x14ac:dyDescent="0.3">
      <c r="A1713" s="2" t="s">
        <v>1389</v>
      </c>
      <c r="B1713" s="3">
        <v>156131</v>
      </c>
      <c r="C1713" s="3">
        <v>894206</v>
      </c>
      <c r="D1713" s="4" t="s">
        <v>81</v>
      </c>
      <c r="E1713" s="4" t="s">
        <v>734</v>
      </c>
      <c r="F1713" s="4" t="s">
        <v>83</v>
      </c>
      <c r="G1713" s="4" t="s">
        <v>20</v>
      </c>
      <c r="H1713" s="5">
        <v>-82227</v>
      </c>
      <c r="I1713" s="4" t="s">
        <v>21</v>
      </c>
      <c r="J1713" s="5">
        <f t="shared" si="26"/>
        <v>346323.67860000004</v>
      </c>
      <c r="K1713" s="4" t="s">
        <v>48</v>
      </c>
      <c r="L1713" s="6">
        <v>4.2118000000000002</v>
      </c>
      <c r="M1713" s="6">
        <v>0.2374</v>
      </c>
      <c r="N1713" s="6">
        <v>4.2096999999999998</v>
      </c>
      <c r="O1713" s="6">
        <v>1</v>
      </c>
      <c r="P1713" s="5">
        <v>168.56809999999999</v>
      </c>
      <c r="Q1713" s="4" t="s">
        <v>1393</v>
      </c>
    </row>
    <row r="1714" spans="1:17" x14ac:dyDescent="0.3">
      <c r="A1714" s="2" t="s">
        <v>1389</v>
      </c>
      <c r="B1714" s="3">
        <v>156132</v>
      </c>
      <c r="C1714" s="3">
        <v>894207</v>
      </c>
      <c r="D1714" s="4" t="s">
        <v>81</v>
      </c>
      <c r="E1714" s="4" t="s">
        <v>735</v>
      </c>
      <c r="F1714" s="4" t="s">
        <v>87</v>
      </c>
      <c r="G1714" s="4" t="s">
        <v>91</v>
      </c>
      <c r="H1714" s="5">
        <v>5970.53</v>
      </c>
      <c r="I1714" s="4" t="s">
        <v>21</v>
      </c>
      <c r="J1714" s="5">
        <f t="shared" si="26"/>
        <v>-28990.505467999999</v>
      </c>
      <c r="K1714" s="4" t="s">
        <v>48</v>
      </c>
      <c r="L1714" s="6">
        <v>4.8555999999999999</v>
      </c>
      <c r="M1714" s="6">
        <v>0.2059</v>
      </c>
      <c r="N1714" s="6">
        <v>4.8482000000000003</v>
      </c>
      <c r="O1714" s="6">
        <v>1</v>
      </c>
      <c r="P1714" s="5">
        <v>-44.186453999999998</v>
      </c>
      <c r="Q1714" s="4" t="s">
        <v>1394</v>
      </c>
    </row>
    <row r="1715" spans="1:17" x14ac:dyDescent="0.3">
      <c r="A1715" s="2" t="s">
        <v>1389</v>
      </c>
      <c r="B1715" s="3">
        <v>156133</v>
      </c>
      <c r="C1715" s="3">
        <v>894208</v>
      </c>
      <c r="D1715" s="4" t="s">
        <v>81</v>
      </c>
      <c r="E1715" s="4" t="s">
        <v>734</v>
      </c>
      <c r="F1715" s="4" t="s">
        <v>83</v>
      </c>
      <c r="G1715" s="4" t="s">
        <v>34</v>
      </c>
      <c r="H1715" s="5">
        <v>-33209.19</v>
      </c>
      <c r="I1715" s="4" t="s">
        <v>21</v>
      </c>
      <c r="J1715" s="5">
        <f t="shared" si="26"/>
        <v>120243.83515200001</v>
      </c>
      <c r="K1715" s="4" t="s">
        <v>48</v>
      </c>
      <c r="L1715" s="6">
        <v>3.6208</v>
      </c>
      <c r="M1715" s="6">
        <v>0.2762</v>
      </c>
      <c r="N1715" s="6">
        <v>3.6036999999999999</v>
      </c>
      <c r="O1715" s="6">
        <v>1</v>
      </c>
      <c r="P1715" s="5">
        <v>566.88199699999996</v>
      </c>
      <c r="Q1715" s="4" t="s">
        <v>1393</v>
      </c>
    </row>
    <row r="1716" spans="1:17" x14ac:dyDescent="0.3">
      <c r="A1716" s="2" t="s">
        <v>1389</v>
      </c>
      <c r="B1716" s="3">
        <v>156134</v>
      </c>
      <c r="C1716" s="3">
        <v>894209</v>
      </c>
      <c r="D1716" s="4" t="s">
        <v>81</v>
      </c>
      <c r="E1716" s="4" t="s">
        <v>734</v>
      </c>
      <c r="F1716" s="4" t="s">
        <v>83</v>
      </c>
      <c r="G1716" s="4" t="s">
        <v>93</v>
      </c>
      <c r="H1716" s="5">
        <v>-1730.02</v>
      </c>
      <c r="I1716" s="4" t="s">
        <v>21</v>
      </c>
      <c r="J1716" s="5">
        <f t="shared" si="26"/>
        <v>7817.441374</v>
      </c>
      <c r="K1716" s="4" t="s">
        <v>48</v>
      </c>
      <c r="L1716" s="6">
        <v>4.5186999999999999</v>
      </c>
      <c r="M1716" s="6">
        <v>0.2213</v>
      </c>
      <c r="N1716" s="6">
        <v>4.5212000000000003</v>
      </c>
      <c r="O1716" s="6">
        <v>1</v>
      </c>
      <c r="P1716" s="5">
        <v>-4.3264240000000003</v>
      </c>
      <c r="Q1716" s="4" t="s">
        <v>1393</v>
      </c>
    </row>
    <row r="1717" spans="1:17" x14ac:dyDescent="0.3">
      <c r="A1717" s="2" t="s">
        <v>1389</v>
      </c>
      <c r="B1717" s="3">
        <v>156135</v>
      </c>
      <c r="C1717" s="3">
        <v>894214</v>
      </c>
      <c r="D1717" s="4" t="s">
        <v>81</v>
      </c>
      <c r="E1717" s="4" t="s">
        <v>734</v>
      </c>
      <c r="F1717" s="4" t="s">
        <v>83</v>
      </c>
      <c r="G1717" s="4" t="s">
        <v>20</v>
      </c>
      <c r="H1717" s="5">
        <v>-113661.73</v>
      </c>
      <c r="I1717" s="4" t="s">
        <v>21</v>
      </c>
      <c r="J1717" s="5">
        <f t="shared" si="26"/>
        <v>478856.86848999996</v>
      </c>
      <c r="K1717" s="4" t="s">
        <v>48</v>
      </c>
      <c r="L1717" s="6">
        <v>4.2130000000000001</v>
      </c>
      <c r="M1717" s="6">
        <v>0.2374</v>
      </c>
      <c r="N1717" s="6">
        <v>4.2096999999999998</v>
      </c>
      <c r="O1717" s="6">
        <v>1</v>
      </c>
      <c r="P1717" s="5">
        <v>369.40521899999999</v>
      </c>
      <c r="Q1717" s="4" t="s">
        <v>1393</v>
      </c>
    </row>
    <row r="1718" spans="1:17" x14ac:dyDescent="0.3">
      <c r="A1718" s="2" t="s">
        <v>1389</v>
      </c>
      <c r="B1718" s="3">
        <v>156136</v>
      </c>
      <c r="C1718" s="3">
        <v>894216</v>
      </c>
      <c r="D1718" s="4" t="s">
        <v>81</v>
      </c>
      <c r="E1718" s="4" t="s">
        <v>735</v>
      </c>
      <c r="F1718" s="4" t="s">
        <v>83</v>
      </c>
      <c r="G1718" s="4" t="s">
        <v>20</v>
      </c>
      <c r="H1718" s="5">
        <v>-80658.05</v>
      </c>
      <c r="I1718" s="4" t="s">
        <v>21</v>
      </c>
      <c r="J1718" s="5">
        <f t="shared" si="26"/>
        <v>339763.96982</v>
      </c>
      <c r="K1718" s="4" t="s">
        <v>48</v>
      </c>
      <c r="L1718" s="6">
        <v>4.2123999999999997</v>
      </c>
      <c r="M1718" s="6">
        <v>0.2374</v>
      </c>
      <c r="N1718" s="6">
        <v>4.2096999999999998</v>
      </c>
      <c r="O1718" s="6">
        <v>1</v>
      </c>
      <c r="P1718" s="5">
        <v>217.776915</v>
      </c>
      <c r="Q1718" s="4" t="s">
        <v>1394</v>
      </c>
    </row>
    <row r="1719" spans="1:17" x14ac:dyDescent="0.3">
      <c r="A1719" s="2" t="s">
        <v>1389</v>
      </c>
      <c r="B1719" s="3">
        <v>156137</v>
      </c>
      <c r="C1719" s="3">
        <v>894217</v>
      </c>
      <c r="D1719" s="4" t="s">
        <v>81</v>
      </c>
      <c r="E1719" s="4" t="s">
        <v>734</v>
      </c>
      <c r="F1719" s="4" t="s">
        <v>87</v>
      </c>
      <c r="G1719" s="4" t="s">
        <v>91</v>
      </c>
      <c r="H1719" s="5">
        <v>3245.77</v>
      </c>
      <c r="I1719" s="4" t="s">
        <v>21</v>
      </c>
      <c r="J1719" s="5">
        <f t="shared" si="26"/>
        <v>-15757.888772999999</v>
      </c>
      <c r="K1719" s="4" t="s">
        <v>48</v>
      </c>
      <c r="L1719" s="6">
        <v>4.8548999999999998</v>
      </c>
      <c r="M1719" s="6">
        <v>0.20599999999999999</v>
      </c>
      <c r="N1719" s="6">
        <v>4.8482000000000003</v>
      </c>
      <c r="O1719" s="6">
        <v>1</v>
      </c>
      <c r="P1719" s="5">
        <v>-21.747886000000001</v>
      </c>
      <c r="Q1719" s="4" t="s">
        <v>1393</v>
      </c>
    </row>
    <row r="1720" spans="1:17" x14ac:dyDescent="0.3">
      <c r="A1720" s="2" t="s">
        <v>1389</v>
      </c>
      <c r="B1720" s="3">
        <v>156138</v>
      </c>
      <c r="C1720" s="3">
        <v>894218</v>
      </c>
      <c r="D1720" s="4" t="s">
        <v>81</v>
      </c>
      <c r="E1720" s="4" t="s">
        <v>734</v>
      </c>
      <c r="F1720" s="4" t="s">
        <v>87</v>
      </c>
      <c r="G1720" s="4" t="s">
        <v>93</v>
      </c>
      <c r="H1720" s="5">
        <v>9714.82</v>
      </c>
      <c r="I1720" s="4" t="s">
        <v>21</v>
      </c>
      <c r="J1720" s="5">
        <f t="shared" si="26"/>
        <v>-43921.672701999996</v>
      </c>
      <c r="K1720" s="4" t="s">
        <v>48</v>
      </c>
      <c r="L1720" s="6">
        <v>4.5210999999999997</v>
      </c>
      <c r="M1720" s="6">
        <v>0.22120000000000001</v>
      </c>
      <c r="N1720" s="6">
        <v>4.5212000000000003</v>
      </c>
      <c r="O1720" s="6">
        <v>1</v>
      </c>
      <c r="P1720" s="5">
        <v>0.68418400000000001</v>
      </c>
      <c r="Q1720" s="4" t="s">
        <v>1393</v>
      </c>
    </row>
    <row r="1721" spans="1:17" x14ac:dyDescent="0.3">
      <c r="A1721" s="2" t="s">
        <v>1389</v>
      </c>
      <c r="B1721" s="3">
        <v>156139</v>
      </c>
      <c r="C1721" s="3">
        <v>894219</v>
      </c>
      <c r="D1721" s="4" t="s">
        <v>81</v>
      </c>
      <c r="E1721" s="4" t="s">
        <v>743</v>
      </c>
      <c r="F1721" s="4" t="s">
        <v>87</v>
      </c>
      <c r="G1721" s="4" t="s">
        <v>34</v>
      </c>
      <c r="H1721" s="5">
        <v>19874.22</v>
      </c>
      <c r="I1721" s="4" t="s">
        <v>21</v>
      </c>
      <c r="J1721" s="5">
        <f t="shared" si="26"/>
        <v>-71966.538042000015</v>
      </c>
      <c r="K1721" s="4" t="s">
        <v>48</v>
      </c>
      <c r="L1721" s="6">
        <v>3.6211000000000002</v>
      </c>
      <c r="M1721" s="6">
        <v>0.2762</v>
      </c>
      <c r="N1721" s="6">
        <v>3.6036999999999999</v>
      </c>
      <c r="O1721" s="6">
        <v>1</v>
      </c>
      <c r="P1721" s="5">
        <v>-346.40338600000001</v>
      </c>
      <c r="Q1721" s="4" t="s">
        <v>1395</v>
      </c>
    </row>
    <row r="1722" spans="1:17" x14ac:dyDescent="0.3">
      <c r="A1722" s="2" t="s">
        <v>1389</v>
      </c>
      <c r="B1722" s="3">
        <v>156140</v>
      </c>
      <c r="C1722" s="3">
        <v>894224</v>
      </c>
      <c r="D1722" s="4" t="s">
        <v>81</v>
      </c>
      <c r="E1722" s="4" t="s">
        <v>734</v>
      </c>
      <c r="F1722" s="4" t="s">
        <v>83</v>
      </c>
      <c r="G1722" s="4" t="s">
        <v>20</v>
      </c>
      <c r="H1722" s="5">
        <v>-42213.54</v>
      </c>
      <c r="I1722" s="4" t="s">
        <v>21</v>
      </c>
      <c r="J1722" s="5">
        <f t="shared" si="26"/>
        <v>177761.21694000001</v>
      </c>
      <c r="K1722" s="4" t="s">
        <v>48</v>
      </c>
      <c r="L1722" s="6">
        <v>4.2110000000000003</v>
      </c>
      <c r="M1722" s="6">
        <v>0.23749999999999999</v>
      </c>
      <c r="N1722" s="6">
        <v>4.2096999999999998</v>
      </c>
      <c r="O1722" s="6">
        <v>1</v>
      </c>
      <c r="P1722" s="5">
        <v>53.190662000000003</v>
      </c>
      <c r="Q1722" s="4" t="s">
        <v>1393</v>
      </c>
    </row>
    <row r="1723" spans="1:17" x14ac:dyDescent="0.3">
      <c r="A1723" s="2" t="s">
        <v>1389</v>
      </c>
      <c r="B1723" s="3">
        <v>156141</v>
      </c>
      <c r="C1723" s="3">
        <v>894225</v>
      </c>
      <c r="D1723" s="4" t="s">
        <v>81</v>
      </c>
      <c r="E1723" s="4" t="s">
        <v>734</v>
      </c>
      <c r="F1723" s="4" t="s">
        <v>83</v>
      </c>
      <c r="G1723" s="4" t="s">
        <v>34</v>
      </c>
      <c r="H1723" s="5">
        <v>-5760.43</v>
      </c>
      <c r="I1723" s="4" t="s">
        <v>21</v>
      </c>
      <c r="J1723" s="5">
        <f t="shared" si="26"/>
        <v>20848.724299000001</v>
      </c>
      <c r="K1723" s="4" t="s">
        <v>48</v>
      </c>
      <c r="L1723" s="6">
        <v>3.6193</v>
      </c>
      <c r="M1723" s="6">
        <v>0.27629999999999999</v>
      </c>
      <c r="N1723" s="6">
        <v>3.6036999999999999</v>
      </c>
      <c r="O1723" s="6">
        <v>1</v>
      </c>
      <c r="P1723" s="5">
        <v>89.578408999999994</v>
      </c>
      <c r="Q1723" s="4" t="s">
        <v>1393</v>
      </c>
    </row>
    <row r="1724" spans="1:17" x14ac:dyDescent="0.3">
      <c r="A1724" s="2" t="s">
        <v>1389</v>
      </c>
      <c r="B1724" s="3">
        <v>156142</v>
      </c>
      <c r="C1724" s="3">
        <v>894226</v>
      </c>
      <c r="D1724" s="4" t="s">
        <v>81</v>
      </c>
      <c r="E1724" s="4" t="s">
        <v>734</v>
      </c>
      <c r="F1724" s="4" t="s">
        <v>83</v>
      </c>
      <c r="G1724" s="4" t="s">
        <v>91</v>
      </c>
      <c r="H1724" s="5">
        <v>-1054.4000000000001</v>
      </c>
      <c r="I1724" s="4" t="s">
        <v>21</v>
      </c>
      <c r="J1724" s="5">
        <f t="shared" si="26"/>
        <v>5116.0542400000004</v>
      </c>
      <c r="K1724" s="4" t="s">
        <v>48</v>
      </c>
      <c r="L1724" s="6">
        <v>4.8521000000000001</v>
      </c>
      <c r="M1724" s="6">
        <v>0.20610000000000001</v>
      </c>
      <c r="N1724" s="6">
        <v>4.8482000000000003</v>
      </c>
      <c r="O1724" s="6">
        <v>1</v>
      </c>
      <c r="P1724" s="5">
        <v>4.10792</v>
      </c>
      <c r="Q1724" s="4" t="s">
        <v>1393</v>
      </c>
    </row>
    <row r="1725" spans="1:17" x14ac:dyDescent="0.3">
      <c r="A1725" s="2" t="s">
        <v>1389</v>
      </c>
      <c r="B1725" s="3">
        <v>156143</v>
      </c>
      <c r="C1725" s="3">
        <v>894231</v>
      </c>
      <c r="D1725" s="4" t="s">
        <v>81</v>
      </c>
      <c r="E1725" s="4" t="s">
        <v>734</v>
      </c>
      <c r="F1725" s="4" t="s">
        <v>83</v>
      </c>
      <c r="G1725" s="4" t="s">
        <v>20</v>
      </c>
      <c r="H1725" s="5">
        <v>-100026.7</v>
      </c>
      <c r="I1725" s="4" t="s">
        <v>21</v>
      </c>
      <c r="J1725" s="5">
        <f t="shared" si="26"/>
        <v>421052.39097999997</v>
      </c>
      <c r="K1725" s="4" t="s">
        <v>37</v>
      </c>
      <c r="L1725" s="6">
        <v>4.2093999999999996</v>
      </c>
      <c r="M1725" s="6">
        <v>0.23760000000000001</v>
      </c>
      <c r="N1725" s="6">
        <v>4.2115999999999998</v>
      </c>
      <c r="O1725" s="6">
        <v>1</v>
      </c>
      <c r="P1725" s="5">
        <v>-222.05972</v>
      </c>
      <c r="Q1725" s="4" t="s">
        <v>1393</v>
      </c>
    </row>
    <row r="1726" spans="1:17" x14ac:dyDescent="0.3">
      <c r="A1726" s="2" t="s">
        <v>1389</v>
      </c>
      <c r="B1726" s="3">
        <v>156144</v>
      </c>
      <c r="C1726" s="3">
        <v>894232</v>
      </c>
      <c r="D1726" s="4" t="s">
        <v>81</v>
      </c>
      <c r="E1726" s="4" t="s">
        <v>734</v>
      </c>
      <c r="F1726" s="4" t="s">
        <v>83</v>
      </c>
      <c r="G1726" s="4" t="s">
        <v>20</v>
      </c>
      <c r="H1726" s="5">
        <v>-100578.45</v>
      </c>
      <c r="I1726" s="4" t="s">
        <v>21</v>
      </c>
      <c r="J1726" s="5">
        <f t="shared" si="26"/>
        <v>423374.92742999992</v>
      </c>
      <c r="K1726" s="4" t="s">
        <v>37</v>
      </c>
      <c r="L1726" s="6">
        <v>4.2093999999999996</v>
      </c>
      <c r="M1726" s="6">
        <v>0.23760000000000001</v>
      </c>
      <c r="N1726" s="6">
        <v>4.2115999999999998</v>
      </c>
      <c r="O1726" s="6">
        <v>1</v>
      </c>
      <c r="P1726" s="5">
        <v>-223.28002000000001</v>
      </c>
      <c r="Q1726" s="4" t="s">
        <v>1393</v>
      </c>
    </row>
    <row r="1727" spans="1:17" x14ac:dyDescent="0.3">
      <c r="A1727" s="2" t="s">
        <v>1389</v>
      </c>
      <c r="B1727" s="3">
        <v>156145</v>
      </c>
      <c r="C1727" s="3">
        <v>894233</v>
      </c>
      <c r="D1727" s="4" t="s">
        <v>81</v>
      </c>
      <c r="E1727" s="4" t="s">
        <v>735</v>
      </c>
      <c r="F1727" s="4" t="s">
        <v>83</v>
      </c>
      <c r="G1727" s="4" t="s">
        <v>34</v>
      </c>
      <c r="H1727" s="5">
        <v>-149306.26</v>
      </c>
      <c r="I1727" s="4" t="s">
        <v>21</v>
      </c>
      <c r="J1727" s="5">
        <f t="shared" si="26"/>
        <v>540100.46492399997</v>
      </c>
      <c r="K1727" s="4" t="s">
        <v>37</v>
      </c>
      <c r="L1727" s="6">
        <v>3.6173999999999999</v>
      </c>
      <c r="M1727" s="6">
        <v>0.27639999999999998</v>
      </c>
      <c r="N1727" s="6">
        <v>3.6082999999999998</v>
      </c>
      <c r="O1727" s="6">
        <v>1</v>
      </c>
      <c r="P1727" s="5">
        <v>1358.6820419999999</v>
      </c>
      <c r="Q1727" s="4" t="s">
        <v>1394</v>
      </c>
    </row>
    <row r="1728" spans="1:17" x14ac:dyDescent="0.3">
      <c r="A1728" s="2" t="s">
        <v>1389</v>
      </c>
      <c r="B1728" s="3">
        <v>156146</v>
      </c>
      <c r="C1728" s="3">
        <v>894234</v>
      </c>
      <c r="D1728" s="4" t="s">
        <v>81</v>
      </c>
      <c r="E1728" s="4" t="s">
        <v>734</v>
      </c>
      <c r="F1728" s="4" t="s">
        <v>83</v>
      </c>
      <c r="G1728" s="4" t="s">
        <v>20</v>
      </c>
      <c r="H1728" s="5">
        <v>-100805.77</v>
      </c>
      <c r="I1728" s="4" t="s">
        <v>21</v>
      </c>
      <c r="J1728" s="5">
        <f t="shared" si="26"/>
        <v>424331.80823799997</v>
      </c>
      <c r="K1728" s="4" t="s">
        <v>37</v>
      </c>
      <c r="L1728" s="6">
        <v>4.2093999999999996</v>
      </c>
      <c r="M1728" s="6">
        <v>0.23760000000000001</v>
      </c>
      <c r="N1728" s="6">
        <v>4.2115999999999998</v>
      </c>
      <c r="O1728" s="6">
        <v>1</v>
      </c>
      <c r="P1728" s="5">
        <v>-223.790932</v>
      </c>
      <c r="Q1728" s="4" t="s">
        <v>1393</v>
      </c>
    </row>
    <row r="1729" spans="1:17" x14ac:dyDescent="0.3">
      <c r="A1729" s="2" t="s">
        <v>1389</v>
      </c>
      <c r="B1729" s="3">
        <v>156147</v>
      </c>
      <c r="C1729" s="3">
        <v>894235</v>
      </c>
      <c r="D1729" s="4" t="s">
        <v>81</v>
      </c>
      <c r="E1729" s="4" t="s">
        <v>734</v>
      </c>
      <c r="F1729" s="4" t="s">
        <v>83</v>
      </c>
      <c r="G1729" s="4" t="s">
        <v>20</v>
      </c>
      <c r="H1729" s="5">
        <v>-100144.54</v>
      </c>
      <c r="I1729" s="4" t="s">
        <v>21</v>
      </c>
      <c r="J1729" s="5">
        <f t="shared" si="26"/>
        <v>421548.42667599994</v>
      </c>
      <c r="K1729" s="4" t="s">
        <v>37</v>
      </c>
      <c r="L1729" s="6">
        <v>4.2093999999999996</v>
      </c>
      <c r="M1729" s="6">
        <v>0.23760000000000001</v>
      </c>
      <c r="N1729" s="6">
        <v>4.2115999999999998</v>
      </c>
      <c r="O1729" s="6">
        <v>1</v>
      </c>
      <c r="P1729" s="5">
        <v>-222.32466400000001</v>
      </c>
      <c r="Q1729" s="4" t="s">
        <v>1393</v>
      </c>
    </row>
    <row r="1730" spans="1:17" x14ac:dyDescent="0.3">
      <c r="A1730" s="2" t="s">
        <v>1389</v>
      </c>
      <c r="B1730" s="3">
        <v>156148</v>
      </c>
      <c r="C1730" s="3">
        <v>894236</v>
      </c>
      <c r="D1730" s="4" t="s">
        <v>81</v>
      </c>
      <c r="E1730" s="4" t="s">
        <v>734</v>
      </c>
      <c r="F1730" s="4" t="s">
        <v>83</v>
      </c>
      <c r="G1730" s="4" t="s">
        <v>20</v>
      </c>
      <c r="H1730" s="5">
        <v>-100511.42</v>
      </c>
      <c r="I1730" s="4" t="s">
        <v>21</v>
      </c>
      <c r="J1730" s="5">
        <f t="shared" si="26"/>
        <v>423092.77134799992</v>
      </c>
      <c r="K1730" s="4" t="s">
        <v>37</v>
      </c>
      <c r="L1730" s="6">
        <v>4.2093999999999996</v>
      </c>
      <c r="M1730" s="6">
        <v>0.23760000000000001</v>
      </c>
      <c r="N1730" s="6">
        <v>4.2115999999999998</v>
      </c>
      <c r="O1730" s="6">
        <v>1</v>
      </c>
      <c r="P1730" s="5">
        <v>-223.136472</v>
      </c>
      <c r="Q1730" s="4" t="s">
        <v>1393</v>
      </c>
    </row>
    <row r="1731" spans="1:17" x14ac:dyDescent="0.3">
      <c r="A1731" s="2" t="s">
        <v>1389</v>
      </c>
      <c r="B1731" s="3">
        <v>156149</v>
      </c>
      <c r="C1731" s="3">
        <v>894237</v>
      </c>
      <c r="D1731" s="4" t="s">
        <v>81</v>
      </c>
      <c r="E1731" s="4" t="s">
        <v>734</v>
      </c>
      <c r="F1731" s="4" t="s">
        <v>83</v>
      </c>
      <c r="G1731" s="4" t="s">
        <v>20</v>
      </c>
      <c r="H1731" s="5">
        <v>-101915.15</v>
      </c>
      <c r="I1731" s="4" t="s">
        <v>21</v>
      </c>
      <c r="J1731" s="5">
        <f t="shared" si="26"/>
        <v>429001.63240999996</v>
      </c>
      <c r="K1731" s="4" t="s">
        <v>37</v>
      </c>
      <c r="L1731" s="6">
        <v>4.2093999999999996</v>
      </c>
      <c r="M1731" s="6">
        <v>0.23760000000000001</v>
      </c>
      <c r="N1731" s="6">
        <v>4.2115999999999998</v>
      </c>
      <c r="O1731" s="6">
        <v>1</v>
      </c>
      <c r="P1731" s="5">
        <v>-226.25574</v>
      </c>
      <c r="Q1731" s="4" t="s">
        <v>1393</v>
      </c>
    </row>
    <row r="1732" spans="1:17" x14ac:dyDescent="0.3">
      <c r="A1732" s="2" t="s">
        <v>1389</v>
      </c>
      <c r="B1732" s="3">
        <v>156150</v>
      </c>
      <c r="C1732" s="3">
        <v>894238</v>
      </c>
      <c r="D1732" s="4" t="s">
        <v>81</v>
      </c>
      <c r="E1732" s="4" t="s">
        <v>734</v>
      </c>
      <c r="F1732" s="4" t="s">
        <v>83</v>
      </c>
      <c r="G1732" s="4" t="s">
        <v>20</v>
      </c>
      <c r="H1732" s="5">
        <v>-100758.8</v>
      </c>
      <c r="I1732" s="4" t="s">
        <v>21</v>
      </c>
      <c r="J1732" s="5">
        <f t="shared" ref="J1732:J1795" si="27">-H1732*L1732</f>
        <v>424134.09271999996</v>
      </c>
      <c r="K1732" s="4" t="s">
        <v>37</v>
      </c>
      <c r="L1732" s="6">
        <v>4.2093999999999996</v>
      </c>
      <c r="M1732" s="6">
        <v>0.23760000000000001</v>
      </c>
      <c r="N1732" s="6">
        <v>4.2115999999999998</v>
      </c>
      <c r="O1732" s="6">
        <v>1</v>
      </c>
      <c r="P1732" s="5">
        <v>-223.68208000000001</v>
      </c>
      <c r="Q1732" s="4" t="s">
        <v>1393</v>
      </c>
    </row>
    <row r="1733" spans="1:17" x14ac:dyDescent="0.3">
      <c r="A1733" s="2" t="s">
        <v>1389</v>
      </c>
      <c r="B1733" s="3">
        <v>156151</v>
      </c>
      <c r="C1733" s="3">
        <v>894239</v>
      </c>
      <c r="D1733" s="4" t="s">
        <v>81</v>
      </c>
      <c r="E1733" s="4" t="s">
        <v>734</v>
      </c>
      <c r="F1733" s="4" t="s">
        <v>83</v>
      </c>
      <c r="G1733" s="4" t="s">
        <v>20</v>
      </c>
      <c r="H1733" s="5">
        <v>-102716.06</v>
      </c>
      <c r="I1733" s="4" t="s">
        <v>21</v>
      </c>
      <c r="J1733" s="5">
        <f t="shared" si="27"/>
        <v>432372.98296399997</v>
      </c>
      <c r="K1733" s="4" t="s">
        <v>37</v>
      </c>
      <c r="L1733" s="6">
        <v>4.2093999999999996</v>
      </c>
      <c r="M1733" s="6">
        <v>0.23760000000000001</v>
      </c>
      <c r="N1733" s="6">
        <v>4.2115999999999998</v>
      </c>
      <c r="O1733" s="6">
        <v>1</v>
      </c>
      <c r="P1733" s="5">
        <v>-228.02829600000001</v>
      </c>
      <c r="Q1733" s="4" t="s">
        <v>1393</v>
      </c>
    </row>
    <row r="1734" spans="1:17" x14ac:dyDescent="0.3">
      <c r="A1734" s="2" t="s">
        <v>1389</v>
      </c>
      <c r="B1734" s="3">
        <v>156152</v>
      </c>
      <c r="C1734" s="3">
        <v>894240</v>
      </c>
      <c r="D1734" s="4" t="s">
        <v>81</v>
      </c>
      <c r="E1734" s="4" t="s">
        <v>734</v>
      </c>
      <c r="F1734" s="4" t="s">
        <v>83</v>
      </c>
      <c r="G1734" s="4" t="s">
        <v>20</v>
      </c>
      <c r="H1734" s="5">
        <v>-100118.86</v>
      </c>
      <c r="I1734" s="4" t="s">
        <v>21</v>
      </c>
      <c r="J1734" s="5">
        <f t="shared" si="27"/>
        <v>421440.32928399998</v>
      </c>
      <c r="K1734" s="4" t="s">
        <v>37</v>
      </c>
      <c r="L1734" s="6">
        <v>4.2093999999999996</v>
      </c>
      <c r="M1734" s="6">
        <v>0.23760000000000001</v>
      </c>
      <c r="N1734" s="6">
        <v>4.2115999999999998</v>
      </c>
      <c r="O1734" s="6">
        <v>1</v>
      </c>
      <c r="P1734" s="5">
        <v>-222.26077599999999</v>
      </c>
      <c r="Q1734" s="4" t="s">
        <v>1393</v>
      </c>
    </row>
    <row r="1735" spans="1:17" x14ac:dyDescent="0.3">
      <c r="A1735" s="2" t="s">
        <v>1389</v>
      </c>
      <c r="B1735" s="3">
        <v>156153</v>
      </c>
      <c r="C1735" s="3">
        <v>894241</v>
      </c>
      <c r="D1735" s="4" t="s">
        <v>81</v>
      </c>
      <c r="E1735" s="4" t="s">
        <v>734</v>
      </c>
      <c r="F1735" s="4" t="s">
        <v>83</v>
      </c>
      <c r="G1735" s="4" t="s">
        <v>20</v>
      </c>
      <c r="H1735" s="5">
        <v>-100109.67</v>
      </c>
      <c r="I1735" s="4" t="s">
        <v>21</v>
      </c>
      <c r="J1735" s="5">
        <f t="shared" si="27"/>
        <v>421401.64489799994</v>
      </c>
      <c r="K1735" s="4" t="s">
        <v>37</v>
      </c>
      <c r="L1735" s="6">
        <v>4.2093999999999996</v>
      </c>
      <c r="M1735" s="6">
        <v>0.23760000000000001</v>
      </c>
      <c r="N1735" s="6">
        <v>4.2115999999999998</v>
      </c>
      <c r="O1735" s="6">
        <v>1</v>
      </c>
      <c r="P1735" s="5">
        <v>-222.246172</v>
      </c>
      <c r="Q1735" s="4" t="s">
        <v>1393</v>
      </c>
    </row>
    <row r="1736" spans="1:17" x14ac:dyDescent="0.3">
      <c r="A1736" s="2" t="s">
        <v>1389</v>
      </c>
      <c r="B1736" s="3">
        <v>156154</v>
      </c>
      <c r="C1736" s="3">
        <v>894242</v>
      </c>
      <c r="D1736" s="4" t="s">
        <v>81</v>
      </c>
      <c r="E1736" s="4" t="s">
        <v>734</v>
      </c>
      <c r="F1736" s="4" t="s">
        <v>83</v>
      </c>
      <c r="G1736" s="4" t="s">
        <v>20</v>
      </c>
      <c r="H1736" s="5">
        <v>-143373.53</v>
      </c>
      <c r="I1736" s="4" t="s">
        <v>21</v>
      </c>
      <c r="J1736" s="5">
        <f t="shared" si="27"/>
        <v>603516.53718199988</v>
      </c>
      <c r="K1736" s="4" t="s">
        <v>37</v>
      </c>
      <c r="L1736" s="6">
        <v>4.2093999999999996</v>
      </c>
      <c r="M1736" s="6">
        <v>0.23760000000000001</v>
      </c>
      <c r="N1736" s="6">
        <v>4.2115999999999998</v>
      </c>
      <c r="O1736" s="6">
        <v>1</v>
      </c>
      <c r="P1736" s="5">
        <v>-318.288948</v>
      </c>
      <c r="Q1736" s="4" t="s">
        <v>1393</v>
      </c>
    </row>
    <row r="1737" spans="1:17" x14ac:dyDescent="0.3">
      <c r="A1737" s="2" t="s">
        <v>1389</v>
      </c>
      <c r="B1737" s="3">
        <v>156155</v>
      </c>
      <c r="C1737" s="3">
        <v>894243</v>
      </c>
      <c r="D1737" s="4" t="s">
        <v>81</v>
      </c>
      <c r="E1737" s="4" t="s">
        <v>734</v>
      </c>
      <c r="F1737" s="4" t="s">
        <v>83</v>
      </c>
      <c r="G1737" s="4" t="s">
        <v>20</v>
      </c>
      <c r="H1737" s="5">
        <v>-100080.62</v>
      </c>
      <c r="I1737" s="4" t="s">
        <v>21</v>
      </c>
      <c r="J1737" s="5">
        <f t="shared" si="27"/>
        <v>421279.36182799994</v>
      </c>
      <c r="K1737" s="4" t="s">
        <v>37</v>
      </c>
      <c r="L1737" s="6">
        <v>4.2093999999999996</v>
      </c>
      <c r="M1737" s="6">
        <v>0.23760000000000001</v>
      </c>
      <c r="N1737" s="6">
        <v>4.2115999999999998</v>
      </c>
      <c r="O1737" s="6">
        <v>1</v>
      </c>
      <c r="P1737" s="5">
        <v>-222.179192</v>
      </c>
      <c r="Q1737" s="4" t="s">
        <v>1393</v>
      </c>
    </row>
    <row r="1738" spans="1:17" x14ac:dyDescent="0.3">
      <c r="A1738" s="2" t="s">
        <v>1389</v>
      </c>
      <c r="B1738" s="3">
        <v>156156</v>
      </c>
      <c r="C1738" s="3">
        <v>894244</v>
      </c>
      <c r="D1738" s="4" t="s">
        <v>81</v>
      </c>
      <c r="E1738" s="4" t="s">
        <v>735</v>
      </c>
      <c r="F1738" s="4" t="s">
        <v>83</v>
      </c>
      <c r="G1738" s="4" t="s">
        <v>34</v>
      </c>
      <c r="H1738" s="5">
        <v>-358.52</v>
      </c>
      <c r="I1738" s="4" t="s">
        <v>21</v>
      </c>
      <c r="J1738" s="5">
        <f t="shared" si="27"/>
        <v>1296.9102479999999</v>
      </c>
      <c r="K1738" s="4" t="s">
        <v>37</v>
      </c>
      <c r="L1738" s="6">
        <v>3.6173999999999999</v>
      </c>
      <c r="M1738" s="6">
        <v>0.27639999999999998</v>
      </c>
      <c r="N1738" s="6">
        <v>3.6082999999999998</v>
      </c>
      <c r="O1738" s="6">
        <v>1</v>
      </c>
      <c r="P1738" s="5">
        <v>3.2622840000000002</v>
      </c>
      <c r="Q1738" s="4" t="s">
        <v>1394</v>
      </c>
    </row>
    <row r="1739" spans="1:17" x14ac:dyDescent="0.3">
      <c r="A1739" s="2" t="s">
        <v>1389</v>
      </c>
      <c r="B1739" s="3">
        <v>156157</v>
      </c>
      <c r="C1739" s="3">
        <v>894245</v>
      </c>
      <c r="D1739" s="4" t="s">
        <v>81</v>
      </c>
      <c r="E1739" s="4" t="s">
        <v>734</v>
      </c>
      <c r="F1739" s="4" t="s">
        <v>83</v>
      </c>
      <c r="G1739" s="4" t="s">
        <v>20</v>
      </c>
      <c r="H1739" s="5">
        <v>-10776.86</v>
      </c>
      <c r="I1739" s="4" t="s">
        <v>21</v>
      </c>
      <c r="J1739" s="5">
        <f t="shared" si="27"/>
        <v>45364.114483999998</v>
      </c>
      <c r="K1739" s="4" t="s">
        <v>37</v>
      </c>
      <c r="L1739" s="6">
        <v>4.2093999999999996</v>
      </c>
      <c r="M1739" s="6">
        <v>0.23760000000000001</v>
      </c>
      <c r="N1739" s="6">
        <v>4.2115999999999998</v>
      </c>
      <c r="O1739" s="6">
        <v>1</v>
      </c>
      <c r="P1739" s="5">
        <v>-23.923576000000001</v>
      </c>
      <c r="Q1739" s="4" t="s">
        <v>1393</v>
      </c>
    </row>
    <row r="1740" spans="1:17" x14ac:dyDescent="0.3">
      <c r="A1740" s="2" t="s">
        <v>1389</v>
      </c>
      <c r="B1740" s="3">
        <v>156158</v>
      </c>
      <c r="C1740" s="3">
        <v>894246</v>
      </c>
      <c r="D1740" s="4" t="s">
        <v>81</v>
      </c>
      <c r="E1740" s="4" t="s">
        <v>734</v>
      </c>
      <c r="F1740" s="4" t="s">
        <v>83</v>
      </c>
      <c r="G1740" s="4" t="s">
        <v>20</v>
      </c>
      <c r="H1740" s="5">
        <v>-104246.34</v>
      </c>
      <c r="I1740" s="4" t="s">
        <v>21</v>
      </c>
      <c r="J1740" s="5">
        <f t="shared" si="27"/>
        <v>438814.54359599994</v>
      </c>
      <c r="K1740" s="4" t="s">
        <v>37</v>
      </c>
      <c r="L1740" s="6">
        <v>4.2093999999999996</v>
      </c>
      <c r="M1740" s="6">
        <v>0.23760000000000001</v>
      </c>
      <c r="N1740" s="6">
        <v>4.2115999999999998</v>
      </c>
      <c r="O1740" s="6">
        <v>1</v>
      </c>
      <c r="P1740" s="5">
        <v>-231.425544</v>
      </c>
      <c r="Q1740" s="4" t="s">
        <v>1393</v>
      </c>
    </row>
    <row r="1741" spans="1:17" x14ac:dyDescent="0.3">
      <c r="A1741" s="2" t="s">
        <v>1389</v>
      </c>
      <c r="B1741" s="3">
        <v>156159</v>
      </c>
      <c r="C1741" s="3">
        <v>894247</v>
      </c>
      <c r="D1741" s="4" t="s">
        <v>81</v>
      </c>
      <c r="E1741" s="4" t="s">
        <v>735</v>
      </c>
      <c r="F1741" s="4" t="s">
        <v>83</v>
      </c>
      <c r="G1741" s="4" t="s">
        <v>91</v>
      </c>
      <c r="H1741" s="5">
        <v>-45982.01</v>
      </c>
      <c r="I1741" s="4" t="s">
        <v>21</v>
      </c>
      <c r="J1741" s="5">
        <f t="shared" si="27"/>
        <v>222792.03485200001</v>
      </c>
      <c r="K1741" s="4" t="s">
        <v>37</v>
      </c>
      <c r="L1741" s="6">
        <v>4.8452000000000002</v>
      </c>
      <c r="M1741" s="6">
        <v>0.2064</v>
      </c>
      <c r="N1741" s="6">
        <v>4.8643999999999998</v>
      </c>
      <c r="O1741" s="6">
        <v>1</v>
      </c>
      <c r="P1741" s="5">
        <v>-882.85944400000005</v>
      </c>
      <c r="Q1741" s="4" t="s">
        <v>1394</v>
      </c>
    </row>
    <row r="1742" spans="1:17" x14ac:dyDescent="0.3">
      <c r="A1742" s="2" t="s">
        <v>1389</v>
      </c>
      <c r="B1742" s="3">
        <v>156160</v>
      </c>
      <c r="C1742" s="3">
        <v>894248</v>
      </c>
      <c r="D1742" s="4" t="s">
        <v>81</v>
      </c>
      <c r="E1742" s="4" t="s">
        <v>734</v>
      </c>
      <c r="F1742" s="4" t="s">
        <v>83</v>
      </c>
      <c r="G1742" s="4" t="s">
        <v>20</v>
      </c>
      <c r="H1742" s="5">
        <v>-101389.46</v>
      </c>
      <c r="I1742" s="4" t="s">
        <v>21</v>
      </c>
      <c r="J1742" s="5">
        <f t="shared" si="27"/>
        <v>426788.79292400001</v>
      </c>
      <c r="K1742" s="4" t="s">
        <v>37</v>
      </c>
      <c r="L1742" s="6">
        <v>4.2093999999999996</v>
      </c>
      <c r="M1742" s="6">
        <v>0.23760000000000001</v>
      </c>
      <c r="N1742" s="6">
        <v>4.2115999999999998</v>
      </c>
      <c r="O1742" s="6">
        <v>1</v>
      </c>
      <c r="P1742" s="5">
        <v>-225.079736</v>
      </c>
      <c r="Q1742" s="4" t="s">
        <v>1393</v>
      </c>
    </row>
    <row r="1743" spans="1:17" x14ac:dyDescent="0.3">
      <c r="A1743" s="2" t="s">
        <v>1389</v>
      </c>
      <c r="B1743" s="3">
        <v>156161</v>
      </c>
      <c r="C1743" s="3">
        <v>894249</v>
      </c>
      <c r="D1743" s="4" t="s">
        <v>81</v>
      </c>
      <c r="E1743" s="4" t="s">
        <v>734</v>
      </c>
      <c r="F1743" s="4" t="s">
        <v>87</v>
      </c>
      <c r="G1743" s="4" t="s">
        <v>93</v>
      </c>
      <c r="H1743" s="5">
        <v>8150.62</v>
      </c>
      <c r="I1743" s="4" t="s">
        <v>21</v>
      </c>
      <c r="J1743" s="5">
        <f t="shared" si="27"/>
        <v>-36882.370562000004</v>
      </c>
      <c r="K1743" s="4" t="s">
        <v>37</v>
      </c>
      <c r="L1743" s="6">
        <v>4.5251000000000001</v>
      </c>
      <c r="M1743" s="6">
        <v>0.221</v>
      </c>
      <c r="N1743" s="6">
        <v>4.5235000000000003</v>
      </c>
      <c r="O1743" s="6">
        <v>1</v>
      </c>
      <c r="P1743" s="5">
        <v>-13.120430000000001</v>
      </c>
      <c r="Q1743" s="4" t="s">
        <v>1393</v>
      </c>
    </row>
    <row r="1744" spans="1:17" x14ac:dyDescent="0.3">
      <c r="A1744" s="2" t="s">
        <v>1389</v>
      </c>
      <c r="B1744" s="3">
        <v>156162</v>
      </c>
      <c r="C1744" s="3">
        <v>894250</v>
      </c>
      <c r="D1744" s="4" t="s">
        <v>81</v>
      </c>
      <c r="E1744" s="4" t="s">
        <v>735</v>
      </c>
      <c r="F1744" s="4" t="s">
        <v>83</v>
      </c>
      <c r="G1744" s="4" t="s">
        <v>34</v>
      </c>
      <c r="H1744" s="5">
        <v>-113448.66</v>
      </c>
      <c r="I1744" s="4" t="s">
        <v>21</v>
      </c>
      <c r="J1744" s="5">
        <f t="shared" si="27"/>
        <v>410389.182684</v>
      </c>
      <c r="K1744" s="4" t="s">
        <v>37</v>
      </c>
      <c r="L1744" s="6">
        <v>3.6173999999999999</v>
      </c>
      <c r="M1744" s="6">
        <v>0.27639999999999998</v>
      </c>
      <c r="N1744" s="6">
        <v>3.6082999999999998</v>
      </c>
      <c r="O1744" s="6">
        <v>1</v>
      </c>
      <c r="P1744" s="5">
        <v>1032.380122</v>
      </c>
      <c r="Q1744" s="4" t="s">
        <v>1394</v>
      </c>
    </row>
    <row r="1745" spans="1:17" x14ac:dyDescent="0.3">
      <c r="A1745" s="2" t="s">
        <v>1389</v>
      </c>
      <c r="B1745" s="3">
        <v>156163</v>
      </c>
      <c r="C1745" s="3">
        <v>894251</v>
      </c>
      <c r="D1745" s="4" t="s">
        <v>81</v>
      </c>
      <c r="E1745" s="4" t="s">
        <v>735</v>
      </c>
      <c r="F1745" s="4" t="s">
        <v>83</v>
      </c>
      <c r="G1745" s="4" t="s">
        <v>34</v>
      </c>
      <c r="H1745" s="5">
        <v>-2575.5700000000002</v>
      </c>
      <c r="I1745" s="4" t="s">
        <v>21</v>
      </c>
      <c r="J1745" s="5">
        <f t="shared" si="27"/>
        <v>9316.8669179999997</v>
      </c>
      <c r="K1745" s="4" t="s">
        <v>37</v>
      </c>
      <c r="L1745" s="6">
        <v>3.6173999999999999</v>
      </c>
      <c r="M1745" s="6">
        <v>0.27639999999999998</v>
      </c>
      <c r="N1745" s="6">
        <v>3.6082999999999998</v>
      </c>
      <c r="O1745" s="6">
        <v>1</v>
      </c>
      <c r="P1745" s="5">
        <v>23.440769</v>
      </c>
      <c r="Q1745" s="4" t="s">
        <v>1394</v>
      </c>
    </row>
    <row r="1746" spans="1:17" x14ac:dyDescent="0.3">
      <c r="A1746" s="2" t="s">
        <v>1389</v>
      </c>
      <c r="B1746" s="3">
        <v>156164</v>
      </c>
      <c r="C1746" s="3">
        <v>894252</v>
      </c>
      <c r="D1746" s="4" t="s">
        <v>81</v>
      </c>
      <c r="E1746" s="4" t="s">
        <v>734</v>
      </c>
      <c r="F1746" s="4" t="s">
        <v>83</v>
      </c>
      <c r="G1746" s="4" t="s">
        <v>20</v>
      </c>
      <c r="H1746" s="5">
        <v>-99997.6</v>
      </c>
      <c r="I1746" s="4" t="s">
        <v>21</v>
      </c>
      <c r="J1746" s="5">
        <f t="shared" si="27"/>
        <v>420929.89743999997</v>
      </c>
      <c r="K1746" s="4" t="s">
        <v>37</v>
      </c>
      <c r="L1746" s="6">
        <v>4.2093999999999996</v>
      </c>
      <c r="M1746" s="6">
        <v>0.23760000000000001</v>
      </c>
      <c r="N1746" s="6">
        <v>4.2115999999999998</v>
      </c>
      <c r="O1746" s="6">
        <v>1</v>
      </c>
      <c r="P1746" s="5">
        <v>-221.99216000000001</v>
      </c>
      <c r="Q1746" s="4" t="s">
        <v>1393</v>
      </c>
    </row>
    <row r="1747" spans="1:17" x14ac:dyDescent="0.3">
      <c r="A1747" s="2" t="s">
        <v>1389</v>
      </c>
      <c r="B1747" s="3">
        <v>156165</v>
      </c>
      <c r="C1747" s="3">
        <v>894321</v>
      </c>
      <c r="D1747" s="4" t="s">
        <v>81</v>
      </c>
      <c r="E1747" s="4" t="s">
        <v>730</v>
      </c>
      <c r="F1747" s="4" t="s">
        <v>83</v>
      </c>
      <c r="G1747" s="4" t="s">
        <v>20</v>
      </c>
      <c r="H1747" s="5">
        <v>-10511.07</v>
      </c>
      <c r="I1747" s="4" t="s">
        <v>21</v>
      </c>
      <c r="J1747" s="5">
        <f t="shared" si="27"/>
        <v>44270.524625999999</v>
      </c>
      <c r="K1747" s="4" t="s">
        <v>37</v>
      </c>
      <c r="L1747" s="6">
        <v>4.2118000000000002</v>
      </c>
      <c r="M1747" s="6">
        <v>0.2374</v>
      </c>
      <c r="N1747" s="6">
        <v>4.2115999999999998</v>
      </c>
      <c r="O1747" s="6">
        <v>1</v>
      </c>
      <c r="P1747" s="5">
        <v>1.577588</v>
      </c>
      <c r="Q1747" s="4" t="s">
        <v>1396</v>
      </c>
    </row>
    <row r="1748" spans="1:17" x14ac:dyDescent="0.3">
      <c r="A1748" s="2" t="s">
        <v>1389</v>
      </c>
      <c r="B1748" s="3">
        <v>156166</v>
      </c>
      <c r="C1748" s="3">
        <v>894322</v>
      </c>
      <c r="D1748" s="4" t="s">
        <v>81</v>
      </c>
      <c r="E1748" s="4" t="s">
        <v>730</v>
      </c>
      <c r="F1748" s="4" t="s">
        <v>83</v>
      </c>
      <c r="G1748" s="4" t="s">
        <v>34</v>
      </c>
      <c r="H1748" s="5">
        <v>-6794.68</v>
      </c>
      <c r="I1748" s="4" t="s">
        <v>21</v>
      </c>
      <c r="J1748" s="5">
        <f t="shared" si="27"/>
        <v>24551.896712000002</v>
      </c>
      <c r="K1748" s="4" t="s">
        <v>37</v>
      </c>
      <c r="L1748" s="6">
        <v>3.6133999999999999</v>
      </c>
      <c r="M1748" s="6">
        <v>0.2767</v>
      </c>
      <c r="N1748" s="6">
        <v>3.6082999999999998</v>
      </c>
      <c r="O1748" s="6">
        <v>1</v>
      </c>
      <c r="P1748" s="5">
        <v>34.716155999999998</v>
      </c>
      <c r="Q1748" s="4" t="s">
        <v>1396</v>
      </c>
    </row>
    <row r="1749" spans="1:17" x14ac:dyDescent="0.3">
      <c r="A1749" s="2" t="s">
        <v>1389</v>
      </c>
      <c r="B1749" s="3">
        <v>156167</v>
      </c>
      <c r="C1749" s="3">
        <v>894323</v>
      </c>
      <c r="D1749" s="4" t="s">
        <v>81</v>
      </c>
      <c r="E1749" s="4" t="s">
        <v>743</v>
      </c>
      <c r="F1749" s="4" t="s">
        <v>87</v>
      </c>
      <c r="G1749" s="4" t="s">
        <v>93</v>
      </c>
      <c r="H1749" s="5">
        <v>905.08</v>
      </c>
      <c r="I1749" s="4" t="s">
        <v>21</v>
      </c>
      <c r="J1749" s="5">
        <f t="shared" si="27"/>
        <v>-4094.7629360000005</v>
      </c>
      <c r="K1749" s="4" t="s">
        <v>37</v>
      </c>
      <c r="L1749" s="6">
        <v>4.5242000000000004</v>
      </c>
      <c r="M1749" s="6">
        <v>0.221</v>
      </c>
      <c r="N1749" s="6">
        <v>4.5235000000000003</v>
      </c>
      <c r="O1749" s="6">
        <v>1</v>
      </c>
      <c r="P1749" s="5">
        <v>-0.64061999999999997</v>
      </c>
      <c r="Q1749" s="4" t="s">
        <v>1395</v>
      </c>
    </row>
    <row r="1750" spans="1:17" x14ac:dyDescent="0.3">
      <c r="A1750" s="2" t="s">
        <v>1389</v>
      </c>
      <c r="B1750" s="3">
        <v>156168</v>
      </c>
      <c r="C1750" s="3">
        <v>216129</v>
      </c>
      <c r="D1750" s="4" t="s">
        <v>17</v>
      </c>
      <c r="E1750" s="4" t="s">
        <v>734</v>
      </c>
      <c r="F1750" s="4" t="s">
        <v>32</v>
      </c>
      <c r="G1750" s="4" t="s">
        <v>20</v>
      </c>
      <c r="H1750" s="5">
        <v>-10000</v>
      </c>
      <c r="I1750" s="4" t="s">
        <v>21</v>
      </c>
      <c r="J1750" s="5">
        <f t="shared" si="27"/>
        <v>42112.999999999993</v>
      </c>
      <c r="K1750" s="4" t="s">
        <v>47</v>
      </c>
      <c r="L1750" s="6">
        <v>4.2112999999999996</v>
      </c>
      <c r="M1750" s="6">
        <v>0.23749999999999999</v>
      </c>
      <c r="N1750" s="6">
        <v>4.2126999999999999</v>
      </c>
      <c r="O1750" s="6">
        <v>1</v>
      </c>
      <c r="P1750" s="5">
        <v>-20.68</v>
      </c>
      <c r="Q1750" s="4" t="s">
        <v>1393</v>
      </c>
    </row>
    <row r="1751" spans="1:17" x14ac:dyDescent="0.3">
      <c r="A1751" s="2" t="s">
        <v>1389</v>
      </c>
      <c r="B1751" s="3">
        <v>156169</v>
      </c>
      <c r="C1751" s="3">
        <v>216131</v>
      </c>
      <c r="D1751" s="4" t="s">
        <v>17</v>
      </c>
      <c r="E1751" s="4" t="s">
        <v>734</v>
      </c>
      <c r="F1751" s="4" t="s">
        <v>32</v>
      </c>
      <c r="G1751" s="4" t="s">
        <v>20</v>
      </c>
      <c r="H1751" s="5">
        <v>-30390</v>
      </c>
      <c r="I1751" s="4" t="s">
        <v>21</v>
      </c>
      <c r="J1751" s="5">
        <f t="shared" si="27"/>
        <v>127984.44600000001</v>
      </c>
      <c r="K1751" s="4" t="s">
        <v>47</v>
      </c>
      <c r="L1751" s="6">
        <v>4.2114000000000003</v>
      </c>
      <c r="M1751" s="6">
        <v>0.23749999999999999</v>
      </c>
      <c r="N1751" s="6">
        <v>4.2126999999999999</v>
      </c>
      <c r="O1751" s="6">
        <v>1</v>
      </c>
      <c r="P1751" s="5">
        <v>-59.103000000000002</v>
      </c>
      <c r="Q1751" s="4" t="s">
        <v>1393</v>
      </c>
    </row>
    <row r="1752" spans="1:17" x14ac:dyDescent="0.3">
      <c r="A1752" s="2" t="s">
        <v>1389</v>
      </c>
      <c r="B1752" s="3">
        <v>156170</v>
      </c>
      <c r="C1752" s="3">
        <v>216133</v>
      </c>
      <c r="D1752" s="4" t="s">
        <v>17</v>
      </c>
      <c r="E1752" s="4" t="s">
        <v>734</v>
      </c>
      <c r="F1752" s="4" t="s">
        <v>32</v>
      </c>
      <c r="G1752" s="4" t="s">
        <v>20</v>
      </c>
      <c r="H1752" s="5">
        <v>-2000</v>
      </c>
      <c r="I1752" s="4" t="s">
        <v>21</v>
      </c>
      <c r="J1752" s="5">
        <f t="shared" si="27"/>
        <v>8423.7999999999993</v>
      </c>
      <c r="K1752" s="4" t="s">
        <v>47</v>
      </c>
      <c r="L1752" s="6">
        <v>4.2119</v>
      </c>
      <c r="M1752" s="6">
        <v>0.2374</v>
      </c>
      <c r="N1752" s="6">
        <v>4.2126999999999999</v>
      </c>
      <c r="O1752" s="6">
        <v>1</v>
      </c>
      <c r="P1752" s="5">
        <v>-2.58</v>
      </c>
      <c r="Q1752" s="4" t="s">
        <v>1393</v>
      </c>
    </row>
    <row r="1753" spans="1:17" x14ac:dyDescent="0.3">
      <c r="A1753" s="2" t="s">
        <v>1389</v>
      </c>
      <c r="B1753" s="3">
        <v>156171</v>
      </c>
      <c r="C1753" s="3">
        <v>216135</v>
      </c>
      <c r="D1753" s="4" t="s">
        <v>17</v>
      </c>
      <c r="E1753" s="4" t="s">
        <v>734</v>
      </c>
      <c r="F1753" s="4" t="s">
        <v>19</v>
      </c>
      <c r="G1753" s="4" t="s">
        <v>20</v>
      </c>
      <c r="H1753" s="5">
        <v>1100</v>
      </c>
      <c r="I1753" s="4" t="s">
        <v>21</v>
      </c>
      <c r="J1753" s="5">
        <f t="shared" si="27"/>
        <v>-4634.5199999999995</v>
      </c>
      <c r="K1753" s="4" t="s">
        <v>47</v>
      </c>
      <c r="L1753" s="6">
        <v>4.2131999999999996</v>
      </c>
      <c r="M1753" s="6">
        <v>0.2374</v>
      </c>
      <c r="N1753" s="6">
        <v>4.2126999999999999</v>
      </c>
      <c r="O1753" s="6">
        <v>1</v>
      </c>
      <c r="P1753" s="5">
        <v>-0.5499999999992724</v>
      </c>
      <c r="Q1753" s="4" t="s">
        <v>1393</v>
      </c>
    </row>
    <row r="1754" spans="1:17" x14ac:dyDescent="0.3">
      <c r="A1754" s="2" t="s">
        <v>1389</v>
      </c>
      <c r="B1754" s="3">
        <v>156172</v>
      </c>
      <c r="C1754" s="3">
        <v>216138</v>
      </c>
      <c r="D1754" s="4" t="s">
        <v>17</v>
      </c>
      <c r="E1754" s="4" t="s">
        <v>734</v>
      </c>
      <c r="F1754" s="4" t="s">
        <v>19</v>
      </c>
      <c r="G1754" s="4" t="s">
        <v>20</v>
      </c>
      <c r="H1754" s="5">
        <v>1500</v>
      </c>
      <c r="I1754" s="4" t="s">
        <v>21</v>
      </c>
      <c r="J1754" s="5">
        <f t="shared" si="27"/>
        <v>-6319.5</v>
      </c>
      <c r="K1754" s="4" t="s">
        <v>47</v>
      </c>
      <c r="L1754" s="6">
        <v>4.2130000000000001</v>
      </c>
      <c r="M1754" s="6">
        <v>0.2374</v>
      </c>
      <c r="N1754" s="6">
        <v>4.2126999999999999</v>
      </c>
      <c r="O1754" s="6">
        <v>1</v>
      </c>
      <c r="P1754" s="5">
        <v>-0.4499999999998181</v>
      </c>
      <c r="Q1754" s="4" t="s">
        <v>1393</v>
      </c>
    </row>
    <row r="1755" spans="1:17" x14ac:dyDescent="0.3">
      <c r="A1755" s="2" t="s">
        <v>1389</v>
      </c>
      <c r="B1755" s="3">
        <v>156173</v>
      </c>
      <c r="C1755" s="3">
        <v>216139</v>
      </c>
      <c r="D1755" s="4" t="s">
        <v>17</v>
      </c>
      <c r="E1755" s="4" t="s">
        <v>734</v>
      </c>
      <c r="F1755" s="4" t="s">
        <v>19</v>
      </c>
      <c r="G1755" s="4" t="s">
        <v>20</v>
      </c>
      <c r="H1755" s="5">
        <v>10000</v>
      </c>
      <c r="I1755" s="4" t="s">
        <v>21</v>
      </c>
      <c r="J1755" s="5">
        <f t="shared" si="27"/>
        <v>-42116</v>
      </c>
      <c r="K1755" s="4" t="s">
        <v>47</v>
      </c>
      <c r="L1755" s="6">
        <v>4.2115999999999998</v>
      </c>
      <c r="M1755" s="6">
        <v>0.2374</v>
      </c>
      <c r="N1755" s="6">
        <v>4.2126999999999999</v>
      </c>
      <c r="O1755" s="6">
        <v>1</v>
      </c>
      <c r="P1755" s="5">
        <v>11</v>
      </c>
      <c r="Q1755" s="4" t="s">
        <v>1393</v>
      </c>
    </row>
    <row r="1756" spans="1:17" x14ac:dyDescent="0.3">
      <c r="A1756" s="2" t="s">
        <v>1389</v>
      </c>
      <c r="B1756" s="3">
        <v>156174</v>
      </c>
      <c r="C1756" s="3">
        <v>894351</v>
      </c>
      <c r="D1756" s="4" t="s">
        <v>81</v>
      </c>
      <c r="E1756" s="4" t="s">
        <v>730</v>
      </c>
      <c r="F1756" s="4" t="s">
        <v>87</v>
      </c>
      <c r="G1756" s="4" t="s">
        <v>34</v>
      </c>
      <c r="H1756" s="5">
        <v>400000</v>
      </c>
      <c r="I1756" s="4" t="s">
        <v>21</v>
      </c>
      <c r="J1756" s="5">
        <f t="shared" si="27"/>
        <v>-1443000</v>
      </c>
      <c r="K1756" s="4" t="s">
        <v>37</v>
      </c>
      <c r="L1756" s="6">
        <v>3.6074999999999999</v>
      </c>
      <c r="M1756" s="6">
        <v>0.2772</v>
      </c>
      <c r="N1756" s="6">
        <v>3.6082999999999998</v>
      </c>
      <c r="O1756" s="6">
        <v>1</v>
      </c>
      <c r="P1756" s="5">
        <v>320</v>
      </c>
      <c r="Q1756" s="4" t="s">
        <v>1396</v>
      </c>
    </row>
    <row r="1757" spans="1:17" x14ac:dyDescent="0.3">
      <c r="A1757" s="2" t="s">
        <v>1389</v>
      </c>
      <c r="B1757" s="3">
        <v>156175</v>
      </c>
      <c r="C1757" s="3">
        <v>216142</v>
      </c>
      <c r="D1757" s="4" t="s">
        <v>17</v>
      </c>
      <c r="E1757" s="4" t="s">
        <v>734</v>
      </c>
      <c r="F1757" s="4" t="s">
        <v>32</v>
      </c>
      <c r="G1757" s="4" t="s">
        <v>20</v>
      </c>
      <c r="H1757" s="5">
        <v>-28251.56</v>
      </c>
      <c r="I1757" s="4" t="s">
        <v>21</v>
      </c>
      <c r="J1757" s="5">
        <f t="shared" si="27"/>
        <v>118958.84369200001</v>
      </c>
      <c r="K1757" s="4" t="s">
        <v>47</v>
      </c>
      <c r="L1757" s="6">
        <v>4.2107000000000001</v>
      </c>
      <c r="M1757" s="6">
        <v>0.23749999999999999</v>
      </c>
      <c r="N1757" s="6">
        <v>4.2126999999999999</v>
      </c>
      <c r="O1757" s="6">
        <v>1</v>
      </c>
      <c r="P1757" s="5">
        <v>-69.726811999999995</v>
      </c>
      <c r="Q1757" s="4" t="s">
        <v>1393</v>
      </c>
    </row>
    <row r="1758" spans="1:17" x14ac:dyDescent="0.3">
      <c r="A1758" s="2" t="s">
        <v>1389</v>
      </c>
      <c r="B1758" s="3">
        <v>156176</v>
      </c>
      <c r="C1758" s="3">
        <v>216143</v>
      </c>
      <c r="D1758" s="4" t="s">
        <v>17</v>
      </c>
      <c r="E1758" s="4" t="s">
        <v>734</v>
      </c>
      <c r="F1758" s="4" t="s">
        <v>32</v>
      </c>
      <c r="G1758" s="4" t="s">
        <v>20</v>
      </c>
      <c r="H1758" s="5">
        <v>-18000</v>
      </c>
      <c r="I1758" s="4" t="s">
        <v>21</v>
      </c>
      <c r="J1758" s="5">
        <f t="shared" si="27"/>
        <v>75789</v>
      </c>
      <c r="K1758" s="4" t="s">
        <v>47</v>
      </c>
      <c r="L1758" s="6">
        <v>4.2104999999999997</v>
      </c>
      <c r="M1758" s="6">
        <v>0.23749999999999999</v>
      </c>
      <c r="N1758" s="6">
        <v>4.2126999999999999</v>
      </c>
      <c r="O1758" s="6">
        <v>1</v>
      </c>
      <c r="P1758" s="5">
        <v>-48.21</v>
      </c>
      <c r="Q1758" s="4" t="s">
        <v>1393</v>
      </c>
    </row>
    <row r="1759" spans="1:17" x14ac:dyDescent="0.3">
      <c r="A1759" s="2" t="s">
        <v>1389</v>
      </c>
      <c r="B1759" s="3">
        <v>156177</v>
      </c>
      <c r="C1759" s="3">
        <v>894360</v>
      </c>
      <c r="D1759" s="4" t="s">
        <v>81</v>
      </c>
      <c r="E1759" s="4" t="s">
        <v>743</v>
      </c>
      <c r="F1759" s="4" t="s">
        <v>83</v>
      </c>
      <c r="G1759" s="4" t="s">
        <v>34</v>
      </c>
      <c r="H1759" s="5">
        <v>-48044.21</v>
      </c>
      <c r="I1759" s="4" t="s">
        <v>21</v>
      </c>
      <c r="J1759" s="5">
        <f t="shared" si="27"/>
        <v>173257.03010199999</v>
      </c>
      <c r="K1759" s="4" t="s">
        <v>37</v>
      </c>
      <c r="L1759" s="6">
        <v>3.6061999999999999</v>
      </c>
      <c r="M1759" s="6">
        <v>0.27729999999999999</v>
      </c>
      <c r="N1759" s="6">
        <v>3.6082999999999998</v>
      </c>
      <c r="O1759" s="6">
        <v>1</v>
      </c>
      <c r="P1759" s="5">
        <v>-99.932942999999995</v>
      </c>
      <c r="Q1759" s="4" t="s">
        <v>1395</v>
      </c>
    </row>
    <row r="1760" spans="1:17" x14ac:dyDescent="0.3">
      <c r="A1760" s="2" t="s">
        <v>1389</v>
      </c>
      <c r="B1760" s="3">
        <v>156178</v>
      </c>
      <c r="C1760" s="3">
        <v>894361</v>
      </c>
      <c r="D1760" s="4" t="s">
        <v>81</v>
      </c>
      <c r="E1760" s="4" t="s">
        <v>734</v>
      </c>
      <c r="F1760" s="4" t="s">
        <v>87</v>
      </c>
      <c r="G1760" s="4" t="s">
        <v>93</v>
      </c>
      <c r="H1760" s="5">
        <v>6218.04</v>
      </c>
      <c r="I1760" s="4" t="s">
        <v>21</v>
      </c>
      <c r="J1760" s="5">
        <f t="shared" si="27"/>
        <v>-28135.387392000001</v>
      </c>
      <c r="K1760" s="4" t="s">
        <v>37</v>
      </c>
      <c r="L1760" s="6">
        <v>4.5247999999999999</v>
      </c>
      <c r="M1760" s="6">
        <v>0.221</v>
      </c>
      <c r="N1760" s="6">
        <v>4.5235000000000003</v>
      </c>
      <c r="O1760" s="6">
        <v>1</v>
      </c>
      <c r="P1760" s="5">
        <v>-8.2060600000000008</v>
      </c>
      <c r="Q1760" s="4" t="s">
        <v>1393</v>
      </c>
    </row>
    <row r="1761" spans="1:17" x14ac:dyDescent="0.3">
      <c r="A1761" s="2" t="s">
        <v>1389</v>
      </c>
      <c r="B1761" s="3">
        <v>156179</v>
      </c>
      <c r="C1761" s="3">
        <v>894362</v>
      </c>
      <c r="D1761" s="4" t="s">
        <v>81</v>
      </c>
      <c r="E1761" s="4" t="s">
        <v>743</v>
      </c>
      <c r="F1761" s="4" t="s">
        <v>83</v>
      </c>
      <c r="G1761" s="4" t="s">
        <v>20</v>
      </c>
      <c r="H1761" s="5">
        <v>-45316.57</v>
      </c>
      <c r="I1761" s="4" t="s">
        <v>21</v>
      </c>
      <c r="J1761" s="5">
        <f t="shared" si="27"/>
        <v>190819.01295599999</v>
      </c>
      <c r="K1761" s="4" t="s">
        <v>37</v>
      </c>
      <c r="L1761" s="6">
        <v>4.2107999999999999</v>
      </c>
      <c r="M1761" s="6">
        <v>0.23749999999999999</v>
      </c>
      <c r="N1761" s="6">
        <v>4.2115999999999998</v>
      </c>
      <c r="O1761" s="6">
        <v>1</v>
      </c>
      <c r="P1761" s="5">
        <v>-36.706212000000001</v>
      </c>
      <c r="Q1761" s="4" t="s">
        <v>1395</v>
      </c>
    </row>
    <row r="1762" spans="1:17" x14ac:dyDescent="0.3">
      <c r="A1762" s="2" t="s">
        <v>1389</v>
      </c>
      <c r="B1762" s="3">
        <v>156180</v>
      </c>
      <c r="C1762" s="3">
        <v>216145</v>
      </c>
      <c r="D1762" s="4" t="s">
        <v>17</v>
      </c>
      <c r="E1762" s="4" t="s">
        <v>734</v>
      </c>
      <c r="F1762" s="4" t="s">
        <v>32</v>
      </c>
      <c r="G1762" s="4" t="s">
        <v>20</v>
      </c>
      <c r="H1762" s="5">
        <v>-16901.78</v>
      </c>
      <c r="I1762" s="4" t="s">
        <v>21</v>
      </c>
      <c r="J1762" s="5">
        <f t="shared" si="27"/>
        <v>71161.564333999995</v>
      </c>
      <c r="K1762" s="4" t="s">
        <v>47</v>
      </c>
      <c r="L1762" s="6">
        <v>4.2103000000000002</v>
      </c>
      <c r="M1762" s="6">
        <v>0.23749999999999999</v>
      </c>
      <c r="N1762" s="6">
        <v>4.2126999999999999</v>
      </c>
      <c r="O1762" s="6">
        <v>1</v>
      </c>
      <c r="P1762" s="5">
        <v>-48.978605999999999</v>
      </c>
      <c r="Q1762" s="4" t="s">
        <v>1393</v>
      </c>
    </row>
    <row r="1763" spans="1:17" x14ac:dyDescent="0.3">
      <c r="A1763" s="2" t="s">
        <v>1389</v>
      </c>
      <c r="B1763" s="3">
        <v>156181</v>
      </c>
      <c r="C1763" s="3">
        <v>216148</v>
      </c>
      <c r="D1763" s="4" t="s">
        <v>17</v>
      </c>
      <c r="E1763" s="4" t="s">
        <v>734</v>
      </c>
      <c r="F1763" s="4" t="s">
        <v>32</v>
      </c>
      <c r="G1763" s="4" t="s">
        <v>20</v>
      </c>
      <c r="H1763" s="5">
        <v>-100000</v>
      </c>
      <c r="I1763" s="4" t="s">
        <v>21</v>
      </c>
      <c r="J1763" s="5">
        <f t="shared" si="27"/>
        <v>421030</v>
      </c>
      <c r="K1763" s="4" t="s">
        <v>47</v>
      </c>
      <c r="L1763" s="6">
        <v>4.2103000000000002</v>
      </c>
      <c r="M1763" s="6">
        <v>0.23749999999999999</v>
      </c>
      <c r="N1763" s="6">
        <v>4.2126999999999999</v>
      </c>
      <c r="O1763" s="6">
        <v>1</v>
      </c>
      <c r="P1763" s="5">
        <v>-286.8</v>
      </c>
      <c r="Q1763" s="4" t="s">
        <v>1393</v>
      </c>
    </row>
    <row r="1764" spans="1:17" x14ac:dyDescent="0.3">
      <c r="A1764" s="2" t="s">
        <v>1389</v>
      </c>
      <c r="B1764" s="3">
        <v>156182</v>
      </c>
      <c r="C1764" s="3">
        <v>894371</v>
      </c>
      <c r="D1764" s="4" t="s">
        <v>81</v>
      </c>
      <c r="E1764" s="4" t="s">
        <v>725</v>
      </c>
      <c r="F1764" s="4" t="s">
        <v>83</v>
      </c>
      <c r="G1764" s="4" t="s">
        <v>34</v>
      </c>
      <c r="H1764" s="5">
        <v>-1000000</v>
      </c>
      <c r="I1764" s="4" t="s">
        <v>21</v>
      </c>
      <c r="J1764" s="5">
        <f t="shared" si="27"/>
        <v>3605400</v>
      </c>
      <c r="K1764" s="4" t="s">
        <v>37</v>
      </c>
      <c r="L1764" s="6">
        <v>3.6053999999999999</v>
      </c>
      <c r="M1764" s="6">
        <v>0.27739999999999998</v>
      </c>
      <c r="N1764" s="6">
        <v>3.6082999999999998</v>
      </c>
      <c r="O1764" s="6">
        <v>1</v>
      </c>
      <c r="P1764" s="5">
        <v>-2890</v>
      </c>
      <c r="Q1764" s="4" t="s">
        <v>1392</v>
      </c>
    </row>
    <row r="1765" spans="1:17" x14ac:dyDescent="0.3">
      <c r="A1765" s="2" t="s">
        <v>1389</v>
      </c>
      <c r="B1765" s="3">
        <v>156183</v>
      </c>
      <c r="C1765" s="3">
        <v>216150</v>
      </c>
      <c r="D1765" s="4" t="s">
        <v>17</v>
      </c>
      <c r="E1765" s="4" t="s">
        <v>735</v>
      </c>
      <c r="F1765" s="4" t="s">
        <v>32</v>
      </c>
      <c r="G1765" s="4" t="s">
        <v>20</v>
      </c>
      <c r="H1765" s="5">
        <v>-71249.539999999994</v>
      </c>
      <c r="I1765" s="4" t="s">
        <v>34</v>
      </c>
      <c r="J1765" s="5">
        <f t="shared" si="27"/>
        <v>83219.462719999981</v>
      </c>
      <c r="K1765" s="4" t="s">
        <v>47</v>
      </c>
      <c r="L1765" s="6">
        <v>1.1679999999999999</v>
      </c>
      <c r="M1765" s="6">
        <v>0.85609999999999997</v>
      </c>
      <c r="N1765" s="6">
        <v>4.2126999999999999</v>
      </c>
      <c r="O1765" s="6">
        <v>3.6183999999999998</v>
      </c>
      <c r="P1765" s="5">
        <v>976.10028199999999</v>
      </c>
      <c r="Q1765" s="4" t="s">
        <v>1394</v>
      </c>
    </row>
    <row r="1766" spans="1:17" x14ac:dyDescent="0.3">
      <c r="A1766" s="2" t="s">
        <v>1389</v>
      </c>
      <c r="B1766" s="3">
        <v>156184</v>
      </c>
      <c r="C1766" s="3">
        <v>216152</v>
      </c>
      <c r="D1766" s="4" t="s">
        <v>17</v>
      </c>
      <c r="E1766" s="4" t="s">
        <v>739</v>
      </c>
      <c r="F1766" s="4" t="s">
        <v>19</v>
      </c>
      <c r="G1766" s="4" t="s">
        <v>91</v>
      </c>
      <c r="H1766" s="5">
        <v>4000</v>
      </c>
      <c r="I1766" s="4" t="s">
        <v>21</v>
      </c>
      <c r="J1766" s="5">
        <f t="shared" si="27"/>
        <v>-19393.599999999999</v>
      </c>
      <c r="K1766" s="4" t="s">
        <v>47</v>
      </c>
      <c r="L1766" s="6">
        <v>4.8483999999999998</v>
      </c>
      <c r="M1766" s="6">
        <v>0.20630000000000001</v>
      </c>
      <c r="N1766" s="6">
        <v>4.8525</v>
      </c>
      <c r="O1766" s="6">
        <v>1</v>
      </c>
      <c r="P1766" s="5">
        <v>16.400000000001455</v>
      </c>
      <c r="Q1766" s="4" t="s">
        <v>1391</v>
      </c>
    </row>
    <row r="1767" spans="1:17" x14ac:dyDescent="0.3">
      <c r="A1767" s="2" t="s">
        <v>1389</v>
      </c>
      <c r="B1767" s="3">
        <v>156185</v>
      </c>
      <c r="C1767" s="3">
        <v>216154</v>
      </c>
      <c r="D1767" s="4" t="s">
        <v>17</v>
      </c>
      <c r="E1767" s="4" t="s">
        <v>727</v>
      </c>
      <c r="F1767" s="4" t="s">
        <v>19</v>
      </c>
      <c r="G1767" s="4" t="s">
        <v>20</v>
      </c>
      <c r="H1767" s="5">
        <v>93693.6</v>
      </c>
      <c r="I1767" s="4" t="s">
        <v>21</v>
      </c>
      <c r="J1767" s="5">
        <f t="shared" si="27"/>
        <v>-394656.18192000006</v>
      </c>
      <c r="K1767" s="4" t="s">
        <v>47</v>
      </c>
      <c r="L1767" s="6">
        <v>4.2122000000000002</v>
      </c>
      <c r="M1767" s="6">
        <v>0.2374</v>
      </c>
      <c r="N1767" s="6">
        <v>4.2126999999999999</v>
      </c>
      <c r="O1767" s="6">
        <v>1</v>
      </c>
      <c r="P1767" s="5">
        <v>46.84679999994114</v>
      </c>
      <c r="Q1767" s="4" t="s">
        <v>1397</v>
      </c>
    </row>
    <row r="1768" spans="1:17" x14ac:dyDescent="0.3">
      <c r="A1768" s="2" t="s">
        <v>1389</v>
      </c>
      <c r="B1768" s="3">
        <v>156186</v>
      </c>
      <c r="C1768" s="3">
        <v>216156</v>
      </c>
      <c r="D1768" s="4" t="s">
        <v>17</v>
      </c>
      <c r="E1768" s="4" t="s">
        <v>739</v>
      </c>
      <c r="F1768" s="4" t="s">
        <v>19</v>
      </c>
      <c r="G1768" s="4" t="s">
        <v>20</v>
      </c>
      <c r="H1768" s="5">
        <v>10000</v>
      </c>
      <c r="I1768" s="4" t="s">
        <v>21</v>
      </c>
      <c r="J1768" s="5">
        <f t="shared" si="27"/>
        <v>-42123</v>
      </c>
      <c r="K1768" s="4" t="s">
        <v>47</v>
      </c>
      <c r="L1768" s="6">
        <v>4.2122999999999999</v>
      </c>
      <c r="M1768" s="6">
        <v>0.2374</v>
      </c>
      <c r="N1768" s="6">
        <v>4.2126999999999999</v>
      </c>
      <c r="O1768" s="6">
        <v>1</v>
      </c>
      <c r="P1768" s="5">
        <v>4</v>
      </c>
      <c r="Q1768" s="4" t="s">
        <v>1391</v>
      </c>
    </row>
    <row r="1769" spans="1:17" x14ac:dyDescent="0.3">
      <c r="A1769" s="2" t="s">
        <v>1389</v>
      </c>
      <c r="B1769" s="3">
        <v>156187</v>
      </c>
      <c r="C1769" s="3">
        <v>894399</v>
      </c>
      <c r="D1769" s="4" t="s">
        <v>81</v>
      </c>
      <c r="E1769" s="4" t="s">
        <v>734</v>
      </c>
      <c r="F1769" s="4" t="s">
        <v>87</v>
      </c>
      <c r="G1769" s="4" t="s">
        <v>20</v>
      </c>
      <c r="H1769" s="5">
        <v>100000</v>
      </c>
      <c r="I1769" s="4" t="s">
        <v>93</v>
      </c>
      <c r="J1769" s="5">
        <f t="shared" si="27"/>
        <v>-93050</v>
      </c>
      <c r="K1769" s="4" t="s">
        <v>37</v>
      </c>
      <c r="L1769" s="6">
        <v>0.93049999999999999</v>
      </c>
      <c r="M1769" s="6">
        <v>1.0746</v>
      </c>
      <c r="N1769" s="6">
        <v>4.2115999999999998</v>
      </c>
      <c r="O1769" s="6">
        <v>4.5235000000000003</v>
      </c>
      <c r="P1769" s="5">
        <v>230.23099999999999</v>
      </c>
      <c r="Q1769" s="4" t="s">
        <v>1393</v>
      </c>
    </row>
    <row r="1770" spans="1:17" x14ac:dyDescent="0.3">
      <c r="A1770" s="2" t="s">
        <v>1389</v>
      </c>
      <c r="B1770" s="3">
        <v>156188</v>
      </c>
      <c r="C1770" s="3">
        <v>216160</v>
      </c>
      <c r="D1770" s="4" t="s">
        <v>17</v>
      </c>
      <c r="E1770" s="4" t="s">
        <v>792</v>
      </c>
      <c r="F1770" s="4" t="s">
        <v>32</v>
      </c>
      <c r="G1770" s="4" t="s">
        <v>20</v>
      </c>
      <c r="H1770" s="5">
        <v>-10000</v>
      </c>
      <c r="I1770" s="4" t="s">
        <v>21</v>
      </c>
      <c r="J1770" s="5">
        <f t="shared" si="27"/>
        <v>42210</v>
      </c>
      <c r="K1770" s="4" t="s">
        <v>47</v>
      </c>
      <c r="L1770" s="6">
        <v>4.2210000000000001</v>
      </c>
      <c r="M1770" s="6">
        <v>0.2369</v>
      </c>
      <c r="N1770" s="6">
        <v>4.2126999999999999</v>
      </c>
      <c r="O1770" s="6">
        <v>1</v>
      </c>
      <c r="P1770" s="5">
        <v>83</v>
      </c>
      <c r="Q1770" s="4" t="s">
        <v>1390</v>
      </c>
    </row>
    <row r="1771" spans="1:17" x14ac:dyDescent="0.3">
      <c r="A1771" s="2" t="s">
        <v>1389</v>
      </c>
      <c r="B1771" s="3">
        <v>156189</v>
      </c>
      <c r="C1771" s="3">
        <v>894421</v>
      </c>
      <c r="D1771" s="4" t="s">
        <v>81</v>
      </c>
      <c r="E1771" s="4" t="s">
        <v>734</v>
      </c>
      <c r="F1771" s="4" t="s">
        <v>83</v>
      </c>
      <c r="G1771" s="4" t="s">
        <v>20</v>
      </c>
      <c r="H1771" s="5">
        <v>-500000</v>
      </c>
      <c r="I1771" s="4" t="s">
        <v>34</v>
      </c>
      <c r="J1771" s="5">
        <f t="shared" si="27"/>
        <v>583850</v>
      </c>
      <c r="K1771" s="4" t="s">
        <v>37</v>
      </c>
      <c r="L1771" s="6">
        <v>1.1677</v>
      </c>
      <c r="M1771" s="6">
        <v>0.85640000000000005</v>
      </c>
      <c r="N1771" s="6">
        <v>4.2115999999999998</v>
      </c>
      <c r="O1771" s="6">
        <v>3.6082999999999998</v>
      </c>
      <c r="P1771" s="5">
        <v>905.95500000000004</v>
      </c>
      <c r="Q1771" s="4" t="s">
        <v>1393</v>
      </c>
    </row>
    <row r="1772" spans="1:17" x14ac:dyDescent="0.3">
      <c r="A1772" s="2" t="s">
        <v>1389</v>
      </c>
      <c r="B1772" s="3">
        <v>156190</v>
      </c>
      <c r="C1772" s="3">
        <v>894425</v>
      </c>
      <c r="D1772" s="4" t="s">
        <v>81</v>
      </c>
      <c r="E1772" s="4" t="s">
        <v>730</v>
      </c>
      <c r="F1772" s="4" t="s">
        <v>83</v>
      </c>
      <c r="G1772" s="4" t="s">
        <v>20</v>
      </c>
      <c r="H1772" s="5">
        <v>-200000</v>
      </c>
      <c r="I1772" s="4" t="s">
        <v>34</v>
      </c>
      <c r="J1772" s="5">
        <f t="shared" si="27"/>
        <v>233540</v>
      </c>
      <c r="K1772" s="4" t="s">
        <v>37</v>
      </c>
      <c r="L1772" s="6">
        <v>1.1677</v>
      </c>
      <c r="M1772" s="6">
        <v>0.85640000000000005</v>
      </c>
      <c r="N1772" s="6">
        <v>4.2115999999999998</v>
      </c>
      <c r="O1772" s="6">
        <v>3.6082999999999998</v>
      </c>
      <c r="P1772" s="5">
        <v>376.8152</v>
      </c>
      <c r="Q1772" s="4" t="s">
        <v>1396</v>
      </c>
    </row>
    <row r="1773" spans="1:17" x14ac:dyDescent="0.3">
      <c r="A1773" s="2" t="s">
        <v>1389</v>
      </c>
      <c r="B1773" s="3">
        <v>156191</v>
      </c>
      <c r="C1773" s="3">
        <v>894439</v>
      </c>
      <c r="D1773" s="4" t="s">
        <v>81</v>
      </c>
      <c r="E1773" s="4" t="s">
        <v>734</v>
      </c>
      <c r="F1773" s="4" t="s">
        <v>83</v>
      </c>
      <c r="G1773" s="4" t="s">
        <v>20</v>
      </c>
      <c r="H1773" s="5">
        <v>-100000</v>
      </c>
      <c r="I1773" s="4" t="s">
        <v>453</v>
      </c>
      <c r="J1773" s="5">
        <f t="shared" si="27"/>
        <v>162050</v>
      </c>
      <c r="K1773" s="4" t="s">
        <v>37</v>
      </c>
      <c r="L1773" s="6">
        <v>1.6205000000000001</v>
      </c>
      <c r="M1773" s="6">
        <v>0.61709999999999998</v>
      </c>
      <c r="N1773" s="6">
        <v>4.2115999999999998</v>
      </c>
      <c r="O1773" s="6">
        <v>2.6006</v>
      </c>
      <c r="P1773" s="5">
        <v>269.8306</v>
      </c>
      <c r="Q1773" s="4" t="s">
        <v>1393</v>
      </c>
    </row>
    <row r="1774" spans="1:17" x14ac:dyDescent="0.3">
      <c r="A1774" s="2" t="s">
        <v>1389</v>
      </c>
      <c r="B1774" s="3">
        <v>156192</v>
      </c>
      <c r="C1774" s="3">
        <v>894440</v>
      </c>
      <c r="D1774" s="4" t="s">
        <v>81</v>
      </c>
      <c r="E1774" s="4" t="s">
        <v>735</v>
      </c>
      <c r="F1774" s="4" t="s">
        <v>83</v>
      </c>
      <c r="G1774" s="4" t="s">
        <v>20</v>
      </c>
      <c r="H1774" s="5">
        <v>-500000</v>
      </c>
      <c r="I1774" s="4" t="s">
        <v>21</v>
      </c>
      <c r="J1774" s="5">
        <f t="shared" si="27"/>
        <v>2105200</v>
      </c>
      <c r="K1774" s="4" t="s">
        <v>37</v>
      </c>
      <c r="L1774" s="6">
        <v>4.2103999999999999</v>
      </c>
      <c r="M1774" s="6">
        <v>0.23749999999999999</v>
      </c>
      <c r="N1774" s="6">
        <v>4.2115999999999998</v>
      </c>
      <c r="O1774" s="6">
        <v>1</v>
      </c>
      <c r="P1774" s="5">
        <v>-600</v>
      </c>
      <c r="Q1774" s="4" t="s">
        <v>1394</v>
      </c>
    </row>
    <row r="1775" spans="1:17" x14ac:dyDescent="0.3">
      <c r="A1775" s="2" t="s">
        <v>1389</v>
      </c>
      <c r="B1775" s="3">
        <v>156193</v>
      </c>
      <c r="C1775" s="3">
        <v>216178</v>
      </c>
      <c r="D1775" s="4" t="s">
        <v>17</v>
      </c>
      <c r="E1775" s="4" t="s">
        <v>802</v>
      </c>
      <c r="F1775" s="4" t="s">
        <v>32</v>
      </c>
      <c r="G1775" s="4" t="s">
        <v>20</v>
      </c>
      <c r="H1775" s="5">
        <v>-8200</v>
      </c>
      <c r="I1775" s="4" t="s">
        <v>21</v>
      </c>
      <c r="J1775" s="5">
        <f t="shared" si="27"/>
        <v>34710.6</v>
      </c>
      <c r="K1775" s="4" t="s">
        <v>47</v>
      </c>
      <c r="L1775" s="6">
        <v>4.2329999999999997</v>
      </c>
      <c r="M1775" s="6">
        <v>0.23619999999999999</v>
      </c>
      <c r="N1775" s="6">
        <v>4.2126999999999999</v>
      </c>
      <c r="O1775" s="6">
        <v>1</v>
      </c>
      <c r="P1775" s="5">
        <v>166.46</v>
      </c>
      <c r="Q1775" s="4" t="s">
        <v>1390</v>
      </c>
    </row>
    <row r="1776" spans="1:17" x14ac:dyDescent="0.3">
      <c r="A1776" s="2" t="s">
        <v>1389</v>
      </c>
      <c r="B1776" s="3">
        <v>156194</v>
      </c>
      <c r="C1776" s="3">
        <v>894482</v>
      </c>
      <c r="D1776" s="4" t="s">
        <v>81</v>
      </c>
      <c r="E1776" s="4" t="s">
        <v>804</v>
      </c>
      <c r="F1776" s="4" t="s">
        <v>87</v>
      </c>
      <c r="G1776" s="4" t="s">
        <v>34</v>
      </c>
      <c r="H1776" s="5">
        <v>40000</v>
      </c>
      <c r="I1776" s="4" t="s">
        <v>21</v>
      </c>
      <c r="J1776" s="5">
        <f t="shared" si="27"/>
        <v>-143644</v>
      </c>
      <c r="K1776" s="4" t="s">
        <v>37</v>
      </c>
      <c r="L1776" s="6">
        <v>3.5911</v>
      </c>
      <c r="M1776" s="6">
        <v>0.27850000000000003</v>
      </c>
      <c r="N1776" s="6">
        <v>3.6082999999999998</v>
      </c>
      <c r="O1776" s="6">
        <v>1</v>
      </c>
      <c r="P1776" s="5">
        <v>688</v>
      </c>
      <c r="Q1776" s="4" t="s">
        <v>1390</v>
      </c>
    </row>
    <row r="1777" spans="1:17" x14ac:dyDescent="0.3">
      <c r="A1777" s="2" t="s">
        <v>1389</v>
      </c>
      <c r="B1777" s="3">
        <v>156195</v>
      </c>
      <c r="C1777" s="3">
        <v>894492</v>
      </c>
      <c r="D1777" s="4" t="s">
        <v>81</v>
      </c>
      <c r="E1777" s="4" t="s">
        <v>732</v>
      </c>
      <c r="F1777" s="4" t="s">
        <v>87</v>
      </c>
      <c r="G1777" s="4" t="s">
        <v>20</v>
      </c>
      <c r="H1777" s="5">
        <v>500000</v>
      </c>
      <c r="I1777" s="4" t="s">
        <v>21</v>
      </c>
      <c r="J1777" s="5">
        <f t="shared" si="27"/>
        <v>-2104400</v>
      </c>
      <c r="K1777" s="4" t="s">
        <v>37</v>
      </c>
      <c r="L1777" s="6">
        <v>4.2088000000000001</v>
      </c>
      <c r="M1777" s="6">
        <v>0.23760000000000001</v>
      </c>
      <c r="N1777" s="6">
        <v>4.2115999999999998</v>
      </c>
      <c r="O1777" s="6">
        <v>1</v>
      </c>
      <c r="P1777" s="5">
        <v>1425</v>
      </c>
      <c r="Q1777" s="4" t="s">
        <v>1394</v>
      </c>
    </row>
    <row r="1778" spans="1:17" x14ac:dyDescent="0.3">
      <c r="A1778" s="2" t="s">
        <v>1389</v>
      </c>
      <c r="B1778" s="3">
        <v>156196</v>
      </c>
      <c r="C1778" s="3">
        <v>216182</v>
      </c>
      <c r="D1778" s="4" t="s">
        <v>17</v>
      </c>
      <c r="E1778" s="4" t="s">
        <v>840</v>
      </c>
      <c r="F1778" s="4" t="s">
        <v>19</v>
      </c>
      <c r="G1778" s="4" t="s">
        <v>20</v>
      </c>
      <c r="H1778" s="5">
        <v>190000</v>
      </c>
      <c r="I1778" s="4" t="s">
        <v>21</v>
      </c>
      <c r="J1778" s="5">
        <f t="shared" si="27"/>
        <v>-797715</v>
      </c>
      <c r="K1778" s="4" t="s">
        <v>47</v>
      </c>
      <c r="L1778" s="6">
        <v>4.1985000000000001</v>
      </c>
      <c r="M1778" s="6">
        <v>0.2382</v>
      </c>
      <c r="N1778" s="6">
        <v>4.2126999999999999</v>
      </c>
      <c r="O1778" s="6">
        <v>1</v>
      </c>
      <c r="P1778" s="5">
        <v>2698</v>
      </c>
      <c r="Q1778" s="4" t="s">
        <v>1390</v>
      </c>
    </row>
    <row r="1779" spans="1:17" x14ac:dyDescent="0.3">
      <c r="A1779" s="2" t="s">
        <v>1389</v>
      </c>
      <c r="B1779" s="3">
        <v>156197</v>
      </c>
      <c r="C1779" s="3">
        <v>894524</v>
      </c>
      <c r="D1779" s="4" t="s">
        <v>81</v>
      </c>
      <c r="E1779" s="4" t="s">
        <v>734</v>
      </c>
      <c r="F1779" s="4" t="s">
        <v>87</v>
      </c>
      <c r="G1779" s="4" t="s">
        <v>20</v>
      </c>
      <c r="H1779" s="5">
        <v>100000</v>
      </c>
      <c r="I1779" s="4" t="s">
        <v>93</v>
      </c>
      <c r="J1779" s="5">
        <f t="shared" si="27"/>
        <v>-93070</v>
      </c>
      <c r="K1779" s="4" t="s">
        <v>37</v>
      </c>
      <c r="L1779" s="6">
        <v>0.93069999999999997</v>
      </c>
      <c r="M1779" s="6">
        <v>1.0745</v>
      </c>
      <c r="N1779" s="6">
        <v>4.2115999999999998</v>
      </c>
      <c r="O1779" s="6">
        <v>4.5235000000000003</v>
      </c>
      <c r="P1779" s="5">
        <v>175.94900000000001</v>
      </c>
      <c r="Q1779" s="4" t="s">
        <v>1393</v>
      </c>
    </row>
    <row r="1780" spans="1:17" x14ac:dyDescent="0.3">
      <c r="A1780" s="2" t="s">
        <v>1389</v>
      </c>
      <c r="B1780" s="3">
        <v>156198</v>
      </c>
      <c r="C1780" s="3">
        <v>216191</v>
      </c>
      <c r="D1780" s="4" t="s">
        <v>17</v>
      </c>
      <c r="E1780" s="4" t="s">
        <v>1383</v>
      </c>
      <c r="F1780" s="4" t="s">
        <v>19</v>
      </c>
      <c r="G1780" s="4" t="s">
        <v>34</v>
      </c>
      <c r="H1780" s="5">
        <v>80119.67</v>
      </c>
      <c r="I1780" s="4" t="s">
        <v>21</v>
      </c>
      <c r="J1780" s="5">
        <f t="shared" si="27"/>
        <v>-287629.6153</v>
      </c>
      <c r="K1780" s="4" t="s">
        <v>47</v>
      </c>
      <c r="L1780" s="6">
        <v>3.59</v>
      </c>
      <c r="M1780" s="6">
        <v>0.27860000000000001</v>
      </c>
      <c r="N1780" s="6">
        <v>3.6183999999999998</v>
      </c>
      <c r="O1780" s="6">
        <v>1</v>
      </c>
      <c r="P1780" s="5">
        <v>2275.3986279999954</v>
      </c>
      <c r="Q1780" s="4" t="s">
        <v>1390</v>
      </c>
    </row>
    <row r="1781" spans="1:17" x14ac:dyDescent="0.3">
      <c r="A1781" s="2" t="s">
        <v>1389</v>
      </c>
      <c r="B1781" s="3">
        <v>156199</v>
      </c>
      <c r="C1781" s="3">
        <v>894556</v>
      </c>
      <c r="D1781" s="4" t="s">
        <v>81</v>
      </c>
      <c r="E1781" s="4" t="s">
        <v>735</v>
      </c>
      <c r="F1781" s="4" t="s">
        <v>83</v>
      </c>
      <c r="G1781" s="4" t="s">
        <v>20</v>
      </c>
      <c r="H1781" s="5">
        <v>-500000</v>
      </c>
      <c r="I1781" s="4" t="s">
        <v>21</v>
      </c>
      <c r="J1781" s="5">
        <f t="shared" si="27"/>
        <v>2104150</v>
      </c>
      <c r="K1781" s="4" t="s">
        <v>37</v>
      </c>
      <c r="L1781" s="6">
        <v>4.2083000000000004</v>
      </c>
      <c r="M1781" s="6">
        <v>0.23760000000000001</v>
      </c>
      <c r="N1781" s="6">
        <v>4.2115999999999998</v>
      </c>
      <c r="O1781" s="6">
        <v>1</v>
      </c>
      <c r="P1781" s="5">
        <v>-1650</v>
      </c>
      <c r="Q1781" s="4" t="s">
        <v>1394</v>
      </c>
    </row>
    <row r="1782" spans="1:17" x14ac:dyDescent="0.3">
      <c r="A1782" s="2" t="s">
        <v>1389</v>
      </c>
      <c r="B1782" s="3">
        <v>156200</v>
      </c>
      <c r="C1782" s="3">
        <v>216200</v>
      </c>
      <c r="D1782" s="4" t="s">
        <v>17</v>
      </c>
      <c r="E1782" s="4" t="s">
        <v>1019</v>
      </c>
      <c r="F1782" s="4" t="s">
        <v>32</v>
      </c>
      <c r="G1782" s="4" t="s">
        <v>34</v>
      </c>
      <c r="H1782" s="5">
        <v>-400000</v>
      </c>
      <c r="I1782" s="4" t="s">
        <v>21</v>
      </c>
      <c r="J1782" s="5">
        <f t="shared" si="27"/>
        <v>1443600</v>
      </c>
      <c r="K1782" s="4" t="s">
        <v>49</v>
      </c>
      <c r="L1782" s="6">
        <v>3.609</v>
      </c>
      <c r="M1782" s="6">
        <v>0.27710000000000001</v>
      </c>
      <c r="N1782" s="6">
        <v>3.6345999999999998</v>
      </c>
      <c r="O1782" s="6">
        <v>1</v>
      </c>
      <c r="P1782" s="5">
        <v>-10160</v>
      </c>
      <c r="Q1782" s="4" t="s">
        <v>1390</v>
      </c>
    </row>
    <row r="1783" spans="1:17" x14ac:dyDescent="0.3">
      <c r="A1783" s="2" t="s">
        <v>1389</v>
      </c>
      <c r="B1783" s="3">
        <v>156202</v>
      </c>
      <c r="C1783" s="3">
        <v>216202</v>
      </c>
      <c r="D1783" s="4" t="s">
        <v>17</v>
      </c>
      <c r="E1783" s="4" t="s">
        <v>819</v>
      </c>
      <c r="F1783" s="4" t="s">
        <v>32</v>
      </c>
      <c r="G1783" s="4" t="s">
        <v>20</v>
      </c>
      <c r="H1783" s="5">
        <v>-65000</v>
      </c>
      <c r="I1783" s="4" t="s">
        <v>21</v>
      </c>
      <c r="J1783" s="5">
        <f t="shared" si="27"/>
        <v>273845</v>
      </c>
      <c r="K1783" s="4" t="s">
        <v>47</v>
      </c>
      <c r="L1783" s="6">
        <v>4.2130000000000001</v>
      </c>
      <c r="M1783" s="6">
        <v>0.2374</v>
      </c>
      <c r="N1783" s="6">
        <v>4.2126999999999999</v>
      </c>
      <c r="O1783" s="6">
        <v>1</v>
      </c>
      <c r="P1783" s="5">
        <v>19.5</v>
      </c>
      <c r="Q1783" s="4" t="s">
        <v>1390</v>
      </c>
    </row>
    <row r="1784" spans="1:17" x14ac:dyDescent="0.3">
      <c r="A1784" s="2" t="s">
        <v>1389</v>
      </c>
      <c r="B1784" s="3">
        <v>156203</v>
      </c>
      <c r="C1784" s="3">
        <v>894592</v>
      </c>
      <c r="D1784" s="4" t="s">
        <v>81</v>
      </c>
      <c r="E1784" s="4" t="s">
        <v>735</v>
      </c>
      <c r="F1784" s="4" t="s">
        <v>83</v>
      </c>
      <c r="G1784" s="4" t="s">
        <v>20</v>
      </c>
      <c r="H1784" s="5">
        <v>-500000</v>
      </c>
      <c r="I1784" s="4" t="s">
        <v>21</v>
      </c>
      <c r="J1784" s="5">
        <f t="shared" si="27"/>
        <v>2104000</v>
      </c>
      <c r="K1784" s="4" t="s">
        <v>37</v>
      </c>
      <c r="L1784" s="6">
        <v>4.2080000000000002</v>
      </c>
      <c r="M1784" s="6">
        <v>0.23760000000000001</v>
      </c>
      <c r="N1784" s="6">
        <v>4.2115999999999998</v>
      </c>
      <c r="O1784" s="6">
        <v>1</v>
      </c>
      <c r="P1784" s="5">
        <v>-1800</v>
      </c>
      <c r="Q1784" s="4" t="s">
        <v>1394</v>
      </c>
    </row>
    <row r="1785" spans="1:17" x14ac:dyDescent="0.3">
      <c r="A1785" s="2" t="s">
        <v>1389</v>
      </c>
      <c r="B1785" s="3">
        <v>156204</v>
      </c>
      <c r="C1785" s="3">
        <v>216211</v>
      </c>
      <c r="D1785" s="4" t="s">
        <v>17</v>
      </c>
      <c r="E1785" s="4" t="s">
        <v>1262</v>
      </c>
      <c r="F1785" s="4" t="s">
        <v>19</v>
      </c>
      <c r="G1785" s="4" t="s">
        <v>20</v>
      </c>
      <c r="H1785" s="5">
        <v>2400</v>
      </c>
      <c r="I1785" s="4" t="s">
        <v>21</v>
      </c>
      <c r="J1785" s="5">
        <f t="shared" si="27"/>
        <v>-10086.240000000002</v>
      </c>
      <c r="K1785" s="4" t="s">
        <v>48</v>
      </c>
      <c r="L1785" s="6">
        <v>4.2026000000000003</v>
      </c>
      <c r="M1785" s="6">
        <v>0.2379</v>
      </c>
      <c r="N1785" s="6">
        <v>4.2096999999999998</v>
      </c>
      <c r="O1785" s="6">
        <v>1</v>
      </c>
      <c r="P1785" s="5">
        <v>17.039999999997235</v>
      </c>
      <c r="Q1785" s="4" t="s">
        <v>1390</v>
      </c>
    </row>
    <row r="1786" spans="1:17" x14ac:dyDescent="0.3">
      <c r="A1786" s="2" t="s">
        <v>1389</v>
      </c>
      <c r="B1786" s="3">
        <v>156205</v>
      </c>
      <c r="C1786" s="3">
        <v>216212</v>
      </c>
      <c r="D1786" s="4" t="s">
        <v>17</v>
      </c>
      <c r="E1786" s="4" t="s">
        <v>1206</v>
      </c>
      <c r="F1786" s="4" t="s">
        <v>19</v>
      </c>
      <c r="G1786" s="4" t="s">
        <v>34</v>
      </c>
      <c r="H1786" s="5">
        <v>300000</v>
      </c>
      <c r="I1786" s="4" t="s">
        <v>21</v>
      </c>
      <c r="J1786" s="5">
        <f t="shared" si="27"/>
        <v>-1079910</v>
      </c>
      <c r="K1786" s="4" t="s">
        <v>47</v>
      </c>
      <c r="L1786" s="6">
        <v>3.5996999999999999</v>
      </c>
      <c r="M1786" s="6">
        <v>0.27779999999999999</v>
      </c>
      <c r="N1786" s="6">
        <v>3.6183999999999998</v>
      </c>
      <c r="O1786" s="6">
        <v>1</v>
      </c>
      <c r="P1786" s="5">
        <v>5610</v>
      </c>
      <c r="Q1786" s="4" t="s">
        <v>1390</v>
      </c>
    </row>
    <row r="1787" spans="1:17" x14ac:dyDescent="0.3">
      <c r="A1787" s="2" t="s">
        <v>1389</v>
      </c>
      <c r="B1787" s="3">
        <v>156206</v>
      </c>
      <c r="C1787" s="3">
        <v>216213</v>
      </c>
      <c r="D1787" s="4" t="s">
        <v>17</v>
      </c>
      <c r="E1787" s="4" t="s">
        <v>1180</v>
      </c>
      <c r="F1787" s="4" t="s">
        <v>19</v>
      </c>
      <c r="G1787" s="4" t="s">
        <v>20</v>
      </c>
      <c r="H1787" s="5">
        <v>17055.830000000002</v>
      </c>
      <c r="I1787" s="4" t="s">
        <v>21</v>
      </c>
      <c r="J1787" s="5">
        <f t="shared" si="27"/>
        <v>-71651.541830000002</v>
      </c>
      <c r="K1787" s="4" t="s">
        <v>47</v>
      </c>
      <c r="L1787" s="6">
        <v>4.2009999999999996</v>
      </c>
      <c r="M1787" s="6">
        <v>0.23799999999999999</v>
      </c>
      <c r="N1787" s="6">
        <v>4.2126999999999999</v>
      </c>
      <c r="O1787" s="6">
        <v>1</v>
      </c>
      <c r="P1787" s="5">
        <v>199.55321100000583</v>
      </c>
      <c r="Q1787" s="4" t="s">
        <v>1390</v>
      </c>
    </row>
    <row r="1788" spans="1:17" x14ac:dyDescent="0.3">
      <c r="A1788" s="2" t="s">
        <v>1389</v>
      </c>
      <c r="B1788" s="3">
        <v>156207</v>
      </c>
      <c r="C1788" s="3">
        <v>216216</v>
      </c>
      <c r="D1788" s="4" t="s">
        <v>17</v>
      </c>
      <c r="E1788" s="4" t="s">
        <v>809</v>
      </c>
      <c r="F1788" s="4" t="s">
        <v>19</v>
      </c>
      <c r="G1788" s="4" t="s">
        <v>20</v>
      </c>
      <c r="H1788" s="5">
        <v>5000</v>
      </c>
      <c r="I1788" s="4" t="s">
        <v>21</v>
      </c>
      <c r="J1788" s="5">
        <f t="shared" si="27"/>
        <v>-20750</v>
      </c>
      <c r="K1788" s="4" t="s">
        <v>47</v>
      </c>
      <c r="L1788" s="6">
        <v>4.1500000000000004</v>
      </c>
      <c r="M1788" s="6">
        <v>0.24099999999999999</v>
      </c>
      <c r="N1788" s="6">
        <v>4.2126999999999999</v>
      </c>
      <c r="O1788" s="6">
        <v>1</v>
      </c>
      <c r="P1788" s="5">
        <v>313.5</v>
      </c>
      <c r="Q1788" s="4" t="s">
        <v>1390</v>
      </c>
    </row>
    <row r="1789" spans="1:17" x14ac:dyDescent="0.3">
      <c r="A1789" s="2" t="s">
        <v>1389</v>
      </c>
      <c r="B1789" s="3">
        <v>156208</v>
      </c>
      <c r="C1789" s="3">
        <v>216225</v>
      </c>
      <c r="D1789" s="4" t="s">
        <v>17</v>
      </c>
      <c r="E1789" s="4" t="s">
        <v>1156</v>
      </c>
      <c r="F1789" s="4" t="s">
        <v>19</v>
      </c>
      <c r="G1789" s="4" t="s">
        <v>20</v>
      </c>
      <c r="H1789" s="5">
        <v>5000</v>
      </c>
      <c r="I1789" s="4" t="s">
        <v>21</v>
      </c>
      <c r="J1789" s="5">
        <f t="shared" si="27"/>
        <v>-21015</v>
      </c>
      <c r="K1789" s="4" t="s">
        <v>47</v>
      </c>
      <c r="L1789" s="6">
        <v>4.2030000000000003</v>
      </c>
      <c r="M1789" s="6">
        <v>0.2379</v>
      </c>
      <c r="N1789" s="6">
        <v>4.2126999999999999</v>
      </c>
      <c r="O1789" s="6">
        <v>1</v>
      </c>
      <c r="P1789" s="5">
        <v>48.5</v>
      </c>
      <c r="Q1789" s="4" t="s">
        <v>1390</v>
      </c>
    </row>
    <row r="1790" spans="1:17" x14ac:dyDescent="0.3">
      <c r="A1790" s="2" t="s">
        <v>1389</v>
      </c>
      <c r="B1790" s="3">
        <v>156209</v>
      </c>
      <c r="C1790" s="3">
        <v>894661</v>
      </c>
      <c r="D1790" s="4" t="s">
        <v>81</v>
      </c>
      <c r="E1790" s="4" t="s">
        <v>735</v>
      </c>
      <c r="F1790" s="4" t="s">
        <v>87</v>
      </c>
      <c r="G1790" s="4" t="s">
        <v>34</v>
      </c>
      <c r="H1790" s="5">
        <v>500000</v>
      </c>
      <c r="I1790" s="4" t="s">
        <v>21</v>
      </c>
      <c r="J1790" s="5">
        <f t="shared" si="27"/>
        <v>-1800750</v>
      </c>
      <c r="K1790" s="4" t="s">
        <v>37</v>
      </c>
      <c r="L1790" s="6">
        <v>3.6015000000000001</v>
      </c>
      <c r="M1790" s="6">
        <v>0.2777</v>
      </c>
      <c r="N1790" s="6">
        <v>3.6082999999999998</v>
      </c>
      <c r="O1790" s="6">
        <v>1</v>
      </c>
      <c r="P1790" s="5">
        <v>3400</v>
      </c>
      <c r="Q1790" s="4" t="s">
        <v>1394</v>
      </c>
    </row>
    <row r="1791" spans="1:17" x14ac:dyDescent="0.3">
      <c r="A1791" s="2" t="s">
        <v>1389</v>
      </c>
      <c r="B1791" s="3">
        <v>156210</v>
      </c>
      <c r="C1791" s="3">
        <v>216239</v>
      </c>
      <c r="D1791" s="4" t="s">
        <v>17</v>
      </c>
      <c r="E1791" s="4" t="s">
        <v>1144</v>
      </c>
      <c r="F1791" s="4" t="s">
        <v>19</v>
      </c>
      <c r="G1791" s="4" t="s">
        <v>20</v>
      </c>
      <c r="H1791" s="5">
        <v>145000</v>
      </c>
      <c r="I1791" s="4" t="s">
        <v>21</v>
      </c>
      <c r="J1791" s="5">
        <f t="shared" si="27"/>
        <v>-609464</v>
      </c>
      <c r="K1791" s="4" t="s">
        <v>47</v>
      </c>
      <c r="L1791" s="6">
        <v>4.2031999999999998</v>
      </c>
      <c r="M1791" s="6">
        <v>0.2379</v>
      </c>
      <c r="N1791" s="6">
        <v>4.2126999999999999</v>
      </c>
      <c r="O1791" s="6">
        <v>1</v>
      </c>
      <c r="P1791" s="5">
        <v>1377.5</v>
      </c>
      <c r="Q1791" s="4" t="s">
        <v>1390</v>
      </c>
    </row>
    <row r="1792" spans="1:17" x14ac:dyDescent="0.3">
      <c r="A1792" s="2" t="s">
        <v>1389</v>
      </c>
      <c r="B1792" s="3">
        <v>156211</v>
      </c>
      <c r="C1792" s="3">
        <v>216241</v>
      </c>
      <c r="D1792" s="4" t="s">
        <v>17</v>
      </c>
      <c r="E1792" s="4" t="s">
        <v>996</v>
      </c>
      <c r="F1792" s="4" t="s">
        <v>19</v>
      </c>
      <c r="G1792" s="4" t="s">
        <v>20</v>
      </c>
      <c r="H1792" s="5">
        <v>40000</v>
      </c>
      <c r="I1792" s="4" t="s">
        <v>21</v>
      </c>
      <c r="J1792" s="5">
        <f t="shared" si="27"/>
        <v>-168020</v>
      </c>
      <c r="K1792" s="4" t="s">
        <v>47</v>
      </c>
      <c r="L1792" s="6">
        <v>4.2004999999999999</v>
      </c>
      <c r="M1792" s="6">
        <v>0.23810000000000001</v>
      </c>
      <c r="N1792" s="6">
        <v>4.2126999999999999</v>
      </c>
      <c r="O1792" s="6">
        <v>1</v>
      </c>
      <c r="P1792" s="5">
        <v>488</v>
      </c>
      <c r="Q1792" s="4" t="s">
        <v>1390</v>
      </c>
    </row>
    <row r="1793" spans="1:17" x14ac:dyDescent="0.3">
      <c r="A1793" s="2" t="s">
        <v>1389</v>
      </c>
      <c r="B1793" s="3">
        <v>156212</v>
      </c>
      <c r="C1793" s="3">
        <v>894698</v>
      </c>
      <c r="D1793" s="4" t="s">
        <v>81</v>
      </c>
      <c r="E1793" s="4" t="s">
        <v>725</v>
      </c>
      <c r="F1793" s="4" t="s">
        <v>83</v>
      </c>
      <c r="G1793" s="4" t="s">
        <v>20</v>
      </c>
      <c r="H1793" s="5">
        <v>-500000</v>
      </c>
      <c r="I1793" s="4" t="s">
        <v>21</v>
      </c>
      <c r="J1793" s="5">
        <f t="shared" si="27"/>
        <v>2104250</v>
      </c>
      <c r="K1793" s="4" t="s">
        <v>37</v>
      </c>
      <c r="L1793" s="6">
        <v>4.2084999999999999</v>
      </c>
      <c r="M1793" s="6">
        <v>0.23760000000000001</v>
      </c>
      <c r="N1793" s="6">
        <v>4.2115999999999998</v>
      </c>
      <c r="O1793" s="6">
        <v>1</v>
      </c>
      <c r="P1793" s="5">
        <v>-1530</v>
      </c>
      <c r="Q1793" s="4" t="s">
        <v>1392</v>
      </c>
    </row>
    <row r="1794" spans="1:17" x14ac:dyDescent="0.3">
      <c r="A1794" s="2" t="s">
        <v>1389</v>
      </c>
      <c r="B1794" s="3">
        <v>156213</v>
      </c>
      <c r="C1794" s="3">
        <v>894718</v>
      </c>
      <c r="D1794" s="4" t="s">
        <v>81</v>
      </c>
      <c r="E1794" s="4" t="s">
        <v>734</v>
      </c>
      <c r="F1794" s="4" t="s">
        <v>83</v>
      </c>
      <c r="G1794" s="4" t="s">
        <v>20</v>
      </c>
      <c r="H1794" s="5">
        <v>-100000</v>
      </c>
      <c r="I1794" s="4" t="s">
        <v>91</v>
      </c>
      <c r="J1794" s="5">
        <f t="shared" si="27"/>
        <v>86840</v>
      </c>
      <c r="K1794" s="4" t="s">
        <v>37</v>
      </c>
      <c r="L1794" s="6">
        <v>0.86839999999999995</v>
      </c>
      <c r="M1794" s="6">
        <v>1.1515</v>
      </c>
      <c r="N1794" s="6">
        <v>4.2115999999999998</v>
      </c>
      <c r="O1794" s="6">
        <v>4.8643999999999998</v>
      </c>
      <c r="P1794" s="5">
        <v>1283.9536000000001</v>
      </c>
      <c r="Q1794" s="4" t="s">
        <v>1393</v>
      </c>
    </row>
    <row r="1795" spans="1:17" x14ac:dyDescent="0.3">
      <c r="A1795" s="2" t="s">
        <v>1389</v>
      </c>
      <c r="B1795" s="3">
        <v>156214</v>
      </c>
      <c r="C1795" s="3">
        <v>216251</v>
      </c>
      <c r="D1795" s="4" t="s">
        <v>17</v>
      </c>
      <c r="E1795" s="4" t="s">
        <v>845</v>
      </c>
      <c r="F1795" s="4" t="s">
        <v>32</v>
      </c>
      <c r="G1795" s="4" t="s">
        <v>34</v>
      </c>
      <c r="H1795" s="5">
        <v>-100000</v>
      </c>
      <c r="I1795" s="4" t="s">
        <v>21</v>
      </c>
      <c r="J1795" s="5">
        <f t="shared" si="27"/>
        <v>360500</v>
      </c>
      <c r="K1795" s="4" t="s">
        <v>47</v>
      </c>
      <c r="L1795" s="6">
        <v>3.605</v>
      </c>
      <c r="M1795" s="6">
        <v>0.27739999999999998</v>
      </c>
      <c r="N1795" s="6">
        <v>3.6183999999999998</v>
      </c>
      <c r="O1795" s="6">
        <v>1</v>
      </c>
      <c r="P1795" s="5">
        <v>-1340</v>
      </c>
      <c r="Q1795" s="4" t="s">
        <v>1390</v>
      </c>
    </row>
    <row r="1796" spans="1:17" x14ac:dyDescent="0.3">
      <c r="A1796" s="2" t="s">
        <v>1389</v>
      </c>
      <c r="B1796" s="3">
        <v>156215</v>
      </c>
      <c r="C1796" s="3">
        <v>216255</v>
      </c>
      <c r="D1796" s="4" t="s">
        <v>17</v>
      </c>
      <c r="E1796" s="4" t="s">
        <v>824</v>
      </c>
      <c r="F1796" s="4" t="s">
        <v>32</v>
      </c>
      <c r="G1796" s="4" t="s">
        <v>20</v>
      </c>
      <c r="H1796" s="5">
        <v>-30000</v>
      </c>
      <c r="I1796" s="4" t="s">
        <v>21</v>
      </c>
      <c r="J1796" s="5">
        <f t="shared" ref="J1796:J1859" si="28">-H1796*L1796</f>
        <v>126810.00000000001</v>
      </c>
      <c r="K1796" s="4" t="s">
        <v>47</v>
      </c>
      <c r="L1796" s="6">
        <v>4.2270000000000003</v>
      </c>
      <c r="M1796" s="6">
        <v>0.2366</v>
      </c>
      <c r="N1796" s="6">
        <v>4.2126999999999999</v>
      </c>
      <c r="O1796" s="6">
        <v>1</v>
      </c>
      <c r="P1796" s="5">
        <v>429</v>
      </c>
      <c r="Q1796" s="4" t="s">
        <v>1390</v>
      </c>
    </row>
    <row r="1797" spans="1:17" x14ac:dyDescent="0.3">
      <c r="A1797" s="2" t="s">
        <v>1389</v>
      </c>
      <c r="B1797" s="3">
        <v>156217</v>
      </c>
      <c r="C1797" s="3">
        <v>216257</v>
      </c>
      <c r="D1797" s="4" t="s">
        <v>17</v>
      </c>
      <c r="E1797" s="4" t="s">
        <v>1224</v>
      </c>
      <c r="F1797" s="4" t="s">
        <v>32</v>
      </c>
      <c r="G1797" s="4" t="s">
        <v>20</v>
      </c>
      <c r="H1797" s="5">
        <v>-10000</v>
      </c>
      <c r="I1797" s="4" t="s">
        <v>21</v>
      </c>
      <c r="J1797" s="5">
        <f t="shared" si="28"/>
        <v>42115</v>
      </c>
      <c r="K1797" s="4" t="s">
        <v>47</v>
      </c>
      <c r="L1797" s="6">
        <v>4.2115</v>
      </c>
      <c r="M1797" s="6">
        <v>0.2374</v>
      </c>
      <c r="N1797" s="6">
        <v>4.2126999999999999</v>
      </c>
      <c r="O1797" s="6">
        <v>1</v>
      </c>
      <c r="P1797" s="5">
        <v>-16</v>
      </c>
      <c r="Q1797" s="4" t="s">
        <v>1390</v>
      </c>
    </row>
    <row r="1798" spans="1:17" x14ac:dyDescent="0.3">
      <c r="A1798" s="2" t="s">
        <v>1389</v>
      </c>
      <c r="B1798" s="3">
        <v>156218</v>
      </c>
      <c r="C1798" s="3">
        <v>894749</v>
      </c>
      <c r="D1798" s="4" t="s">
        <v>81</v>
      </c>
      <c r="E1798" s="4" t="s">
        <v>730</v>
      </c>
      <c r="F1798" s="4" t="s">
        <v>83</v>
      </c>
      <c r="G1798" s="4" t="s">
        <v>20</v>
      </c>
      <c r="H1798" s="5">
        <v>-500000</v>
      </c>
      <c r="I1798" s="4" t="s">
        <v>21</v>
      </c>
      <c r="J1798" s="5">
        <f t="shared" si="28"/>
        <v>2104350</v>
      </c>
      <c r="K1798" s="4" t="s">
        <v>37</v>
      </c>
      <c r="L1798" s="6">
        <v>4.2087000000000003</v>
      </c>
      <c r="M1798" s="6">
        <v>0.23760000000000001</v>
      </c>
      <c r="N1798" s="6">
        <v>4.2115999999999998</v>
      </c>
      <c r="O1798" s="6">
        <v>1</v>
      </c>
      <c r="P1798" s="5">
        <v>-1450</v>
      </c>
      <c r="Q1798" s="4" t="s">
        <v>1396</v>
      </c>
    </row>
    <row r="1799" spans="1:17" x14ac:dyDescent="0.3">
      <c r="A1799" s="2" t="s">
        <v>1389</v>
      </c>
      <c r="B1799" s="3">
        <v>156220</v>
      </c>
      <c r="C1799" s="3">
        <v>216261</v>
      </c>
      <c r="D1799" s="4" t="s">
        <v>17</v>
      </c>
      <c r="E1799" s="4" t="s">
        <v>1042</v>
      </c>
      <c r="F1799" s="4" t="s">
        <v>19</v>
      </c>
      <c r="G1799" s="4" t="s">
        <v>20</v>
      </c>
      <c r="H1799" s="5">
        <v>44599.95</v>
      </c>
      <c r="I1799" s="4" t="s">
        <v>21</v>
      </c>
      <c r="J1799" s="5">
        <f t="shared" si="28"/>
        <v>-187417.90989000001</v>
      </c>
      <c r="K1799" s="4" t="s">
        <v>47</v>
      </c>
      <c r="L1799" s="6">
        <v>4.2022000000000004</v>
      </c>
      <c r="M1799" s="6">
        <v>0.23799999999999999</v>
      </c>
      <c r="N1799" s="6">
        <v>4.2126999999999999</v>
      </c>
      <c r="O1799" s="6">
        <v>1</v>
      </c>
      <c r="P1799" s="5">
        <v>468.29947499997797</v>
      </c>
      <c r="Q1799" s="4" t="s">
        <v>1390</v>
      </c>
    </row>
    <row r="1800" spans="1:17" x14ac:dyDescent="0.3">
      <c r="A1800" s="2" t="s">
        <v>1389</v>
      </c>
      <c r="B1800" s="3">
        <v>156221</v>
      </c>
      <c r="C1800" s="3">
        <v>216265</v>
      </c>
      <c r="D1800" s="4" t="s">
        <v>17</v>
      </c>
      <c r="E1800" s="4" t="s">
        <v>1309</v>
      </c>
      <c r="F1800" s="4" t="s">
        <v>32</v>
      </c>
      <c r="G1800" s="4" t="s">
        <v>20</v>
      </c>
      <c r="H1800" s="5">
        <v>-10000</v>
      </c>
      <c r="I1800" s="4" t="s">
        <v>21</v>
      </c>
      <c r="J1800" s="5">
        <f t="shared" si="28"/>
        <v>43099.999999999993</v>
      </c>
      <c r="K1800" s="4" t="s">
        <v>47</v>
      </c>
      <c r="L1800" s="6">
        <v>4.3099999999999996</v>
      </c>
      <c r="M1800" s="6">
        <v>0.23200000000000001</v>
      </c>
      <c r="N1800" s="6">
        <v>4.2126999999999999</v>
      </c>
      <c r="O1800" s="6">
        <v>1</v>
      </c>
      <c r="P1800" s="5">
        <v>973</v>
      </c>
      <c r="Q1800" s="4" t="s">
        <v>1390</v>
      </c>
    </row>
    <row r="1801" spans="1:17" x14ac:dyDescent="0.3">
      <c r="A1801" s="2" t="s">
        <v>1389</v>
      </c>
      <c r="B1801" s="3">
        <v>156223</v>
      </c>
      <c r="C1801" s="3">
        <v>216273</v>
      </c>
      <c r="D1801" s="4" t="s">
        <v>17</v>
      </c>
      <c r="E1801" s="4" t="s">
        <v>839</v>
      </c>
      <c r="F1801" s="4" t="s">
        <v>32</v>
      </c>
      <c r="G1801" s="4" t="s">
        <v>20</v>
      </c>
      <c r="H1801" s="5">
        <v>-20000</v>
      </c>
      <c r="I1801" s="4" t="s">
        <v>21</v>
      </c>
      <c r="J1801" s="5">
        <f t="shared" si="28"/>
        <v>84368</v>
      </c>
      <c r="K1801" s="4" t="s">
        <v>47</v>
      </c>
      <c r="L1801" s="6">
        <v>4.2183999999999999</v>
      </c>
      <c r="M1801" s="6">
        <v>0.23710000000000001</v>
      </c>
      <c r="N1801" s="6">
        <v>4.2126999999999999</v>
      </c>
      <c r="O1801" s="6">
        <v>1</v>
      </c>
      <c r="P1801" s="5">
        <v>106</v>
      </c>
      <c r="Q1801" s="4" t="s">
        <v>1390</v>
      </c>
    </row>
    <row r="1802" spans="1:17" x14ac:dyDescent="0.3">
      <c r="A1802" s="2" t="s">
        <v>1389</v>
      </c>
      <c r="B1802" s="3">
        <v>156224</v>
      </c>
      <c r="C1802" s="3">
        <v>216274</v>
      </c>
      <c r="D1802" s="4" t="s">
        <v>17</v>
      </c>
      <c r="E1802" s="4" t="s">
        <v>1314</v>
      </c>
      <c r="F1802" s="4" t="s">
        <v>19</v>
      </c>
      <c r="G1802" s="4" t="s">
        <v>20</v>
      </c>
      <c r="H1802" s="5">
        <v>9000</v>
      </c>
      <c r="I1802" s="4" t="s">
        <v>21</v>
      </c>
      <c r="J1802" s="5">
        <f t="shared" si="28"/>
        <v>-37758.6</v>
      </c>
      <c r="K1802" s="4" t="s">
        <v>47</v>
      </c>
      <c r="L1802" s="6">
        <v>4.1954000000000002</v>
      </c>
      <c r="M1802" s="6">
        <v>0.2384</v>
      </c>
      <c r="N1802" s="6">
        <v>4.2126999999999999</v>
      </c>
      <c r="O1802" s="6">
        <v>1</v>
      </c>
      <c r="P1802" s="5">
        <v>155.69999999999709</v>
      </c>
      <c r="Q1802" s="4" t="s">
        <v>1390</v>
      </c>
    </row>
    <row r="1803" spans="1:17" x14ac:dyDescent="0.3">
      <c r="A1803" s="2" t="s">
        <v>1389</v>
      </c>
      <c r="B1803" s="3">
        <v>156225</v>
      </c>
      <c r="C1803" s="3">
        <v>894805</v>
      </c>
      <c r="D1803" s="4" t="s">
        <v>81</v>
      </c>
      <c r="E1803" s="4" t="s">
        <v>743</v>
      </c>
      <c r="F1803" s="4" t="s">
        <v>87</v>
      </c>
      <c r="G1803" s="4" t="s">
        <v>20</v>
      </c>
      <c r="H1803" s="5">
        <v>1000000</v>
      </c>
      <c r="I1803" s="4" t="s">
        <v>21</v>
      </c>
      <c r="J1803" s="5">
        <f t="shared" si="28"/>
        <v>-4209500</v>
      </c>
      <c r="K1803" s="4" t="s">
        <v>37</v>
      </c>
      <c r="L1803" s="6">
        <v>4.2095000000000002</v>
      </c>
      <c r="M1803" s="6">
        <v>0.23760000000000001</v>
      </c>
      <c r="N1803" s="6">
        <v>4.2115999999999998</v>
      </c>
      <c r="O1803" s="6">
        <v>1</v>
      </c>
      <c r="P1803" s="5">
        <v>2120</v>
      </c>
      <c r="Q1803" s="4" t="s">
        <v>1395</v>
      </c>
    </row>
    <row r="1804" spans="1:17" x14ac:dyDescent="0.3">
      <c r="A1804" s="2" t="s">
        <v>1389</v>
      </c>
      <c r="B1804" s="3">
        <v>156226</v>
      </c>
      <c r="C1804" s="3">
        <v>894806</v>
      </c>
      <c r="D1804" s="4" t="s">
        <v>81</v>
      </c>
      <c r="E1804" s="4" t="s">
        <v>734</v>
      </c>
      <c r="F1804" s="4" t="s">
        <v>87</v>
      </c>
      <c r="G1804" s="4" t="s">
        <v>20</v>
      </c>
      <c r="H1804" s="5">
        <v>500000</v>
      </c>
      <c r="I1804" s="4" t="s">
        <v>21</v>
      </c>
      <c r="J1804" s="5">
        <f t="shared" si="28"/>
        <v>-2104750</v>
      </c>
      <c r="K1804" s="4" t="s">
        <v>37</v>
      </c>
      <c r="L1804" s="6">
        <v>4.2095000000000002</v>
      </c>
      <c r="M1804" s="6">
        <v>0.23760000000000001</v>
      </c>
      <c r="N1804" s="6">
        <v>4.2115999999999998</v>
      </c>
      <c r="O1804" s="6">
        <v>1</v>
      </c>
      <c r="P1804" s="5">
        <v>1050</v>
      </c>
      <c r="Q1804" s="4" t="s">
        <v>1393</v>
      </c>
    </row>
    <row r="1805" spans="1:17" x14ac:dyDescent="0.3">
      <c r="A1805" s="2" t="s">
        <v>1389</v>
      </c>
      <c r="B1805" s="3">
        <v>156227</v>
      </c>
      <c r="C1805" s="3">
        <v>216279</v>
      </c>
      <c r="D1805" s="4" t="s">
        <v>17</v>
      </c>
      <c r="E1805" s="4" t="s">
        <v>770</v>
      </c>
      <c r="F1805" s="4" t="s">
        <v>32</v>
      </c>
      <c r="G1805" s="4" t="s">
        <v>20</v>
      </c>
      <c r="H1805" s="5">
        <v>-10000</v>
      </c>
      <c r="I1805" s="4" t="s">
        <v>21</v>
      </c>
      <c r="J1805" s="5">
        <f t="shared" si="28"/>
        <v>42163.000000000007</v>
      </c>
      <c r="K1805" s="4" t="s">
        <v>47</v>
      </c>
      <c r="L1805" s="6">
        <v>4.2163000000000004</v>
      </c>
      <c r="M1805" s="6">
        <v>0.23719999999999999</v>
      </c>
      <c r="N1805" s="6">
        <v>4.2126999999999999</v>
      </c>
      <c r="O1805" s="6">
        <v>1</v>
      </c>
      <c r="P1805" s="5">
        <v>32</v>
      </c>
      <c r="Q1805" s="4" t="s">
        <v>1390</v>
      </c>
    </row>
    <row r="1806" spans="1:17" x14ac:dyDescent="0.3">
      <c r="A1806" s="2" t="s">
        <v>1389</v>
      </c>
      <c r="B1806" s="3">
        <v>156228</v>
      </c>
      <c r="C1806" s="3">
        <v>216281</v>
      </c>
      <c r="D1806" s="4" t="s">
        <v>17</v>
      </c>
      <c r="E1806" s="4" t="s">
        <v>770</v>
      </c>
      <c r="F1806" s="4" t="s">
        <v>32</v>
      </c>
      <c r="G1806" s="4" t="s">
        <v>20</v>
      </c>
      <c r="H1806" s="5">
        <v>-11761</v>
      </c>
      <c r="I1806" s="4" t="s">
        <v>21</v>
      </c>
      <c r="J1806" s="5">
        <f t="shared" si="28"/>
        <v>49586.728199999998</v>
      </c>
      <c r="K1806" s="4" t="s">
        <v>48</v>
      </c>
      <c r="L1806" s="6">
        <v>4.2161999999999997</v>
      </c>
      <c r="M1806" s="6">
        <v>0.23719999999999999</v>
      </c>
      <c r="N1806" s="6">
        <v>4.2096999999999998</v>
      </c>
      <c r="O1806" s="6">
        <v>1</v>
      </c>
      <c r="P1806" s="5">
        <v>74.098299999999995</v>
      </c>
      <c r="Q1806" s="4" t="s">
        <v>1390</v>
      </c>
    </row>
    <row r="1807" spans="1:17" x14ac:dyDescent="0.3">
      <c r="A1807" s="2" t="s">
        <v>1389</v>
      </c>
      <c r="B1807" s="3">
        <v>156232</v>
      </c>
      <c r="C1807" s="3">
        <v>894848</v>
      </c>
      <c r="D1807" s="4" t="s">
        <v>81</v>
      </c>
      <c r="E1807" s="4" t="s">
        <v>730</v>
      </c>
      <c r="F1807" s="4" t="s">
        <v>87</v>
      </c>
      <c r="G1807" s="4" t="s">
        <v>20</v>
      </c>
      <c r="H1807" s="5">
        <v>400000</v>
      </c>
      <c r="I1807" s="4" t="s">
        <v>34</v>
      </c>
      <c r="J1807" s="5">
        <f t="shared" si="28"/>
        <v>-467080</v>
      </c>
      <c r="K1807" s="4" t="s">
        <v>37</v>
      </c>
      <c r="L1807" s="6">
        <v>1.1677</v>
      </c>
      <c r="M1807" s="6">
        <v>0.85640000000000005</v>
      </c>
      <c r="N1807" s="6">
        <v>4.2115999999999998</v>
      </c>
      <c r="O1807" s="6">
        <v>3.6082999999999998</v>
      </c>
      <c r="P1807" s="5">
        <v>-724.76400000000001</v>
      </c>
      <c r="Q1807" s="4" t="s">
        <v>1396</v>
      </c>
    </row>
    <row r="1808" spans="1:17" x14ac:dyDescent="0.3">
      <c r="A1808" s="2" t="s">
        <v>1389</v>
      </c>
      <c r="B1808" s="3">
        <v>156233</v>
      </c>
      <c r="C1808" s="3">
        <v>216294</v>
      </c>
      <c r="D1808" s="4" t="s">
        <v>17</v>
      </c>
      <c r="E1808" s="4" t="s">
        <v>1230</v>
      </c>
      <c r="F1808" s="4" t="s">
        <v>32</v>
      </c>
      <c r="G1808" s="4" t="s">
        <v>20</v>
      </c>
      <c r="H1808" s="5">
        <v>-18000</v>
      </c>
      <c r="I1808" s="4" t="s">
        <v>21</v>
      </c>
      <c r="J1808" s="5">
        <f t="shared" si="28"/>
        <v>75996.000000000015</v>
      </c>
      <c r="K1808" s="4" t="s">
        <v>47</v>
      </c>
      <c r="L1808" s="6">
        <v>4.2220000000000004</v>
      </c>
      <c r="M1808" s="6">
        <v>0.2369</v>
      </c>
      <c r="N1808" s="6">
        <v>4.2126999999999999</v>
      </c>
      <c r="O1808" s="6">
        <v>1</v>
      </c>
      <c r="P1808" s="5">
        <v>167.4</v>
      </c>
      <c r="Q1808" s="4" t="s">
        <v>1390</v>
      </c>
    </row>
    <row r="1809" spans="1:17" x14ac:dyDescent="0.3">
      <c r="A1809" s="2" t="s">
        <v>1389</v>
      </c>
      <c r="B1809" s="3">
        <v>156234</v>
      </c>
      <c r="C1809" s="3">
        <v>894877</v>
      </c>
      <c r="D1809" s="4" t="s">
        <v>81</v>
      </c>
      <c r="E1809" s="4" t="s">
        <v>734</v>
      </c>
      <c r="F1809" s="4" t="s">
        <v>83</v>
      </c>
      <c r="G1809" s="4" t="s">
        <v>91</v>
      </c>
      <c r="H1809" s="5">
        <v>-100000</v>
      </c>
      <c r="I1809" s="4" t="s">
        <v>21</v>
      </c>
      <c r="J1809" s="5">
        <f t="shared" si="28"/>
        <v>484980</v>
      </c>
      <c r="K1809" s="4" t="s">
        <v>37</v>
      </c>
      <c r="L1809" s="6">
        <v>4.8498000000000001</v>
      </c>
      <c r="M1809" s="6">
        <v>0.20619999999999999</v>
      </c>
      <c r="N1809" s="6">
        <v>4.8643999999999998</v>
      </c>
      <c r="O1809" s="6">
        <v>1</v>
      </c>
      <c r="P1809" s="5">
        <v>-1460</v>
      </c>
      <c r="Q1809" s="4" t="s">
        <v>1393</v>
      </c>
    </row>
    <row r="1810" spans="1:17" x14ac:dyDescent="0.3">
      <c r="A1810" s="2" t="s">
        <v>1389</v>
      </c>
      <c r="B1810" s="3">
        <v>156235</v>
      </c>
      <c r="C1810" s="3">
        <v>894878</v>
      </c>
      <c r="D1810" s="4" t="s">
        <v>81</v>
      </c>
      <c r="E1810" s="4" t="s">
        <v>735</v>
      </c>
      <c r="F1810" s="4" t="s">
        <v>83</v>
      </c>
      <c r="G1810" s="4" t="s">
        <v>91</v>
      </c>
      <c r="H1810" s="5">
        <v>-100000</v>
      </c>
      <c r="I1810" s="4" t="s">
        <v>21</v>
      </c>
      <c r="J1810" s="5">
        <f t="shared" si="28"/>
        <v>485050</v>
      </c>
      <c r="K1810" s="4" t="s">
        <v>37</v>
      </c>
      <c r="L1810" s="6">
        <v>4.8505000000000003</v>
      </c>
      <c r="M1810" s="6">
        <v>0.20619999999999999</v>
      </c>
      <c r="N1810" s="6">
        <v>4.8643999999999998</v>
      </c>
      <c r="O1810" s="6">
        <v>1</v>
      </c>
      <c r="P1810" s="5">
        <v>-1390</v>
      </c>
      <c r="Q1810" s="4" t="s">
        <v>1394</v>
      </c>
    </row>
    <row r="1811" spans="1:17" x14ac:dyDescent="0.3">
      <c r="A1811" s="2" t="s">
        <v>1389</v>
      </c>
      <c r="B1811" s="3">
        <v>156236</v>
      </c>
      <c r="C1811" s="3">
        <v>894882</v>
      </c>
      <c r="D1811" s="4" t="s">
        <v>81</v>
      </c>
      <c r="E1811" s="4" t="s">
        <v>737</v>
      </c>
      <c r="F1811" s="4" t="s">
        <v>87</v>
      </c>
      <c r="G1811" s="4" t="s">
        <v>20</v>
      </c>
      <c r="H1811" s="5">
        <v>1000000</v>
      </c>
      <c r="I1811" s="4" t="s">
        <v>21</v>
      </c>
      <c r="J1811" s="5">
        <f t="shared" si="28"/>
        <v>-4210600</v>
      </c>
      <c r="K1811" s="4" t="s">
        <v>37</v>
      </c>
      <c r="L1811" s="6">
        <v>4.2106000000000003</v>
      </c>
      <c r="M1811" s="6">
        <v>0.23749999999999999</v>
      </c>
      <c r="N1811" s="6">
        <v>4.2115999999999998</v>
      </c>
      <c r="O1811" s="6">
        <v>1</v>
      </c>
      <c r="P1811" s="5">
        <v>960</v>
      </c>
      <c r="Q1811" s="4" t="s">
        <v>1399</v>
      </c>
    </row>
    <row r="1812" spans="1:17" x14ac:dyDescent="0.3">
      <c r="A1812" s="2" t="s">
        <v>1389</v>
      </c>
      <c r="B1812" s="3">
        <v>156237</v>
      </c>
      <c r="C1812" s="3">
        <v>894883</v>
      </c>
      <c r="D1812" s="4" t="s">
        <v>81</v>
      </c>
      <c r="E1812" s="4" t="s">
        <v>737</v>
      </c>
      <c r="F1812" s="4" t="s">
        <v>87</v>
      </c>
      <c r="G1812" s="4" t="s">
        <v>20</v>
      </c>
      <c r="H1812" s="5">
        <v>1000000</v>
      </c>
      <c r="I1812" s="4" t="s">
        <v>21</v>
      </c>
      <c r="J1812" s="5">
        <f t="shared" si="28"/>
        <v>-4210600</v>
      </c>
      <c r="K1812" s="4" t="s">
        <v>37</v>
      </c>
      <c r="L1812" s="6">
        <v>4.2106000000000003</v>
      </c>
      <c r="M1812" s="6">
        <v>0.23749999999999999</v>
      </c>
      <c r="N1812" s="6">
        <v>4.2115999999999998</v>
      </c>
      <c r="O1812" s="6">
        <v>1</v>
      </c>
      <c r="P1812" s="5">
        <v>960</v>
      </c>
      <c r="Q1812" s="4" t="s">
        <v>1399</v>
      </c>
    </row>
    <row r="1813" spans="1:17" x14ac:dyDescent="0.3">
      <c r="A1813" s="2" t="s">
        <v>1389</v>
      </c>
      <c r="B1813" s="3">
        <v>156238</v>
      </c>
      <c r="C1813" s="3">
        <v>216298</v>
      </c>
      <c r="D1813" s="4" t="s">
        <v>17</v>
      </c>
      <c r="E1813" s="4" t="s">
        <v>1309</v>
      </c>
      <c r="F1813" s="4" t="s">
        <v>32</v>
      </c>
      <c r="G1813" s="4" t="s">
        <v>20</v>
      </c>
      <c r="H1813" s="5">
        <v>-2000000</v>
      </c>
      <c r="I1813" s="4" t="s">
        <v>21</v>
      </c>
      <c r="J1813" s="5">
        <f t="shared" si="28"/>
        <v>8500000</v>
      </c>
      <c r="K1813" s="4" t="s">
        <v>47</v>
      </c>
      <c r="L1813" s="6">
        <v>4.25</v>
      </c>
      <c r="M1813" s="6">
        <v>0.23530000000000001</v>
      </c>
      <c r="N1813" s="6">
        <v>4.2126999999999999</v>
      </c>
      <c r="O1813" s="6">
        <v>1</v>
      </c>
      <c r="P1813" s="5">
        <v>74600</v>
      </c>
      <c r="Q1813" s="4" t="s">
        <v>1390</v>
      </c>
    </row>
    <row r="1814" spans="1:17" x14ac:dyDescent="0.3">
      <c r="A1814" s="2" t="s">
        <v>1389</v>
      </c>
      <c r="B1814" s="3">
        <v>156240</v>
      </c>
      <c r="C1814" s="3">
        <v>216300</v>
      </c>
      <c r="D1814" s="4" t="s">
        <v>17</v>
      </c>
      <c r="E1814" s="4" t="s">
        <v>1237</v>
      </c>
      <c r="F1814" s="4" t="s">
        <v>32</v>
      </c>
      <c r="G1814" s="4" t="s">
        <v>89</v>
      </c>
      <c r="H1814" s="5">
        <v>-250000</v>
      </c>
      <c r="I1814" s="4" t="s">
        <v>21</v>
      </c>
      <c r="J1814" s="5">
        <f t="shared" si="28"/>
        <v>141300</v>
      </c>
      <c r="K1814" s="4" t="s">
        <v>47</v>
      </c>
      <c r="L1814" s="6">
        <v>0.56520000000000004</v>
      </c>
      <c r="M1814" s="6">
        <v>1.7693000000000001</v>
      </c>
      <c r="N1814" s="6">
        <v>0.56379999999999997</v>
      </c>
      <c r="O1814" s="6">
        <v>1</v>
      </c>
      <c r="P1814" s="5">
        <v>375</v>
      </c>
      <c r="Q1814" s="4" t="s">
        <v>1390</v>
      </c>
    </row>
    <row r="1815" spans="1:17" x14ac:dyDescent="0.3">
      <c r="A1815" s="2" t="s">
        <v>1389</v>
      </c>
      <c r="B1815" s="3">
        <v>156241</v>
      </c>
      <c r="C1815" s="3">
        <v>894906</v>
      </c>
      <c r="D1815" s="4" t="s">
        <v>81</v>
      </c>
      <c r="E1815" s="4" t="s">
        <v>743</v>
      </c>
      <c r="F1815" s="4" t="s">
        <v>87</v>
      </c>
      <c r="G1815" s="4" t="s">
        <v>34</v>
      </c>
      <c r="H1815" s="5">
        <v>1000000</v>
      </c>
      <c r="I1815" s="4" t="s">
        <v>21</v>
      </c>
      <c r="J1815" s="5">
        <f t="shared" si="28"/>
        <v>-3605300</v>
      </c>
      <c r="K1815" s="4" t="s">
        <v>37</v>
      </c>
      <c r="L1815" s="6">
        <v>3.6053000000000002</v>
      </c>
      <c r="M1815" s="6">
        <v>0.27739999999999998</v>
      </c>
      <c r="N1815" s="6">
        <v>3.6082999999999998</v>
      </c>
      <c r="O1815" s="6">
        <v>1</v>
      </c>
      <c r="P1815" s="5">
        <v>3000</v>
      </c>
      <c r="Q1815" s="4" t="s">
        <v>1395</v>
      </c>
    </row>
    <row r="1816" spans="1:17" x14ac:dyDescent="0.3">
      <c r="A1816" s="2" t="s">
        <v>1389</v>
      </c>
      <c r="B1816" s="3">
        <v>156242</v>
      </c>
      <c r="C1816" s="3">
        <v>894910</v>
      </c>
      <c r="D1816" s="4" t="s">
        <v>81</v>
      </c>
      <c r="E1816" s="4" t="s">
        <v>732</v>
      </c>
      <c r="F1816" s="4" t="s">
        <v>83</v>
      </c>
      <c r="G1816" s="4" t="s">
        <v>20</v>
      </c>
      <c r="H1816" s="5">
        <v>-500000</v>
      </c>
      <c r="I1816" s="4" t="s">
        <v>21</v>
      </c>
      <c r="J1816" s="5">
        <f t="shared" si="28"/>
        <v>2105150</v>
      </c>
      <c r="K1816" s="4" t="s">
        <v>37</v>
      </c>
      <c r="L1816" s="6">
        <v>4.2103000000000002</v>
      </c>
      <c r="M1816" s="6">
        <v>0.23749999999999999</v>
      </c>
      <c r="N1816" s="6">
        <v>4.2115999999999998</v>
      </c>
      <c r="O1816" s="6">
        <v>1</v>
      </c>
      <c r="P1816" s="5">
        <v>-650</v>
      </c>
      <c r="Q1816" s="4" t="s">
        <v>1394</v>
      </c>
    </row>
    <row r="1817" spans="1:17" x14ac:dyDescent="0.3">
      <c r="A1817" s="2" t="s">
        <v>1389</v>
      </c>
      <c r="B1817" s="3">
        <v>156244</v>
      </c>
      <c r="C1817" s="3">
        <v>216308</v>
      </c>
      <c r="D1817" s="4" t="s">
        <v>17</v>
      </c>
      <c r="E1817" s="4" t="s">
        <v>772</v>
      </c>
      <c r="F1817" s="4" t="s">
        <v>32</v>
      </c>
      <c r="G1817" s="4" t="s">
        <v>20</v>
      </c>
      <c r="H1817" s="5">
        <v>-1000</v>
      </c>
      <c r="I1817" s="4" t="s">
        <v>21</v>
      </c>
      <c r="J1817" s="5">
        <f t="shared" si="28"/>
        <v>4216</v>
      </c>
      <c r="K1817" s="4" t="s">
        <v>47</v>
      </c>
      <c r="L1817" s="6">
        <v>4.2160000000000002</v>
      </c>
      <c r="M1817" s="6">
        <v>0.23719999999999999</v>
      </c>
      <c r="N1817" s="6">
        <v>4.2126999999999999</v>
      </c>
      <c r="O1817" s="6">
        <v>1</v>
      </c>
      <c r="P1817" s="5">
        <v>2.9</v>
      </c>
      <c r="Q1817" s="4" t="s">
        <v>1390</v>
      </c>
    </row>
    <row r="1818" spans="1:17" x14ac:dyDescent="0.3">
      <c r="A1818" s="2" t="s">
        <v>1389</v>
      </c>
      <c r="B1818" s="3">
        <v>156245</v>
      </c>
      <c r="C1818" s="3">
        <v>216316</v>
      </c>
      <c r="D1818" s="4" t="s">
        <v>17</v>
      </c>
      <c r="E1818" s="4" t="s">
        <v>975</v>
      </c>
      <c r="F1818" s="4" t="s">
        <v>19</v>
      </c>
      <c r="G1818" s="4" t="s">
        <v>20</v>
      </c>
      <c r="H1818" s="5">
        <v>10000</v>
      </c>
      <c r="I1818" s="4" t="s">
        <v>21</v>
      </c>
      <c r="J1818" s="5">
        <f t="shared" si="28"/>
        <v>-41975</v>
      </c>
      <c r="K1818" s="4" t="s">
        <v>47</v>
      </c>
      <c r="L1818" s="6">
        <v>4.1974999999999998</v>
      </c>
      <c r="M1818" s="6">
        <v>0.2382</v>
      </c>
      <c r="N1818" s="6">
        <v>4.2126999999999999</v>
      </c>
      <c r="O1818" s="6">
        <v>1</v>
      </c>
      <c r="P1818" s="5">
        <v>152</v>
      </c>
      <c r="Q1818" s="4" t="s">
        <v>1390</v>
      </c>
    </row>
    <row r="1819" spans="1:17" x14ac:dyDescent="0.3">
      <c r="A1819" s="2" t="s">
        <v>1389</v>
      </c>
      <c r="B1819" s="3">
        <v>156246</v>
      </c>
      <c r="C1819" s="3">
        <v>216319</v>
      </c>
      <c r="D1819" s="4" t="s">
        <v>17</v>
      </c>
      <c r="E1819" s="4" t="s">
        <v>1088</v>
      </c>
      <c r="F1819" s="4" t="s">
        <v>19</v>
      </c>
      <c r="G1819" s="4" t="s">
        <v>20</v>
      </c>
      <c r="H1819" s="5">
        <v>260000</v>
      </c>
      <c r="I1819" s="4" t="s">
        <v>21</v>
      </c>
      <c r="J1819" s="5">
        <f t="shared" si="28"/>
        <v>-1090700</v>
      </c>
      <c r="K1819" s="4" t="s">
        <v>47</v>
      </c>
      <c r="L1819" s="6">
        <v>4.1950000000000003</v>
      </c>
      <c r="M1819" s="6">
        <v>0.2384</v>
      </c>
      <c r="N1819" s="6">
        <v>4.2126999999999999</v>
      </c>
      <c r="O1819" s="6">
        <v>1</v>
      </c>
      <c r="P1819" s="5">
        <v>4602</v>
      </c>
      <c r="Q1819" s="4" t="s">
        <v>1390</v>
      </c>
    </row>
    <row r="1820" spans="1:17" x14ac:dyDescent="0.3">
      <c r="A1820" s="2" t="s">
        <v>1389</v>
      </c>
      <c r="B1820" s="3">
        <v>156249</v>
      </c>
      <c r="C1820" s="3">
        <v>216322</v>
      </c>
      <c r="D1820" s="4" t="s">
        <v>17</v>
      </c>
      <c r="E1820" s="4" t="s">
        <v>913</v>
      </c>
      <c r="F1820" s="4" t="s">
        <v>32</v>
      </c>
      <c r="G1820" s="4" t="s">
        <v>20</v>
      </c>
      <c r="H1820" s="5">
        <v>-12800</v>
      </c>
      <c r="I1820" s="4" t="s">
        <v>21</v>
      </c>
      <c r="J1820" s="5">
        <f t="shared" si="28"/>
        <v>54259.199999999997</v>
      </c>
      <c r="K1820" s="4" t="s">
        <v>47</v>
      </c>
      <c r="L1820" s="6">
        <v>4.2389999999999999</v>
      </c>
      <c r="M1820" s="6">
        <v>0.2359</v>
      </c>
      <c r="N1820" s="6">
        <v>4.2126999999999999</v>
      </c>
      <c r="O1820" s="6">
        <v>1</v>
      </c>
      <c r="P1820" s="5">
        <v>330.24</v>
      </c>
      <c r="Q1820" s="4" t="s">
        <v>1390</v>
      </c>
    </row>
    <row r="1821" spans="1:17" x14ac:dyDescent="0.3">
      <c r="A1821" s="2" t="s">
        <v>1389</v>
      </c>
      <c r="B1821" s="3">
        <v>156250</v>
      </c>
      <c r="C1821" s="3">
        <v>894978</v>
      </c>
      <c r="D1821" s="4" t="s">
        <v>81</v>
      </c>
      <c r="E1821" s="4" t="s">
        <v>730</v>
      </c>
      <c r="F1821" s="4" t="s">
        <v>83</v>
      </c>
      <c r="G1821" s="4" t="s">
        <v>20</v>
      </c>
      <c r="H1821" s="5">
        <v>-500000</v>
      </c>
      <c r="I1821" s="4" t="s">
        <v>21</v>
      </c>
      <c r="J1821" s="5">
        <f t="shared" si="28"/>
        <v>2105600</v>
      </c>
      <c r="K1821" s="4" t="s">
        <v>37</v>
      </c>
      <c r="L1821" s="6">
        <v>4.2111999999999998</v>
      </c>
      <c r="M1821" s="6">
        <v>0.23749999999999999</v>
      </c>
      <c r="N1821" s="6">
        <v>4.2115999999999998</v>
      </c>
      <c r="O1821" s="6">
        <v>1</v>
      </c>
      <c r="P1821" s="5">
        <v>-175</v>
      </c>
      <c r="Q1821" s="4" t="s">
        <v>1396</v>
      </c>
    </row>
    <row r="1822" spans="1:17" x14ac:dyDescent="0.3">
      <c r="A1822" s="2" t="s">
        <v>1389</v>
      </c>
      <c r="B1822" s="3">
        <v>156251</v>
      </c>
      <c r="C1822" s="3">
        <v>216324</v>
      </c>
      <c r="D1822" s="4" t="s">
        <v>17</v>
      </c>
      <c r="E1822" s="4" t="s">
        <v>913</v>
      </c>
      <c r="F1822" s="4" t="s">
        <v>32</v>
      </c>
      <c r="G1822" s="4" t="s">
        <v>101</v>
      </c>
      <c r="H1822" s="5">
        <v>-12452</v>
      </c>
      <c r="I1822" s="4" t="s">
        <v>21</v>
      </c>
      <c r="J1822" s="5">
        <f t="shared" si="28"/>
        <v>2184.0808000000002</v>
      </c>
      <c r="K1822" s="4" t="s">
        <v>47</v>
      </c>
      <c r="L1822" s="6">
        <v>0.1754</v>
      </c>
      <c r="M1822" s="6">
        <v>5.7012999999999998</v>
      </c>
      <c r="N1822" s="6">
        <v>0.17319999999999999</v>
      </c>
      <c r="O1822" s="6">
        <v>1</v>
      </c>
      <c r="P1822" s="5">
        <v>27.393599999999999</v>
      </c>
      <c r="Q1822" s="4" t="s">
        <v>1390</v>
      </c>
    </row>
    <row r="1823" spans="1:17" x14ac:dyDescent="0.3">
      <c r="A1823" s="2" t="s">
        <v>1389</v>
      </c>
      <c r="B1823" s="3">
        <v>156252</v>
      </c>
      <c r="C1823" s="3">
        <v>216329</v>
      </c>
      <c r="D1823" s="4" t="s">
        <v>17</v>
      </c>
      <c r="E1823" s="4" t="s">
        <v>746</v>
      </c>
      <c r="F1823" s="4" t="s">
        <v>32</v>
      </c>
      <c r="G1823" s="4" t="s">
        <v>20</v>
      </c>
      <c r="H1823" s="5">
        <v>-200000</v>
      </c>
      <c r="I1823" s="4" t="s">
        <v>21</v>
      </c>
      <c r="J1823" s="5">
        <f t="shared" si="28"/>
        <v>843280</v>
      </c>
      <c r="K1823" s="4" t="s">
        <v>47</v>
      </c>
      <c r="L1823" s="6">
        <v>4.2164000000000001</v>
      </c>
      <c r="M1823" s="6">
        <v>0.23719999999999999</v>
      </c>
      <c r="N1823" s="6">
        <v>4.2126999999999999</v>
      </c>
      <c r="O1823" s="6">
        <v>1</v>
      </c>
      <c r="P1823" s="5">
        <v>660</v>
      </c>
      <c r="Q1823" s="4" t="s">
        <v>1390</v>
      </c>
    </row>
    <row r="1824" spans="1:17" x14ac:dyDescent="0.3">
      <c r="A1824" s="2" t="s">
        <v>1389</v>
      </c>
      <c r="B1824" s="3">
        <v>156253</v>
      </c>
      <c r="C1824" s="3">
        <v>216331</v>
      </c>
      <c r="D1824" s="4" t="s">
        <v>17</v>
      </c>
      <c r="E1824" s="4" t="s">
        <v>746</v>
      </c>
      <c r="F1824" s="4" t="s">
        <v>32</v>
      </c>
      <c r="G1824" s="4" t="s">
        <v>93</v>
      </c>
      <c r="H1824" s="5">
        <v>-50000</v>
      </c>
      <c r="I1824" s="4" t="s">
        <v>21</v>
      </c>
      <c r="J1824" s="5">
        <f t="shared" si="28"/>
        <v>226399.99999999997</v>
      </c>
      <c r="K1824" s="4" t="s">
        <v>47</v>
      </c>
      <c r="L1824" s="6">
        <v>4.5279999999999996</v>
      </c>
      <c r="M1824" s="6">
        <v>0.2208</v>
      </c>
      <c r="N1824" s="6">
        <v>4.5221999999999998</v>
      </c>
      <c r="O1824" s="6">
        <v>1</v>
      </c>
      <c r="P1824" s="5">
        <v>240</v>
      </c>
      <c r="Q1824" s="4" t="s">
        <v>1390</v>
      </c>
    </row>
    <row r="1825" spans="1:17" x14ac:dyDescent="0.3">
      <c r="A1825" s="2" t="s">
        <v>1389</v>
      </c>
      <c r="B1825" s="3">
        <v>156254</v>
      </c>
      <c r="C1825" s="3">
        <v>895018</v>
      </c>
      <c r="D1825" s="4" t="s">
        <v>81</v>
      </c>
      <c r="E1825" s="4" t="s">
        <v>734</v>
      </c>
      <c r="F1825" s="4" t="s">
        <v>83</v>
      </c>
      <c r="G1825" s="4" t="s">
        <v>20</v>
      </c>
      <c r="H1825" s="5">
        <v>-100000</v>
      </c>
      <c r="I1825" s="4" t="s">
        <v>93</v>
      </c>
      <c r="J1825" s="5">
        <f t="shared" si="28"/>
        <v>93140</v>
      </c>
      <c r="K1825" s="4" t="s">
        <v>37</v>
      </c>
      <c r="L1825" s="6">
        <v>0.93140000000000001</v>
      </c>
      <c r="M1825" s="6">
        <v>1.0737000000000001</v>
      </c>
      <c r="N1825" s="6">
        <v>4.2115999999999998</v>
      </c>
      <c r="O1825" s="6">
        <v>4.5235000000000003</v>
      </c>
      <c r="P1825" s="5">
        <v>136.17250000000001</v>
      </c>
      <c r="Q1825" s="4" t="s">
        <v>1393</v>
      </c>
    </row>
    <row r="1826" spans="1:17" x14ac:dyDescent="0.3">
      <c r="A1826" s="2" t="s">
        <v>1389</v>
      </c>
      <c r="B1826" s="3">
        <v>156255</v>
      </c>
      <c r="C1826" s="3">
        <v>216334</v>
      </c>
      <c r="D1826" s="4" t="s">
        <v>17</v>
      </c>
      <c r="E1826" s="4" t="s">
        <v>1180</v>
      </c>
      <c r="F1826" s="4" t="s">
        <v>19</v>
      </c>
      <c r="G1826" s="4" t="s">
        <v>20</v>
      </c>
      <c r="H1826" s="5">
        <v>59481.42</v>
      </c>
      <c r="I1826" s="4" t="s">
        <v>21</v>
      </c>
      <c r="J1826" s="5">
        <f t="shared" si="28"/>
        <v>-250000.40826</v>
      </c>
      <c r="K1826" s="4" t="s">
        <v>47</v>
      </c>
      <c r="L1826" s="6">
        <v>4.2030000000000003</v>
      </c>
      <c r="M1826" s="6">
        <v>0.2379</v>
      </c>
      <c r="N1826" s="6">
        <v>4.2126999999999999</v>
      </c>
      <c r="O1826" s="6">
        <v>1</v>
      </c>
      <c r="P1826" s="5">
        <v>576.96977399999741</v>
      </c>
      <c r="Q1826" s="4" t="s">
        <v>1390</v>
      </c>
    </row>
    <row r="1827" spans="1:17" x14ac:dyDescent="0.3">
      <c r="A1827" s="2" t="s">
        <v>1389</v>
      </c>
      <c r="B1827" s="3">
        <v>156256</v>
      </c>
      <c r="C1827" s="3">
        <v>895043</v>
      </c>
      <c r="D1827" s="4" t="s">
        <v>81</v>
      </c>
      <c r="E1827" s="4" t="s">
        <v>735</v>
      </c>
      <c r="F1827" s="4" t="s">
        <v>83</v>
      </c>
      <c r="G1827" s="4" t="s">
        <v>20</v>
      </c>
      <c r="H1827" s="5">
        <v>-500000</v>
      </c>
      <c r="I1827" s="4" t="s">
        <v>21</v>
      </c>
      <c r="J1827" s="5">
        <f t="shared" si="28"/>
        <v>2105150</v>
      </c>
      <c r="K1827" s="4" t="s">
        <v>37</v>
      </c>
      <c r="L1827" s="6">
        <v>4.2103000000000002</v>
      </c>
      <c r="M1827" s="6">
        <v>0.23749999999999999</v>
      </c>
      <c r="N1827" s="6">
        <v>4.2115999999999998</v>
      </c>
      <c r="O1827" s="6">
        <v>1</v>
      </c>
      <c r="P1827" s="5">
        <v>-650</v>
      </c>
      <c r="Q1827" s="4" t="s">
        <v>1394</v>
      </c>
    </row>
    <row r="1828" spans="1:17" x14ac:dyDescent="0.3">
      <c r="A1828" s="2" t="s">
        <v>1389</v>
      </c>
      <c r="B1828" s="3">
        <v>156257</v>
      </c>
      <c r="C1828" s="3">
        <v>216345</v>
      </c>
      <c r="D1828" s="4" t="s">
        <v>17</v>
      </c>
      <c r="E1828" s="4" t="s">
        <v>1133</v>
      </c>
      <c r="F1828" s="4" t="s">
        <v>19</v>
      </c>
      <c r="G1828" s="4" t="s">
        <v>20</v>
      </c>
      <c r="H1828" s="5">
        <v>30000</v>
      </c>
      <c r="I1828" s="4" t="s">
        <v>21</v>
      </c>
      <c r="J1828" s="5">
        <f t="shared" si="28"/>
        <v>-126045</v>
      </c>
      <c r="K1828" s="4" t="s">
        <v>47</v>
      </c>
      <c r="L1828" s="6">
        <v>4.2015000000000002</v>
      </c>
      <c r="M1828" s="6">
        <v>0.23799999999999999</v>
      </c>
      <c r="N1828" s="6">
        <v>4.2126999999999999</v>
      </c>
      <c r="O1828" s="6">
        <v>1</v>
      </c>
      <c r="P1828" s="5">
        <v>336</v>
      </c>
      <c r="Q1828" s="4" t="s">
        <v>1390</v>
      </c>
    </row>
    <row r="1829" spans="1:17" x14ac:dyDescent="0.3">
      <c r="A1829" s="2" t="s">
        <v>1389</v>
      </c>
      <c r="B1829" s="3">
        <v>156259</v>
      </c>
      <c r="C1829" s="3">
        <v>216353</v>
      </c>
      <c r="D1829" s="4" t="s">
        <v>17</v>
      </c>
      <c r="E1829" s="4" t="s">
        <v>782</v>
      </c>
      <c r="F1829" s="4" t="s">
        <v>19</v>
      </c>
      <c r="G1829" s="4" t="s">
        <v>20</v>
      </c>
      <c r="H1829" s="5">
        <v>25000</v>
      </c>
      <c r="I1829" s="4" t="s">
        <v>21</v>
      </c>
      <c r="J1829" s="5">
        <f t="shared" si="28"/>
        <v>-105125</v>
      </c>
      <c r="K1829" s="4" t="s">
        <v>47</v>
      </c>
      <c r="L1829" s="6">
        <v>4.2050000000000001</v>
      </c>
      <c r="M1829" s="6">
        <v>0.23780000000000001</v>
      </c>
      <c r="N1829" s="6">
        <v>4.2126999999999999</v>
      </c>
      <c r="O1829" s="6">
        <v>1</v>
      </c>
      <c r="P1829" s="5">
        <v>192.5</v>
      </c>
      <c r="Q1829" s="4" t="s">
        <v>1390</v>
      </c>
    </row>
    <row r="1830" spans="1:17" x14ac:dyDescent="0.3">
      <c r="A1830" s="2" t="s">
        <v>1389</v>
      </c>
      <c r="B1830" s="3">
        <v>156260</v>
      </c>
      <c r="C1830" s="3">
        <v>216354</v>
      </c>
      <c r="D1830" s="4" t="s">
        <v>17</v>
      </c>
      <c r="E1830" s="4" t="s">
        <v>757</v>
      </c>
      <c r="F1830" s="4" t="s">
        <v>19</v>
      </c>
      <c r="G1830" s="4" t="s">
        <v>20</v>
      </c>
      <c r="H1830" s="5">
        <v>5000</v>
      </c>
      <c r="I1830" s="4" t="s">
        <v>21</v>
      </c>
      <c r="J1830" s="5">
        <f t="shared" si="28"/>
        <v>-20975</v>
      </c>
      <c r="K1830" s="4" t="s">
        <v>47</v>
      </c>
      <c r="L1830" s="6">
        <v>4.1950000000000003</v>
      </c>
      <c r="M1830" s="6">
        <v>0.2384</v>
      </c>
      <c r="N1830" s="6">
        <v>4.2126999999999999</v>
      </c>
      <c r="O1830" s="6">
        <v>1</v>
      </c>
      <c r="P1830" s="5">
        <v>88.5</v>
      </c>
      <c r="Q1830" s="4" t="s">
        <v>1390</v>
      </c>
    </row>
    <row r="1831" spans="1:17" x14ac:dyDescent="0.3">
      <c r="A1831" s="2" t="s">
        <v>1389</v>
      </c>
      <c r="B1831" s="3">
        <v>156261</v>
      </c>
      <c r="C1831" s="3">
        <v>216359</v>
      </c>
      <c r="D1831" s="4" t="s">
        <v>17</v>
      </c>
      <c r="E1831" s="4" t="s">
        <v>1196</v>
      </c>
      <c r="F1831" s="4" t="s">
        <v>32</v>
      </c>
      <c r="G1831" s="4" t="s">
        <v>20</v>
      </c>
      <c r="H1831" s="5">
        <v>-38411.85</v>
      </c>
      <c r="I1831" s="4" t="s">
        <v>21</v>
      </c>
      <c r="J1831" s="5">
        <f t="shared" si="28"/>
        <v>162059.59515000001</v>
      </c>
      <c r="K1831" s="4" t="s">
        <v>47</v>
      </c>
      <c r="L1831" s="6">
        <v>4.2190000000000003</v>
      </c>
      <c r="M1831" s="6">
        <v>0.23699999999999999</v>
      </c>
      <c r="N1831" s="6">
        <v>4.2126999999999999</v>
      </c>
      <c r="O1831" s="6">
        <v>1</v>
      </c>
      <c r="P1831" s="5">
        <v>241.999505</v>
      </c>
      <c r="Q1831" s="4" t="s">
        <v>1390</v>
      </c>
    </row>
    <row r="1832" spans="1:17" x14ac:dyDescent="0.3">
      <c r="A1832" s="2" t="s">
        <v>1389</v>
      </c>
      <c r="B1832" s="3">
        <v>156264</v>
      </c>
      <c r="C1832" s="3">
        <v>216370</v>
      </c>
      <c r="D1832" s="4" t="s">
        <v>17</v>
      </c>
      <c r="E1832" s="4" t="s">
        <v>752</v>
      </c>
      <c r="F1832" s="4" t="s">
        <v>32</v>
      </c>
      <c r="G1832" s="4" t="s">
        <v>20</v>
      </c>
      <c r="H1832" s="5">
        <v>-30000</v>
      </c>
      <c r="I1832" s="4" t="s">
        <v>21</v>
      </c>
      <c r="J1832" s="5">
        <f t="shared" si="28"/>
        <v>128850</v>
      </c>
      <c r="K1832" s="4" t="s">
        <v>47</v>
      </c>
      <c r="L1832" s="6">
        <v>4.2949999999999999</v>
      </c>
      <c r="M1832" s="6">
        <v>0.23280000000000001</v>
      </c>
      <c r="N1832" s="6">
        <v>4.2126999999999999</v>
      </c>
      <c r="O1832" s="6">
        <v>1</v>
      </c>
      <c r="P1832" s="5">
        <v>2469</v>
      </c>
      <c r="Q1832" s="4" t="s">
        <v>1390</v>
      </c>
    </row>
    <row r="1833" spans="1:17" x14ac:dyDescent="0.3">
      <c r="A1833" s="2" t="s">
        <v>1389</v>
      </c>
      <c r="B1833" s="3">
        <v>156265</v>
      </c>
      <c r="C1833" s="3">
        <v>216371</v>
      </c>
      <c r="D1833" s="4" t="s">
        <v>17</v>
      </c>
      <c r="E1833" s="4" t="s">
        <v>1238</v>
      </c>
      <c r="F1833" s="4" t="s">
        <v>19</v>
      </c>
      <c r="G1833" s="4" t="s">
        <v>20</v>
      </c>
      <c r="H1833" s="5">
        <v>100000</v>
      </c>
      <c r="I1833" s="4" t="s">
        <v>21</v>
      </c>
      <c r="J1833" s="5">
        <f t="shared" si="28"/>
        <v>-420800</v>
      </c>
      <c r="K1833" s="4" t="s">
        <v>47</v>
      </c>
      <c r="L1833" s="6">
        <v>4.2080000000000002</v>
      </c>
      <c r="M1833" s="6">
        <v>0.23760000000000001</v>
      </c>
      <c r="N1833" s="6">
        <v>4.2126999999999999</v>
      </c>
      <c r="O1833" s="6">
        <v>1</v>
      </c>
      <c r="P1833" s="5">
        <v>470</v>
      </c>
      <c r="Q1833" s="4" t="s">
        <v>1390</v>
      </c>
    </row>
    <row r="1834" spans="1:17" x14ac:dyDescent="0.3">
      <c r="A1834" s="2" t="s">
        <v>1389</v>
      </c>
      <c r="B1834" s="3">
        <v>156266</v>
      </c>
      <c r="C1834" s="3">
        <v>216373</v>
      </c>
      <c r="D1834" s="4" t="s">
        <v>17</v>
      </c>
      <c r="E1834" s="4" t="s">
        <v>1070</v>
      </c>
      <c r="F1834" s="4" t="s">
        <v>32</v>
      </c>
      <c r="G1834" s="4" t="s">
        <v>34</v>
      </c>
      <c r="H1834" s="5">
        <v>-50000</v>
      </c>
      <c r="I1834" s="4" t="s">
        <v>21</v>
      </c>
      <c r="J1834" s="5">
        <f t="shared" si="28"/>
        <v>180450</v>
      </c>
      <c r="K1834" s="4" t="s">
        <v>47</v>
      </c>
      <c r="L1834" s="6">
        <v>3.609</v>
      </c>
      <c r="M1834" s="6">
        <v>0.27710000000000001</v>
      </c>
      <c r="N1834" s="6">
        <v>3.6183999999999998</v>
      </c>
      <c r="O1834" s="6">
        <v>1</v>
      </c>
      <c r="P1834" s="5">
        <v>-470</v>
      </c>
      <c r="Q1834" s="4" t="s">
        <v>1390</v>
      </c>
    </row>
    <row r="1835" spans="1:17" x14ac:dyDescent="0.3">
      <c r="A1835" s="2" t="s">
        <v>1389</v>
      </c>
      <c r="B1835" s="3">
        <v>156267</v>
      </c>
      <c r="C1835" s="3">
        <v>216375</v>
      </c>
      <c r="D1835" s="4" t="s">
        <v>17</v>
      </c>
      <c r="E1835" s="4" t="s">
        <v>789</v>
      </c>
      <c r="F1835" s="4" t="s">
        <v>32</v>
      </c>
      <c r="G1835" s="4" t="s">
        <v>20</v>
      </c>
      <c r="H1835" s="5">
        <v>-21658.2</v>
      </c>
      <c r="I1835" s="4" t="s">
        <v>21</v>
      </c>
      <c r="J1835" s="5">
        <f t="shared" si="28"/>
        <v>91505.89499999999</v>
      </c>
      <c r="K1835" s="4" t="s">
        <v>47</v>
      </c>
      <c r="L1835" s="6">
        <v>4.2249999999999996</v>
      </c>
      <c r="M1835" s="6">
        <v>0.23669999999999999</v>
      </c>
      <c r="N1835" s="6">
        <v>4.2126999999999999</v>
      </c>
      <c r="O1835" s="6">
        <v>1</v>
      </c>
      <c r="P1835" s="5">
        <v>266.40086000000002</v>
      </c>
      <c r="Q1835" s="4" t="s">
        <v>1390</v>
      </c>
    </row>
    <row r="1836" spans="1:17" x14ac:dyDescent="0.3">
      <c r="A1836" s="2" t="s">
        <v>1389</v>
      </c>
      <c r="B1836" s="3">
        <v>156268</v>
      </c>
      <c r="C1836" s="3">
        <v>216378</v>
      </c>
      <c r="D1836" s="4" t="s">
        <v>17</v>
      </c>
      <c r="E1836" s="4" t="s">
        <v>864</v>
      </c>
      <c r="F1836" s="4" t="s">
        <v>32</v>
      </c>
      <c r="G1836" s="4" t="s">
        <v>20</v>
      </c>
      <c r="H1836" s="5">
        <v>-1000</v>
      </c>
      <c r="I1836" s="4" t="s">
        <v>21</v>
      </c>
      <c r="J1836" s="5">
        <f t="shared" si="28"/>
        <v>4223</v>
      </c>
      <c r="K1836" s="4" t="s">
        <v>47</v>
      </c>
      <c r="L1836" s="6">
        <v>4.2229999999999999</v>
      </c>
      <c r="M1836" s="6">
        <v>0.23680000000000001</v>
      </c>
      <c r="N1836" s="6">
        <v>4.2126999999999999</v>
      </c>
      <c r="O1836" s="6">
        <v>1</v>
      </c>
      <c r="P1836" s="5">
        <v>10.3</v>
      </c>
      <c r="Q1836" s="4" t="s">
        <v>1390</v>
      </c>
    </row>
    <row r="1837" spans="1:17" x14ac:dyDescent="0.3">
      <c r="A1837" s="2" t="s">
        <v>1389</v>
      </c>
      <c r="B1837" s="3">
        <v>156269</v>
      </c>
      <c r="C1837" s="3">
        <v>216379</v>
      </c>
      <c r="D1837" s="4" t="s">
        <v>17</v>
      </c>
      <c r="E1837" s="4" t="s">
        <v>1372</v>
      </c>
      <c r="F1837" s="4" t="s">
        <v>32</v>
      </c>
      <c r="G1837" s="4" t="s">
        <v>20</v>
      </c>
      <c r="H1837" s="5">
        <v>-235386.91</v>
      </c>
      <c r="I1837" s="4" t="s">
        <v>21</v>
      </c>
      <c r="J1837" s="5">
        <f t="shared" si="28"/>
        <v>992626.5994699999</v>
      </c>
      <c r="K1837" s="4" t="s">
        <v>47</v>
      </c>
      <c r="L1837" s="6">
        <v>4.2169999999999996</v>
      </c>
      <c r="M1837" s="6">
        <v>0.23710000000000001</v>
      </c>
      <c r="N1837" s="6">
        <v>4.2126999999999999</v>
      </c>
      <c r="O1837" s="6">
        <v>1</v>
      </c>
      <c r="P1837" s="5">
        <v>894.474243</v>
      </c>
      <c r="Q1837" s="4" t="s">
        <v>1390</v>
      </c>
    </row>
    <row r="1838" spans="1:17" x14ac:dyDescent="0.3">
      <c r="A1838" s="2" t="s">
        <v>1389</v>
      </c>
      <c r="B1838" s="3">
        <v>156270</v>
      </c>
      <c r="C1838" s="3">
        <v>216381</v>
      </c>
      <c r="D1838" s="4" t="s">
        <v>17</v>
      </c>
      <c r="E1838" s="4" t="s">
        <v>1337</v>
      </c>
      <c r="F1838" s="4" t="s">
        <v>19</v>
      </c>
      <c r="G1838" s="4" t="s">
        <v>20</v>
      </c>
      <c r="H1838" s="5">
        <v>62000</v>
      </c>
      <c r="I1838" s="4" t="s">
        <v>21</v>
      </c>
      <c r="J1838" s="5">
        <f t="shared" si="28"/>
        <v>-260554.99999999997</v>
      </c>
      <c r="K1838" s="4" t="s">
        <v>47</v>
      </c>
      <c r="L1838" s="6">
        <v>4.2024999999999997</v>
      </c>
      <c r="M1838" s="6">
        <v>0.23799999999999999</v>
      </c>
      <c r="N1838" s="6">
        <v>4.2126999999999999</v>
      </c>
      <c r="O1838" s="6">
        <v>1</v>
      </c>
      <c r="P1838" s="5">
        <v>632.40000000002328</v>
      </c>
      <c r="Q1838" s="4" t="s">
        <v>1390</v>
      </c>
    </row>
    <row r="1839" spans="1:17" x14ac:dyDescent="0.3">
      <c r="A1839" s="2" t="s">
        <v>1389</v>
      </c>
      <c r="B1839" s="3">
        <v>156271</v>
      </c>
      <c r="C1839" s="3">
        <v>216385</v>
      </c>
      <c r="D1839" s="4" t="s">
        <v>17</v>
      </c>
      <c r="E1839" s="4" t="s">
        <v>981</v>
      </c>
      <c r="F1839" s="4" t="s">
        <v>19</v>
      </c>
      <c r="G1839" s="4" t="s">
        <v>20</v>
      </c>
      <c r="H1839" s="5">
        <v>100000</v>
      </c>
      <c r="I1839" s="4" t="s">
        <v>21</v>
      </c>
      <c r="J1839" s="5">
        <f t="shared" si="28"/>
        <v>-420099.99999999994</v>
      </c>
      <c r="K1839" s="4" t="s">
        <v>47</v>
      </c>
      <c r="L1839" s="6">
        <v>4.2009999999999996</v>
      </c>
      <c r="M1839" s="6">
        <v>0.23799999999999999</v>
      </c>
      <c r="N1839" s="6">
        <v>4.2126999999999999</v>
      </c>
      <c r="O1839" s="6">
        <v>1</v>
      </c>
      <c r="P1839" s="5">
        <v>1170.0000000000582</v>
      </c>
      <c r="Q1839" s="4" t="s">
        <v>1390</v>
      </c>
    </row>
    <row r="1840" spans="1:17" x14ac:dyDescent="0.3">
      <c r="A1840" s="2" t="s">
        <v>1389</v>
      </c>
      <c r="B1840" s="3">
        <v>156273</v>
      </c>
      <c r="C1840" s="3">
        <v>216391</v>
      </c>
      <c r="D1840" s="4" t="s">
        <v>17</v>
      </c>
      <c r="E1840" s="4" t="s">
        <v>986</v>
      </c>
      <c r="F1840" s="4" t="s">
        <v>19</v>
      </c>
      <c r="G1840" s="4" t="s">
        <v>20</v>
      </c>
      <c r="H1840" s="5">
        <v>10000</v>
      </c>
      <c r="I1840" s="4" t="s">
        <v>21</v>
      </c>
      <c r="J1840" s="5">
        <f t="shared" si="28"/>
        <v>-42020</v>
      </c>
      <c r="K1840" s="4" t="s">
        <v>47</v>
      </c>
      <c r="L1840" s="6">
        <v>4.202</v>
      </c>
      <c r="M1840" s="6">
        <v>0.23799999999999999</v>
      </c>
      <c r="N1840" s="6">
        <v>4.2126999999999999</v>
      </c>
      <c r="O1840" s="6">
        <v>1</v>
      </c>
      <c r="P1840" s="5">
        <v>107</v>
      </c>
      <c r="Q1840" s="4" t="s">
        <v>1390</v>
      </c>
    </row>
    <row r="1841" spans="1:17" x14ac:dyDescent="0.3">
      <c r="A1841" s="2" t="s">
        <v>1389</v>
      </c>
      <c r="B1841" s="3">
        <v>156275</v>
      </c>
      <c r="C1841" s="3">
        <v>895207</v>
      </c>
      <c r="D1841" s="4" t="s">
        <v>81</v>
      </c>
      <c r="E1841" s="4" t="s">
        <v>735</v>
      </c>
      <c r="F1841" s="4" t="s">
        <v>83</v>
      </c>
      <c r="G1841" s="4" t="s">
        <v>20</v>
      </c>
      <c r="H1841" s="5">
        <v>-500000</v>
      </c>
      <c r="I1841" s="4" t="s">
        <v>21</v>
      </c>
      <c r="J1841" s="5">
        <f t="shared" si="28"/>
        <v>2104650</v>
      </c>
      <c r="K1841" s="4" t="s">
        <v>37</v>
      </c>
      <c r="L1841" s="6">
        <v>4.2092999999999998</v>
      </c>
      <c r="M1841" s="6">
        <v>0.23760000000000001</v>
      </c>
      <c r="N1841" s="6">
        <v>4.2115999999999998</v>
      </c>
      <c r="O1841" s="6">
        <v>1</v>
      </c>
      <c r="P1841" s="5">
        <v>-1150</v>
      </c>
      <c r="Q1841" s="4" t="s">
        <v>1394</v>
      </c>
    </row>
    <row r="1842" spans="1:17" x14ac:dyDescent="0.3">
      <c r="A1842" s="2" t="s">
        <v>1389</v>
      </c>
      <c r="B1842" s="3">
        <v>156276</v>
      </c>
      <c r="C1842" s="3">
        <v>216396</v>
      </c>
      <c r="D1842" s="4" t="s">
        <v>17</v>
      </c>
      <c r="E1842" s="4" t="s">
        <v>848</v>
      </c>
      <c r="F1842" s="4" t="s">
        <v>32</v>
      </c>
      <c r="G1842" s="4" t="s">
        <v>34</v>
      </c>
      <c r="H1842" s="5">
        <v>-100000</v>
      </c>
      <c r="I1842" s="4" t="s">
        <v>21</v>
      </c>
      <c r="J1842" s="5">
        <f t="shared" si="28"/>
        <v>361420</v>
      </c>
      <c r="K1842" s="4" t="s">
        <v>47</v>
      </c>
      <c r="L1842" s="6">
        <v>3.6141999999999999</v>
      </c>
      <c r="M1842" s="6">
        <v>0.2767</v>
      </c>
      <c r="N1842" s="6">
        <v>3.6183999999999998</v>
      </c>
      <c r="O1842" s="6">
        <v>1</v>
      </c>
      <c r="P1842" s="5">
        <v>-440</v>
      </c>
      <c r="Q1842" s="4" t="s">
        <v>1390</v>
      </c>
    </row>
    <row r="1843" spans="1:17" x14ac:dyDescent="0.3">
      <c r="A1843" s="2" t="s">
        <v>1389</v>
      </c>
      <c r="B1843" s="3">
        <v>156279</v>
      </c>
      <c r="C1843" s="3">
        <v>216398</v>
      </c>
      <c r="D1843" s="4" t="s">
        <v>17</v>
      </c>
      <c r="E1843" s="4" t="s">
        <v>1383</v>
      </c>
      <c r="F1843" s="4" t="s">
        <v>32</v>
      </c>
      <c r="G1843" s="4" t="s">
        <v>20</v>
      </c>
      <c r="H1843" s="5">
        <v>-200000</v>
      </c>
      <c r="I1843" s="4" t="s">
        <v>21</v>
      </c>
      <c r="J1843" s="5">
        <f t="shared" si="28"/>
        <v>843960</v>
      </c>
      <c r="K1843" s="4" t="s">
        <v>47</v>
      </c>
      <c r="L1843" s="6">
        <v>4.2198000000000002</v>
      </c>
      <c r="M1843" s="6">
        <v>0.23699999999999999</v>
      </c>
      <c r="N1843" s="6">
        <v>4.2126999999999999</v>
      </c>
      <c r="O1843" s="6">
        <v>1</v>
      </c>
      <c r="P1843" s="5">
        <v>1340</v>
      </c>
      <c r="Q1843" s="4" t="s">
        <v>1390</v>
      </c>
    </row>
    <row r="1844" spans="1:17" x14ac:dyDescent="0.3">
      <c r="A1844" s="2" t="s">
        <v>1389</v>
      </c>
      <c r="B1844" s="3">
        <v>156280</v>
      </c>
      <c r="C1844" s="3">
        <v>895235</v>
      </c>
      <c r="D1844" s="4" t="s">
        <v>81</v>
      </c>
      <c r="E1844" s="4" t="s">
        <v>735</v>
      </c>
      <c r="F1844" s="4" t="s">
        <v>83</v>
      </c>
      <c r="G1844" s="4" t="s">
        <v>91</v>
      </c>
      <c r="H1844" s="5">
        <v>-200000</v>
      </c>
      <c r="I1844" s="4" t="s">
        <v>21</v>
      </c>
      <c r="J1844" s="5">
        <f t="shared" si="28"/>
        <v>970340</v>
      </c>
      <c r="K1844" s="4" t="s">
        <v>37</v>
      </c>
      <c r="L1844" s="6">
        <v>4.8517000000000001</v>
      </c>
      <c r="M1844" s="6">
        <v>0.20610000000000001</v>
      </c>
      <c r="N1844" s="6">
        <v>4.8643999999999998</v>
      </c>
      <c r="O1844" s="6">
        <v>1</v>
      </c>
      <c r="P1844" s="5">
        <v>-2540</v>
      </c>
      <c r="Q1844" s="4" t="s">
        <v>1394</v>
      </c>
    </row>
    <row r="1845" spans="1:17" x14ac:dyDescent="0.3">
      <c r="A1845" s="2" t="s">
        <v>1389</v>
      </c>
      <c r="B1845" s="3">
        <v>156281</v>
      </c>
      <c r="C1845" s="3">
        <v>895236</v>
      </c>
      <c r="D1845" s="4" t="s">
        <v>81</v>
      </c>
      <c r="E1845" s="4" t="s">
        <v>732</v>
      </c>
      <c r="F1845" s="4" t="s">
        <v>87</v>
      </c>
      <c r="G1845" s="4" t="s">
        <v>20</v>
      </c>
      <c r="H1845" s="5">
        <v>500000</v>
      </c>
      <c r="I1845" s="4" t="s">
        <v>21</v>
      </c>
      <c r="J1845" s="5">
        <f t="shared" si="28"/>
        <v>-2104550</v>
      </c>
      <c r="K1845" s="4" t="s">
        <v>37</v>
      </c>
      <c r="L1845" s="6">
        <v>4.2091000000000003</v>
      </c>
      <c r="M1845" s="6">
        <v>0.23760000000000001</v>
      </c>
      <c r="N1845" s="6">
        <v>4.2115999999999998</v>
      </c>
      <c r="O1845" s="6">
        <v>1</v>
      </c>
      <c r="P1845" s="5">
        <v>1250</v>
      </c>
      <c r="Q1845" s="4" t="s">
        <v>1394</v>
      </c>
    </row>
    <row r="1846" spans="1:17" x14ac:dyDescent="0.3">
      <c r="A1846" s="2" t="s">
        <v>1389</v>
      </c>
      <c r="B1846" s="3">
        <v>156283</v>
      </c>
      <c r="C1846" s="3">
        <v>216405</v>
      </c>
      <c r="D1846" s="4" t="s">
        <v>17</v>
      </c>
      <c r="E1846" s="4" t="s">
        <v>973</v>
      </c>
      <c r="F1846" s="4" t="s">
        <v>32</v>
      </c>
      <c r="G1846" s="4" t="s">
        <v>20</v>
      </c>
      <c r="H1846" s="5">
        <v>-80000</v>
      </c>
      <c r="I1846" s="4" t="s">
        <v>21</v>
      </c>
      <c r="J1846" s="5">
        <f t="shared" si="28"/>
        <v>337360</v>
      </c>
      <c r="K1846" s="4" t="s">
        <v>47</v>
      </c>
      <c r="L1846" s="6">
        <v>4.2169999999999996</v>
      </c>
      <c r="M1846" s="6">
        <v>0.23710000000000001</v>
      </c>
      <c r="N1846" s="6">
        <v>4.2126999999999999</v>
      </c>
      <c r="O1846" s="6">
        <v>1</v>
      </c>
      <c r="P1846" s="5">
        <v>344</v>
      </c>
      <c r="Q1846" s="4" t="s">
        <v>1390</v>
      </c>
    </row>
    <row r="1847" spans="1:17" x14ac:dyDescent="0.3">
      <c r="A1847" s="2" t="s">
        <v>1389</v>
      </c>
      <c r="B1847" s="3">
        <v>156285</v>
      </c>
      <c r="C1847" s="3">
        <v>216406</v>
      </c>
      <c r="D1847" s="4" t="s">
        <v>17</v>
      </c>
      <c r="E1847" s="4" t="s">
        <v>920</v>
      </c>
      <c r="F1847" s="4" t="s">
        <v>32</v>
      </c>
      <c r="G1847" s="4" t="s">
        <v>20</v>
      </c>
      <c r="H1847" s="5">
        <v>-200000</v>
      </c>
      <c r="I1847" s="4" t="s">
        <v>21</v>
      </c>
      <c r="J1847" s="5">
        <f t="shared" si="28"/>
        <v>842360</v>
      </c>
      <c r="K1847" s="4" t="s">
        <v>35</v>
      </c>
      <c r="L1847" s="6">
        <v>4.2118000000000002</v>
      </c>
      <c r="M1847" s="6">
        <v>0.2374</v>
      </c>
      <c r="N1847" s="6">
        <v>4.2110000000000003</v>
      </c>
      <c r="O1847" s="6">
        <v>1</v>
      </c>
      <c r="P1847" s="5">
        <v>200</v>
      </c>
      <c r="Q1847" s="4" t="s">
        <v>1390</v>
      </c>
    </row>
    <row r="1848" spans="1:17" x14ac:dyDescent="0.3">
      <c r="A1848" s="2" t="s">
        <v>1389</v>
      </c>
      <c r="B1848" s="3">
        <v>156286</v>
      </c>
      <c r="C1848" s="3">
        <v>895261</v>
      </c>
      <c r="D1848" s="4" t="s">
        <v>81</v>
      </c>
      <c r="E1848" s="4" t="s">
        <v>725</v>
      </c>
      <c r="F1848" s="4" t="s">
        <v>87</v>
      </c>
      <c r="G1848" s="4" t="s">
        <v>34</v>
      </c>
      <c r="H1848" s="5">
        <v>500000</v>
      </c>
      <c r="I1848" s="4" t="s">
        <v>21</v>
      </c>
      <c r="J1848" s="5">
        <f t="shared" si="28"/>
        <v>-1800600</v>
      </c>
      <c r="K1848" s="4" t="s">
        <v>37</v>
      </c>
      <c r="L1848" s="6">
        <v>3.6012</v>
      </c>
      <c r="M1848" s="6">
        <v>0.2777</v>
      </c>
      <c r="N1848" s="6">
        <v>3.6082999999999998</v>
      </c>
      <c r="O1848" s="6">
        <v>1</v>
      </c>
      <c r="P1848" s="5">
        <v>3575</v>
      </c>
      <c r="Q1848" s="4" t="s">
        <v>1392</v>
      </c>
    </row>
    <row r="1849" spans="1:17" x14ac:dyDescent="0.3">
      <c r="A1849" s="2" t="s">
        <v>1389</v>
      </c>
      <c r="B1849" s="3">
        <v>156287</v>
      </c>
      <c r="C1849" s="3">
        <v>216408</v>
      </c>
      <c r="D1849" s="4" t="s">
        <v>17</v>
      </c>
      <c r="E1849" s="4" t="s">
        <v>920</v>
      </c>
      <c r="F1849" s="4" t="s">
        <v>32</v>
      </c>
      <c r="G1849" s="4" t="s">
        <v>20</v>
      </c>
      <c r="H1849" s="5">
        <v>-200000</v>
      </c>
      <c r="I1849" s="4" t="s">
        <v>21</v>
      </c>
      <c r="J1849" s="5">
        <f t="shared" si="28"/>
        <v>842380</v>
      </c>
      <c r="K1849" s="4" t="s">
        <v>55</v>
      </c>
      <c r="L1849" s="6">
        <v>4.2119</v>
      </c>
      <c r="M1849" s="6">
        <v>0.2374</v>
      </c>
      <c r="N1849" s="6">
        <v>4.2008999999999999</v>
      </c>
      <c r="O1849" s="6">
        <v>1</v>
      </c>
      <c r="P1849" s="5">
        <v>3180</v>
      </c>
      <c r="Q1849" s="4" t="s">
        <v>1390</v>
      </c>
    </row>
    <row r="1850" spans="1:17" x14ac:dyDescent="0.3">
      <c r="A1850" s="2" t="s">
        <v>1389</v>
      </c>
      <c r="B1850" s="3">
        <v>156288</v>
      </c>
      <c r="C1850" s="3">
        <v>895268</v>
      </c>
      <c r="D1850" s="4" t="s">
        <v>81</v>
      </c>
      <c r="E1850" s="4" t="s">
        <v>735</v>
      </c>
      <c r="F1850" s="4" t="s">
        <v>87</v>
      </c>
      <c r="G1850" s="4" t="s">
        <v>20</v>
      </c>
      <c r="H1850" s="5">
        <v>500000</v>
      </c>
      <c r="I1850" s="4" t="s">
        <v>21</v>
      </c>
      <c r="J1850" s="5">
        <f t="shared" si="28"/>
        <v>-2104400</v>
      </c>
      <c r="K1850" s="4" t="s">
        <v>37</v>
      </c>
      <c r="L1850" s="6">
        <v>4.2088000000000001</v>
      </c>
      <c r="M1850" s="6">
        <v>0.23760000000000001</v>
      </c>
      <c r="N1850" s="6">
        <v>4.2115999999999998</v>
      </c>
      <c r="O1850" s="6">
        <v>1</v>
      </c>
      <c r="P1850" s="5">
        <v>1400</v>
      </c>
      <c r="Q1850" s="4" t="s">
        <v>1394</v>
      </c>
    </row>
    <row r="1851" spans="1:17" x14ac:dyDescent="0.3">
      <c r="A1851" s="2" t="s">
        <v>1389</v>
      </c>
      <c r="B1851" s="3">
        <v>156291</v>
      </c>
      <c r="C1851" s="3">
        <v>895275</v>
      </c>
      <c r="D1851" s="4" t="s">
        <v>81</v>
      </c>
      <c r="E1851" s="4" t="s">
        <v>742</v>
      </c>
      <c r="F1851" s="4" t="s">
        <v>87</v>
      </c>
      <c r="G1851" s="4" t="s">
        <v>20</v>
      </c>
      <c r="H1851" s="5">
        <v>2000000</v>
      </c>
      <c r="I1851" s="4" t="s">
        <v>21</v>
      </c>
      <c r="J1851" s="5">
        <f t="shared" si="28"/>
        <v>-8417000</v>
      </c>
      <c r="K1851" s="4" t="s">
        <v>37</v>
      </c>
      <c r="L1851" s="6">
        <v>4.2084999999999999</v>
      </c>
      <c r="M1851" s="6">
        <v>0.23760000000000001</v>
      </c>
      <c r="N1851" s="6">
        <v>4.2115999999999998</v>
      </c>
      <c r="O1851" s="6">
        <v>1</v>
      </c>
      <c r="P1851" s="5">
        <v>6200</v>
      </c>
      <c r="Q1851" s="4" t="s">
        <v>1396</v>
      </c>
    </row>
    <row r="1852" spans="1:17" x14ac:dyDescent="0.3">
      <c r="A1852" s="2" t="s">
        <v>1389</v>
      </c>
      <c r="B1852" s="3">
        <v>156292</v>
      </c>
      <c r="C1852" s="3">
        <v>895276</v>
      </c>
      <c r="D1852" s="4" t="s">
        <v>81</v>
      </c>
      <c r="E1852" s="4" t="s">
        <v>725</v>
      </c>
      <c r="F1852" s="4" t="s">
        <v>87</v>
      </c>
      <c r="G1852" s="4" t="s">
        <v>20</v>
      </c>
      <c r="H1852" s="5">
        <v>1000000</v>
      </c>
      <c r="I1852" s="4" t="s">
        <v>21</v>
      </c>
      <c r="J1852" s="5">
        <f t="shared" si="28"/>
        <v>-4208500</v>
      </c>
      <c r="K1852" s="4" t="s">
        <v>37</v>
      </c>
      <c r="L1852" s="6">
        <v>4.2084999999999999</v>
      </c>
      <c r="M1852" s="6">
        <v>0.23760000000000001</v>
      </c>
      <c r="N1852" s="6">
        <v>4.2115999999999998</v>
      </c>
      <c r="O1852" s="6">
        <v>1</v>
      </c>
      <c r="P1852" s="5">
        <v>3150</v>
      </c>
      <c r="Q1852" s="4" t="s">
        <v>1392</v>
      </c>
    </row>
    <row r="1853" spans="1:17" x14ac:dyDescent="0.3">
      <c r="A1853" s="2" t="s">
        <v>1389</v>
      </c>
      <c r="B1853" s="3">
        <v>156293</v>
      </c>
      <c r="C1853" s="3">
        <v>895280</v>
      </c>
      <c r="D1853" s="4" t="s">
        <v>81</v>
      </c>
      <c r="E1853" s="4" t="s">
        <v>725</v>
      </c>
      <c r="F1853" s="4" t="s">
        <v>87</v>
      </c>
      <c r="G1853" s="4" t="s">
        <v>20</v>
      </c>
      <c r="H1853" s="5">
        <v>1000000</v>
      </c>
      <c r="I1853" s="4" t="s">
        <v>21</v>
      </c>
      <c r="J1853" s="5">
        <f t="shared" si="28"/>
        <v>-4208500</v>
      </c>
      <c r="K1853" s="4" t="s">
        <v>37</v>
      </c>
      <c r="L1853" s="6">
        <v>4.2084999999999999</v>
      </c>
      <c r="M1853" s="6">
        <v>0.23760000000000001</v>
      </c>
      <c r="N1853" s="6">
        <v>4.2115999999999998</v>
      </c>
      <c r="O1853" s="6">
        <v>1</v>
      </c>
      <c r="P1853" s="5">
        <v>3100</v>
      </c>
      <c r="Q1853" s="4" t="s">
        <v>1392</v>
      </c>
    </row>
    <row r="1854" spans="1:17" x14ac:dyDescent="0.3">
      <c r="A1854" s="2" t="s">
        <v>1389</v>
      </c>
      <c r="B1854" s="3">
        <v>156294</v>
      </c>
      <c r="C1854" s="3">
        <v>216412</v>
      </c>
      <c r="D1854" s="4" t="s">
        <v>17</v>
      </c>
      <c r="E1854" s="4" t="s">
        <v>1201</v>
      </c>
      <c r="F1854" s="4" t="s">
        <v>32</v>
      </c>
      <c r="G1854" s="4" t="s">
        <v>20</v>
      </c>
      <c r="H1854" s="5">
        <v>-3000000</v>
      </c>
      <c r="I1854" s="4" t="s">
        <v>21</v>
      </c>
      <c r="J1854" s="5">
        <f t="shared" si="28"/>
        <v>12630900</v>
      </c>
      <c r="K1854" s="4" t="s">
        <v>47</v>
      </c>
      <c r="L1854" s="6">
        <v>4.2103000000000002</v>
      </c>
      <c r="M1854" s="6">
        <v>0.23749999999999999</v>
      </c>
      <c r="N1854" s="6">
        <v>4.2126999999999999</v>
      </c>
      <c r="O1854" s="6">
        <v>1</v>
      </c>
      <c r="P1854" s="5">
        <v>-7200</v>
      </c>
      <c r="Q1854" s="4" t="s">
        <v>1390</v>
      </c>
    </row>
    <row r="1855" spans="1:17" x14ac:dyDescent="0.3">
      <c r="A1855" s="2" t="s">
        <v>1389</v>
      </c>
      <c r="B1855" s="3">
        <v>156305</v>
      </c>
      <c r="C1855" s="3">
        <v>895319</v>
      </c>
      <c r="D1855" s="4" t="s">
        <v>81</v>
      </c>
      <c r="E1855" s="4" t="s">
        <v>734</v>
      </c>
      <c r="F1855" s="4" t="s">
        <v>83</v>
      </c>
      <c r="G1855" s="4" t="s">
        <v>34</v>
      </c>
      <c r="H1855" s="5">
        <v>-150000</v>
      </c>
      <c r="I1855" s="4" t="s">
        <v>104</v>
      </c>
      <c r="J1855" s="5">
        <f t="shared" si="28"/>
        <v>23676300.000000004</v>
      </c>
      <c r="K1855" s="4" t="s">
        <v>37</v>
      </c>
      <c r="L1855" s="6">
        <v>157.84200000000001</v>
      </c>
      <c r="M1855" s="6">
        <v>6.3E-3</v>
      </c>
      <c r="N1855" s="6">
        <v>3.6082999999999998</v>
      </c>
      <c r="O1855" s="6">
        <v>2.2710000000000001E-2</v>
      </c>
      <c r="P1855" s="5">
        <v>-3556.2269999998389</v>
      </c>
      <c r="Q1855" s="4" t="s">
        <v>1393</v>
      </c>
    </row>
    <row r="1856" spans="1:17" x14ac:dyDescent="0.3">
      <c r="A1856" s="2" t="s">
        <v>1389</v>
      </c>
      <c r="B1856" s="3">
        <v>156306</v>
      </c>
      <c r="C1856" s="3">
        <v>895323</v>
      </c>
      <c r="D1856" s="4" t="s">
        <v>81</v>
      </c>
      <c r="E1856" s="4" t="s">
        <v>734</v>
      </c>
      <c r="F1856" s="4" t="s">
        <v>83</v>
      </c>
      <c r="G1856" s="4" t="s">
        <v>20</v>
      </c>
      <c r="H1856" s="5">
        <v>-300000</v>
      </c>
      <c r="I1856" s="4" t="s">
        <v>91</v>
      </c>
      <c r="J1856" s="5">
        <f t="shared" si="28"/>
        <v>260250.00000000003</v>
      </c>
      <c r="K1856" s="4" t="s">
        <v>37</v>
      </c>
      <c r="L1856" s="6">
        <v>0.86750000000000005</v>
      </c>
      <c r="M1856" s="6">
        <v>1.1528</v>
      </c>
      <c r="N1856" s="6">
        <v>4.2115999999999998</v>
      </c>
      <c r="O1856" s="6">
        <v>4.8643999999999998</v>
      </c>
      <c r="P1856" s="5">
        <v>2450.9135999999999</v>
      </c>
      <c r="Q1856" s="4" t="s">
        <v>1393</v>
      </c>
    </row>
    <row r="1857" spans="1:17" x14ac:dyDescent="0.3">
      <c r="A1857" s="2" t="s">
        <v>1389</v>
      </c>
      <c r="B1857" s="3">
        <v>156307</v>
      </c>
      <c r="C1857" s="3">
        <v>895324</v>
      </c>
      <c r="D1857" s="4" t="s">
        <v>81</v>
      </c>
      <c r="E1857" s="4" t="s">
        <v>734</v>
      </c>
      <c r="F1857" s="4" t="s">
        <v>87</v>
      </c>
      <c r="G1857" s="4" t="s">
        <v>34</v>
      </c>
      <c r="H1857" s="5">
        <v>500000</v>
      </c>
      <c r="I1857" s="4" t="s">
        <v>21</v>
      </c>
      <c r="J1857" s="5">
        <f t="shared" si="28"/>
        <v>-1801350</v>
      </c>
      <c r="K1857" s="4" t="s">
        <v>37</v>
      </c>
      <c r="L1857" s="6">
        <v>3.6027</v>
      </c>
      <c r="M1857" s="6">
        <v>0.27760000000000001</v>
      </c>
      <c r="N1857" s="6">
        <v>3.6082999999999998</v>
      </c>
      <c r="O1857" s="6">
        <v>1</v>
      </c>
      <c r="P1857" s="5">
        <v>2800</v>
      </c>
      <c r="Q1857" s="4" t="s">
        <v>1393</v>
      </c>
    </row>
    <row r="1858" spans="1:17" x14ac:dyDescent="0.3">
      <c r="A1858" s="2" t="s">
        <v>1389</v>
      </c>
      <c r="B1858" s="3">
        <v>156309</v>
      </c>
      <c r="C1858" s="3">
        <v>895340</v>
      </c>
      <c r="D1858" s="4" t="s">
        <v>81</v>
      </c>
      <c r="E1858" s="4" t="s">
        <v>1062</v>
      </c>
      <c r="F1858" s="4" t="s">
        <v>87</v>
      </c>
      <c r="G1858" s="4" t="s">
        <v>20</v>
      </c>
      <c r="H1858" s="5">
        <v>20000</v>
      </c>
      <c r="I1858" s="4" t="s">
        <v>21</v>
      </c>
      <c r="J1858" s="5">
        <f t="shared" si="28"/>
        <v>-84060</v>
      </c>
      <c r="K1858" s="4" t="s">
        <v>37</v>
      </c>
      <c r="L1858" s="6">
        <v>4.2030000000000003</v>
      </c>
      <c r="M1858" s="6">
        <v>0.2379</v>
      </c>
      <c r="N1858" s="6">
        <v>4.2115999999999998</v>
      </c>
      <c r="O1858" s="6">
        <v>1</v>
      </c>
      <c r="P1858" s="5">
        <v>172</v>
      </c>
      <c r="Q1858" s="4" t="s">
        <v>1390</v>
      </c>
    </row>
    <row r="1859" spans="1:17" x14ac:dyDescent="0.3">
      <c r="A1859" s="2" t="s">
        <v>1389</v>
      </c>
      <c r="B1859" s="3">
        <v>156310</v>
      </c>
      <c r="C1859" s="3">
        <v>895341</v>
      </c>
      <c r="D1859" s="4" t="s">
        <v>81</v>
      </c>
      <c r="E1859" s="4" t="s">
        <v>1062</v>
      </c>
      <c r="F1859" s="4" t="s">
        <v>87</v>
      </c>
      <c r="G1859" s="4" t="s">
        <v>20</v>
      </c>
      <c r="H1859" s="5">
        <v>20000</v>
      </c>
      <c r="I1859" s="4" t="s">
        <v>21</v>
      </c>
      <c r="J1859" s="5">
        <f t="shared" si="28"/>
        <v>-84060</v>
      </c>
      <c r="K1859" s="4" t="s">
        <v>37</v>
      </c>
      <c r="L1859" s="6">
        <v>4.2030000000000003</v>
      </c>
      <c r="M1859" s="6">
        <v>0.2379</v>
      </c>
      <c r="N1859" s="6">
        <v>4.2115999999999998</v>
      </c>
      <c r="O1859" s="6">
        <v>1</v>
      </c>
      <c r="P1859" s="5">
        <v>172</v>
      </c>
      <c r="Q1859" s="4" t="s">
        <v>1390</v>
      </c>
    </row>
    <row r="1860" spans="1:17" x14ac:dyDescent="0.3">
      <c r="A1860" s="2" t="s">
        <v>1389</v>
      </c>
      <c r="B1860" s="3">
        <v>156311</v>
      </c>
      <c r="C1860" s="3">
        <v>895342</v>
      </c>
      <c r="D1860" s="4" t="s">
        <v>81</v>
      </c>
      <c r="E1860" s="4" t="s">
        <v>1062</v>
      </c>
      <c r="F1860" s="4" t="s">
        <v>87</v>
      </c>
      <c r="G1860" s="4" t="s">
        <v>20</v>
      </c>
      <c r="H1860" s="5">
        <v>20000</v>
      </c>
      <c r="I1860" s="4" t="s">
        <v>21</v>
      </c>
      <c r="J1860" s="5">
        <f t="shared" ref="J1860:J1923" si="29">-H1860*L1860</f>
        <v>-84060</v>
      </c>
      <c r="K1860" s="4" t="s">
        <v>37</v>
      </c>
      <c r="L1860" s="6">
        <v>4.2030000000000003</v>
      </c>
      <c r="M1860" s="6">
        <v>0.2379</v>
      </c>
      <c r="N1860" s="6">
        <v>4.2115999999999998</v>
      </c>
      <c r="O1860" s="6">
        <v>1</v>
      </c>
      <c r="P1860" s="5">
        <v>172</v>
      </c>
      <c r="Q1860" s="4" t="s">
        <v>1390</v>
      </c>
    </row>
    <row r="1861" spans="1:17" x14ac:dyDescent="0.3">
      <c r="A1861" s="2" t="s">
        <v>1389</v>
      </c>
      <c r="B1861" s="3">
        <v>156312</v>
      </c>
      <c r="C1861" s="3">
        <v>895343</v>
      </c>
      <c r="D1861" s="4" t="s">
        <v>81</v>
      </c>
      <c r="E1861" s="4" t="s">
        <v>1062</v>
      </c>
      <c r="F1861" s="4" t="s">
        <v>87</v>
      </c>
      <c r="G1861" s="4" t="s">
        <v>20</v>
      </c>
      <c r="H1861" s="5">
        <v>20000</v>
      </c>
      <c r="I1861" s="4" t="s">
        <v>21</v>
      </c>
      <c r="J1861" s="5">
        <f t="shared" si="29"/>
        <v>-84058</v>
      </c>
      <c r="K1861" s="4" t="s">
        <v>37</v>
      </c>
      <c r="L1861" s="6">
        <v>4.2028999999999996</v>
      </c>
      <c r="M1861" s="6">
        <v>0.2379</v>
      </c>
      <c r="N1861" s="6">
        <v>4.2115999999999998</v>
      </c>
      <c r="O1861" s="6">
        <v>1</v>
      </c>
      <c r="P1861" s="5">
        <v>174</v>
      </c>
      <c r="Q1861" s="4" t="s">
        <v>1390</v>
      </c>
    </row>
    <row r="1862" spans="1:17" x14ac:dyDescent="0.3">
      <c r="A1862" s="2" t="s">
        <v>1389</v>
      </c>
      <c r="B1862" s="3">
        <v>156313</v>
      </c>
      <c r="C1862" s="3">
        <v>216428</v>
      </c>
      <c r="D1862" s="4" t="s">
        <v>17</v>
      </c>
      <c r="E1862" s="4" t="s">
        <v>1104</v>
      </c>
      <c r="F1862" s="4" t="s">
        <v>19</v>
      </c>
      <c r="G1862" s="4" t="s">
        <v>20</v>
      </c>
      <c r="H1862" s="5">
        <v>20000</v>
      </c>
      <c r="I1862" s="4" t="s">
        <v>21</v>
      </c>
      <c r="J1862" s="5">
        <f t="shared" si="29"/>
        <v>-84040</v>
      </c>
      <c r="K1862" s="4" t="s">
        <v>47</v>
      </c>
      <c r="L1862" s="6">
        <v>4.202</v>
      </c>
      <c r="M1862" s="6">
        <v>0.23799999999999999</v>
      </c>
      <c r="N1862" s="6">
        <v>4.2126999999999999</v>
      </c>
      <c r="O1862" s="6">
        <v>1</v>
      </c>
      <c r="P1862" s="5">
        <v>214</v>
      </c>
      <c r="Q1862" s="4" t="s">
        <v>1390</v>
      </c>
    </row>
    <row r="1863" spans="1:17" x14ac:dyDescent="0.3">
      <c r="A1863" s="2" t="s">
        <v>1389</v>
      </c>
      <c r="B1863" s="3">
        <v>156315</v>
      </c>
      <c r="C1863" s="3">
        <v>895356</v>
      </c>
      <c r="D1863" s="4" t="s">
        <v>81</v>
      </c>
      <c r="E1863" s="4" t="s">
        <v>734</v>
      </c>
      <c r="F1863" s="4" t="s">
        <v>83</v>
      </c>
      <c r="G1863" s="4" t="s">
        <v>20</v>
      </c>
      <c r="H1863" s="5">
        <v>-500000</v>
      </c>
      <c r="I1863" s="4" t="s">
        <v>21</v>
      </c>
      <c r="J1863" s="5">
        <f t="shared" si="29"/>
        <v>2105050</v>
      </c>
      <c r="K1863" s="4" t="s">
        <v>37</v>
      </c>
      <c r="L1863" s="6">
        <v>4.2100999999999997</v>
      </c>
      <c r="M1863" s="6">
        <v>0.23749999999999999</v>
      </c>
      <c r="N1863" s="6">
        <v>4.2115999999999998</v>
      </c>
      <c r="O1863" s="6">
        <v>1</v>
      </c>
      <c r="P1863" s="5">
        <v>-750</v>
      </c>
      <c r="Q1863" s="4" t="s">
        <v>1393</v>
      </c>
    </row>
    <row r="1864" spans="1:17" x14ac:dyDescent="0.3">
      <c r="A1864" s="2" t="s">
        <v>1389</v>
      </c>
      <c r="B1864" s="3">
        <v>156316</v>
      </c>
      <c r="C1864" s="3">
        <v>216433</v>
      </c>
      <c r="D1864" s="4" t="s">
        <v>17</v>
      </c>
      <c r="E1864" s="4" t="s">
        <v>1077</v>
      </c>
      <c r="F1864" s="4" t="s">
        <v>19</v>
      </c>
      <c r="G1864" s="4" t="s">
        <v>20</v>
      </c>
      <c r="H1864" s="5">
        <v>25000</v>
      </c>
      <c r="I1864" s="4" t="s">
        <v>21</v>
      </c>
      <c r="J1864" s="5">
        <f t="shared" si="29"/>
        <v>-105197.50000000001</v>
      </c>
      <c r="K1864" s="4" t="s">
        <v>48</v>
      </c>
      <c r="L1864" s="6">
        <v>4.2079000000000004</v>
      </c>
      <c r="M1864" s="6">
        <v>0.23760000000000001</v>
      </c>
      <c r="N1864" s="6">
        <v>4.2096999999999998</v>
      </c>
      <c r="O1864" s="6">
        <v>1</v>
      </c>
      <c r="P1864" s="5">
        <v>44.999999999985448</v>
      </c>
      <c r="Q1864" s="4" t="s">
        <v>1390</v>
      </c>
    </row>
    <row r="1865" spans="1:17" x14ac:dyDescent="0.3">
      <c r="A1865" s="2" t="s">
        <v>1389</v>
      </c>
      <c r="B1865" s="3">
        <v>156317</v>
      </c>
      <c r="C1865" s="3">
        <v>216435</v>
      </c>
      <c r="D1865" s="4" t="s">
        <v>17</v>
      </c>
      <c r="E1865" s="4" t="s">
        <v>976</v>
      </c>
      <c r="F1865" s="4" t="s">
        <v>19</v>
      </c>
      <c r="G1865" s="4" t="s">
        <v>20</v>
      </c>
      <c r="H1865" s="5">
        <v>10000</v>
      </c>
      <c r="I1865" s="4" t="s">
        <v>21</v>
      </c>
      <c r="J1865" s="5">
        <f t="shared" si="29"/>
        <v>-41964</v>
      </c>
      <c r="K1865" s="4" t="s">
        <v>47</v>
      </c>
      <c r="L1865" s="6">
        <v>4.1963999999999997</v>
      </c>
      <c r="M1865" s="6">
        <v>0.23830000000000001</v>
      </c>
      <c r="N1865" s="6">
        <v>4.2126999999999999</v>
      </c>
      <c r="O1865" s="6">
        <v>1</v>
      </c>
      <c r="P1865" s="5">
        <v>163</v>
      </c>
      <c r="Q1865" s="4" t="s">
        <v>1390</v>
      </c>
    </row>
    <row r="1866" spans="1:17" x14ac:dyDescent="0.3">
      <c r="A1866" s="2" t="s">
        <v>1389</v>
      </c>
      <c r="B1866" s="3">
        <v>156318</v>
      </c>
      <c r="C1866" s="3">
        <v>216437</v>
      </c>
      <c r="D1866" s="4" t="s">
        <v>17</v>
      </c>
      <c r="E1866" s="4" t="s">
        <v>1050</v>
      </c>
      <c r="F1866" s="4" t="s">
        <v>32</v>
      </c>
      <c r="G1866" s="4" t="s">
        <v>34</v>
      </c>
      <c r="H1866" s="5">
        <v>-5000</v>
      </c>
      <c r="I1866" s="4" t="s">
        <v>21</v>
      </c>
      <c r="J1866" s="5">
        <f t="shared" si="29"/>
        <v>18009.5</v>
      </c>
      <c r="K1866" s="4" t="s">
        <v>47</v>
      </c>
      <c r="L1866" s="6">
        <v>3.6019000000000001</v>
      </c>
      <c r="M1866" s="6">
        <v>0.27760000000000001</v>
      </c>
      <c r="N1866" s="6">
        <v>3.6183999999999998</v>
      </c>
      <c r="O1866" s="6">
        <v>1</v>
      </c>
      <c r="P1866" s="5">
        <v>-82.5</v>
      </c>
      <c r="Q1866" s="4" t="s">
        <v>1390</v>
      </c>
    </row>
    <row r="1867" spans="1:17" x14ac:dyDescent="0.3">
      <c r="A1867" s="2" t="s">
        <v>1389</v>
      </c>
      <c r="B1867" s="3">
        <v>156319</v>
      </c>
      <c r="C1867" s="3">
        <v>216443</v>
      </c>
      <c r="D1867" s="4" t="s">
        <v>17</v>
      </c>
      <c r="E1867" s="4" t="s">
        <v>1276</v>
      </c>
      <c r="F1867" s="4" t="s">
        <v>32</v>
      </c>
      <c r="G1867" s="4" t="s">
        <v>34</v>
      </c>
      <c r="H1867" s="5">
        <v>-27500</v>
      </c>
      <c r="I1867" s="4" t="s">
        <v>21</v>
      </c>
      <c r="J1867" s="5">
        <f t="shared" si="29"/>
        <v>99247.5</v>
      </c>
      <c r="K1867" s="4" t="s">
        <v>47</v>
      </c>
      <c r="L1867" s="6">
        <v>3.609</v>
      </c>
      <c r="M1867" s="6">
        <v>0.27710000000000001</v>
      </c>
      <c r="N1867" s="6">
        <v>3.6183999999999998</v>
      </c>
      <c r="O1867" s="6">
        <v>1</v>
      </c>
      <c r="P1867" s="5">
        <v>-258.5</v>
      </c>
      <c r="Q1867" s="4" t="s">
        <v>1390</v>
      </c>
    </row>
    <row r="1868" spans="1:17" x14ac:dyDescent="0.3">
      <c r="A1868" s="2" t="s">
        <v>1389</v>
      </c>
      <c r="B1868" s="3">
        <v>156322</v>
      </c>
      <c r="C1868" s="3">
        <v>216448</v>
      </c>
      <c r="D1868" s="4" t="s">
        <v>17</v>
      </c>
      <c r="E1868" s="4" t="s">
        <v>937</v>
      </c>
      <c r="F1868" s="4" t="s">
        <v>32</v>
      </c>
      <c r="G1868" s="4" t="s">
        <v>34</v>
      </c>
      <c r="H1868" s="5">
        <v>-6500</v>
      </c>
      <c r="I1868" s="4" t="s">
        <v>21</v>
      </c>
      <c r="J1868" s="5">
        <f t="shared" si="29"/>
        <v>23435.1</v>
      </c>
      <c r="K1868" s="4" t="s">
        <v>48</v>
      </c>
      <c r="L1868" s="6">
        <v>3.6053999999999999</v>
      </c>
      <c r="M1868" s="6">
        <v>0.27739999999999998</v>
      </c>
      <c r="N1868" s="6">
        <v>3.6036999999999999</v>
      </c>
      <c r="O1868" s="6">
        <v>1</v>
      </c>
      <c r="P1868" s="5">
        <v>11.05</v>
      </c>
      <c r="Q1868" s="4" t="s">
        <v>1390</v>
      </c>
    </row>
    <row r="1869" spans="1:17" x14ac:dyDescent="0.3">
      <c r="A1869" s="2" t="s">
        <v>1389</v>
      </c>
      <c r="B1869" s="3">
        <v>156323</v>
      </c>
      <c r="C1869" s="3">
        <v>216451</v>
      </c>
      <c r="D1869" s="4" t="s">
        <v>17</v>
      </c>
      <c r="E1869" s="4" t="s">
        <v>1371</v>
      </c>
      <c r="F1869" s="4" t="s">
        <v>32</v>
      </c>
      <c r="G1869" s="4" t="s">
        <v>91</v>
      </c>
      <c r="H1869" s="5">
        <v>-185000</v>
      </c>
      <c r="I1869" s="4" t="s">
        <v>21</v>
      </c>
      <c r="J1869" s="5">
        <f t="shared" si="29"/>
        <v>900062</v>
      </c>
      <c r="K1869" s="4" t="s">
        <v>47</v>
      </c>
      <c r="L1869" s="6">
        <v>4.8651999999999997</v>
      </c>
      <c r="M1869" s="6">
        <v>0.20549999999999999</v>
      </c>
      <c r="N1869" s="6">
        <v>4.8525</v>
      </c>
      <c r="O1869" s="6">
        <v>1</v>
      </c>
      <c r="P1869" s="5">
        <v>2460.5</v>
      </c>
      <c r="Q1869" s="4" t="s">
        <v>1390</v>
      </c>
    </row>
    <row r="1870" spans="1:17" x14ac:dyDescent="0.3">
      <c r="A1870" s="2" t="s">
        <v>1389</v>
      </c>
      <c r="B1870" s="3">
        <v>156324</v>
      </c>
      <c r="C1870" s="3">
        <v>895432</v>
      </c>
      <c r="D1870" s="4" t="s">
        <v>81</v>
      </c>
      <c r="E1870" s="4" t="s">
        <v>735</v>
      </c>
      <c r="F1870" s="4" t="s">
        <v>87</v>
      </c>
      <c r="G1870" s="4" t="s">
        <v>91</v>
      </c>
      <c r="H1870" s="5">
        <v>200000</v>
      </c>
      <c r="I1870" s="4" t="s">
        <v>21</v>
      </c>
      <c r="J1870" s="5">
        <f t="shared" si="29"/>
        <v>-970980</v>
      </c>
      <c r="K1870" s="4" t="s">
        <v>37</v>
      </c>
      <c r="L1870" s="6">
        <v>4.8548999999999998</v>
      </c>
      <c r="M1870" s="6">
        <v>0.20599999999999999</v>
      </c>
      <c r="N1870" s="6">
        <v>4.8643999999999998</v>
      </c>
      <c r="O1870" s="6">
        <v>1</v>
      </c>
      <c r="P1870" s="5">
        <v>1900</v>
      </c>
      <c r="Q1870" s="4" t="s">
        <v>1394</v>
      </c>
    </row>
    <row r="1871" spans="1:17" x14ac:dyDescent="0.3">
      <c r="A1871" s="2" t="s">
        <v>1389</v>
      </c>
      <c r="B1871" s="3">
        <v>156325</v>
      </c>
      <c r="C1871" s="3">
        <v>895433</v>
      </c>
      <c r="D1871" s="4" t="s">
        <v>81</v>
      </c>
      <c r="E1871" s="4" t="s">
        <v>735</v>
      </c>
      <c r="F1871" s="4" t="s">
        <v>87</v>
      </c>
      <c r="G1871" s="4" t="s">
        <v>91</v>
      </c>
      <c r="H1871" s="5">
        <v>200000</v>
      </c>
      <c r="I1871" s="4" t="s">
        <v>21</v>
      </c>
      <c r="J1871" s="5">
        <f t="shared" si="29"/>
        <v>-970940</v>
      </c>
      <c r="K1871" s="4" t="s">
        <v>37</v>
      </c>
      <c r="L1871" s="6">
        <v>4.8547000000000002</v>
      </c>
      <c r="M1871" s="6">
        <v>0.20599999999999999</v>
      </c>
      <c r="N1871" s="6">
        <v>4.8643999999999998</v>
      </c>
      <c r="O1871" s="6">
        <v>1</v>
      </c>
      <c r="P1871" s="5">
        <v>1940</v>
      </c>
      <c r="Q1871" s="4" t="s">
        <v>1394</v>
      </c>
    </row>
    <row r="1872" spans="1:17" x14ac:dyDescent="0.3">
      <c r="A1872" s="2" t="s">
        <v>1389</v>
      </c>
      <c r="B1872" s="3">
        <v>156326</v>
      </c>
      <c r="C1872" s="3">
        <v>216457</v>
      </c>
      <c r="D1872" s="4" t="s">
        <v>17</v>
      </c>
      <c r="E1872" s="4" t="s">
        <v>1077</v>
      </c>
      <c r="F1872" s="4" t="s">
        <v>19</v>
      </c>
      <c r="G1872" s="4" t="s">
        <v>20</v>
      </c>
      <c r="H1872" s="5">
        <v>25000</v>
      </c>
      <c r="I1872" s="4" t="s">
        <v>21</v>
      </c>
      <c r="J1872" s="5">
        <f t="shared" si="29"/>
        <v>-105210</v>
      </c>
      <c r="K1872" s="4" t="s">
        <v>48</v>
      </c>
      <c r="L1872" s="6">
        <v>4.2084000000000001</v>
      </c>
      <c r="M1872" s="6">
        <v>0.23760000000000001</v>
      </c>
      <c r="N1872" s="6">
        <v>4.2096999999999998</v>
      </c>
      <c r="O1872" s="6">
        <v>1</v>
      </c>
      <c r="P1872" s="5">
        <v>32.5</v>
      </c>
      <c r="Q1872" s="4" t="s">
        <v>1390</v>
      </c>
    </row>
    <row r="1873" spans="1:17" x14ac:dyDescent="0.3">
      <c r="A1873" s="2" t="s">
        <v>1389</v>
      </c>
      <c r="B1873" s="3">
        <v>156327</v>
      </c>
      <c r="C1873" s="3">
        <v>895448</v>
      </c>
      <c r="D1873" s="4" t="s">
        <v>81</v>
      </c>
      <c r="E1873" s="4" t="s">
        <v>734</v>
      </c>
      <c r="F1873" s="4" t="s">
        <v>87</v>
      </c>
      <c r="G1873" s="4" t="s">
        <v>20</v>
      </c>
      <c r="H1873" s="5">
        <v>300000</v>
      </c>
      <c r="I1873" s="4" t="s">
        <v>91</v>
      </c>
      <c r="J1873" s="5">
        <f t="shared" si="29"/>
        <v>-260280</v>
      </c>
      <c r="K1873" s="4" t="s">
        <v>37</v>
      </c>
      <c r="L1873" s="6">
        <v>0.86760000000000004</v>
      </c>
      <c r="M1873" s="6">
        <v>1.1526000000000001</v>
      </c>
      <c r="N1873" s="6">
        <v>4.2115999999999998</v>
      </c>
      <c r="O1873" s="6">
        <v>4.8643999999999998</v>
      </c>
      <c r="P1873" s="5">
        <v>-2582.2523999999999</v>
      </c>
      <c r="Q1873" s="4" t="s">
        <v>1393</v>
      </c>
    </row>
    <row r="1874" spans="1:17" x14ac:dyDescent="0.3">
      <c r="A1874" s="2" t="s">
        <v>1389</v>
      </c>
      <c r="B1874" s="3">
        <v>156328</v>
      </c>
      <c r="C1874" s="3">
        <v>895455</v>
      </c>
      <c r="D1874" s="4" t="s">
        <v>81</v>
      </c>
      <c r="E1874" s="4" t="s">
        <v>735</v>
      </c>
      <c r="F1874" s="4" t="s">
        <v>83</v>
      </c>
      <c r="G1874" s="4" t="s">
        <v>20</v>
      </c>
      <c r="H1874" s="5">
        <v>-500000</v>
      </c>
      <c r="I1874" s="4" t="s">
        <v>21</v>
      </c>
      <c r="J1874" s="5">
        <f t="shared" si="29"/>
        <v>2105650</v>
      </c>
      <c r="K1874" s="4" t="s">
        <v>37</v>
      </c>
      <c r="L1874" s="6">
        <v>4.2112999999999996</v>
      </c>
      <c r="M1874" s="6">
        <v>0.23749999999999999</v>
      </c>
      <c r="N1874" s="6">
        <v>4.2115999999999998</v>
      </c>
      <c r="O1874" s="6">
        <v>1</v>
      </c>
      <c r="P1874" s="5">
        <v>-150</v>
      </c>
      <c r="Q1874" s="4" t="s">
        <v>1394</v>
      </c>
    </row>
    <row r="1875" spans="1:17" x14ac:dyDescent="0.3">
      <c r="A1875" s="2" t="s">
        <v>1389</v>
      </c>
      <c r="B1875" s="3">
        <v>156329</v>
      </c>
      <c r="C1875" s="3">
        <v>895456</v>
      </c>
      <c r="D1875" s="4" t="s">
        <v>81</v>
      </c>
      <c r="E1875" s="4" t="s">
        <v>732</v>
      </c>
      <c r="F1875" s="4" t="s">
        <v>83</v>
      </c>
      <c r="G1875" s="4" t="s">
        <v>20</v>
      </c>
      <c r="H1875" s="5">
        <v>-500000</v>
      </c>
      <c r="I1875" s="4" t="s">
        <v>21</v>
      </c>
      <c r="J1875" s="5">
        <f t="shared" si="29"/>
        <v>2105650</v>
      </c>
      <c r="K1875" s="4" t="s">
        <v>37</v>
      </c>
      <c r="L1875" s="6">
        <v>4.2112999999999996</v>
      </c>
      <c r="M1875" s="6">
        <v>0.23749999999999999</v>
      </c>
      <c r="N1875" s="6">
        <v>4.2115999999999998</v>
      </c>
      <c r="O1875" s="6">
        <v>1</v>
      </c>
      <c r="P1875" s="5">
        <v>-130</v>
      </c>
      <c r="Q1875" s="4" t="s">
        <v>1394</v>
      </c>
    </row>
    <row r="1876" spans="1:17" x14ac:dyDescent="0.3">
      <c r="A1876" s="2" t="s">
        <v>1389</v>
      </c>
      <c r="B1876" s="3">
        <v>156330</v>
      </c>
      <c r="C1876" s="3">
        <v>216462</v>
      </c>
      <c r="D1876" s="4" t="s">
        <v>17</v>
      </c>
      <c r="E1876" s="4" t="s">
        <v>841</v>
      </c>
      <c r="F1876" s="4" t="s">
        <v>32</v>
      </c>
      <c r="G1876" s="4" t="s">
        <v>20</v>
      </c>
      <c r="H1876" s="5">
        <v>-18500</v>
      </c>
      <c r="I1876" s="4" t="s">
        <v>21</v>
      </c>
      <c r="J1876" s="5">
        <f t="shared" si="29"/>
        <v>78051.5</v>
      </c>
      <c r="K1876" s="4" t="s">
        <v>47</v>
      </c>
      <c r="L1876" s="6">
        <v>4.2190000000000003</v>
      </c>
      <c r="M1876" s="6">
        <v>0.23699999999999999</v>
      </c>
      <c r="N1876" s="6">
        <v>4.2126999999999999</v>
      </c>
      <c r="O1876" s="6">
        <v>1</v>
      </c>
      <c r="P1876" s="5">
        <v>116.55</v>
      </c>
      <c r="Q1876" s="4" t="s">
        <v>1390</v>
      </c>
    </row>
    <row r="1877" spans="1:17" x14ac:dyDescent="0.3">
      <c r="A1877" s="2" t="s">
        <v>1389</v>
      </c>
      <c r="B1877" s="3">
        <v>156331</v>
      </c>
      <c r="C1877" s="3">
        <v>216463</v>
      </c>
      <c r="D1877" s="4" t="s">
        <v>17</v>
      </c>
      <c r="E1877" s="4" t="s">
        <v>1284</v>
      </c>
      <c r="F1877" s="4" t="s">
        <v>19</v>
      </c>
      <c r="G1877" s="4" t="s">
        <v>20</v>
      </c>
      <c r="H1877" s="5">
        <v>600000</v>
      </c>
      <c r="I1877" s="4" t="s">
        <v>21</v>
      </c>
      <c r="J1877" s="5">
        <f t="shared" si="29"/>
        <v>-2521440</v>
      </c>
      <c r="K1877" s="4" t="s">
        <v>47</v>
      </c>
      <c r="L1877" s="6">
        <v>4.2023999999999999</v>
      </c>
      <c r="M1877" s="6">
        <v>0.23799999999999999</v>
      </c>
      <c r="N1877" s="6">
        <v>4.2126999999999999</v>
      </c>
      <c r="O1877" s="6">
        <v>1</v>
      </c>
      <c r="P1877" s="5">
        <v>6180</v>
      </c>
      <c r="Q1877" s="4" t="s">
        <v>1390</v>
      </c>
    </row>
    <row r="1878" spans="1:17" x14ac:dyDescent="0.3">
      <c r="A1878" s="2" t="s">
        <v>1389</v>
      </c>
      <c r="B1878" s="3">
        <v>156332</v>
      </c>
      <c r="C1878" s="3">
        <v>895466</v>
      </c>
      <c r="D1878" s="4" t="s">
        <v>81</v>
      </c>
      <c r="E1878" s="4" t="s">
        <v>736</v>
      </c>
      <c r="F1878" s="4" t="s">
        <v>87</v>
      </c>
      <c r="G1878" s="4" t="s">
        <v>74</v>
      </c>
      <c r="H1878" s="5">
        <v>430000</v>
      </c>
      <c r="I1878" s="4" t="s">
        <v>21</v>
      </c>
      <c r="J1878" s="5">
        <f t="shared" si="29"/>
        <v>-154026</v>
      </c>
      <c r="K1878" s="4" t="s">
        <v>37</v>
      </c>
      <c r="L1878" s="6">
        <v>0.35820000000000002</v>
      </c>
      <c r="M1878" s="6">
        <v>2.7917000000000001</v>
      </c>
      <c r="N1878" s="6">
        <v>0.35809999999999997</v>
      </c>
      <c r="O1878" s="6">
        <v>1</v>
      </c>
      <c r="P1878" s="5">
        <v>-43</v>
      </c>
      <c r="Q1878" s="4" t="s">
        <v>1390</v>
      </c>
    </row>
    <row r="1879" spans="1:17" x14ac:dyDescent="0.3">
      <c r="A1879" s="2" t="s">
        <v>1389</v>
      </c>
      <c r="B1879" s="3">
        <v>156333</v>
      </c>
      <c r="C1879" s="3">
        <v>895470</v>
      </c>
      <c r="D1879" s="4" t="s">
        <v>81</v>
      </c>
      <c r="E1879" s="4" t="s">
        <v>736</v>
      </c>
      <c r="F1879" s="4" t="s">
        <v>87</v>
      </c>
      <c r="G1879" s="4" t="s">
        <v>84</v>
      </c>
      <c r="H1879" s="5">
        <v>290000</v>
      </c>
      <c r="I1879" s="4" t="s">
        <v>21</v>
      </c>
      <c r="J1879" s="5">
        <f t="shared" si="29"/>
        <v>-114057</v>
      </c>
      <c r="K1879" s="4" t="s">
        <v>37</v>
      </c>
      <c r="L1879" s="6">
        <v>0.39329999999999998</v>
      </c>
      <c r="M1879" s="6">
        <v>2.5426000000000002</v>
      </c>
      <c r="N1879" s="6">
        <v>0.39319999999999999</v>
      </c>
      <c r="O1879" s="6">
        <v>1</v>
      </c>
      <c r="P1879" s="5">
        <v>-29</v>
      </c>
      <c r="Q1879" s="4" t="s">
        <v>1390</v>
      </c>
    </row>
    <row r="1880" spans="1:17" x14ac:dyDescent="0.3">
      <c r="A1880" s="2" t="s">
        <v>1389</v>
      </c>
      <c r="B1880" s="3">
        <v>156334</v>
      </c>
      <c r="C1880" s="3">
        <v>895480</v>
      </c>
      <c r="D1880" s="4" t="s">
        <v>81</v>
      </c>
      <c r="E1880" s="4" t="s">
        <v>742</v>
      </c>
      <c r="F1880" s="4" t="s">
        <v>87</v>
      </c>
      <c r="G1880" s="4" t="s">
        <v>20</v>
      </c>
      <c r="H1880" s="5">
        <v>500000</v>
      </c>
      <c r="I1880" s="4" t="s">
        <v>21</v>
      </c>
      <c r="J1880" s="5">
        <f t="shared" si="29"/>
        <v>-2105900</v>
      </c>
      <c r="K1880" s="4" t="s">
        <v>37</v>
      </c>
      <c r="L1880" s="6">
        <v>4.2118000000000002</v>
      </c>
      <c r="M1880" s="6">
        <v>0.2374</v>
      </c>
      <c r="N1880" s="6">
        <v>4.2115999999999998</v>
      </c>
      <c r="O1880" s="6">
        <v>1</v>
      </c>
      <c r="P1880" s="5">
        <v>-80</v>
      </c>
      <c r="Q1880" s="4" t="s">
        <v>1396</v>
      </c>
    </row>
    <row r="1881" spans="1:17" x14ac:dyDescent="0.3">
      <c r="A1881" s="2" t="s">
        <v>1389</v>
      </c>
      <c r="B1881" s="3">
        <v>156335</v>
      </c>
      <c r="C1881" s="3">
        <v>216470</v>
      </c>
      <c r="D1881" s="4" t="s">
        <v>17</v>
      </c>
      <c r="E1881" s="4" t="s">
        <v>790</v>
      </c>
      <c r="F1881" s="4" t="s">
        <v>32</v>
      </c>
      <c r="G1881" s="4" t="s">
        <v>20</v>
      </c>
      <c r="H1881" s="5">
        <v>-355170.7</v>
      </c>
      <c r="I1881" s="4" t="s">
        <v>21</v>
      </c>
      <c r="J1881" s="5">
        <f t="shared" si="29"/>
        <v>1500951.3782000002</v>
      </c>
      <c r="K1881" s="4" t="s">
        <v>47</v>
      </c>
      <c r="L1881" s="6">
        <v>4.226</v>
      </c>
      <c r="M1881" s="6">
        <v>0.2366</v>
      </c>
      <c r="N1881" s="6">
        <v>4.2126999999999999</v>
      </c>
      <c r="O1881" s="6">
        <v>1</v>
      </c>
      <c r="P1881" s="5">
        <v>4723.7721099999999</v>
      </c>
      <c r="Q1881" s="4" t="s">
        <v>1390</v>
      </c>
    </row>
    <row r="1882" spans="1:17" x14ac:dyDescent="0.3">
      <c r="A1882" s="2" t="s">
        <v>1389</v>
      </c>
      <c r="B1882" s="3">
        <v>156336</v>
      </c>
      <c r="C1882" s="3">
        <v>895535</v>
      </c>
      <c r="D1882" s="4" t="s">
        <v>81</v>
      </c>
      <c r="E1882" s="4" t="s">
        <v>1090</v>
      </c>
      <c r="F1882" s="4" t="s">
        <v>87</v>
      </c>
      <c r="G1882" s="4" t="s">
        <v>20</v>
      </c>
      <c r="H1882" s="5">
        <v>26000</v>
      </c>
      <c r="I1882" s="4" t="s">
        <v>21</v>
      </c>
      <c r="J1882" s="5">
        <f t="shared" si="29"/>
        <v>-109155.79999999999</v>
      </c>
      <c r="K1882" s="4" t="s">
        <v>37</v>
      </c>
      <c r="L1882" s="6">
        <v>4.1982999999999997</v>
      </c>
      <c r="M1882" s="6">
        <v>0.2382</v>
      </c>
      <c r="N1882" s="6">
        <v>4.2115999999999998</v>
      </c>
      <c r="O1882" s="6">
        <v>1</v>
      </c>
      <c r="P1882" s="5">
        <v>345.8</v>
      </c>
      <c r="Q1882" s="4" t="s">
        <v>1390</v>
      </c>
    </row>
    <row r="1883" spans="1:17" x14ac:dyDescent="0.3">
      <c r="A1883" s="2" t="s">
        <v>1389</v>
      </c>
      <c r="B1883" s="3">
        <v>156337</v>
      </c>
      <c r="C1883" s="3">
        <v>895559</v>
      </c>
      <c r="D1883" s="4" t="s">
        <v>81</v>
      </c>
      <c r="E1883" s="4" t="s">
        <v>733</v>
      </c>
      <c r="F1883" s="4" t="s">
        <v>83</v>
      </c>
      <c r="G1883" s="4" t="s">
        <v>20</v>
      </c>
      <c r="H1883" s="5">
        <v>-500000</v>
      </c>
      <c r="I1883" s="4" t="s">
        <v>21</v>
      </c>
      <c r="J1883" s="5">
        <f t="shared" si="29"/>
        <v>2105800</v>
      </c>
      <c r="K1883" s="4" t="s">
        <v>37</v>
      </c>
      <c r="L1883" s="6">
        <v>4.2115999999999998</v>
      </c>
      <c r="M1883" s="6">
        <v>0.2374</v>
      </c>
      <c r="N1883" s="6">
        <v>4.2115999999999998</v>
      </c>
      <c r="O1883" s="6">
        <v>1</v>
      </c>
      <c r="P1883" s="5">
        <v>5</v>
      </c>
      <c r="Q1883" s="4" t="s">
        <v>1391</v>
      </c>
    </row>
    <row r="1884" spans="1:17" x14ac:dyDescent="0.3">
      <c r="A1884" s="2" t="s">
        <v>1389</v>
      </c>
      <c r="B1884" s="3">
        <v>156338</v>
      </c>
      <c r="C1884" s="3">
        <v>216474</v>
      </c>
      <c r="D1884" s="4" t="s">
        <v>17</v>
      </c>
      <c r="E1884" s="4" t="s">
        <v>963</v>
      </c>
      <c r="F1884" s="4" t="s">
        <v>19</v>
      </c>
      <c r="G1884" s="4" t="s">
        <v>20</v>
      </c>
      <c r="H1884" s="5">
        <v>180000</v>
      </c>
      <c r="I1884" s="4" t="s">
        <v>21</v>
      </c>
      <c r="J1884" s="5">
        <f t="shared" si="29"/>
        <v>-752400</v>
      </c>
      <c r="K1884" s="4" t="s">
        <v>47</v>
      </c>
      <c r="L1884" s="6">
        <v>4.18</v>
      </c>
      <c r="M1884" s="6">
        <v>0.2392</v>
      </c>
      <c r="N1884" s="6">
        <v>4.2126999999999999</v>
      </c>
      <c r="O1884" s="6">
        <v>1</v>
      </c>
      <c r="P1884" s="5">
        <v>5886</v>
      </c>
      <c r="Q1884" s="4" t="s">
        <v>1390</v>
      </c>
    </row>
    <row r="1885" spans="1:17" x14ac:dyDescent="0.3">
      <c r="A1885" s="2" t="s">
        <v>1389</v>
      </c>
      <c r="B1885" s="3">
        <v>156339</v>
      </c>
      <c r="C1885" s="3">
        <v>216476</v>
      </c>
      <c r="D1885" s="4" t="s">
        <v>17</v>
      </c>
      <c r="E1885" s="4" t="s">
        <v>1063</v>
      </c>
      <c r="F1885" s="4" t="s">
        <v>32</v>
      </c>
      <c r="G1885" s="4" t="s">
        <v>34</v>
      </c>
      <c r="H1885" s="5">
        <v>-3000</v>
      </c>
      <c r="I1885" s="4" t="s">
        <v>21</v>
      </c>
      <c r="J1885" s="5">
        <f t="shared" si="29"/>
        <v>10833</v>
      </c>
      <c r="K1885" s="4" t="s">
        <v>47</v>
      </c>
      <c r="L1885" s="6">
        <v>3.6110000000000002</v>
      </c>
      <c r="M1885" s="6">
        <v>0.27689999999999998</v>
      </c>
      <c r="N1885" s="6">
        <v>3.6183999999999998</v>
      </c>
      <c r="O1885" s="6">
        <v>1</v>
      </c>
      <c r="P1885" s="5">
        <v>-22.2</v>
      </c>
      <c r="Q1885" s="4" t="s">
        <v>1390</v>
      </c>
    </row>
    <row r="1886" spans="1:17" x14ac:dyDescent="0.3">
      <c r="A1886" s="2" t="s">
        <v>1389</v>
      </c>
      <c r="B1886" s="3">
        <v>156343</v>
      </c>
      <c r="C1886" s="3">
        <v>895572</v>
      </c>
      <c r="D1886" s="4" t="s">
        <v>81</v>
      </c>
      <c r="E1886" s="4" t="s">
        <v>733</v>
      </c>
      <c r="F1886" s="4" t="s">
        <v>83</v>
      </c>
      <c r="G1886" s="4" t="s">
        <v>20</v>
      </c>
      <c r="H1886" s="5">
        <v>-500000</v>
      </c>
      <c r="I1886" s="4" t="s">
        <v>21</v>
      </c>
      <c r="J1886" s="5">
        <f t="shared" si="29"/>
        <v>2106400</v>
      </c>
      <c r="K1886" s="4" t="s">
        <v>37</v>
      </c>
      <c r="L1886" s="6">
        <v>4.2127999999999997</v>
      </c>
      <c r="M1886" s="6">
        <v>0.2374</v>
      </c>
      <c r="N1886" s="6">
        <v>4.2115999999999998</v>
      </c>
      <c r="O1886" s="6">
        <v>1</v>
      </c>
      <c r="P1886" s="5">
        <v>590</v>
      </c>
      <c r="Q1886" s="4" t="s">
        <v>1391</v>
      </c>
    </row>
    <row r="1887" spans="1:17" x14ac:dyDescent="0.3">
      <c r="A1887" s="2" t="s">
        <v>1389</v>
      </c>
      <c r="B1887" s="3">
        <v>156344</v>
      </c>
      <c r="C1887" s="3">
        <v>216478</v>
      </c>
      <c r="D1887" s="4" t="s">
        <v>17</v>
      </c>
      <c r="E1887" s="4" t="s">
        <v>790</v>
      </c>
      <c r="F1887" s="4" t="s">
        <v>32</v>
      </c>
      <c r="G1887" s="4" t="s">
        <v>20</v>
      </c>
      <c r="H1887" s="5">
        <v>-47606.22</v>
      </c>
      <c r="I1887" s="4" t="s">
        <v>21</v>
      </c>
      <c r="J1887" s="5">
        <f t="shared" si="29"/>
        <v>201183.88571999999</v>
      </c>
      <c r="K1887" s="4" t="s">
        <v>47</v>
      </c>
      <c r="L1887" s="6">
        <v>4.226</v>
      </c>
      <c r="M1887" s="6">
        <v>0.2366</v>
      </c>
      <c r="N1887" s="6">
        <v>4.2126999999999999</v>
      </c>
      <c r="O1887" s="6">
        <v>1</v>
      </c>
      <c r="P1887" s="5">
        <v>633.16700600000001</v>
      </c>
      <c r="Q1887" s="4" t="s">
        <v>1390</v>
      </c>
    </row>
    <row r="1888" spans="1:17" x14ac:dyDescent="0.3">
      <c r="A1888" s="2" t="s">
        <v>1389</v>
      </c>
      <c r="B1888" s="3">
        <v>156349</v>
      </c>
      <c r="C1888" s="3">
        <v>895609</v>
      </c>
      <c r="D1888" s="4" t="s">
        <v>81</v>
      </c>
      <c r="E1888" s="4" t="s">
        <v>735</v>
      </c>
      <c r="F1888" s="4" t="s">
        <v>83</v>
      </c>
      <c r="G1888" s="4" t="s">
        <v>20</v>
      </c>
      <c r="H1888" s="5">
        <v>-500000</v>
      </c>
      <c r="I1888" s="4" t="s">
        <v>21</v>
      </c>
      <c r="J1888" s="5">
        <f t="shared" si="29"/>
        <v>2106450</v>
      </c>
      <c r="K1888" s="4" t="s">
        <v>37</v>
      </c>
      <c r="L1888" s="6">
        <v>4.2129000000000003</v>
      </c>
      <c r="M1888" s="6">
        <v>0.2374</v>
      </c>
      <c r="N1888" s="6">
        <v>4.2115999999999998</v>
      </c>
      <c r="O1888" s="6">
        <v>1</v>
      </c>
      <c r="P1888" s="5">
        <v>650</v>
      </c>
      <c r="Q1888" s="4" t="s">
        <v>1394</v>
      </c>
    </row>
    <row r="1889" spans="1:17" x14ac:dyDescent="0.3">
      <c r="A1889" s="2" t="s">
        <v>1389</v>
      </c>
      <c r="B1889" s="3">
        <v>156350</v>
      </c>
      <c r="C1889" s="3">
        <v>895630</v>
      </c>
      <c r="D1889" s="4" t="s">
        <v>81</v>
      </c>
      <c r="E1889" s="4" t="s">
        <v>744</v>
      </c>
      <c r="F1889" s="4" t="s">
        <v>83</v>
      </c>
      <c r="G1889" s="4" t="s">
        <v>20</v>
      </c>
      <c r="H1889" s="5">
        <v>-1000000</v>
      </c>
      <c r="I1889" s="4" t="s">
        <v>93</v>
      </c>
      <c r="J1889" s="5">
        <f t="shared" si="29"/>
        <v>931400</v>
      </c>
      <c r="K1889" s="4" t="s">
        <v>37</v>
      </c>
      <c r="L1889" s="6">
        <v>0.93140000000000001</v>
      </c>
      <c r="M1889" s="6">
        <v>1.0737000000000001</v>
      </c>
      <c r="N1889" s="6">
        <v>4.2115999999999998</v>
      </c>
      <c r="O1889" s="6">
        <v>4.5235000000000003</v>
      </c>
      <c r="P1889" s="5">
        <v>1542.665</v>
      </c>
      <c r="Q1889" s="4" t="s">
        <v>1395</v>
      </c>
    </row>
    <row r="1890" spans="1:17" x14ac:dyDescent="0.3">
      <c r="A1890" s="2" t="s">
        <v>1389</v>
      </c>
      <c r="B1890" s="3">
        <v>156351</v>
      </c>
      <c r="C1890" s="3">
        <v>895631</v>
      </c>
      <c r="D1890" s="4" t="s">
        <v>81</v>
      </c>
      <c r="E1890" s="4" t="s">
        <v>734</v>
      </c>
      <c r="F1890" s="4" t="s">
        <v>83</v>
      </c>
      <c r="G1890" s="4" t="s">
        <v>20</v>
      </c>
      <c r="H1890" s="5">
        <v>-200000</v>
      </c>
      <c r="I1890" s="4" t="s">
        <v>93</v>
      </c>
      <c r="J1890" s="5">
        <f t="shared" si="29"/>
        <v>186280</v>
      </c>
      <c r="K1890" s="4" t="s">
        <v>37</v>
      </c>
      <c r="L1890" s="6">
        <v>0.93140000000000001</v>
      </c>
      <c r="M1890" s="6">
        <v>1.0736000000000001</v>
      </c>
      <c r="N1890" s="6">
        <v>4.2115999999999998</v>
      </c>
      <c r="O1890" s="6">
        <v>4.5235000000000003</v>
      </c>
      <c r="P1890" s="5">
        <v>326.62700000000001</v>
      </c>
      <c r="Q1890" s="4" t="s">
        <v>1393</v>
      </c>
    </row>
    <row r="1891" spans="1:17" x14ac:dyDescent="0.3">
      <c r="A1891" s="2" t="s">
        <v>1389</v>
      </c>
      <c r="B1891" s="3">
        <v>156353</v>
      </c>
      <c r="C1891" s="3">
        <v>895651</v>
      </c>
      <c r="D1891" s="4" t="s">
        <v>81</v>
      </c>
      <c r="E1891" s="4" t="s">
        <v>733</v>
      </c>
      <c r="F1891" s="4" t="s">
        <v>87</v>
      </c>
      <c r="G1891" s="4" t="s">
        <v>20</v>
      </c>
      <c r="H1891" s="5">
        <v>1000000</v>
      </c>
      <c r="I1891" s="4" t="s">
        <v>21</v>
      </c>
      <c r="J1891" s="5">
        <f t="shared" si="29"/>
        <v>-4213200</v>
      </c>
      <c r="K1891" s="4" t="s">
        <v>37</v>
      </c>
      <c r="L1891" s="6">
        <v>4.2131999999999996</v>
      </c>
      <c r="M1891" s="6">
        <v>0.23730000000000001</v>
      </c>
      <c r="N1891" s="6">
        <v>4.2115999999999998</v>
      </c>
      <c r="O1891" s="6">
        <v>1</v>
      </c>
      <c r="P1891" s="5">
        <v>-1590</v>
      </c>
      <c r="Q1891" s="4" t="s">
        <v>1391</v>
      </c>
    </row>
    <row r="1892" spans="1:17" x14ac:dyDescent="0.3">
      <c r="A1892" s="2" t="s">
        <v>1389</v>
      </c>
      <c r="B1892" s="3">
        <v>156356</v>
      </c>
      <c r="C1892" s="3">
        <v>895667</v>
      </c>
      <c r="D1892" s="4" t="s">
        <v>81</v>
      </c>
      <c r="E1892" s="4" t="s">
        <v>735</v>
      </c>
      <c r="F1892" s="4" t="s">
        <v>87</v>
      </c>
      <c r="G1892" s="4" t="s">
        <v>91</v>
      </c>
      <c r="H1892" s="5">
        <v>100000</v>
      </c>
      <c r="I1892" s="4" t="s">
        <v>21</v>
      </c>
      <c r="J1892" s="5">
        <f t="shared" si="29"/>
        <v>-486050</v>
      </c>
      <c r="K1892" s="4" t="s">
        <v>37</v>
      </c>
      <c r="L1892" s="6">
        <v>4.8605</v>
      </c>
      <c r="M1892" s="6">
        <v>0.20569999999999999</v>
      </c>
      <c r="N1892" s="6">
        <v>4.8643999999999998</v>
      </c>
      <c r="O1892" s="6">
        <v>1</v>
      </c>
      <c r="P1892" s="5">
        <v>390</v>
      </c>
      <c r="Q1892" s="4" t="s">
        <v>1394</v>
      </c>
    </row>
    <row r="1893" spans="1:17" x14ac:dyDescent="0.3">
      <c r="A1893" s="2" t="s">
        <v>1389</v>
      </c>
      <c r="B1893" s="3">
        <v>156359</v>
      </c>
      <c r="C1893" s="3">
        <v>895691</v>
      </c>
      <c r="D1893" s="4" t="s">
        <v>81</v>
      </c>
      <c r="E1893" s="4" t="s">
        <v>742</v>
      </c>
      <c r="F1893" s="4" t="s">
        <v>87</v>
      </c>
      <c r="G1893" s="4" t="s">
        <v>20</v>
      </c>
      <c r="H1893" s="5">
        <v>150000</v>
      </c>
      <c r="I1893" s="4" t="s">
        <v>74</v>
      </c>
      <c r="J1893" s="5">
        <f t="shared" si="29"/>
        <v>-1763475.0000000002</v>
      </c>
      <c r="K1893" s="4" t="s">
        <v>37</v>
      </c>
      <c r="L1893" s="6">
        <v>11.756500000000001</v>
      </c>
      <c r="M1893" s="6">
        <v>8.5099999999999995E-2</v>
      </c>
      <c r="N1893" s="6">
        <v>4.2115999999999998</v>
      </c>
      <c r="O1893" s="6">
        <v>0.35809999999999997</v>
      </c>
      <c r="P1893" s="5">
        <v>239.60249999999999</v>
      </c>
      <c r="Q1893" s="4" t="s">
        <v>1396</v>
      </c>
    </row>
    <row r="1894" spans="1:17" x14ac:dyDescent="0.3">
      <c r="A1894" s="2" t="s">
        <v>1389</v>
      </c>
      <c r="B1894" s="3">
        <v>156361</v>
      </c>
      <c r="C1894" s="3">
        <v>895700</v>
      </c>
      <c r="D1894" s="4" t="s">
        <v>81</v>
      </c>
      <c r="E1894" s="4" t="s">
        <v>730</v>
      </c>
      <c r="F1894" s="4" t="s">
        <v>83</v>
      </c>
      <c r="G1894" s="4" t="s">
        <v>20</v>
      </c>
      <c r="H1894" s="5">
        <v>-250000</v>
      </c>
      <c r="I1894" s="4" t="s">
        <v>101</v>
      </c>
      <c r="J1894" s="5">
        <f t="shared" si="29"/>
        <v>6074325</v>
      </c>
      <c r="K1894" s="4" t="s">
        <v>37</v>
      </c>
      <c r="L1894" s="6">
        <v>24.2973</v>
      </c>
      <c r="M1894" s="6">
        <v>4.1200000000000001E-2</v>
      </c>
      <c r="N1894" s="6">
        <v>4.2115999999999998</v>
      </c>
      <c r="O1894" s="6">
        <v>0.17349999999999999</v>
      </c>
      <c r="P1894" s="5">
        <v>995.38750000000005</v>
      </c>
      <c r="Q1894" s="4" t="s">
        <v>1396</v>
      </c>
    </row>
    <row r="1895" spans="1:17" x14ac:dyDescent="0.3">
      <c r="A1895" s="2" t="s">
        <v>1389</v>
      </c>
      <c r="B1895" s="3">
        <v>156363</v>
      </c>
      <c r="C1895" s="3">
        <v>895716</v>
      </c>
      <c r="D1895" s="4" t="s">
        <v>81</v>
      </c>
      <c r="E1895" s="4" t="s">
        <v>894</v>
      </c>
      <c r="F1895" s="4" t="s">
        <v>87</v>
      </c>
      <c r="G1895" s="4" t="s">
        <v>20</v>
      </c>
      <c r="H1895" s="5">
        <v>1700</v>
      </c>
      <c r="I1895" s="4" t="s">
        <v>21</v>
      </c>
      <c r="J1895" s="5">
        <f t="shared" si="29"/>
        <v>-7138.13</v>
      </c>
      <c r="K1895" s="4" t="s">
        <v>37</v>
      </c>
      <c r="L1895" s="6">
        <v>4.1989000000000001</v>
      </c>
      <c r="M1895" s="6">
        <v>0.2382</v>
      </c>
      <c r="N1895" s="6">
        <v>4.2115999999999998</v>
      </c>
      <c r="O1895" s="6">
        <v>1</v>
      </c>
      <c r="P1895" s="5">
        <v>21.59</v>
      </c>
      <c r="Q1895" s="4" t="s">
        <v>1390</v>
      </c>
    </row>
    <row r="1896" spans="1:17" x14ac:dyDescent="0.3">
      <c r="A1896" s="2" t="s">
        <v>1389</v>
      </c>
      <c r="B1896" s="3">
        <v>156367</v>
      </c>
      <c r="C1896" s="3">
        <v>895730</v>
      </c>
      <c r="D1896" s="4" t="s">
        <v>81</v>
      </c>
      <c r="E1896" s="4" t="s">
        <v>735</v>
      </c>
      <c r="F1896" s="4" t="s">
        <v>83</v>
      </c>
      <c r="G1896" s="4" t="s">
        <v>91</v>
      </c>
      <c r="H1896" s="5">
        <v>-500000</v>
      </c>
      <c r="I1896" s="4" t="s">
        <v>21</v>
      </c>
      <c r="J1896" s="5">
        <f t="shared" si="29"/>
        <v>2429150</v>
      </c>
      <c r="K1896" s="4" t="s">
        <v>37</v>
      </c>
      <c r="L1896" s="6">
        <v>4.8582999999999998</v>
      </c>
      <c r="M1896" s="6">
        <v>0.20580000000000001</v>
      </c>
      <c r="N1896" s="6">
        <v>4.8643999999999998</v>
      </c>
      <c r="O1896" s="6">
        <v>1</v>
      </c>
      <c r="P1896" s="5">
        <v>-3050</v>
      </c>
      <c r="Q1896" s="4" t="s">
        <v>1394</v>
      </c>
    </row>
    <row r="1897" spans="1:17" x14ac:dyDescent="0.3">
      <c r="A1897" s="2" t="s">
        <v>1389</v>
      </c>
      <c r="B1897" s="3">
        <v>156368</v>
      </c>
      <c r="C1897" s="3">
        <v>895731</v>
      </c>
      <c r="D1897" s="4" t="s">
        <v>81</v>
      </c>
      <c r="E1897" s="4" t="s">
        <v>730</v>
      </c>
      <c r="F1897" s="4" t="s">
        <v>83</v>
      </c>
      <c r="G1897" s="4" t="s">
        <v>91</v>
      </c>
      <c r="H1897" s="5">
        <v>-100000</v>
      </c>
      <c r="I1897" s="4" t="s">
        <v>21</v>
      </c>
      <c r="J1897" s="5">
        <f t="shared" si="29"/>
        <v>485799.99999999994</v>
      </c>
      <c r="K1897" s="4" t="s">
        <v>37</v>
      </c>
      <c r="L1897" s="6">
        <v>4.8579999999999997</v>
      </c>
      <c r="M1897" s="6">
        <v>0.20580000000000001</v>
      </c>
      <c r="N1897" s="6">
        <v>4.8643999999999998</v>
      </c>
      <c r="O1897" s="6">
        <v>1</v>
      </c>
      <c r="P1897" s="5">
        <v>-640</v>
      </c>
      <c r="Q1897" s="4" t="s">
        <v>1396</v>
      </c>
    </row>
    <row r="1898" spans="1:17" x14ac:dyDescent="0.3">
      <c r="A1898" s="2" t="s">
        <v>1389</v>
      </c>
      <c r="B1898" s="3">
        <v>156369</v>
      </c>
      <c r="C1898" s="3">
        <v>895732</v>
      </c>
      <c r="D1898" s="4" t="s">
        <v>81</v>
      </c>
      <c r="E1898" s="4" t="s">
        <v>732</v>
      </c>
      <c r="F1898" s="4" t="s">
        <v>87</v>
      </c>
      <c r="G1898" s="4" t="s">
        <v>20</v>
      </c>
      <c r="H1898" s="5">
        <v>500000</v>
      </c>
      <c r="I1898" s="4" t="s">
        <v>21</v>
      </c>
      <c r="J1898" s="5">
        <f t="shared" si="29"/>
        <v>-2106000</v>
      </c>
      <c r="K1898" s="4" t="s">
        <v>37</v>
      </c>
      <c r="L1898" s="6">
        <v>4.2119999999999997</v>
      </c>
      <c r="M1898" s="6">
        <v>0.2374</v>
      </c>
      <c r="N1898" s="6">
        <v>4.2115999999999998</v>
      </c>
      <c r="O1898" s="6">
        <v>1</v>
      </c>
      <c r="P1898" s="5">
        <v>-200</v>
      </c>
      <c r="Q1898" s="4" t="s">
        <v>1394</v>
      </c>
    </row>
    <row r="1899" spans="1:17" x14ac:dyDescent="0.3">
      <c r="A1899" s="2" t="s">
        <v>1389</v>
      </c>
      <c r="B1899" s="3">
        <v>156370</v>
      </c>
      <c r="C1899" s="3">
        <v>216507</v>
      </c>
      <c r="D1899" s="4" t="s">
        <v>17</v>
      </c>
      <c r="E1899" s="4" t="s">
        <v>1150</v>
      </c>
      <c r="F1899" s="4" t="s">
        <v>19</v>
      </c>
      <c r="G1899" s="4" t="s">
        <v>91</v>
      </c>
      <c r="H1899" s="5">
        <v>599997.93999999994</v>
      </c>
      <c r="I1899" s="4" t="s">
        <v>21</v>
      </c>
      <c r="J1899" s="5">
        <f t="shared" si="29"/>
        <v>-2911190.0048799999</v>
      </c>
      <c r="K1899" s="4" t="s">
        <v>47</v>
      </c>
      <c r="L1899" s="6">
        <v>4.8520000000000003</v>
      </c>
      <c r="M1899" s="6">
        <v>0.20610000000000001</v>
      </c>
      <c r="N1899" s="6">
        <v>4.8525</v>
      </c>
      <c r="O1899" s="6">
        <v>1</v>
      </c>
      <c r="P1899" s="5">
        <v>299.99897000007331</v>
      </c>
      <c r="Q1899" s="4" t="s">
        <v>1391</v>
      </c>
    </row>
    <row r="1900" spans="1:17" x14ac:dyDescent="0.3">
      <c r="A1900" s="2" t="s">
        <v>1389</v>
      </c>
      <c r="B1900" s="3">
        <v>156371</v>
      </c>
      <c r="C1900" s="3">
        <v>216508</v>
      </c>
      <c r="D1900" s="4" t="s">
        <v>17</v>
      </c>
      <c r="E1900" s="4" t="s">
        <v>1168</v>
      </c>
      <c r="F1900" s="4" t="s">
        <v>32</v>
      </c>
      <c r="G1900" s="4" t="s">
        <v>20</v>
      </c>
      <c r="H1900" s="5">
        <v>-100000</v>
      </c>
      <c r="I1900" s="4" t="s">
        <v>21</v>
      </c>
      <c r="J1900" s="5">
        <f t="shared" si="29"/>
        <v>421840</v>
      </c>
      <c r="K1900" s="4" t="s">
        <v>47</v>
      </c>
      <c r="L1900" s="6">
        <v>4.2183999999999999</v>
      </c>
      <c r="M1900" s="6">
        <v>0.23710000000000001</v>
      </c>
      <c r="N1900" s="6">
        <v>4.2126999999999999</v>
      </c>
      <c r="O1900" s="6">
        <v>1</v>
      </c>
      <c r="P1900" s="5">
        <v>530</v>
      </c>
      <c r="Q1900" s="4" t="s">
        <v>1390</v>
      </c>
    </row>
    <row r="1901" spans="1:17" x14ac:dyDescent="0.3">
      <c r="A1901" s="2" t="s">
        <v>1389</v>
      </c>
      <c r="B1901" s="3">
        <v>156373</v>
      </c>
      <c r="C1901" s="3">
        <v>216509</v>
      </c>
      <c r="D1901" s="4" t="s">
        <v>17</v>
      </c>
      <c r="E1901" s="4" t="s">
        <v>825</v>
      </c>
      <c r="F1901" s="4" t="s">
        <v>32</v>
      </c>
      <c r="G1901" s="4" t="s">
        <v>34</v>
      </c>
      <c r="H1901" s="5">
        <v>-55107.83</v>
      </c>
      <c r="I1901" s="4" t="s">
        <v>21</v>
      </c>
      <c r="J1901" s="5">
        <f t="shared" si="29"/>
        <v>199005.39569600002</v>
      </c>
      <c r="K1901" s="4" t="s">
        <v>48</v>
      </c>
      <c r="L1901" s="6">
        <v>3.6112000000000002</v>
      </c>
      <c r="M1901" s="6">
        <v>0.27689999999999998</v>
      </c>
      <c r="N1901" s="6">
        <v>3.6036999999999999</v>
      </c>
      <c r="O1901" s="6">
        <v>1</v>
      </c>
      <c r="P1901" s="5">
        <v>413.31302899999997</v>
      </c>
      <c r="Q1901" s="4" t="s">
        <v>1390</v>
      </c>
    </row>
    <row r="1902" spans="1:17" x14ac:dyDescent="0.3">
      <c r="A1902" s="2" t="s">
        <v>1389</v>
      </c>
      <c r="B1902" s="3">
        <v>156374</v>
      </c>
      <c r="C1902" s="3">
        <v>216511</v>
      </c>
      <c r="D1902" s="4" t="s">
        <v>17</v>
      </c>
      <c r="E1902" s="4" t="s">
        <v>1168</v>
      </c>
      <c r="F1902" s="4" t="s">
        <v>32</v>
      </c>
      <c r="G1902" s="4" t="s">
        <v>91</v>
      </c>
      <c r="H1902" s="5">
        <v>-1000</v>
      </c>
      <c r="I1902" s="4" t="s">
        <v>21</v>
      </c>
      <c r="J1902" s="5">
        <f t="shared" si="29"/>
        <v>4865</v>
      </c>
      <c r="K1902" s="4" t="s">
        <v>47</v>
      </c>
      <c r="L1902" s="6">
        <v>4.8650000000000002</v>
      </c>
      <c r="M1902" s="6">
        <v>0.20549999999999999</v>
      </c>
      <c r="N1902" s="6">
        <v>4.8525</v>
      </c>
      <c r="O1902" s="6">
        <v>1</v>
      </c>
      <c r="P1902" s="5">
        <v>12.5</v>
      </c>
      <c r="Q1902" s="4" t="s">
        <v>1390</v>
      </c>
    </row>
    <row r="1903" spans="1:17" x14ac:dyDescent="0.3">
      <c r="A1903" s="2" t="s">
        <v>1389</v>
      </c>
      <c r="B1903" s="3">
        <v>156375</v>
      </c>
      <c r="C1903" s="3">
        <v>895754</v>
      </c>
      <c r="D1903" s="4" t="s">
        <v>81</v>
      </c>
      <c r="E1903" s="4" t="s">
        <v>735</v>
      </c>
      <c r="F1903" s="4" t="s">
        <v>83</v>
      </c>
      <c r="G1903" s="4" t="s">
        <v>20</v>
      </c>
      <c r="H1903" s="5">
        <v>-500000</v>
      </c>
      <c r="I1903" s="4" t="s">
        <v>21</v>
      </c>
      <c r="J1903" s="5">
        <f t="shared" si="29"/>
        <v>2105650</v>
      </c>
      <c r="K1903" s="4" t="s">
        <v>37</v>
      </c>
      <c r="L1903" s="6">
        <v>4.2112999999999996</v>
      </c>
      <c r="M1903" s="6">
        <v>0.23749999999999999</v>
      </c>
      <c r="N1903" s="6">
        <v>4.2115999999999998</v>
      </c>
      <c r="O1903" s="6">
        <v>1</v>
      </c>
      <c r="P1903" s="5">
        <v>-150</v>
      </c>
      <c r="Q1903" s="4" t="s">
        <v>1394</v>
      </c>
    </row>
    <row r="1904" spans="1:17" x14ac:dyDescent="0.3">
      <c r="A1904" s="2" t="s">
        <v>1389</v>
      </c>
      <c r="B1904" s="3">
        <v>156376</v>
      </c>
      <c r="C1904" s="3">
        <v>216515</v>
      </c>
      <c r="D1904" s="4" t="s">
        <v>17</v>
      </c>
      <c r="E1904" s="4" t="s">
        <v>1042</v>
      </c>
      <c r="F1904" s="4" t="s">
        <v>19</v>
      </c>
      <c r="G1904" s="4" t="s">
        <v>20</v>
      </c>
      <c r="H1904" s="5">
        <v>90000</v>
      </c>
      <c r="I1904" s="4" t="s">
        <v>21</v>
      </c>
      <c r="J1904" s="5">
        <f t="shared" si="29"/>
        <v>-378414</v>
      </c>
      <c r="K1904" s="4" t="s">
        <v>47</v>
      </c>
      <c r="L1904" s="6">
        <v>4.2046000000000001</v>
      </c>
      <c r="M1904" s="6">
        <v>0.23780000000000001</v>
      </c>
      <c r="N1904" s="6">
        <v>4.2126999999999999</v>
      </c>
      <c r="O1904" s="6">
        <v>1</v>
      </c>
      <c r="P1904" s="5">
        <v>729</v>
      </c>
      <c r="Q1904" s="4" t="s">
        <v>1390</v>
      </c>
    </row>
    <row r="1905" spans="1:17" x14ac:dyDescent="0.3">
      <c r="A1905" s="2" t="s">
        <v>1389</v>
      </c>
      <c r="B1905" s="3">
        <v>156377</v>
      </c>
      <c r="C1905" s="3">
        <v>895764</v>
      </c>
      <c r="D1905" s="4" t="s">
        <v>81</v>
      </c>
      <c r="E1905" s="4" t="s">
        <v>734</v>
      </c>
      <c r="F1905" s="4" t="s">
        <v>83</v>
      </c>
      <c r="G1905" s="4" t="s">
        <v>20</v>
      </c>
      <c r="H1905" s="5">
        <v>-1000000</v>
      </c>
      <c r="I1905" s="4" t="s">
        <v>21</v>
      </c>
      <c r="J1905" s="5">
        <f t="shared" si="29"/>
        <v>4211100</v>
      </c>
      <c r="K1905" s="4" t="s">
        <v>37</v>
      </c>
      <c r="L1905" s="6">
        <v>4.2111000000000001</v>
      </c>
      <c r="M1905" s="6">
        <v>0.23749999999999999</v>
      </c>
      <c r="N1905" s="6">
        <v>4.2115999999999998</v>
      </c>
      <c r="O1905" s="6">
        <v>1</v>
      </c>
      <c r="P1905" s="5">
        <v>-500</v>
      </c>
      <c r="Q1905" s="4" t="s">
        <v>1393</v>
      </c>
    </row>
    <row r="1906" spans="1:17" x14ac:dyDescent="0.3">
      <c r="A1906" s="2" t="s">
        <v>1389</v>
      </c>
      <c r="B1906" s="3">
        <v>156378</v>
      </c>
      <c r="C1906" s="3">
        <v>216517</v>
      </c>
      <c r="D1906" s="4" t="s">
        <v>17</v>
      </c>
      <c r="E1906" s="4" t="s">
        <v>1212</v>
      </c>
      <c r="F1906" s="4" t="s">
        <v>19</v>
      </c>
      <c r="G1906" s="4" t="s">
        <v>20</v>
      </c>
      <c r="H1906" s="5">
        <v>2000000</v>
      </c>
      <c r="I1906" s="4" t="s">
        <v>21</v>
      </c>
      <c r="J1906" s="5">
        <f t="shared" si="29"/>
        <v>-8415000</v>
      </c>
      <c r="K1906" s="4" t="s">
        <v>47</v>
      </c>
      <c r="L1906" s="6">
        <v>4.2074999999999996</v>
      </c>
      <c r="M1906" s="6">
        <v>0.23769999999999999</v>
      </c>
      <c r="N1906" s="6">
        <v>4.2126999999999999</v>
      </c>
      <c r="O1906" s="6">
        <v>1</v>
      </c>
      <c r="P1906" s="5">
        <v>10400</v>
      </c>
      <c r="Q1906" s="4" t="s">
        <v>1390</v>
      </c>
    </row>
    <row r="1907" spans="1:17" x14ac:dyDescent="0.3">
      <c r="A1907" s="2" t="s">
        <v>1389</v>
      </c>
      <c r="B1907" s="3">
        <v>156379</v>
      </c>
      <c r="C1907" s="3">
        <v>895768</v>
      </c>
      <c r="D1907" s="4" t="s">
        <v>81</v>
      </c>
      <c r="E1907" s="4" t="s">
        <v>742</v>
      </c>
      <c r="F1907" s="4" t="s">
        <v>83</v>
      </c>
      <c r="G1907" s="4" t="s">
        <v>20</v>
      </c>
      <c r="H1907" s="5">
        <v>-500000</v>
      </c>
      <c r="I1907" s="4" t="s">
        <v>21</v>
      </c>
      <c r="J1907" s="5">
        <f t="shared" si="29"/>
        <v>2105500</v>
      </c>
      <c r="K1907" s="4" t="s">
        <v>37</v>
      </c>
      <c r="L1907" s="6">
        <v>4.2110000000000003</v>
      </c>
      <c r="M1907" s="6">
        <v>0.23749999999999999</v>
      </c>
      <c r="N1907" s="6">
        <v>4.2115999999999998</v>
      </c>
      <c r="O1907" s="6">
        <v>1</v>
      </c>
      <c r="P1907" s="5">
        <v>-310</v>
      </c>
      <c r="Q1907" s="4" t="s">
        <v>1396</v>
      </c>
    </row>
    <row r="1908" spans="1:17" x14ac:dyDescent="0.3">
      <c r="A1908" s="2" t="s">
        <v>1389</v>
      </c>
      <c r="B1908" s="3">
        <v>156380</v>
      </c>
      <c r="C1908" s="3">
        <v>895769</v>
      </c>
      <c r="D1908" s="4" t="s">
        <v>81</v>
      </c>
      <c r="E1908" s="4" t="s">
        <v>734</v>
      </c>
      <c r="F1908" s="4" t="s">
        <v>83</v>
      </c>
      <c r="G1908" s="4" t="s">
        <v>20</v>
      </c>
      <c r="H1908" s="5">
        <v>-500000</v>
      </c>
      <c r="I1908" s="4" t="s">
        <v>21</v>
      </c>
      <c r="J1908" s="5">
        <f t="shared" si="29"/>
        <v>2105450</v>
      </c>
      <c r="K1908" s="4" t="s">
        <v>37</v>
      </c>
      <c r="L1908" s="6">
        <v>4.2108999999999996</v>
      </c>
      <c r="M1908" s="6">
        <v>0.23749999999999999</v>
      </c>
      <c r="N1908" s="6">
        <v>4.2115999999999998</v>
      </c>
      <c r="O1908" s="6">
        <v>1</v>
      </c>
      <c r="P1908" s="5">
        <v>-350</v>
      </c>
      <c r="Q1908" s="4" t="s">
        <v>1393</v>
      </c>
    </row>
    <row r="1909" spans="1:17" x14ac:dyDescent="0.3">
      <c r="A1909" s="2" t="s">
        <v>1389</v>
      </c>
      <c r="B1909" s="3">
        <v>156381</v>
      </c>
      <c r="C1909" s="3">
        <v>216518</v>
      </c>
      <c r="D1909" s="4" t="s">
        <v>17</v>
      </c>
      <c r="E1909" s="4" t="s">
        <v>955</v>
      </c>
      <c r="F1909" s="4" t="s">
        <v>19</v>
      </c>
      <c r="G1909" s="4" t="s">
        <v>20</v>
      </c>
      <c r="H1909" s="5">
        <v>700000</v>
      </c>
      <c r="I1909" s="4" t="s">
        <v>21</v>
      </c>
      <c r="J1909" s="5">
        <f t="shared" si="29"/>
        <v>-2945600</v>
      </c>
      <c r="K1909" s="4" t="s">
        <v>47</v>
      </c>
      <c r="L1909" s="6">
        <v>4.2080000000000002</v>
      </c>
      <c r="M1909" s="6">
        <v>0.23760000000000001</v>
      </c>
      <c r="N1909" s="6">
        <v>4.2126999999999999</v>
      </c>
      <c r="O1909" s="6">
        <v>1</v>
      </c>
      <c r="P1909" s="5">
        <v>3290</v>
      </c>
      <c r="Q1909" s="4" t="s">
        <v>1390</v>
      </c>
    </row>
    <row r="1910" spans="1:17" x14ac:dyDescent="0.3">
      <c r="A1910" s="2" t="s">
        <v>1389</v>
      </c>
      <c r="B1910" s="3">
        <v>156382</v>
      </c>
      <c r="C1910" s="3">
        <v>895779</v>
      </c>
      <c r="D1910" s="4" t="s">
        <v>81</v>
      </c>
      <c r="E1910" s="4" t="s">
        <v>734</v>
      </c>
      <c r="F1910" s="4" t="s">
        <v>83</v>
      </c>
      <c r="G1910" s="4" t="s">
        <v>20</v>
      </c>
      <c r="H1910" s="5">
        <v>-500000</v>
      </c>
      <c r="I1910" s="4" t="s">
        <v>21</v>
      </c>
      <c r="J1910" s="5">
        <f t="shared" si="29"/>
        <v>2105250</v>
      </c>
      <c r="K1910" s="4" t="s">
        <v>37</v>
      </c>
      <c r="L1910" s="6">
        <v>4.2104999999999997</v>
      </c>
      <c r="M1910" s="6">
        <v>0.23749999999999999</v>
      </c>
      <c r="N1910" s="6">
        <v>4.2115999999999998</v>
      </c>
      <c r="O1910" s="6">
        <v>1</v>
      </c>
      <c r="P1910" s="5">
        <v>-550</v>
      </c>
      <c r="Q1910" s="4" t="s">
        <v>1393</v>
      </c>
    </row>
    <row r="1911" spans="1:17" x14ac:dyDescent="0.3">
      <c r="A1911" s="2" t="s">
        <v>1389</v>
      </c>
      <c r="B1911" s="3">
        <v>156384</v>
      </c>
      <c r="C1911" s="3">
        <v>895790</v>
      </c>
      <c r="D1911" s="4" t="s">
        <v>81</v>
      </c>
      <c r="E1911" s="4" t="s">
        <v>739</v>
      </c>
      <c r="F1911" s="4" t="s">
        <v>87</v>
      </c>
      <c r="G1911" s="4" t="s">
        <v>93</v>
      </c>
      <c r="H1911" s="5">
        <v>3584.18</v>
      </c>
      <c r="I1911" s="4" t="s">
        <v>21</v>
      </c>
      <c r="J1911" s="5">
        <f t="shared" si="29"/>
        <v>-16224.149187999999</v>
      </c>
      <c r="K1911" s="4" t="s">
        <v>37</v>
      </c>
      <c r="L1911" s="6">
        <v>4.5266000000000002</v>
      </c>
      <c r="M1911" s="6">
        <v>0.22090000000000001</v>
      </c>
      <c r="N1911" s="6">
        <v>4.5235000000000003</v>
      </c>
      <c r="O1911" s="6">
        <v>1</v>
      </c>
      <c r="P1911" s="5">
        <v>-10.971769999999999</v>
      </c>
      <c r="Q1911" s="4" t="s">
        <v>1391</v>
      </c>
    </row>
    <row r="1912" spans="1:17" x14ac:dyDescent="0.3">
      <c r="A1912" s="2" t="s">
        <v>1389</v>
      </c>
      <c r="B1912" s="3">
        <v>156385</v>
      </c>
      <c r="C1912" s="3">
        <v>895791</v>
      </c>
      <c r="D1912" s="4" t="s">
        <v>81</v>
      </c>
      <c r="E1912" s="4" t="s">
        <v>734</v>
      </c>
      <c r="F1912" s="4" t="s">
        <v>83</v>
      </c>
      <c r="G1912" s="4" t="s">
        <v>20</v>
      </c>
      <c r="H1912" s="5">
        <v>-94862.01</v>
      </c>
      <c r="I1912" s="4" t="s">
        <v>21</v>
      </c>
      <c r="J1912" s="5">
        <f t="shared" si="29"/>
        <v>399492.38271299994</v>
      </c>
      <c r="K1912" s="4" t="s">
        <v>37</v>
      </c>
      <c r="L1912" s="6">
        <v>4.2112999999999996</v>
      </c>
      <c r="M1912" s="6">
        <v>0.23749999999999999</v>
      </c>
      <c r="N1912" s="6">
        <v>4.2115999999999998</v>
      </c>
      <c r="O1912" s="6">
        <v>1</v>
      </c>
      <c r="P1912" s="5">
        <v>-25.611315999999999</v>
      </c>
      <c r="Q1912" s="4" t="s">
        <v>1393</v>
      </c>
    </row>
    <row r="1913" spans="1:17" x14ac:dyDescent="0.3">
      <c r="A1913" s="2" t="s">
        <v>1389</v>
      </c>
      <c r="B1913" s="3">
        <v>156386</v>
      </c>
      <c r="C1913" s="3">
        <v>895792</v>
      </c>
      <c r="D1913" s="4" t="s">
        <v>81</v>
      </c>
      <c r="E1913" s="4" t="s">
        <v>739</v>
      </c>
      <c r="F1913" s="4" t="s">
        <v>83</v>
      </c>
      <c r="G1913" s="4" t="s">
        <v>34</v>
      </c>
      <c r="H1913" s="5">
        <v>-12947.77</v>
      </c>
      <c r="I1913" s="4" t="s">
        <v>21</v>
      </c>
      <c r="J1913" s="5">
        <f t="shared" si="29"/>
        <v>46720.733268000004</v>
      </c>
      <c r="K1913" s="4" t="s">
        <v>37</v>
      </c>
      <c r="L1913" s="6">
        <v>3.6084000000000001</v>
      </c>
      <c r="M1913" s="6">
        <v>0.27710000000000001</v>
      </c>
      <c r="N1913" s="6">
        <v>3.6082999999999998</v>
      </c>
      <c r="O1913" s="6">
        <v>1</v>
      </c>
      <c r="P1913" s="5">
        <v>0.78150900000000001</v>
      </c>
      <c r="Q1913" s="4" t="s">
        <v>1391</v>
      </c>
    </row>
    <row r="1914" spans="1:17" x14ac:dyDescent="0.3">
      <c r="A1914" s="2" t="s">
        <v>1389</v>
      </c>
      <c r="B1914" s="3">
        <v>156387</v>
      </c>
      <c r="C1914" s="3">
        <v>895793</v>
      </c>
      <c r="D1914" s="4" t="s">
        <v>81</v>
      </c>
      <c r="E1914" s="4" t="s">
        <v>739</v>
      </c>
      <c r="F1914" s="4" t="s">
        <v>83</v>
      </c>
      <c r="G1914" s="4" t="s">
        <v>91</v>
      </c>
      <c r="H1914" s="5">
        <v>-7670.99</v>
      </c>
      <c r="I1914" s="4" t="s">
        <v>21</v>
      </c>
      <c r="J1914" s="5">
        <f t="shared" si="29"/>
        <v>37264.135221999997</v>
      </c>
      <c r="K1914" s="4" t="s">
        <v>37</v>
      </c>
      <c r="L1914" s="6">
        <v>4.8578000000000001</v>
      </c>
      <c r="M1914" s="6">
        <v>0.2059</v>
      </c>
      <c r="N1914" s="6">
        <v>4.8643999999999998</v>
      </c>
      <c r="O1914" s="6">
        <v>1</v>
      </c>
      <c r="P1914" s="5">
        <v>-50.393756000000003</v>
      </c>
      <c r="Q1914" s="4" t="s">
        <v>1391</v>
      </c>
    </row>
    <row r="1915" spans="1:17" x14ac:dyDescent="0.3">
      <c r="A1915" s="2" t="s">
        <v>1389</v>
      </c>
      <c r="B1915" s="3">
        <v>156388</v>
      </c>
      <c r="C1915" s="3">
        <v>895798</v>
      </c>
      <c r="D1915" s="4" t="s">
        <v>81</v>
      </c>
      <c r="E1915" s="4" t="s">
        <v>734</v>
      </c>
      <c r="F1915" s="4" t="s">
        <v>83</v>
      </c>
      <c r="G1915" s="4" t="s">
        <v>20</v>
      </c>
      <c r="H1915" s="5">
        <v>-102821.64</v>
      </c>
      <c r="I1915" s="4" t="s">
        <v>21</v>
      </c>
      <c r="J1915" s="5">
        <f t="shared" si="29"/>
        <v>432930.51521999994</v>
      </c>
      <c r="K1915" s="4" t="s">
        <v>37</v>
      </c>
      <c r="L1915" s="6">
        <v>4.2104999999999997</v>
      </c>
      <c r="M1915" s="6">
        <v>0.23749999999999999</v>
      </c>
      <c r="N1915" s="6">
        <v>4.2115999999999998</v>
      </c>
      <c r="O1915" s="6">
        <v>1</v>
      </c>
      <c r="P1915" s="5">
        <v>-116.189024</v>
      </c>
      <c r="Q1915" s="4" t="s">
        <v>1393</v>
      </c>
    </row>
    <row r="1916" spans="1:17" x14ac:dyDescent="0.3">
      <c r="A1916" s="2" t="s">
        <v>1389</v>
      </c>
      <c r="B1916" s="3">
        <v>156389</v>
      </c>
      <c r="C1916" s="3">
        <v>216523</v>
      </c>
      <c r="D1916" s="4" t="s">
        <v>17</v>
      </c>
      <c r="E1916" s="4" t="s">
        <v>735</v>
      </c>
      <c r="F1916" s="4" t="s">
        <v>32</v>
      </c>
      <c r="G1916" s="4" t="s">
        <v>20</v>
      </c>
      <c r="H1916" s="5">
        <v>-10000</v>
      </c>
      <c r="I1916" s="4" t="s">
        <v>21</v>
      </c>
      <c r="J1916" s="5">
        <f t="shared" si="29"/>
        <v>42098.000000000007</v>
      </c>
      <c r="K1916" s="4" t="s">
        <v>48</v>
      </c>
      <c r="L1916" s="6">
        <v>4.2098000000000004</v>
      </c>
      <c r="M1916" s="6">
        <v>0.23749999999999999</v>
      </c>
      <c r="N1916" s="6">
        <v>4.2096999999999998</v>
      </c>
      <c r="O1916" s="6">
        <v>1</v>
      </c>
      <c r="P1916" s="5">
        <v>-1.36</v>
      </c>
      <c r="Q1916" s="4" t="s">
        <v>1394</v>
      </c>
    </row>
    <row r="1917" spans="1:17" x14ac:dyDescent="0.3">
      <c r="A1917" s="2" t="s">
        <v>1389</v>
      </c>
      <c r="B1917" s="3">
        <v>156390</v>
      </c>
      <c r="C1917" s="3">
        <v>216524</v>
      </c>
      <c r="D1917" s="4" t="s">
        <v>17</v>
      </c>
      <c r="E1917" s="4" t="s">
        <v>1094</v>
      </c>
      <c r="F1917" s="4" t="s">
        <v>19</v>
      </c>
      <c r="G1917" s="4" t="s">
        <v>20</v>
      </c>
      <c r="H1917" s="5">
        <v>10000</v>
      </c>
      <c r="I1917" s="4" t="s">
        <v>21</v>
      </c>
      <c r="J1917" s="5">
        <f t="shared" si="29"/>
        <v>-41955</v>
      </c>
      <c r="K1917" s="4" t="s">
        <v>48</v>
      </c>
      <c r="L1917" s="6">
        <v>4.1955</v>
      </c>
      <c r="M1917" s="6">
        <v>0.2384</v>
      </c>
      <c r="N1917" s="6">
        <v>4.2096999999999998</v>
      </c>
      <c r="O1917" s="6">
        <v>1</v>
      </c>
      <c r="P1917" s="5">
        <v>142</v>
      </c>
      <c r="Q1917" s="4" t="s">
        <v>1390</v>
      </c>
    </row>
    <row r="1918" spans="1:17" x14ac:dyDescent="0.3">
      <c r="A1918" s="2" t="s">
        <v>1389</v>
      </c>
      <c r="B1918" s="3">
        <v>156391</v>
      </c>
      <c r="C1918" s="3">
        <v>895804</v>
      </c>
      <c r="D1918" s="4" t="s">
        <v>81</v>
      </c>
      <c r="E1918" s="4" t="s">
        <v>735</v>
      </c>
      <c r="F1918" s="4" t="s">
        <v>83</v>
      </c>
      <c r="G1918" s="4" t="s">
        <v>20</v>
      </c>
      <c r="H1918" s="5">
        <v>-100042.35</v>
      </c>
      <c r="I1918" s="4" t="s">
        <v>21</v>
      </c>
      <c r="J1918" s="5">
        <f t="shared" si="29"/>
        <v>421138.27656000003</v>
      </c>
      <c r="K1918" s="4" t="s">
        <v>37</v>
      </c>
      <c r="L1918" s="6">
        <v>4.2096</v>
      </c>
      <c r="M1918" s="6">
        <v>0.23760000000000001</v>
      </c>
      <c r="N1918" s="6">
        <v>4.2115999999999998</v>
      </c>
      <c r="O1918" s="6">
        <v>1</v>
      </c>
      <c r="P1918" s="5">
        <v>-200.08125999999999</v>
      </c>
      <c r="Q1918" s="4" t="s">
        <v>1394</v>
      </c>
    </row>
    <row r="1919" spans="1:17" x14ac:dyDescent="0.3">
      <c r="A1919" s="2" t="s">
        <v>1389</v>
      </c>
      <c r="B1919" s="3">
        <v>156392</v>
      </c>
      <c r="C1919" s="3">
        <v>216525</v>
      </c>
      <c r="D1919" s="4" t="s">
        <v>17</v>
      </c>
      <c r="E1919" s="4" t="s">
        <v>734</v>
      </c>
      <c r="F1919" s="4" t="s">
        <v>32</v>
      </c>
      <c r="G1919" s="4" t="s">
        <v>20</v>
      </c>
      <c r="H1919" s="5">
        <v>-1467.3</v>
      </c>
      <c r="I1919" s="4" t="s">
        <v>21</v>
      </c>
      <c r="J1919" s="5">
        <f t="shared" si="29"/>
        <v>6176.8928099999994</v>
      </c>
      <c r="K1919" s="4" t="s">
        <v>48</v>
      </c>
      <c r="L1919" s="6">
        <v>4.2096999999999998</v>
      </c>
      <c r="M1919" s="6">
        <v>0.23749999999999999</v>
      </c>
      <c r="N1919" s="6">
        <v>4.2096999999999998</v>
      </c>
      <c r="O1919" s="6">
        <v>1</v>
      </c>
      <c r="P1919" s="5">
        <v>-0.36281000000000002</v>
      </c>
      <c r="Q1919" s="4" t="s">
        <v>1393</v>
      </c>
    </row>
    <row r="1920" spans="1:17" x14ac:dyDescent="0.3">
      <c r="A1920" s="2" t="s">
        <v>1389</v>
      </c>
      <c r="B1920" s="3">
        <v>156393</v>
      </c>
      <c r="C1920" s="3">
        <v>216526</v>
      </c>
      <c r="D1920" s="4" t="s">
        <v>17</v>
      </c>
      <c r="E1920" s="4" t="s">
        <v>1183</v>
      </c>
      <c r="F1920" s="4" t="s">
        <v>19</v>
      </c>
      <c r="G1920" s="4" t="s">
        <v>20</v>
      </c>
      <c r="H1920" s="5">
        <v>1467.3</v>
      </c>
      <c r="I1920" s="4" t="s">
        <v>21</v>
      </c>
      <c r="J1920" s="5">
        <f t="shared" si="29"/>
        <v>-6155.7636899999989</v>
      </c>
      <c r="K1920" s="4" t="s">
        <v>48</v>
      </c>
      <c r="L1920" s="6">
        <v>4.1952999999999996</v>
      </c>
      <c r="M1920" s="6">
        <v>0.2384</v>
      </c>
      <c r="N1920" s="6">
        <v>4.2096999999999998</v>
      </c>
      <c r="O1920" s="6">
        <v>1</v>
      </c>
      <c r="P1920" s="5">
        <v>21.129120000000512</v>
      </c>
      <c r="Q1920" s="4" t="s">
        <v>1390</v>
      </c>
    </row>
    <row r="1921" spans="1:17" x14ac:dyDescent="0.3">
      <c r="A1921" s="2" t="s">
        <v>1389</v>
      </c>
      <c r="B1921" s="3">
        <v>156394</v>
      </c>
      <c r="C1921" s="3">
        <v>895810</v>
      </c>
      <c r="D1921" s="4" t="s">
        <v>81</v>
      </c>
      <c r="E1921" s="4" t="s">
        <v>734</v>
      </c>
      <c r="F1921" s="4" t="s">
        <v>83</v>
      </c>
      <c r="G1921" s="4" t="s">
        <v>91</v>
      </c>
      <c r="H1921" s="5">
        <v>-2789.01</v>
      </c>
      <c r="I1921" s="4" t="s">
        <v>21</v>
      </c>
      <c r="J1921" s="5">
        <f t="shared" si="29"/>
        <v>13545.105966000001</v>
      </c>
      <c r="K1921" s="4" t="s">
        <v>37</v>
      </c>
      <c r="L1921" s="6">
        <v>4.8566000000000003</v>
      </c>
      <c r="M1921" s="6">
        <v>0.2059</v>
      </c>
      <c r="N1921" s="6">
        <v>4.8643999999999998</v>
      </c>
      <c r="O1921" s="6">
        <v>1</v>
      </c>
      <c r="P1921" s="5">
        <v>-21.750243999999999</v>
      </c>
      <c r="Q1921" s="4" t="s">
        <v>1393</v>
      </c>
    </row>
    <row r="1922" spans="1:17" x14ac:dyDescent="0.3">
      <c r="A1922" s="2" t="s">
        <v>1389</v>
      </c>
      <c r="B1922" s="3">
        <v>156395</v>
      </c>
      <c r="C1922" s="3">
        <v>895811</v>
      </c>
      <c r="D1922" s="4" t="s">
        <v>81</v>
      </c>
      <c r="E1922" s="4" t="s">
        <v>734</v>
      </c>
      <c r="F1922" s="4" t="s">
        <v>87</v>
      </c>
      <c r="G1922" s="4" t="s">
        <v>93</v>
      </c>
      <c r="H1922" s="5">
        <v>6614.08</v>
      </c>
      <c r="I1922" s="4" t="s">
        <v>21</v>
      </c>
      <c r="J1922" s="5">
        <f t="shared" si="29"/>
        <v>-29936.648896000002</v>
      </c>
      <c r="K1922" s="4" t="s">
        <v>37</v>
      </c>
      <c r="L1922" s="6">
        <v>4.5262000000000002</v>
      </c>
      <c r="M1922" s="6">
        <v>0.22090000000000001</v>
      </c>
      <c r="N1922" s="6">
        <v>4.5235000000000003</v>
      </c>
      <c r="O1922" s="6">
        <v>1</v>
      </c>
      <c r="P1922" s="5">
        <v>-18.05912</v>
      </c>
      <c r="Q1922" s="4" t="s">
        <v>1393</v>
      </c>
    </row>
    <row r="1923" spans="1:17" x14ac:dyDescent="0.3">
      <c r="A1923" s="2" t="s">
        <v>1389</v>
      </c>
      <c r="B1923" s="3">
        <v>156396</v>
      </c>
      <c r="C1923" s="3">
        <v>895812</v>
      </c>
      <c r="D1923" s="4" t="s">
        <v>81</v>
      </c>
      <c r="E1923" s="4" t="s">
        <v>734</v>
      </c>
      <c r="F1923" s="4" t="s">
        <v>83</v>
      </c>
      <c r="G1923" s="4" t="s">
        <v>20</v>
      </c>
      <c r="H1923" s="5">
        <v>-61008.01</v>
      </c>
      <c r="I1923" s="4" t="s">
        <v>21</v>
      </c>
      <c r="J1923" s="5">
        <f t="shared" si="29"/>
        <v>256831.52049800003</v>
      </c>
      <c r="K1923" s="4" t="s">
        <v>37</v>
      </c>
      <c r="L1923" s="6">
        <v>4.2098000000000004</v>
      </c>
      <c r="M1923" s="6">
        <v>0.23749999999999999</v>
      </c>
      <c r="N1923" s="6">
        <v>4.2115999999999998</v>
      </c>
      <c r="O1923" s="6">
        <v>1</v>
      </c>
      <c r="P1923" s="5">
        <v>-108.594916</v>
      </c>
      <c r="Q1923" s="4" t="s">
        <v>1393</v>
      </c>
    </row>
    <row r="1924" spans="1:17" x14ac:dyDescent="0.3">
      <c r="A1924" s="2" t="s">
        <v>1389</v>
      </c>
      <c r="B1924" s="3">
        <v>156397</v>
      </c>
      <c r="C1924" s="3">
        <v>895816</v>
      </c>
      <c r="D1924" s="4" t="s">
        <v>81</v>
      </c>
      <c r="E1924" s="4" t="s">
        <v>735</v>
      </c>
      <c r="F1924" s="4" t="s">
        <v>83</v>
      </c>
      <c r="G1924" s="4" t="s">
        <v>91</v>
      </c>
      <c r="H1924" s="5">
        <v>-35984.800000000003</v>
      </c>
      <c r="I1924" s="4" t="s">
        <v>21</v>
      </c>
      <c r="J1924" s="5">
        <f t="shared" ref="J1924:J1987" si="30">-H1924*L1924</f>
        <v>174724.19640000002</v>
      </c>
      <c r="K1924" s="4" t="s">
        <v>35</v>
      </c>
      <c r="L1924" s="6">
        <v>4.8555000000000001</v>
      </c>
      <c r="M1924" s="6">
        <v>0.20599999999999999</v>
      </c>
      <c r="N1924" s="6">
        <v>4.8631000000000002</v>
      </c>
      <c r="O1924" s="6">
        <v>1</v>
      </c>
      <c r="P1924" s="5">
        <v>-273.48088000000001</v>
      </c>
      <c r="Q1924" s="4" t="s">
        <v>1394</v>
      </c>
    </row>
    <row r="1925" spans="1:17" x14ac:dyDescent="0.3">
      <c r="A1925" s="2" t="s">
        <v>1389</v>
      </c>
      <c r="B1925" s="3">
        <v>156398</v>
      </c>
      <c r="C1925" s="3">
        <v>895817</v>
      </c>
      <c r="D1925" s="4" t="s">
        <v>81</v>
      </c>
      <c r="E1925" s="4" t="s">
        <v>735</v>
      </c>
      <c r="F1925" s="4" t="s">
        <v>87</v>
      </c>
      <c r="G1925" s="4" t="s">
        <v>20</v>
      </c>
      <c r="H1925" s="5">
        <v>28894.67</v>
      </c>
      <c r="I1925" s="4" t="s">
        <v>21</v>
      </c>
      <c r="J1925" s="5">
        <f t="shared" si="30"/>
        <v>-121727.46577599998</v>
      </c>
      <c r="K1925" s="4" t="s">
        <v>35</v>
      </c>
      <c r="L1925" s="6">
        <v>4.2127999999999997</v>
      </c>
      <c r="M1925" s="6">
        <v>0.2374</v>
      </c>
      <c r="N1925" s="6">
        <v>4.2110000000000003</v>
      </c>
      <c r="O1925" s="6">
        <v>1</v>
      </c>
      <c r="P1925" s="5">
        <v>-52.014629999999997</v>
      </c>
      <c r="Q1925" s="4" t="s">
        <v>1394</v>
      </c>
    </row>
    <row r="1926" spans="1:17" x14ac:dyDescent="0.3">
      <c r="A1926" s="2" t="s">
        <v>1389</v>
      </c>
      <c r="B1926" s="3">
        <v>156399</v>
      </c>
      <c r="C1926" s="3">
        <v>895818</v>
      </c>
      <c r="D1926" s="4" t="s">
        <v>81</v>
      </c>
      <c r="E1926" s="4" t="s">
        <v>735</v>
      </c>
      <c r="F1926" s="4" t="s">
        <v>83</v>
      </c>
      <c r="G1926" s="4" t="s">
        <v>93</v>
      </c>
      <c r="H1926" s="5">
        <v>-1117.8599999999999</v>
      </c>
      <c r="I1926" s="4" t="s">
        <v>21</v>
      </c>
      <c r="J1926" s="5">
        <f t="shared" si="30"/>
        <v>5053.9568459999991</v>
      </c>
      <c r="K1926" s="4" t="s">
        <v>35</v>
      </c>
      <c r="L1926" s="6">
        <v>4.5210999999999997</v>
      </c>
      <c r="M1926" s="6">
        <v>0.22120000000000001</v>
      </c>
      <c r="N1926" s="6">
        <v>4.5058999999999996</v>
      </c>
      <c r="O1926" s="6">
        <v>1</v>
      </c>
      <c r="P1926" s="5">
        <v>16.994626</v>
      </c>
      <c r="Q1926" s="4" t="s">
        <v>1394</v>
      </c>
    </row>
    <row r="1927" spans="1:17" x14ac:dyDescent="0.3">
      <c r="A1927" s="2" t="s">
        <v>1389</v>
      </c>
      <c r="B1927" s="3">
        <v>156400</v>
      </c>
      <c r="C1927" s="3">
        <v>895819</v>
      </c>
      <c r="D1927" s="4" t="s">
        <v>81</v>
      </c>
      <c r="E1927" s="4" t="s">
        <v>735</v>
      </c>
      <c r="F1927" s="4" t="s">
        <v>83</v>
      </c>
      <c r="G1927" s="4" t="s">
        <v>34</v>
      </c>
      <c r="H1927" s="5">
        <v>-75195.05</v>
      </c>
      <c r="I1927" s="4" t="s">
        <v>21</v>
      </c>
      <c r="J1927" s="5">
        <f t="shared" si="30"/>
        <v>271311.25990499998</v>
      </c>
      <c r="K1927" s="4" t="s">
        <v>35</v>
      </c>
      <c r="L1927" s="6">
        <v>3.6080999999999999</v>
      </c>
      <c r="M1927" s="6">
        <v>0.2772</v>
      </c>
      <c r="N1927" s="6">
        <v>3.6139999999999999</v>
      </c>
      <c r="O1927" s="6">
        <v>1</v>
      </c>
      <c r="P1927" s="5">
        <v>-443.65069999999997</v>
      </c>
      <c r="Q1927" s="4" t="s">
        <v>1394</v>
      </c>
    </row>
    <row r="1928" spans="1:17" x14ac:dyDescent="0.3">
      <c r="A1928" s="2" t="s">
        <v>1389</v>
      </c>
      <c r="B1928" s="3">
        <v>156401</v>
      </c>
      <c r="C1928" s="3">
        <v>895858</v>
      </c>
      <c r="D1928" s="4" t="s">
        <v>81</v>
      </c>
      <c r="E1928" s="4" t="s">
        <v>730</v>
      </c>
      <c r="F1928" s="4" t="s">
        <v>83</v>
      </c>
      <c r="G1928" s="4" t="s">
        <v>20</v>
      </c>
      <c r="H1928" s="5">
        <v>-47821.98</v>
      </c>
      <c r="I1928" s="4" t="s">
        <v>21</v>
      </c>
      <c r="J1928" s="5">
        <f t="shared" si="30"/>
        <v>201407.050968</v>
      </c>
      <c r="K1928" s="4" t="s">
        <v>35</v>
      </c>
      <c r="L1928" s="6">
        <v>4.2115999999999998</v>
      </c>
      <c r="M1928" s="6">
        <v>0.2374</v>
      </c>
      <c r="N1928" s="6">
        <v>4.2110000000000003</v>
      </c>
      <c r="O1928" s="6">
        <v>1</v>
      </c>
      <c r="P1928" s="5">
        <v>28.212219999999999</v>
      </c>
      <c r="Q1928" s="4" t="s">
        <v>1396</v>
      </c>
    </row>
    <row r="1929" spans="1:17" x14ac:dyDescent="0.3">
      <c r="A1929" s="2" t="s">
        <v>1389</v>
      </c>
      <c r="B1929" s="3">
        <v>156402</v>
      </c>
      <c r="C1929" s="3">
        <v>895859</v>
      </c>
      <c r="D1929" s="4" t="s">
        <v>81</v>
      </c>
      <c r="E1929" s="4" t="s">
        <v>735</v>
      </c>
      <c r="F1929" s="4" t="s">
        <v>83</v>
      </c>
      <c r="G1929" s="4" t="s">
        <v>91</v>
      </c>
      <c r="H1929" s="5">
        <v>-755.38</v>
      </c>
      <c r="I1929" s="4" t="s">
        <v>21</v>
      </c>
      <c r="J1929" s="5">
        <f t="shared" si="30"/>
        <v>3674.3949339999999</v>
      </c>
      <c r="K1929" s="4" t="s">
        <v>35</v>
      </c>
      <c r="L1929" s="6">
        <v>4.8643000000000001</v>
      </c>
      <c r="M1929" s="6">
        <v>0.2056</v>
      </c>
      <c r="N1929" s="6">
        <v>4.8631000000000002</v>
      </c>
      <c r="O1929" s="6">
        <v>1</v>
      </c>
      <c r="P1929" s="5">
        <v>0.90152200000000005</v>
      </c>
      <c r="Q1929" s="4" t="s">
        <v>1394</v>
      </c>
    </row>
    <row r="1930" spans="1:17" x14ac:dyDescent="0.3">
      <c r="A1930" s="2" t="s">
        <v>1389</v>
      </c>
      <c r="B1930" s="3">
        <v>156403</v>
      </c>
      <c r="C1930" s="3">
        <v>895860</v>
      </c>
      <c r="D1930" s="4" t="s">
        <v>81</v>
      </c>
      <c r="E1930" s="4" t="s">
        <v>730</v>
      </c>
      <c r="F1930" s="4" t="s">
        <v>83</v>
      </c>
      <c r="G1930" s="4" t="s">
        <v>34</v>
      </c>
      <c r="H1930" s="5">
        <v>-4721.17</v>
      </c>
      <c r="I1930" s="4" t="s">
        <v>21</v>
      </c>
      <c r="J1930" s="5">
        <f t="shared" si="30"/>
        <v>17044.367933999998</v>
      </c>
      <c r="K1930" s="4" t="s">
        <v>35</v>
      </c>
      <c r="L1930" s="6">
        <v>3.6101999999999999</v>
      </c>
      <c r="M1930" s="6">
        <v>0.27700000000000002</v>
      </c>
      <c r="N1930" s="6">
        <v>3.6139999999999999</v>
      </c>
      <c r="O1930" s="6">
        <v>1</v>
      </c>
      <c r="P1930" s="5">
        <v>-17.888380000000002</v>
      </c>
      <c r="Q1930" s="4" t="s">
        <v>1396</v>
      </c>
    </row>
    <row r="1931" spans="1:17" x14ac:dyDescent="0.3">
      <c r="A1931" s="2" t="s">
        <v>1389</v>
      </c>
      <c r="B1931" s="3">
        <v>156404</v>
      </c>
      <c r="C1931" s="3">
        <v>895861</v>
      </c>
      <c r="D1931" s="4" t="s">
        <v>81</v>
      </c>
      <c r="E1931" s="4" t="s">
        <v>735</v>
      </c>
      <c r="F1931" s="4" t="s">
        <v>83</v>
      </c>
      <c r="G1931" s="4" t="s">
        <v>93</v>
      </c>
      <c r="H1931" s="5">
        <v>-389.99</v>
      </c>
      <c r="I1931" s="4" t="s">
        <v>21</v>
      </c>
      <c r="J1931" s="5">
        <f t="shared" si="30"/>
        <v>1766.0307160000002</v>
      </c>
      <c r="K1931" s="4" t="s">
        <v>35</v>
      </c>
      <c r="L1931" s="6">
        <v>4.5284000000000004</v>
      </c>
      <c r="M1931" s="6">
        <v>0.2208</v>
      </c>
      <c r="N1931" s="6">
        <v>4.5058999999999996</v>
      </c>
      <c r="O1931" s="6">
        <v>1</v>
      </c>
      <c r="P1931" s="5">
        <v>8.7740589999999994</v>
      </c>
      <c r="Q1931" s="4" t="s">
        <v>1394</v>
      </c>
    </row>
    <row r="1932" spans="1:17" x14ac:dyDescent="0.3">
      <c r="A1932" s="2" t="s">
        <v>1389</v>
      </c>
      <c r="B1932" s="3">
        <v>156405</v>
      </c>
      <c r="C1932" s="3">
        <v>216527</v>
      </c>
      <c r="D1932" s="4" t="s">
        <v>17</v>
      </c>
      <c r="E1932" s="4" t="s">
        <v>727</v>
      </c>
      <c r="F1932" s="4" t="s">
        <v>19</v>
      </c>
      <c r="G1932" s="4" t="s">
        <v>20</v>
      </c>
      <c r="H1932" s="5">
        <v>4500</v>
      </c>
      <c r="I1932" s="4" t="s">
        <v>21</v>
      </c>
      <c r="J1932" s="5">
        <f t="shared" si="30"/>
        <v>-18955.349999999999</v>
      </c>
      <c r="K1932" s="4" t="s">
        <v>48</v>
      </c>
      <c r="L1932" s="6">
        <v>4.2122999999999999</v>
      </c>
      <c r="M1932" s="6">
        <v>0.2374</v>
      </c>
      <c r="N1932" s="6">
        <v>4.2096999999999998</v>
      </c>
      <c r="O1932" s="6">
        <v>1</v>
      </c>
      <c r="P1932" s="5">
        <v>-11.700000000000728</v>
      </c>
      <c r="Q1932" s="4" t="s">
        <v>1397</v>
      </c>
    </row>
    <row r="1933" spans="1:17" x14ac:dyDescent="0.3">
      <c r="A1933" s="2" t="s">
        <v>1389</v>
      </c>
      <c r="B1933" s="3">
        <v>156406</v>
      </c>
      <c r="C1933" s="3">
        <v>216529</v>
      </c>
      <c r="D1933" s="4" t="s">
        <v>17</v>
      </c>
      <c r="E1933" s="4" t="s">
        <v>734</v>
      </c>
      <c r="F1933" s="4" t="s">
        <v>19</v>
      </c>
      <c r="G1933" s="4" t="s">
        <v>34</v>
      </c>
      <c r="H1933" s="5">
        <v>15973</v>
      </c>
      <c r="I1933" s="4" t="s">
        <v>21</v>
      </c>
      <c r="J1933" s="5">
        <f t="shared" si="30"/>
        <v>-57739.200399999994</v>
      </c>
      <c r="K1933" s="4" t="s">
        <v>48</v>
      </c>
      <c r="L1933" s="6">
        <v>3.6147999999999998</v>
      </c>
      <c r="M1933" s="6">
        <v>0.27660000000000001</v>
      </c>
      <c r="N1933" s="6">
        <v>3.6036999999999999</v>
      </c>
      <c r="O1933" s="6">
        <v>1</v>
      </c>
      <c r="P1933" s="5">
        <v>-177.30029999999533</v>
      </c>
      <c r="Q1933" s="4" t="s">
        <v>1393</v>
      </c>
    </row>
    <row r="1934" spans="1:17" x14ac:dyDescent="0.3">
      <c r="A1934" s="2" t="s">
        <v>1389</v>
      </c>
      <c r="B1934" s="3">
        <v>156407</v>
      </c>
      <c r="C1934" s="3">
        <v>216532</v>
      </c>
      <c r="D1934" s="4" t="s">
        <v>17</v>
      </c>
      <c r="E1934" s="4" t="s">
        <v>727</v>
      </c>
      <c r="F1934" s="4" t="s">
        <v>19</v>
      </c>
      <c r="G1934" s="4" t="s">
        <v>20</v>
      </c>
      <c r="H1934" s="5">
        <v>25920</v>
      </c>
      <c r="I1934" s="4" t="s">
        <v>21</v>
      </c>
      <c r="J1934" s="5">
        <f t="shared" si="30"/>
        <v>-109190.592</v>
      </c>
      <c r="K1934" s="4" t="s">
        <v>48</v>
      </c>
      <c r="L1934" s="6">
        <v>4.2126000000000001</v>
      </c>
      <c r="M1934" s="6">
        <v>0.2374</v>
      </c>
      <c r="N1934" s="6">
        <v>4.2096999999999998</v>
      </c>
      <c r="O1934" s="6">
        <v>1</v>
      </c>
      <c r="P1934" s="5">
        <v>-75.168000000005122</v>
      </c>
      <c r="Q1934" s="4" t="s">
        <v>1397</v>
      </c>
    </row>
    <row r="1935" spans="1:17" x14ac:dyDescent="0.3">
      <c r="A1935" s="2" t="s">
        <v>1389</v>
      </c>
      <c r="B1935" s="3">
        <v>156408</v>
      </c>
      <c r="C1935" s="3">
        <v>216533</v>
      </c>
      <c r="D1935" s="4" t="s">
        <v>17</v>
      </c>
      <c r="E1935" s="4" t="s">
        <v>734</v>
      </c>
      <c r="F1935" s="4" t="s">
        <v>19</v>
      </c>
      <c r="G1935" s="4" t="s">
        <v>20</v>
      </c>
      <c r="H1935" s="5">
        <v>1500</v>
      </c>
      <c r="I1935" s="4" t="s">
        <v>21</v>
      </c>
      <c r="J1935" s="5">
        <f t="shared" si="30"/>
        <v>-6319.65</v>
      </c>
      <c r="K1935" s="4" t="s">
        <v>48</v>
      </c>
      <c r="L1935" s="6">
        <v>4.2130999999999998</v>
      </c>
      <c r="M1935" s="6">
        <v>0.2374</v>
      </c>
      <c r="N1935" s="6">
        <v>4.2096999999999998</v>
      </c>
      <c r="O1935" s="6">
        <v>1</v>
      </c>
      <c r="P1935" s="5">
        <v>-5.1000000000003638</v>
      </c>
      <c r="Q1935" s="4" t="s">
        <v>1393</v>
      </c>
    </row>
    <row r="1936" spans="1:17" x14ac:dyDescent="0.3">
      <c r="A1936" s="2" t="s">
        <v>1389</v>
      </c>
      <c r="B1936" s="3">
        <v>156409</v>
      </c>
      <c r="C1936" s="3">
        <v>216536</v>
      </c>
      <c r="D1936" s="4" t="s">
        <v>17</v>
      </c>
      <c r="E1936" s="4" t="s">
        <v>734</v>
      </c>
      <c r="F1936" s="4" t="s">
        <v>19</v>
      </c>
      <c r="G1936" s="4" t="s">
        <v>20</v>
      </c>
      <c r="H1936" s="5">
        <v>7800</v>
      </c>
      <c r="I1936" s="4" t="s">
        <v>21</v>
      </c>
      <c r="J1936" s="5">
        <f t="shared" si="30"/>
        <v>-32859.839999999997</v>
      </c>
      <c r="K1936" s="4" t="s">
        <v>48</v>
      </c>
      <c r="L1936" s="6">
        <v>4.2127999999999997</v>
      </c>
      <c r="M1936" s="6">
        <v>0.2374</v>
      </c>
      <c r="N1936" s="6">
        <v>4.2096999999999998</v>
      </c>
      <c r="O1936" s="6">
        <v>1</v>
      </c>
      <c r="P1936" s="5">
        <v>-24.180000000000291</v>
      </c>
      <c r="Q1936" s="4" t="s">
        <v>1393</v>
      </c>
    </row>
    <row r="1937" spans="1:17" x14ac:dyDescent="0.3">
      <c r="A1937" s="2" t="s">
        <v>1389</v>
      </c>
      <c r="B1937" s="3">
        <v>156410</v>
      </c>
      <c r="C1937" s="3">
        <v>216537</v>
      </c>
      <c r="D1937" s="4" t="s">
        <v>17</v>
      </c>
      <c r="E1937" s="4" t="s">
        <v>735</v>
      </c>
      <c r="F1937" s="4" t="s">
        <v>19</v>
      </c>
      <c r="G1937" s="4" t="s">
        <v>20</v>
      </c>
      <c r="H1937" s="5">
        <v>33727.58</v>
      </c>
      <c r="I1937" s="4" t="s">
        <v>21</v>
      </c>
      <c r="J1937" s="5">
        <f t="shared" si="30"/>
        <v>-142094.29454</v>
      </c>
      <c r="K1937" s="4" t="s">
        <v>48</v>
      </c>
      <c r="L1937" s="6">
        <v>4.2130000000000001</v>
      </c>
      <c r="M1937" s="6">
        <v>0.2374</v>
      </c>
      <c r="N1937" s="6">
        <v>4.2096999999999998</v>
      </c>
      <c r="O1937" s="6">
        <v>1</v>
      </c>
      <c r="P1937" s="5">
        <v>-111.30101399999694</v>
      </c>
      <c r="Q1937" s="4" t="s">
        <v>1394</v>
      </c>
    </row>
    <row r="1938" spans="1:17" x14ac:dyDescent="0.3">
      <c r="A1938" s="2" t="s">
        <v>1389</v>
      </c>
      <c r="B1938" s="3">
        <v>156411</v>
      </c>
      <c r="C1938" s="3">
        <v>216540</v>
      </c>
      <c r="D1938" s="4" t="s">
        <v>17</v>
      </c>
      <c r="E1938" s="4" t="s">
        <v>727</v>
      </c>
      <c r="F1938" s="4" t="s">
        <v>19</v>
      </c>
      <c r="G1938" s="4" t="s">
        <v>20</v>
      </c>
      <c r="H1938" s="5">
        <v>1010</v>
      </c>
      <c r="I1938" s="4" t="s">
        <v>21</v>
      </c>
      <c r="J1938" s="5">
        <f t="shared" si="30"/>
        <v>-4254.9279999999999</v>
      </c>
      <c r="K1938" s="4" t="s">
        <v>48</v>
      </c>
      <c r="L1938" s="6">
        <v>4.2127999999999997</v>
      </c>
      <c r="M1938" s="6">
        <v>0.2374</v>
      </c>
      <c r="N1938" s="6">
        <v>4.2096999999999998</v>
      </c>
      <c r="O1938" s="6">
        <v>1</v>
      </c>
      <c r="P1938" s="5">
        <v>-3.1310000000003129</v>
      </c>
      <c r="Q1938" s="4" t="s">
        <v>1397</v>
      </c>
    </row>
    <row r="1939" spans="1:17" x14ac:dyDescent="0.3">
      <c r="A1939" s="2" t="s">
        <v>1389</v>
      </c>
      <c r="B1939" s="3">
        <v>156412</v>
      </c>
      <c r="C1939" s="3">
        <v>895894</v>
      </c>
      <c r="D1939" s="4" t="s">
        <v>81</v>
      </c>
      <c r="E1939" s="4" t="s">
        <v>734</v>
      </c>
      <c r="F1939" s="4" t="s">
        <v>87</v>
      </c>
      <c r="G1939" s="4" t="s">
        <v>20</v>
      </c>
      <c r="H1939" s="5">
        <v>100000</v>
      </c>
      <c r="I1939" s="4" t="s">
        <v>110</v>
      </c>
      <c r="J1939" s="5">
        <f t="shared" si="30"/>
        <v>-173900</v>
      </c>
      <c r="K1939" s="4" t="s">
        <v>35</v>
      </c>
      <c r="L1939" s="6">
        <v>1.7390000000000001</v>
      </c>
      <c r="M1939" s="6">
        <v>0.57509999999999994</v>
      </c>
      <c r="N1939" s="6">
        <v>4.2110000000000003</v>
      </c>
      <c r="O1939" s="6">
        <v>2.4198</v>
      </c>
      <c r="P1939" s="5">
        <v>306.45920000000001</v>
      </c>
      <c r="Q1939" s="4" t="s">
        <v>1393</v>
      </c>
    </row>
    <row r="1940" spans="1:17" x14ac:dyDescent="0.3">
      <c r="A1940" s="2" t="s">
        <v>1389</v>
      </c>
      <c r="B1940" s="3">
        <v>156413</v>
      </c>
      <c r="C1940" s="3">
        <v>895895</v>
      </c>
      <c r="D1940" s="4" t="s">
        <v>81</v>
      </c>
      <c r="E1940" s="4" t="s">
        <v>735</v>
      </c>
      <c r="F1940" s="4" t="s">
        <v>83</v>
      </c>
      <c r="G1940" s="4" t="s">
        <v>20</v>
      </c>
      <c r="H1940" s="5">
        <v>-100154.53</v>
      </c>
      <c r="I1940" s="4" t="s">
        <v>21</v>
      </c>
      <c r="J1940" s="5">
        <f t="shared" si="30"/>
        <v>421880.92671899998</v>
      </c>
      <c r="K1940" s="4" t="s">
        <v>35</v>
      </c>
      <c r="L1940" s="6">
        <v>4.2122999999999999</v>
      </c>
      <c r="M1940" s="6">
        <v>0.2374</v>
      </c>
      <c r="N1940" s="6">
        <v>4.2110000000000003</v>
      </c>
      <c r="O1940" s="6">
        <v>1</v>
      </c>
      <c r="P1940" s="5">
        <v>130.20417</v>
      </c>
      <c r="Q1940" s="4" t="s">
        <v>1394</v>
      </c>
    </row>
    <row r="1941" spans="1:17" x14ac:dyDescent="0.3">
      <c r="A1941" s="2" t="s">
        <v>1389</v>
      </c>
      <c r="B1941" s="3">
        <v>156414</v>
      </c>
      <c r="C1941" s="3">
        <v>895896</v>
      </c>
      <c r="D1941" s="4" t="s">
        <v>81</v>
      </c>
      <c r="E1941" s="4" t="s">
        <v>743</v>
      </c>
      <c r="F1941" s="4" t="s">
        <v>87</v>
      </c>
      <c r="G1941" s="4" t="s">
        <v>34</v>
      </c>
      <c r="H1941" s="5">
        <v>35953.54</v>
      </c>
      <c r="I1941" s="4" t="s">
        <v>21</v>
      </c>
      <c r="J1941" s="5">
        <f t="shared" si="30"/>
        <v>-129932.498206</v>
      </c>
      <c r="K1941" s="4" t="s">
        <v>35</v>
      </c>
      <c r="L1941" s="6">
        <v>3.6139000000000001</v>
      </c>
      <c r="M1941" s="6">
        <v>0.2767</v>
      </c>
      <c r="N1941" s="6">
        <v>3.6139999999999999</v>
      </c>
      <c r="O1941" s="6">
        <v>1</v>
      </c>
      <c r="P1941" s="5">
        <v>4.6735600000000002</v>
      </c>
      <c r="Q1941" s="4" t="s">
        <v>1395</v>
      </c>
    </row>
    <row r="1942" spans="1:17" x14ac:dyDescent="0.3">
      <c r="A1942" s="2" t="s">
        <v>1389</v>
      </c>
      <c r="B1942" s="3">
        <v>156415</v>
      </c>
      <c r="C1942" s="3">
        <v>895897</v>
      </c>
      <c r="D1942" s="4" t="s">
        <v>81</v>
      </c>
      <c r="E1942" s="4" t="s">
        <v>735</v>
      </c>
      <c r="F1942" s="4" t="s">
        <v>83</v>
      </c>
      <c r="G1942" s="4" t="s">
        <v>93</v>
      </c>
      <c r="H1942" s="5">
        <v>-1497.93</v>
      </c>
      <c r="I1942" s="4" t="s">
        <v>21</v>
      </c>
      <c r="J1942" s="5">
        <f t="shared" si="30"/>
        <v>6783.6755910000002</v>
      </c>
      <c r="K1942" s="4" t="s">
        <v>35</v>
      </c>
      <c r="L1942" s="6">
        <v>4.5286999999999997</v>
      </c>
      <c r="M1942" s="6">
        <v>0.2208</v>
      </c>
      <c r="N1942" s="6">
        <v>4.5058999999999996</v>
      </c>
      <c r="O1942" s="6">
        <v>1</v>
      </c>
      <c r="P1942" s="5">
        <v>34.157212999999999</v>
      </c>
      <c r="Q1942" s="4" t="s">
        <v>1394</v>
      </c>
    </row>
    <row r="1943" spans="1:17" x14ac:dyDescent="0.3">
      <c r="A1943" s="2" t="s">
        <v>1389</v>
      </c>
      <c r="B1943" s="3">
        <v>156416</v>
      </c>
      <c r="C1943" s="3">
        <v>895898</v>
      </c>
      <c r="D1943" s="4" t="s">
        <v>81</v>
      </c>
      <c r="E1943" s="4" t="s">
        <v>735</v>
      </c>
      <c r="F1943" s="4" t="s">
        <v>83</v>
      </c>
      <c r="G1943" s="4" t="s">
        <v>91</v>
      </c>
      <c r="H1943" s="5">
        <v>-19051.810000000001</v>
      </c>
      <c r="I1943" s="4" t="s">
        <v>21</v>
      </c>
      <c r="J1943" s="5">
        <f t="shared" si="30"/>
        <v>92704.202279000005</v>
      </c>
      <c r="K1943" s="4" t="s">
        <v>35</v>
      </c>
      <c r="L1943" s="6">
        <v>4.8658999999999999</v>
      </c>
      <c r="M1943" s="6">
        <v>0.20549999999999999</v>
      </c>
      <c r="N1943" s="6">
        <v>4.8631000000000002</v>
      </c>
      <c r="O1943" s="6">
        <v>1</v>
      </c>
      <c r="P1943" s="5">
        <v>53.342789000000003</v>
      </c>
      <c r="Q1943" s="4" t="s">
        <v>1394</v>
      </c>
    </row>
    <row r="1944" spans="1:17" x14ac:dyDescent="0.3">
      <c r="A1944" s="2" t="s">
        <v>1389</v>
      </c>
      <c r="B1944" s="3">
        <v>156417</v>
      </c>
      <c r="C1944" s="3">
        <v>216541</v>
      </c>
      <c r="D1944" s="4" t="s">
        <v>17</v>
      </c>
      <c r="E1944" s="4" t="s">
        <v>739</v>
      </c>
      <c r="F1944" s="4" t="s">
        <v>19</v>
      </c>
      <c r="G1944" s="4" t="s">
        <v>20</v>
      </c>
      <c r="H1944" s="5">
        <v>12285</v>
      </c>
      <c r="I1944" s="4" t="s">
        <v>21</v>
      </c>
      <c r="J1944" s="5">
        <f t="shared" si="30"/>
        <v>-51754.247999999992</v>
      </c>
      <c r="K1944" s="4" t="s">
        <v>48</v>
      </c>
      <c r="L1944" s="6">
        <v>4.2127999999999997</v>
      </c>
      <c r="M1944" s="6">
        <v>0.2374</v>
      </c>
      <c r="N1944" s="6">
        <v>4.2096999999999998</v>
      </c>
      <c r="O1944" s="6">
        <v>1</v>
      </c>
      <c r="P1944" s="5">
        <v>-38.083499999993364</v>
      </c>
      <c r="Q1944" s="4" t="s">
        <v>1391</v>
      </c>
    </row>
    <row r="1945" spans="1:17" x14ac:dyDescent="0.3">
      <c r="A1945" s="2" t="s">
        <v>1389</v>
      </c>
      <c r="B1945" s="3">
        <v>156418</v>
      </c>
      <c r="C1945" s="3">
        <v>216543</v>
      </c>
      <c r="D1945" s="4" t="s">
        <v>17</v>
      </c>
      <c r="E1945" s="4" t="s">
        <v>739</v>
      </c>
      <c r="F1945" s="4" t="s">
        <v>19</v>
      </c>
      <c r="G1945" s="4" t="s">
        <v>34</v>
      </c>
      <c r="H1945" s="5">
        <v>17000</v>
      </c>
      <c r="I1945" s="4" t="s">
        <v>21</v>
      </c>
      <c r="J1945" s="5">
        <f t="shared" si="30"/>
        <v>-61427.799999999996</v>
      </c>
      <c r="K1945" s="4" t="s">
        <v>48</v>
      </c>
      <c r="L1945" s="6">
        <v>3.6133999999999999</v>
      </c>
      <c r="M1945" s="6">
        <v>0.2767</v>
      </c>
      <c r="N1945" s="6">
        <v>3.6036999999999999</v>
      </c>
      <c r="O1945" s="6">
        <v>1</v>
      </c>
      <c r="P1945" s="5">
        <v>-164.89999999999418</v>
      </c>
      <c r="Q1945" s="4" t="s">
        <v>1391</v>
      </c>
    </row>
    <row r="1946" spans="1:17" x14ac:dyDescent="0.3">
      <c r="A1946" s="2" t="s">
        <v>1389</v>
      </c>
      <c r="B1946" s="3">
        <v>156419</v>
      </c>
      <c r="C1946" s="3">
        <v>216545</v>
      </c>
      <c r="D1946" s="4" t="s">
        <v>17</v>
      </c>
      <c r="E1946" s="4" t="s">
        <v>739</v>
      </c>
      <c r="F1946" s="4" t="s">
        <v>32</v>
      </c>
      <c r="G1946" s="4" t="s">
        <v>20</v>
      </c>
      <c r="H1946" s="5">
        <v>-14900</v>
      </c>
      <c r="I1946" s="4" t="s">
        <v>21</v>
      </c>
      <c r="J1946" s="5">
        <f t="shared" si="30"/>
        <v>62766.250000000007</v>
      </c>
      <c r="K1946" s="4" t="s">
        <v>48</v>
      </c>
      <c r="L1946" s="6">
        <v>4.2125000000000004</v>
      </c>
      <c r="M1946" s="6">
        <v>0.2374</v>
      </c>
      <c r="N1946" s="6">
        <v>4.2096999999999998</v>
      </c>
      <c r="O1946" s="6">
        <v>1</v>
      </c>
      <c r="P1946" s="5">
        <v>34.6</v>
      </c>
      <c r="Q1946" s="4" t="s">
        <v>1391</v>
      </c>
    </row>
    <row r="1947" spans="1:17" x14ac:dyDescent="0.3">
      <c r="A1947" s="2" t="s">
        <v>1389</v>
      </c>
      <c r="B1947" s="3">
        <v>156420</v>
      </c>
      <c r="C1947" s="3">
        <v>216547</v>
      </c>
      <c r="D1947" s="4" t="s">
        <v>17</v>
      </c>
      <c r="E1947" s="4" t="s">
        <v>739</v>
      </c>
      <c r="F1947" s="4" t="s">
        <v>32</v>
      </c>
      <c r="G1947" s="4" t="s">
        <v>20</v>
      </c>
      <c r="H1947" s="5">
        <v>-2000</v>
      </c>
      <c r="I1947" s="4" t="s">
        <v>21</v>
      </c>
      <c r="J1947" s="5">
        <f t="shared" si="30"/>
        <v>8425.4</v>
      </c>
      <c r="K1947" s="4" t="s">
        <v>48</v>
      </c>
      <c r="L1947" s="6">
        <v>4.2126999999999999</v>
      </c>
      <c r="M1947" s="6">
        <v>0.2374</v>
      </c>
      <c r="N1947" s="6">
        <v>4.2096999999999998</v>
      </c>
      <c r="O1947" s="6">
        <v>1</v>
      </c>
      <c r="P1947" s="5">
        <v>5.14</v>
      </c>
      <c r="Q1947" s="4" t="s">
        <v>1391</v>
      </c>
    </row>
    <row r="1948" spans="1:17" x14ac:dyDescent="0.3">
      <c r="A1948" s="2" t="s">
        <v>1389</v>
      </c>
      <c r="B1948" s="3">
        <v>156421</v>
      </c>
      <c r="C1948" s="3">
        <v>216549</v>
      </c>
      <c r="D1948" s="4" t="s">
        <v>17</v>
      </c>
      <c r="E1948" s="4" t="s">
        <v>739</v>
      </c>
      <c r="F1948" s="4" t="s">
        <v>19</v>
      </c>
      <c r="G1948" s="4" t="s">
        <v>84</v>
      </c>
      <c r="H1948" s="5">
        <v>15000</v>
      </c>
      <c r="I1948" s="4" t="s">
        <v>21</v>
      </c>
      <c r="J1948" s="5">
        <f t="shared" si="30"/>
        <v>-5905.5</v>
      </c>
      <c r="K1948" s="4" t="s">
        <v>48</v>
      </c>
      <c r="L1948" s="6">
        <v>0.39369999999999999</v>
      </c>
      <c r="M1948" s="6">
        <v>2.54</v>
      </c>
      <c r="N1948" s="6">
        <v>0.39279999999999998</v>
      </c>
      <c r="O1948" s="6">
        <v>1</v>
      </c>
      <c r="P1948" s="5">
        <v>-13.5</v>
      </c>
      <c r="Q1948" s="4" t="s">
        <v>1391</v>
      </c>
    </row>
    <row r="1949" spans="1:17" x14ac:dyDescent="0.3">
      <c r="A1949" s="2" t="s">
        <v>1389</v>
      </c>
      <c r="B1949" s="3">
        <v>156422</v>
      </c>
      <c r="C1949" s="3">
        <v>895932</v>
      </c>
      <c r="D1949" s="4" t="s">
        <v>81</v>
      </c>
      <c r="E1949" s="4" t="s">
        <v>732</v>
      </c>
      <c r="F1949" s="4" t="s">
        <v>87</v>
      </c>
      <c r="G1949" s="4" t="s">
        <v>20</v>
      </c>
      <c r="H1949" s="5">
        <v>1000000</v>
      </c>
      <c r="I1949" s="4" t="s">
        <v>21</v>
      </c>
      <c r="J1949" s="5">
        <f t="shared" si="30"/>
        <v>-4212600</v>
      </c>
      <c r="K1949" s="4" t="s">
        <v>35</v>
      </c>
      <c r="L1949" s="6">
        <v>4.2126000000000001</v>
      </c>
      <c r="M1949" s="6">
        <v>0.2374</v>
      </c>
      <c r="N1949" s="6">
        <v>4.2110000000000003</v>
      </c>
      <c r="O1949" s="6">
        <v>1</v>
      </c>
      <c r="P1949" s="5">
        <v>-1600</v>
      </c>
      <c r="Q1949" s="4" t="s">
        <v>1394</v>
      </c>
    </row>
    <row r="1950" spans="1:17" x14ac:dyDescent="0.3">
      <c r="A1950" s="2" t="s">
        <v>1389</v>
      </c>
      <c r="B1950" s="3">
        <v>156423</v>
      </c>
      <c r="C1950" s="3">
        <v>216557</v>
      </c>
      <c r="D1950" s="4" t="s">
        <v>17</v>
      </c>
      <c r="E1950" s="4" t="s">
        <v>1272</v>
      </c>
      <c r="F1950" s="4" t="s">
        <v>32</v>
      </c>
      <c r="G1950" s="4" t="s">
        <v>34</v>
      </c>
      <c r="H1950" s="5">
        <v>-25000</v>
      </c>
      <c r="I1950" s="4" t="s">
        <v>21</v>
      </c>
      <c r="J1950" s="5">
        <f t="shared" si="30"/>
        <v>90447.5</v>
      </c>
      <c r="K1950" s="4" t="s">
        <v>48</v>
      </c>
      <c r="L1950" s="6">
        <v>3.6179000000000001</v>
      </c>
      <c r="M1950" s="6">
        <v>0.27639999999999998</v>
      </c>
      <c r="N1950" s="6">
        <v>3.6036999999999999</v>
      </c>
      <c r="O1950" s="6">
        <v>1</v>
      </c>
      <c r="P1950" s="5">
        <v>355</v>
      </c>
      <c r="Q1950" s="4" t="s">
        <v>1390</v>
      </c>
    </row>
    <row r="1951" spans="1:17" x14ac:dyDescent="0.3">
      <c r="A1951" s="2" t="s">
        <v>1389</v>
      </c>
      <c r="B1951" s="3">
        <v>156424</v>
      </c>
      <c r="C1951" s="3">
        <v>216560</v>
      </c>
      <c r="D1951" s="4" t="s">
        <v>17</v>
      </c>
      <c r="E1951" s="4" t="s">
        <v>1154</v>
      </c>
      <c r="F1951" s="4" t="s">
        <v>32</v>
      </c>
      <c r="G1951" s="4" t="s">
        <v>20</v>
      </c>
      <c r="H1951" s="5">
        <v>-273000</v>
      </c>
      <c r="I1951" s="4" t="s">
        <v>21</v>
      </c>
      <c r="J1951" s="5">
        <f t="shared" si="30"/>
        <v>1150749.6000000001</v>
      </c>
      <c r="K1951" s="4" t="s">
        <v>48</v>
      </c>
      <c r="L1951" s="6">
        <v>4.2152000000000003</v>
      </c>
      <c r="M1951" s="6">
        <v>0.23719999999999999</v>
      </c>
      <c r="N1951" s="6">
        <v>4.2096999999999998</v>
      </c>
      <c r="O1951" s="6">
        <v>1</v>
      </c>
      <c r="P1951" s="5">
        <v>1392.3</v>
      </c>
      <c r="Q1951" s="4" t="s">
        <v>1390</v>
      </c>
    </row>
    <row r="1952" spans="1:17" x14ac:dyDescent="0.3">
      <c r="A1952" s="2" t="s">
        <v>1389</v>
      </c>
      <c r="B1952" s="3">
        <v>156425</v>
      </c>
      <c r="C1952" s="3">
        <v>895957</v>
      </c>
      <c r="D1952" s="4" t="s">
        <v>81</v>
      </c>
      <c r="E1952" s="4" t="s">
        <v>730</v>
      </c>
      <c r="F1952" s="4" t="s">
        <v>87</v>
      </c>
      <c r="G1952" s="4" t="s">
        <v>20</v>
      </c>
      <c r="H1952" s="5">
        <v>200000</v>
      </c>
      <c r="I1952" s="4" t="s">
        <v>34</v>
      </c>
      <c r="J1952" s="5">
        <f t="shared" si="30"/>
        <v>-233219.99999999997</v>
      </c>
      <c r="K1952" s="4" t="s">
        <v>35</v>
      </c>
      <c r="L1952" s="6">
        <v>1.1660999999999999</v>
      </c>
      <c r="M1952" s="6">
        <v>0.85750000000000004</v>
      </c>
      <c r="N1952" s="6">
        <v>4.2110000000000003</v>
      </c>
      <c r="O1952" s="6">
        <v>3.6139999999999999</v>
      </c>
      <c r="P1952" s="5">
        <v>-678.76400000000001</v>
      </c>
      <c r="Q1952" s="4" t="s">
        <v>1396</v>
      </c>
    </row>
    <row r="1953" spans="1:17" x14ac:dyDescent="0.3">
      <c r="A1953" s="2" t="s">
        <v>1389</v>
      </c>
      <c r="B1953" s="3">
        <v>156426</v>
      </c>
      <c r="C1953" s="3">
        <v>216563</v>
      </c>
      <c r="D1953" s="4" t="s">
        <v>17</v>
      </c>
      <c r="E1953" s="4" t="s">
        <v>1059</v>
      </c>
      <c r="F1953" s="4" t="s">
        <v>19</v>
      </c>
      <c r="G1953" s="4" t="s">
        <v>20</v>
      </c>
      <c r="H1953" s="5">
        <v>11623</v>
      </c>
      <c r="I1953" s="4" t="s">
        <v>34</v>
      </c>
      <c r="J1953" s="5">
        <f t="shared" si="30"/>
        <v>-13543.1196</v>
      </c>
      <c r="K1953" s="4" t="s">
        <v>48</v>
      </c>
      <c r="L1953" s="6">
        <v>1.1652</v>
      </c>
      <c r="M1953" s="6">
        <v>0.85819999999999996</v>
      </c>
      <c r="N1953" s="6">
        <v>4.2096999999999998</v>
      </c>
      <c r="O1953" s="6">
        <v>3.6036999999999999</v>
      </c>
      <c r="P1953" s="5">
        <v>124.00299747999816</v>
      </c>
      <c r="Q1953" s="4" t="s">
        <v>1390</v>
      </c>
    </row>
    <row r="1954" spans="1:17" x14ac:dyDescent="0.3">
      <c r="A1954" s="2" t="s">
        <v>1389</v>
      </c>
      <c r="B1954" s="3">
        <v>156427</v>
      </c>
      <c r="C1954" s="3">
        <v>895974</v>
      </c>
      <c r="D1954" s="4" t="s">
        <v>81</v>
      </c>
      <c r="E1954" s="4" t="s">
        <v>732</v>
      </c>
      <c r="F1954" s="4" t="s">
        <v>87</v>
      </c>
      <c r="G1954" s="4" t="s">
        <v>20</v>
      </c>
      <c r="H1954" s="5">
        <v>500000</v>
      </c>
      <c r="I1954" s="4" t="s">
        <v>21</v>
      </c>
      <c r="J1954" s="5">
        <f t="shared" si="30"/>
        <v>-2105900</v>
      </c>
      <c r="K1954" s="4" t="s">
        <v>35</v>
      </c>
      <c r="L1954" s="6">
        <v>4.2118000000000002</v>
      </c>
      <c r="M1954" s="6">
        <v>0.2374</v>
      </c>
      <c r="N1954" s="6">
        <v>4.2110000000000003</v>
      </c>
      <c r="O1954" s="6">
        <v>1</v>
      </c>
      <c r="P1954" s="5">
        <v>-400</v>
      </c>
      <c r="Q1954" s="4" t="s">
        <v>1394</v>
      </c>
    </row>
    <row r="1955" spans="1:17" x14ac:dyDescent="0.3">
      <c r="A1955" s="2" t="s">
        <v>1389</v>
      </c>
      <c r="B1955" s="3">
        <v>156428</v>
      </c>
      <c r="C1955" s="3">
        <v>896000</v>
      </c>
      <c r="D1955" s="4" t="s">
        <v>81</v>
      </c>
      <c r="E1955" s="4" t="s">
        <v>735</v>
      </c>
      <c r="F1955" s="4" t="s">
        <v>87</v>
      </c>
      <c r="G1955" s="4" t="s">
        <v>20</v>
      </c>
      <c r="H1955" s="5">
        <v>100000</v>
      </c>
      <c r="I1955" s="4" t="s">
        <v>34</v>
      </c>
      <c r="J1955" s="5">
        <f t="shared" si="30"/>
        <v>-116660.00000000001</v>
      </c>
      <c r="K1955" s="4" t="s">
        <v>35</v>
      </c>
      <c r="L1955" s="6">
        <v>1.1666000000000001</v>
      </c>
      <c r="M1955" s="6">
        <v>0.85719999999999996</v>
      </c>
      <c r="N1955" s="6">
        <v>4.2110000000000003</v>
      </c>
      <c r="O1955" s="6">
        <v>3.6139999999999999</v>
      </c>
      <c r="P1955" s="5">
        <v>-498.39800000000002</v>
      </c>
      <c r="Q1955" s="4" t="s">
        <v>1394</v>
      </c>
    </row>
    <row r="1956" spans="1:17" x14ac:dyDescent="0.3">
      <c r="A1956" s="2" t="s">
        <v>1389</v>
      </c>
      <c r="B1956" s="3">
        <v>156429</v>
      </c>
      <c r="C1956" s="3">
        <v>216572</v>
      </c>
      <c r="D1956" s="4" t="s">
        <v>17</v>
      </c>
      <c r="E1956" s="4" t="s">
        <v>1349</v>
      </c>
      <c r="F1956" s="4" t="s">
        <v>19</v>
      </c>
      <c r="G1956" s="4" t="s">
        <v>20</v>
      </c>
      <c r="H1956" s="5">
        <v>10000</v>
      </c>
      <c r="I1956" s="4" t="s">
        <v>21</v>
      </c>
      <c r="J1956" s="5">
        <f t="shared" si="30"/>
        <v>-41858.000000000007</v>
      </c>
      <c r="K1956" s="4" t="s">
        <v>48</v>
      </c>
      <c r="L1956" s="6">
        <v>4.1858000000000004</v>
      </c>
      <c r="M1956" s="6">
        <v>0.2389</v>
      </c>
      <c r="N1956" s="6">
        <v>4.2096999999999998</v>
      </c>
      <c r="O1956" s="6">
        <v>1</v>
      </c>
      <c r="P1956" s="5">
        <v>238.99999999999272</v>
      </c>
      <c r="Q1956" s="4" t="s">
        <v>1390</v>
      </c>
    </row>
    <row r="1957" spans="1:17" x14ac:dyDescent="0.3">
      <c r="A1957" s="2" t="s">
        <v>1389</v>
      </c>
      <c r="B1957" s="3">
        <v>156430</v>
      </c>
      <c r="C1957" s="3">
        <v>896009</v>
      </c>
      <c r="D1957" s="4" t="s">
        <v>81</v>
      </c>
      <c r="E1957" s="4" t="s">
        <v>742</v>
      </c>
      <c r="F1957" s="4" t="s">
        <v>87</v>
      </c>
      <c r="G1957" s="4" t="s">
        <v>20</v>
      </c>
      <c r="H1957" s="5">
        <v>300000</v>
      </c>
      <c r="I1957" s="4" t="s">
        <v>34</v>
      </c>
      <c r="J1957" s="5">
        <f t="shared" si="30"/>
        <v>-350010</v>
      </c>
      <c r="K1957" s="4" t="s">
        <v>35</v>
      </c>
      <c r="L1957" s="6">
        <v>1.1667000000000001</v>
      </c>
      <c r="M1957" s="6">
        <v>0.85709999999999997</v>
      </c>
      <c r="N1957" s="6">
        <v>4.2110000000000003</v>
      </c>
      <c r="O1957" s="6">
        <v>3.6139999999999999</v>
      </c>
      <c r="P1957" s="5">
        <v>-1636.14</v>
      </c>
      <c r="Q1957" s="4" t="s">
        <v>1396</v>
      </c>
    </row>
    <row r="1958" spans="1:17" x14ac:dyDescent="0.3">
      <c r="A1958" s="2" t="s">
        <v>1389</v>
      </c>
      <c r="B1958" s="3">
        <v>156431</v>
      </c>
      <c r="C1958" s="3">
        <v>216574</v>
      </c>
      <c r="D1958" s="4" t="s">
        <v>17</v>
      </c>
      <c r="E1958" s="4" t="s">
        <v>1060</v>
      </c>
      <c r="F1958" s="4" t="s">
        <v>32</v>
      </c>
      <c r="G1958" s="4" t="s">
        <v>20</v>
      </c>
      <c r="H1958" s="5">
        <v>-5000</v>
      </c>
      <c r="I1958" s="4" t="s">
        <v>21</v>
      </c>
      <c r="J1958" s="5">
        <f t="shared" si="30"/>
        <v>21130</v>
      </c>
      <c r="K1958" s="4" t="s">
        <v>48</v>
      </c>
      <c r="L1958" s="6">
        <v>4.226</v>
      </c>
      <c r="M1958" s="6">
        <v>0.2366</v>
      </c>
      <c r="N1958" s="6">
        <v>4.2096999999999998</v>
      </c>
      <c r="O1958" s="6">
        <v>1</v>
      </c>
      <c r="P1958" s="5">
        <v>81.5</v>
      </c>
      <c r="Q1958" s="4" t="s">
        <v>1390</v>
      </c>
    </row>
    <row r="1959" spans="1:17" x14ac:dyDescent="0.3">
      <c r="A1959" s="2" t="s">
        <v>1389</v>
      </c>
      <c r="B1959" s="3">
        <v>156432</v>
      </c>
      <c r="C1959" s="3">
        <v>216575</v>
      </c>
      <c r="D1959" s="4" t="s">
        <v>17</v>
      </c>
      <c r="E1959" s="4" t="s">
        <v>1060</v>
      </c>
      <c r="F1959" s="4" t="s">
        <v>32</v>
      </c>
      <c r="G1959" s="4" t="s">
        <v>34</v>
      </c>
      <c r="H1959" s="5">
        <v>-10000</v>
      </c>
      <c r="I1959" s="4" t="s">
        <v>21</v>
      </c>
      <c r="J1959" s="5">
        <f t="shared" si="30"/>
        <v>36250</v>
      </c>
      <c r="K1959" s="4" t="s">
        <v>48</v>
      </c>
      <c r="L1959" s="6">
        <v>3.625</v>
      </c>
      <c r="M1959" s="6">
        <v>0.27589999999999998</v>
      </c>
      <c r="N1959" s="6">
        <v>3.6036999999999999</v>
      </c>
      <c r="O1959" s="6">
        <v>1</v>
      </c>
      <c r="P1959" s="5">
        <v>213</v>
      </c>
      <c r="Q1959" s="4" t="s">
        <v>1390</v>
      </c>
    </row>
    <row r="1960" spans="1:17" x14ac:dyDescent="0.3">
      <c r="A1960" s="2" t="s">
        <v>1389</v>
      </c>
      <c r="B1960" s="3">
        <v>156433</v>
      </c>
      <c r="C1960" s="3">
        <v>896024</v>
      </c>
      <c r="D1960" s="4" t="s">
        <v>81</v>
      </c>
      <c r="E1960" s="4" t="s">
        <v>730</v>
      </c>
      <c r="F1960" s="4" t="s">
        <v>87</v>
      </c>
      <c r="G1960" s="4" t="s">
        <v>20</v>
      </c>
      <c r="H1960" s="5">
        <v>100000</v>
      </c>
      <c r="I1960" s="4" t="s">
        <v>89</v>
      </c>
      <c r="J1960" s="5">
        <f t="shared" si="30"/>
        <v>-747230</v>
      </c>
      <c r="K1960" s="4" t="s">
        <v>35</v>
      </c>
      <c r="L1960" s="6">
        <v>7.4722999999999997</v>
      </c>
      <c r="M1960" s="6">
        <v>0.1338</v>
      </c>
      <c r="N1960" s="6">
        <v>4.2110000000000003</v>
      </c>
      <c r="O1960" s="6">
        <v>0.5635</v>
      </c>
      <c r="P1960" s="5">
        <v>34.768000000000001</v>
      </c>
      <c r="Q1960" s="4" t="s">
        <v>1396</v>
      </c>
    </row>
    <row r="1961" spans="1:17" x14ac:dyDescent="0.3">
      <c r="A1961" s="2" t="s">
        <v>1389</v>
      </c>
      <c r="B1961" s="3">
        <v>156434</v>
      </c>
      <c r="C1961" s="3">
        <v>896037</v>
      </c>
      <c r="D1961" s="4" t="s">
        <v>81</v>
      </c>
      <c r="E1961" s="4" t="s">
        <v>735</v>
      </c>
      <c r="F1961" s="4" t="s">
        <v>87</v>
      </c>
      <c r="G1961" s="4" t="s">
        <v>20</v>
      </c>
      <c r="H1961" s="5">
        <v>500000</v>
      </c>
      <c r="I1961" s="4" t="s">
        <v>21</v>
      </c>
      <c r="J1961" s="5">
        <f t="shared" si="30"/>
        <v>-2106750</v>
      </c>
      <c r="K1961" s="4" t="s">
        <v>35</v>
      </c>
      <c r="L1961" s="6">
        <v>4.2134999999999998</v>
      </c>
      <c r="M1961" s="6">
        <v>0.23730000000000001</v>
      </c>
      <c r="N1961" s="6">
        <v>4.2110000000000003</v>
      </c>
      <c r="O1961" s="6">
        <v>1</v>
      </c>
      <c r="P1961" s="5">
        <v>-1250</v>
      </c>
      <c r="Q1961" s="4" t="s">
        <v>1394</v>
      </c>
    </row>
    <row r="1962" spans="1:17" x14ac:dyDescent="0.3">
      <c r="A1962" s="2" t="s">
        <v>1389</v>
      </c>
      <c r="B1962" s="3">
        <v>156435</v>
      </c>
      <c r="C1962" s="3">
        <v>216583</v>
      </c>
      <c r="D1962" s="4" t="s">
        <v>17</v>
      </c>
      <c r="E1962" s="4" t="s">
        <v>1230</v>
      </c>
      <c r="F1962" s="4" t="s">
        <v>32</v>
      </c>
      <c r="G1962" s="4" t="s">
        <v>20</v>
      </c>
      <c r="H1962" s="5">
        <v>-20000</v>
      </c>
      <c r="I1962" s="4" t="s">
        <v>21</v>
      </c>
      <c r="J1962" s="5">
        <f t="shared" si="30"/>
        <v>84500</v>
      </c>
      <c r="K1962" s="4" t="s">
        <v>48</v>
      </c>
      <c r="L1962" s="6">
        <v>4.2249999999999996</v>
      </c>
      <c r="M1962" s="6">
        <v>0.23669999999999999</v>
      </c>
      <c r="N1962" s="6">
        <v>4.2096999999999998</v>
      </c>
      <c r="O1962" s="6">
        <v>1</v>
      </c>
      <c r="P1962" s="5">
        <v>306</v>
      </c>
      <c r="Q1962" s="4" t="s">
        <v>1390</v>
      </c>
    </row>
    <row r="1963" spans="1:17" x14ac:dyDescent="0.3">
      <c r="A1963" s="2" t="s">
        <v>1389</v>
      </c>
      <c r="B1963" s="3">
        <v>156436</v>
      </c>
      <c r="C1963" s="3">
        <v>216586</v>
      </c>
      <c r="D1963" s="4" t="s">
        <v>17</v>
      </c>
      <c r="E1963" s="4" t="s">
        <v>1120</v>
      </c>
      <c r="F1963" s="4" t="s">
        <v>19</v>
      </c>
      <c r="G1963" s="4" t="s">
        <v>20</v>
      </c>
      <c r="H1963" s="5">
        <v>100000</v>
      </c>
      <c r="I1963" s="4" t="s">
        <v>21</v>
      </c>
      <c r="J1963" s="5">
        <f t="shared" si="30"/>
        <v>-419700</v>
      </c>
      <c r="K1963" s="4" t="s">
        <v>48</v>
      </c>
      <c r="L1963" s="6">
        <v>4.1970000000000001</v>
      </c>
      <c r="M1963" s="6">
        <v>0.23830000000000001</v>
      </c>
      <c r="N1963" s="6">
        <v>4.2096999999999998</v>
      </c>
      <c r="O1963" s="6">
        <v>1</v>
      </c>
      <c r="P1963" s="5">
        <v>1270</v>
      </c>
      <c r="Q1963" s="4" t="s">
        <v>1390</v>
      </c>
    </row>
    <row r="1964" spans="1:17" x14ac:dyDescent="0.3">
      <c r="A1964" s="2" t="s">
        <v>1389</v>
      </c>
      <c r="B1964" s="3">
        <v>156437</v>
      </c>
      <c r="C1964" s="3">
        <v>216589</v>
      </c>
      <c r="D1964" s="4" t="s">
        <v>17</v>
      </c>
      <c r="E1964" s="4" t="s">
        <v>1267</v>
      </c>
      <c r="F1964" s="4" t="s">
        <v>32</v>
      </c>
      <c r="G1964" s="4" t="s">
        <v>20</v>
      </c>
      <c r="H1964" s="5">
        <v>-52000</v>
      </c>
      <c r="I1964" s="4" t="s">
        <v>21</v>
      </c>
      <c r="J1964" s="5">
        <f t="shared" si="30"/>
        <v>219720.8</v>
      </c>
      <c r="K1964" s="4" t="s">
        <v>48</v>
      </c>
      <c r="L1964" s="6">
        <v>4.2253999999999996</v>
      </c>
      <c r="M1964" s="6">
        <v>0.23669999999999999</v>
      </c>
      <c r="N1964" s="6">
        <v>4.2096999999999998</v>
      </c>
      <c r="O1964" s="6">
        <v>1</v>
      </c>
      <c r="P1964" s="5">
        <v>795.6</v>
      </c>
      <c r="Q1964" s="4" t="s">
        <v>1390</v>
      </c>
    </row>
    <row r="1965" spans="1:17" x14ac:dyDescent="0.3">
      <c r="A1965" s="2" t="s">
        <v>1389</v>
      </c>
      <c r="B1965" s="3">
        <v>156438</v>
      </c>
      <c r="C1965" s="3">
        <v>896075</v>
      </c>
      <c r="D1965" s="4" t="s">
        <v>81</v>
      </c>
      <c r="E1965" s="4" t="s">
        <v>735</v>
      </c>
      <c r="F1965" s="4" t="s">
        <v>87</v>
      </c>
      <c r="G1965" s="4" t="s">
        <v>20</v>
      </c>
      <c r="H1965" s="5">
        <v>500000</v>
      </c>
      <c r="I1965" s="4" t="s">
        <v>21</v>
      </c>
      <c r="J1965" s="5">
        <f t="shared" si="30"/>
        <v>-2107050</v>
      </c>
      <c r="K1965" s="4" t="s">
        <v>35</v>
      </c>
      <c r="L1965" s="6">
        <v>4.2141000000000002</v>
      </c>
      <c r="M1965" s="6">
        <v>0.23730000000000001</v>
      </c>
      <c r="N1965" s="6">
        <v>4.2110000000000003</v>
      </c>
      <c r="O1965" s="6">
        <v>1</v>
      </c>
      <c r="P1965" s="5">
        <v>-1550</v>
      </c>
      <c r="Q1965" s="4" t="s">
        <v>1394</v>
      </c>
    </row>
    <row r="1966" spans="1:17" x14ac:dyDescent="0.3">
      <c r="A1966" s="2" t="s">
        <v>1389</v>
      </c>
      <c r="B1966" s="3">
        <v>156440</v>
      </c>
      <c r="C1966" s="3">
        <v>896079</v>
      </c>
      <c r="D1966" s="4" t="s">
        <v>81</v>
      </c>
      <c r="E1966" s="4" t="s">
        <v>725</v>
      </c>
      <c r="F1966" s="4" t="s">
        <v>83</v>
      </c>
      <c r="G1966" s="4" t="s">
        <v>20</v>
      </c>
      <c r="H1966" s="5">
        <v>-1000000</v>
      </c>
      <c r="I1966" s="4" t="s">
        <v>21</v>
      </c>
      <c r="J1966" s="5">
        <f t="shared" si="30"/>
        <v>4213600</v>
      </c>
      <c r="K1966" s="4" t="s">
        <v>35</v>
      </c>
      <c r="L1966" s="6">
        <v>4.2135999999999996</v>
      </c>
      <c r="M1966" s="6">
        <v>0.23730000000000001</v>
      </c>
      <c r="N1966" s="6">
        <v>4.2110000000000003</v>
      </c>
      <c r="O1966" s="6">
        <v>1</v>
      </c>
      <c r="P1966" s="5">
        <v>2560</v>
      </c>
      <c r="Q1966" s="4" t="s">
        <v>1392</v>
      </c>
    </row>
    <row r="1967" spans="1:17" x14ac:dyDescent="0.3">
      <c r="A1967" s="2" t="s">
        <v>1389</v>
      </c>
      <c r="B1967" s="3">
        <v>156441</v>
      </c>
      <c r="C1967" s="3">
        <v>896080</v>
      </c>
      <c r="D1967" s="4" t="s">
        <v>81</v>
      </c>
      <c r="E1967" s="4" t="s">
        <v>1112</v>
      </c>
      <c r="F1967" s="4" t="s">
        <v>87</v>
      </c>
      <c r="G1967" s="4" t="s">
        <v>20</v>
      </c>
      <c r="H1967" s="5">
        <v>2766.78</v>
      </c>
      <c r="I1967" s="4" t="s">
        <v>91</v>
      </c>
      <c r="J1967" s="5">
        <f t="shared" si="30"/>
        <v>-2393.8180560000001</v>
      </c>
      <c r="K1967" s="4" t="s">
        <v>35</v>
      </c>
      <c r="L1967" s="6">
        <v>0.86519999999999997</v>
      </c>
      <c r="M1967" s="6">
        <v>1.1557999999999999</v>
      </c>
      <c r="N1967" s="6">
        <v>4.2110000000000003</v>
      </c>
      <c r="O1967" s="6">
        <v>4.8631000000000002</v>
      </c>
      <c r="P1967" s="5">
        <v>9.5245379999999997</v>
      </c>
      <c r="Q1967" s="4" t="s">
        <v>1390</v>
      </c>
    </row>
    <row r="1968" spans="1:17" x14ac:dyDescent="0.3">
      <c r="A1968" s="2" t="s">
        <v>1389</v>
      </c>
      <c r="B1968" s="3">
        <v>156442</v>
      </c>
      <c r="C1968" s="3">
        <v>896097</v>
      </c>
      <c r="D1968" s="4" t="s">
        <v>81</v>
      </c>
      <c r="E1968" s="4" t="s">
        <v>1077</v>
      </c>
      <c r="F1968" s="4" t="s">
        <v>87</v>
      </c>
      <c r="G1968" s="4" t="s">
        <v>20</v>
      </c>
      <c r="H1968" s="5">
        <v>25000</v>
      </c>
      <c r="I1968" s="4" t="s">
        <v>21</v>
      </c>
      <c r="J1968" s="5">
        <f t="shared" si="30"/>
        <v>-105285</v>
      </c>
      <c r="K1968" s="4" t="s">
        <v>35</v>
      </c>
      <c r="L1968" s="6">
        <v>4.2114000000000003</v>
      </c>
      <c r="M1968" s="6">
        <v>0.23749999999999999</v>
      </c>
      <c r="N1968" s="6">
        <v>4.2110000000000003</v>
      </c>
      <c r="O1968" s="6">
        <v>1</v>
      </c>
      <c r="P1968" s="5">
        <v>-10</v>
      </c>
      <c r="Q1968" s="4" t="s">
        <v>1390</v>
      </c>
    </row>
    <row r="1969" spans="1:17" x14ac:dyDescent="0.3">
      <c r="A1969" s="2" t="s">
        <v>1389</v>
      </c>
      <c r="B1969" s="3">
        <v>156443</v>
      </c>
      <c r="C1969" s="3">
        <v>896104</v>
      </c>
      <c r="D1969" s="4" t="s">
        <v>81</v>
      </c>
      <c r="E1969" s="4" t="s">
        <v>730</v>
      </c>
      <c r="F1969" s="4" t="s">
        <v>87</v>
      </c>
      <c r="G1969" s="4" t="s">
        <v>20</v>
      </c>
      <c r="H1969" s="5">
        <v>200000</v>
      </c>
      <c r="I1969" s="4" t="s">
        <v>34</v>
      </c>
      <c r="J1969" s="5">
        <f t="shared" si="30"/>
        <v>-233259.99999999997</v>
      </c>
      <c r="K1969" s="4" t="s">
        <v>35</v>
      </c>
      <c r="L1969" s="6">
        <v>1.1662999999999999</v>
      </c>
      <c r="M1969" s="6">
        <v>0.85740000000000005</v>
      </c>
      <c r="N1969" s="6">
        <v>4.2110000000000003</v>
      </c>
      <c r="O1969" s="6">
        <v>3.6139999999999999</v>
      </c>
      <c r="P1969" s="5">
        <v>-823.32399999999996</v>
      </c>
      <c r="Q1969" s="4" t="s">
        <v>1396</v>
      </c>
    </row>
    <row r="1970" spans="1:17" x14ac:dyDescent="0.3">
      <c r="A1970" s="2" t="s">
        <v>1389</v>
      </c>
      <c r="B1970" s="3">
        <v>156444</v>
      </c>
      <c r="C1970" s="3">
        <v>216597</v>
      </c>
      <c r="D1970" s="4" t="s">
        <v>17</v>
      </c>
      <c r="E1970" s="4" t="s">
        <v>1129</v>
      </c>
      <c r="F1970" s="4" t="s">
        <v>19</v>
      </c>
      <c r="G1970" s="4" t="s">
        <v>20</v>
      </c>
      <c r="H1970" s="5">
        <v>25000</v>
      </c>
      <c r="I1970" s="4" t="s">
        <v>21</v>
      </c>
      <c r="J1970" s="5">
        <f t="shared" si="30"/>
        <v>-102750.00000000001</v>
      </c>
      <c r="K1970" s="4" t="s">
        <v>48</v>
      </c>
      <c r="L1970" s="6">
        <v>4.1100000000000003</v>
      </c>
      <c r="M1970" s="6">
        <v>0.24329999999999999</v>
      </c>
      <c r="N1970" s="6">
        <v>4.2096999999999998</v>
      </c>
      <c r="O1970" s="6">
        <v>1</v>
      </c>
      <c r="P1970" s="5">
        <v>2492.4999999999854</v>
      </c>
      <c r="Q1970" s="4" t="s">
        <v>1390</v>
      </c>
    </row>
    <row r="1971" spans="1:17" x14ac:dyDescent="0.3">
      <c r="A1971" s="2" t="s">
        <v>1389</v>
      </c>
      <c r="B1971" s="3">
        <v>156445</v>
      </c>
      <c r="C1971" s="3">
        <v>896108</v>
      </c>
      <c r="D1971" s="4" t="s">
        <v>81</v>
      </c>
      <c r="E1971" s="4" t="s">
        <v>1077</v>
      </c>
      <c r="F1971" s="4" t="s">
        <v>87</v>
      </c>
      <c r="G1971" s="4" t="s">
        <v>20</v>
      </c>
      <c r="H1971" s="5">
        <v>25000</v>
      </c>
      <c r="I1971" s="4" t="s">
        <v>21</v>
      </c>
      <c r="J1971" s="5">
        <f t="shared" si="30"/>
        <v>-105277.5</v>
      </c>
      <c r="K1971" s="4" t="s">
        <v>35</v>
      </c>
      <c r="L1971" s="6">
        <v>4.2111000000000001</v>
      </c>
      <c r="M1971" s="6">
        <v>0.23749999999999999</v>
      </c>
      <c r="N1971" s="6">
        <v>4.2110000000000003</v>
      </c>
      <c r="O1971" s="6">
        <v>1</v>
      </c>
      <c r="P1971" s="5">
        <v>-2.5</v>
      </c>
      <c r="Q1971" s="4" t="s">
        <v>1390</v>
      </c>
    </row>
    <row r="1972" spans="1:17" x14ac:dyDescent="0.3">
      <c r="A1972" s="2" t="s">
        <v>1389</v>
      </c>
      <c r="B1972" s="3">
        <v>156447</v>
      </c>
      <c r="C1972" s="3">
        <v>216602</v>
      </c>
      <c r="D1972" s="4" t="s">
        <v>17</v>
      </c>
      <c r="E1972" s="4" t="s">
        <v>946</v>
      </c>
      <c r="F1972" s="4" t="s">
        <v>19</v>
      </c>
      <c r="G1972" s="4" t="s">
        <v>20</v>
      </c>
      <c r="H1972" s="5">
        <v>8800</v>
      </c>
      <c r="I1972" s="4" t="s">
        <v>21</v>
      </c>
      <c r="J1972" s="5">
        <f t="shared" si="30"/>
        <v>-36963.520000000004</v>
      </c>
      <c r="K1972" s="4" t="s">
        <v>48</v>
      </c>
      <c r="L1972" s="6">
        <v>4.2004000000000001</v>
      </c>
      <c r="M1972" s="6">
        <v>0.23810000000000001</v>
      </c>
      <c r="N1972" s="6">
        <v>4.2096999999999998</v>
      </c>
      <c r="O1972" s="6">
        <v>1</v>
      </c>
      <c r="P1972" s="5">
        <v>81.839999999996508</v>
      </c>
      <c r="Q1972" s="4" t="s">
        <v>1390</v>
      </c>
    </row>
    <row r="1973" spans="1:17" x14ac:dyDescent="0.3">
      <c r="A1973" s="2" t="s">
        <v>1389</v>
      </c>
      <c r="B1973" s="3">
        <v>156448</v>
      </c>
      <c r="C1973" s="3">
        <v>216603</v>
      </c>
      <c r="D1973" s="4" t="s">
        <v>17</v>
      </c>
      <c r="E1973" s="4" t="s">
        <v>1088</v>
      </c>
      <c r="F1973" s="4" t="s">
        <v>19</v>
      </c>
      <c r="G1973" s="4" t="s">
        <v>20</v>
      </c>
      <c r="H1973" s="5">
        <v>200000</v>
      </c>
      <c r="I1973" s="4" t="s">
        <v>21</v>
      </c>
      <c r="J1973" s="5">
        <f t="shared" si="30"/>
        <v>-839200</v>
      </c>
      <c r="K1973" s="4" t="s">
        <v>48</v>
      </c>
      <c r="L1973" s="6">
        <v>4.1959999999999997</v>
      </c>
      <c r="M1973" s="6">
        <v>0.23830000000000001</v>
      </c>
      <c r="N1973" s="6">
        <v>4.2096999999999998</v>
      </c>
      <c r="O1973" s="6">
        <v>1</v>
      </c>
      <c r="P1973" s="5">
        <v>2740</v>
      </c>
      <c r="Q1973" s="4" t="s">
        <v>1390</v>
      </c>
    </row>
    <row r="1974" spans="1:17" x14ac:dyDescent="0.3">
      <c r="A1974" s="2" t="s">
        <v>1389</v>
      </c>
      <c r="B1974" s="3">
        <v>156449</v>
      </c>
      <c r="C1974" s="3">
        <v>896128</v>
      </c>
      <c r="D1974" s="4" t="s">
        <v>81</v>
      </c>
      <c r="E1974" s="4" t="s">
        <v>735</v>
      </c>
      <c r="F1974" s="4" t="s">
        <v>87</v>
      </c>
      <c r="G1974" s="4" t="s">
        <v>20</v>
      </c>
      <c r="H1974" s="5">
        <v>100000</v>
      </c>
      <c r="I1974" s="4" t="s">
        <v>34</v>
      </c>
      <c r="J1974" s="5">
        <f t="shared" si="30"/>
        <v>-116650.00000000001</v>
      </c>
      <c r="K1974" s="4" t="s">
        <v>35</v>
      </c>
      <c r="L1974" s="6">
        <v>1.1665000000000001</v>
      </c>
      <c r="M1974" s="6">
        <v>0.85729999999999995</v>
      </c>
      <c r="N1974" s="6">
        <v>4.2110000000000003</v>
      </c>
      <c r="O1974" s="6">
        <v>3.6139999999999999</v>
      </c>
      <c r="P1974" s="5">
        <v>-458.64400000000001</v>
      </c>
      <c r="Q1974" s="4" t="s">
        <v>1394</v>
      </c>
    </row>
    <row r="1975" spans="1:17" x14ac:dyDescent="0.3">
      <c r="A1975" s="2" t="s">
        <v>1389</v>
      </c>
      <c r="B1975" s="3">
        <v>156450</v>
      </c>
      <c r="C1975" s="3">
        <v>216606</v>
      </c>
      <c r="D1975" s="4" t="s">
        <v>17</v>
      </c>
      <c r="E1975" s="4" t="s">
        <v>984</v>
      </c>
      <c r="F1975" s="4" t="s">
        <v>32</v>
      </c>
      <c r="G1975" s="4" t="s">
        <v>20</v>
      </c>
      <c r="H1975" s="5">
        <v>-110000</v>
      </c>
      <c r="I1975" s="4" t="s">
        <v>21</v>
      </c>
      <c r="J1975" s="5">
        <f t="shared" si="30"/>
        <v>463650</v>
      </c>
      <c r="K1975" s="4" t="s">
        <v>48</v>
      </c>
      <c r="L1975" s="6">
        <v>4.2149999999999999</v>
      </c>
      <c r="M1975" s="6">
        <v>0.23719999999999999</v>
      </c>
      <c r="N1975" s="6">
        <v>4.2096999999999998</v>
      </c>
      <c r="O1975" s="6">
        <v>1</v>
      </c>
      <c r="P1975" s="5">
        <v>583</v>
      </c>
      <c r="Q1975" s="4" t="s">
        <v>1390</v>
      </c>
    </row>
    <row r="1976" spans="1:17" x14ac:dyDescent="0.3">
      <c r="A1976" s="2" t="s">
        <v>1389</v>
      </c>
      <c r="B1976" s="3">
        <v>156451</v>
      </c>
      <c r="C1976" s="3">
        <v>216607</v>
      </c>
      <c r="D1976" s="4" t="s">
        <v>17</v>
      </c>
      <c r="E1976" s="4" t="s">
        <v>891</v>
      </c>
      <c r="F1976" s="4" t="s">
        <v>32</v>
      </c>
      <c r="G1976" s="4" t="s">
        <v>34</v>
      </c>
      <c r="H1976" s="5">
        <v>-10500</v>
      </c>
      <c r="I1976" s="4" t="s">
        <v>21</v>
      </c>
      <c r="J1976" s="5">
        <f t="shared" si="30"/>
        <v>37947</v>
      </c>
      <c r="K1976" s="4" t="s">
        <v>48</v>
      </c>
      <c r="L1976" s="6">
        <v>3.6139999999999999</v>
      </c>
      <c r="M1976" s="6">
        <v>0.2767</v>
      </c>
      <c r="N1976" s="6">
        <v>3.6036999999999999</v>
      </c>
      <c r="O1976" s="6">
        <v>1</v>
      </c>
      <c r="P1976" s="5">
        <v>108.15</v>
      </c>
      <c r="Q1976" s="4" t="s">
        <v>1390</v>
      </c>
    </row>
    <row r="1977" spans="1:17" x14ac:dyDescent="0.3">
      <c r="A1977" s="2" t="s">
        <v>1389</v>
      </c>
      <c r="B1977" s="3">
        <v>156452</v>
      </c>
      <c r="C1977" s="3">
        <v>896145</v>
      </c>
      <c r="D1977" s="4" t="s">
        <v>81</v>
      </c>
      <c r="E1977" s="4" t="s">
        <v>735</v>
      </c>
      <c r="F1977" s="4" t="s">
        <v>87</v>
      </c>
      <c r="G1977" s="4" t="s">
        <v>20</v>
      </c>
      <c r="H1977" s="5">
        <v>500000</v>
      </c>
      <c r="I1977" s="4" t="s">
        <v>21</v>
      </c>
      <c r="J1977" s="5">
        <f t="shared" si="30"/>
        <v>-2106300</v>
      </c>
      <c r="K1977" s="4" t="s">
        <v>35</v>
      </c>
      <c r="L1977" s="6">
        <v>4.2126000000000001</v>
      </c>
      <c r="M1977" s="6">
        <v>0.2374</v>
      </c>
      <c r="N1977" s="6">
        <v>4.2110000000000003</v>
      </c>
      <c r="O1977" s="6">
        <v>1</v>
      </c>
      <c r="P1977" s="5">
        <v>-800</v>
      </c>
      <c r="Q1977" s="4" t="s">
        <v>1394</v>
      </c>
    </row>
    <row r="1978" spans="1:17" x14ac:dyDescent="0.3">
      <c r="A1978" s="2" t="s">
        <v>1389</v>
      </c>
      <c r="B1978" s="3">
        <v>156454</v>
      </c>
      <c r="C1978" s="3">
        <v>216611</v>
      </c>
      <c r="D1978" s="4" t="s">
        <v>17</v>
      </c>
      <c r="E1978" s="4" t="s">
        <v>1373</v>
      </c>
      <c r="F1978" s="4" t="s">
        <v>19</v>
      </c>
      <c r="G1978" s="4" t="s">
        <v>34</v>
      </c>
      <c r="H1978" s="5">
        <v>136497.46</v>
      </c>
      <c r="I1978" s="4" t="s">
        <v>21</v>
      </c>
      <c r="J1978" s="5">
        <f t="shared" si="30"/>
        <v>-491390.85599999997</v>
      </c>
      <c r="K1978" s="4" t="s">
        <v>48</v>
      </c>
      <c r="L1978" s="6">
        <v>3.6</v>
      </c>
      <c r="M1978" s="6">
        <v>0.27779999999999999</v>
      </c>
      <c r="N1978" s="6">
        <v>3.6036999999999999</v>
      </c>
      <c r="O1978" s="6">
        <v>1</v>
      </c>
      <c r="P1978" s="5">
        <v>505.04060199996457</v>
      </c>
      <c r="Q1978" s="4" t="s">
        <v>1390</v>
      </c>
    </row>
    <row r="1979" spans="1:17" x14ac:dyDescent="0.3">
      <c r="A1979" s="2" t="s">
        <v>1389</v>
      </c>
      <c r="B1979" s="3">
        <v>156455</v>
      </c>
      <c r="C1979" s="3">
        <v>896159</v>
      </c>
      <c r="D1979" s="4" t="s">
        <v>81</v>
      </c>
      <c r="E1979" s="4" t="s">
        <v>730</v>
      </c>
      <c r="F1979" s="4" t="s">
        <v>83</v>
      </c>
      <c r="G1979" s="4" t="s">
        <v>20</v>
      </c>
      <c r="H1979" s="5">
        <v>-1000000</v>
      </c>
      <c r="I1979" s="4" t="s">
        <v>21</v>
      </c>
      <c r="J1979" s="5">
        <f t="shared" si="30"/>
        <v>4212200</v>
      </c>
      <c r="K1979" s="4" t="s">
        <v>35</v>
      </c>
      <c r="L1979" s="6">
        <v>4.2122000000000002</v>
      </c>
      <c r="M1979" s="6">
        <v>0.2374</v>
      </c>
      <c r="N1979" s="6">
        <v>4.2110000000000003</v>
      </c>
      <c r="O1979" s="6">
        <v>1</v>
      </c>
      <c r="P1979" s="5">
        <v>1170</v>
      </c>
      <c r="Q1979" s="4" t="s">
        <v>1396</v>
      </c>
    </row>
    <row r="1980" spans="1:17" x14ac:dyDescent="0.3">
      <c r="A1980" s="2" t="s">
        <v>1389</v>
      </c>
      <c r="B1980" s="3">
        <v>156456</v>
      </c>
      <c r="C1980" s="3">
        <v>896163</v>
      </c>
      <c r="D1980" s="4" t="s">
        <v>81</v>
      </c>
      <c r="E1980" s="4" t="s">
        <v>735</v>
      </c>
      <c r="F1980" s="4" t="s">
        <v>87</v>
      </c>
      <c r="G1980" s="4" t="s">
        <v>20</v>
      </c>
      <c r="H1980" s="5">
        <v>100000</v>
      </c>
      <c r="I1980" s="4" t="s">
        <v>34</v>
      </c>
      <c r="J1980" s="5">
        <f t="shared" si="30"/>
        <v>-116700</v>
      </c>
      <c r="K1980" s="4" t="s">
        <v>35</v>
      </c>
      <c r="L1980" s="6">
        <v>1.167</v>
      </c>
      <c r="M1980" s="6">
        <v>0.8569</v>
      </c>
      <c r="N1980" s="6">
        <v>4.2110000000000003</v>
      </c>
      <c r="O1980" s="6">
        <v>3.6139999999999999</v>
      </c>
      <c r="P1980" s="5">
        <v>-664.64200000000005</v>
      </c>
      <c r="Q1980" s="4" t="s">
        <v>1394</v>
      </c>
    </row>
    <row r="1981" spans="1:17" x14ac:dyDescent="0.3">
      <c r="A1981" s="2" t="s">
        <v>1389</v>
      </c>
      <c r="B1981" s="3">
        <v>156457</v>
      </c>
      <c r="C1981" s="3">
        <v>896167</v>
      </c>
      <c r="D1981" s="4" t="s">
        <v>81</v>
      </c>
      <c r="E1981" s="4" t="s">
        <v>1077</v>
      </c>
      <c r="F1981" s="4" t="s">
        <v>87</v>
      </c>
      <c r="G1981" s="4" t="s">
        <v>20</v>
      </c>
      <c r="H1981" s="5">
        <v>25000</v>
      </c>
      <c r="I1981" s="4" t="s">
        <v>21</v>
      </c>
      <c r="J1981" s="5">
        <f t="shared" si="30"/>
        <v>-105250</v>
      </c>
      <c r="K1981" s="4" t="s">
        <v>35</v>
      </c>
      <c r="L1981" s="6">
        <v>4.21</v>
      </c>
      <c r="M1981" s="6">
        <v>0.23749999999999999</v>
      </c>
      <c r="N1981" s="6">
        <v>4.2110000000000003</v>
      </c>
      <c r="O1981" s="6">
        <v>1</v>
      </c>
      <c r="P1981" s="5">
        <v>25</v>
      </c>
      <c r="Q1981" s="4" t="s">
        <v>1390</v>
      </c>
    </row>
    <row r="1982" spans="1:17" x14ac:dyDescent="0.3">
      <c r="A1982" s="2" t="s">
        <v>1389</v>
      </c>
      <c r="B1982" s="3">
        <v>156458</v>
      </c>
      <c r="C1982" s="3">
        <v>896168</v>
      </c>
      <c r="D1982" s="4" t="s">
        <v>81</v>
      </c>
      <c r="E1982" s="4" t="s">
        <v>732</v>
      </c>
      <c r="F1982" s="4" t="s">
        <v>87</v>
      </c>
      <c r="G1982" s="4" t="s">
        <v>20</v>
      </c>
      <c r="H1982" s="5">
        <v>1000000</v>
      </c>
      <c r="I1982" s="4" t="s">
        <v>21</v>
      </c>
      <c r="J1982" s="5">
        <f t="shared" si="30"/>
        <v>-4213100</v>
      </c>
      <c r="K1982" s="4" t="s">
        <v>35</v>
      </c>
      <c r="L1982" s="6">
        <v>4.2130999999999998</v>
      </c>
      <c r="M1982" s="6">
        <v>0.2374</v>
      </c>
      <c r="N1982" s="6">
        <v>4.2110000000000003</v>
      </c>
      <c r="O1982" s="6">
        <v>1</v>
      </c>
      <c r="P1982" s="5">
        <v>-2100</v>
      </c>
      <c r="Q1982" s="4" t="s">
        <v>1394</v>
      </c>
    </row>
    <row r="1983" spans="1:17" x14ac:dyDescent="0.3">
      <c r="A1983" s="2" t="s">
        <v>1389</v>
      </c>
      <c r="B1983" s="3">
        <v>156459</v>
      </c>
      <c r="C1983" s="3">
        <v>216617</v>
      </c>
      <c r="D1983" s="4" t="s">
        <v>17</v>
      </c>
      <c r="E1983" s="4" t="s">
        <v>1021</v>
      </c>
      <c r="F1983" s="4" t="s">
        <v>32</v>
      </c>
      <c r="G1983" s="4" t="s">
        <v>20</v>
      </c>
      <c r="H1983" s="5">
        <v>-50000</v>
      </c>
      <c r="I1983" s="4" t="s">
        <v>21</v>
      </c>
      <c r="J1983" s="5">
        <f t="shared" si="30"/>
        <v>215750.00000000003</v>
      </c>
      <c r="K1983" s="4" t="s">
        <v>48</v>
      </c>
      <c r="L1983" s="6">
        <v>4.3150000000000004</v>
      </c>
      <c r="M1983" s="6">
        <v>0.23169999999999999</v>
      </c>
      <c r="N1983" s="6">
        <v>4.2096999999999998</v>
      </c>
      <c r="O1983" s="6">
        <v>1</v>
      </c>
      <c r="P1983" s="5">
        <v>5265</v>
      </c>
      <c r="Q1983" s="4" t="s">
        <v>1390</v>
      </c>
    </row>
    <row r="1984" spans="1:17" x14ac:dyDescent="0.3">
      <c r="A1984" s="2" t="s">
        <v>1389</v>
      </c>
      <c r="B1984" s="3">
        <v>156460</v>
      </c>
      <c r="C1984" s="3">
        <v>896182</v>
      </c>
      <c r="D1984" s="4" t="s">
        <v>81</v>
      </c>
      <c r="E1984" s="4" t="s">
        <v>735</v>
      </c>
      <c r="F1984" s="4" t="s">
        <v>87</v>
      </c>
      <c r="G1984" s="4" t="s">
        <v>34</v>
      </c>
      <c r="H1984" s="5">
        <v>1000000</v>
      </c>
      <c r="I1984" s="4" t="s">
        <v>21</v>
      </c>
      <c r="J1984" s="5">
        <f t="shared" si="30"/>
        <v>-3611100</v>
      </c>
      <c r="K1984" s="4" t="s">
        <v>35</v>
      </c>
      <c r="L1984" s="6">
        <v>3.6111</v>
      </c>
      <c r="M1984" s="6">
        <v>0.27689999999999998</v>
      </c>
      <c r="N1984" s="6">
        <v>3.6139999999999999</v>
      </c>
      <c r="O1984" s="6">
        <v>1</v>
      </c>
      <c r="P1984" s="5">
        <v>2900</v>
      </c>
      <c r="Q1984" s="4" t="s">
        <v>1394</v>
      </c>
    </row>
    <row r="1985" spans="1:17" x14ac:dyDescent="0.3">
      <c r="A1985" s="2" t="s">
        <v>1389</v>
      </c>
      <c r="B1985" s="3">
        <v>156461</v>
      </c>
      <c r="C1985" s="3">
        <v>896183</v>
      </c>
      <c r="D1985" s="4" t="s">
        <v>81</v>
      </c>
      <c r="E1985" s="4" t="s">
        <v>732</v>
      </c>
      <c r="F1985" s="4" t="s">
        <v>87</v>
      </c>
      <c r="G1985" s="4" t="s">
        <v>34</v>
      </c>
      <c r="H1985" s="5">
        <v>1000000</v>
      </c>
      <c r="I1985" s="4" t="s">
        <v>21</v>
      </c>
      <c r="J1985" s="5">
        <f t="shared" si="30"/>
        <v>-3611100</v>
      </c>
      <c r="K1985" s="4" t="s">
        <v>35</v>
      </c>
      <c r="L1985" s="6">
        <v>3.6111</v>
      </c>
      <c r="M1985" s="6">
        <v>0.27689999999999998</v>
      </c>
      <c r="N1985" s="6">
        <v>3.6139999999999999</v>
      </c>
      <c r="O1985" s="6">
        <v>1</v>
      </c>
      <c r="P1985" s="5">
        <v>2870</v>
      </c>
      <c r="Q1985" s="4" t="s">
        <v>1394</v>
      </c>
    </row>
    <row r="1986" spans="1:17" x14ac:dyDescent="0.3">
      <c r="A1986" s="2" t="s">
        <v>1389</v>
      </c>
      <c r="B1986" s="3">
        <v>156462</v>
      </c>
      <c r="C1986" s="3">
        <v>896187</v>
      </c>
      <c r="D1986" s="4" t="s">
        <v>81</v>
      </c>
      <c r="E1986" s="4" t="s">
        <v>735</v>
      </c>
      <c r="F1986" s="4" t="s">
        <v>83</v>
      </c>
      <c r="G1986" s="4" t="s">
        <v>34</v>
      </c>
      <c r="H1986" s="5">
        <v>-3000000</v>
      </c>
      <c r="I1986" s="4" t="s">
        <v>21</v>
      </c>
      <c r="J1986" s="5">
        <f t="shared" si="30"/>
        <v>10833000</v>
      </c>
      <c r="K1986" s="4" t="s">
        <v>35</v>
      </c>
      <c r="L1986" s="6">
        <v>3.6110000000000002</v>
      </c>
      <c r="M1986" s="6">
        <v>0.27689999999999998</v>
      </c>
      <c r="N1986" s="6">
        <v>3.6139999999999999</v>
      </c>
      <c r="O1986" s="6">
        <v>1</v>
      </c>
      <c r="P1986" s="5">
        <v>-9000</v>
      </c>
      <c r="Q1986" s="4" t="s">
        <v>1394</v>
      </c>
    </row>
    <row r="1987" spans="1:17" x14ac:dyDescent="0.3">
      <c r="A1987" s="2" t="s">
        <v>1389</v>
      </c>
      <c r="B1987" s="3">
        <v>156463</v>
      </c>
      <c r="C1987" s="3">
        <v>896188</v>
      </c>
      <c r="D1987" s="4" t="s">
        <v>81</v>
      </c>
      <c r="E1987" s="4" t="s">
        <v>735</v>
      </c>
      <c r="F1987" s="4" t="s">
        <v>83</v>
      </c>
      <c r="G1987" s="4" t="s">
        <v>34</v>
      </c>
      <c r="H1987" s="5">
        <v>-1000000</v>
      </c>
      <c r="I1987" s="4" t="s">
        <v>21</v>
      </c>
      <c r="J1987" s="5">
        <f t="shared" si="30"/>
        <v>3611000</v>
      </c>
      <c r="K1987" s="4" t="s">
        <v>35</v>
      </c>
      <c r="L1987" s="6">
        <v>3.6110000000000002</v>
      </c>
      <c r="M1987" s="6">
        <v>0.27689999999999998</v>
      </c>
      <c r="N1987" s="6">
        <v>3.6139999999999999</v>
      </c>
      <c r="O1987" s="6">
        <v>1</v>
      </c>
      <c r="P1987" s="5">
        <v>-3000</v>
      </c>
      <c r="Q1987" s="4" t="s">
        <v>1394</v>
      </c>
    </row>
    <row r="1988" spans="1:17" x14ac:dyDescent="0.3">
      <c r="A1988" s="2" t="s">
        <v>1389</v>
      </c>
      <c r="B1988" s="3">
        <v>156464</v>
      </c>
      <c r="C1988" s="3">
        <v>896189</v>
      </c>
      <c r="D1988" s="4" t="s">
        <v>81</v>
      </c>
      <c r="E1988" s="4" t="s">
        <v>735</v>
      </c>
      <c r="F1988" s="4" t="s">
        <v>83</v>
      </c>
      <c r="G1988" s="4" t="s">
        <v>34</v>
      </c>
      <c r="H1988" s="5">
        <v>-500000</v>
      </c>
      <c r="I1988" s="4" t="s">
        <v>21</v>
      </c>
      <c r="J1988" s="5">
        <f t="shared" ref="J1988:J2051" si="31">-H1988*L1988</f>
        <v>1805500</v>
      </c>
      <c r="K1988" s="4" t="s">
        <v>35</v>
      </c>
      <c r="L1988" s="6">
        <v>3.6110000000000002</v>
      </c>
      <c r="M1988" s="6">
        <v>0.27689999999999998</v>
      </c>
      <c r="N1988" s="6">
        <v>3.6139999999999999</v>
      </c>
      <c r="O1988" s="6">
        <v>1</v>
      </c>
      <c r="P1988" s="5">
        <v>-1500</v>
      </c>
      <c r="Q1988" s="4" t="s">
        <v>1394</v>
      </c>
    </row>
    <row r="1989" spans="1:17" x14ac:dyDescent="0.3">
      <c r="A1989" s="2" t="s">
        <v>1389</v>
      </c>
      <c r="B1989" s="3">
        <v>156465</v>
      </c>
      <c r="C1989" s="3">
        <v>216621</v>
      </c>
      <c r="D1989" s="4" t="s">
        <v>17</v>
      </c>
      <c r="E1989" s="4" t="s">
        <v>772</v>
      </c>
      <c r="F1989" s="4" t="s">
        <v>32</v>
      </c>
      <c r="G1989" s="4" t="s">
        <v>20</v>
      </c>
      <c r="H1989" s="5">
        <v>-5000</v>
      </c>
      <c r="I1989" s="4" t="s">
        <v>21</v>
      </c>
      <c r="J1989" s="5">
        <f t="shared" si="31"/>
        <v>21092</v>
      </c>
      <c r="K1989" s="4" t="s">
        <v>48</v>
      </c>
      <c r="L1989" s="6">
        <v>4.2183999999999999</v>
      </c>
      <c r="M1989" s="6">
        <v>0.23710000000000001</v>
      </c>
      <c r="N1989" s="6">
        <v>4.2096999999999998</v>
      </c>
      <c r="O1989" s="6">
        <v>1</v>
      </c>
      <c r="P1989" s="5">
        <v>41.5</v>
      </c>
      <c r="Q1989" s="4" t="s">
        <v>1390</v>
      </c>
    </row>
    <row r="1990" spans="1:17" x14ac:dyDescent="0.3">
      <c r="A1990" s="2" t="s">
        <v>1389</v>
      </c>
      <c r="B1990" s="3">
        <v>156466</v>
      </c>
      <c r="C1990" s="3">
        <v>896199</v>
      </c>
      <c r="D1990" s="4" t="s">
        <v>81</v>
      </c>
      <c r="E1990" s="4" t="s">
        <v>1288</v>
      </c>
      <c r="F1990" s="4" t="s">
        <v>87</v>
      </c>
      <c r="G1990" s="4" t="s">
        <v>34</v>
      </c>
      <c r="H1990" s="5">
        <v>2500000</v>
      </c>
      <c r="I1990" s="4" t="s">
        <v>21</v>
      </c>
      <c r="J1990" s="5">
        <f t="shared" si="31"/>
        <v>-9023750</v>
      </c>
      <c r="K1990" s="4" t="s">
        <v>35</v>
      </c>
      <c r="L1990" s="6">
        <v>3.6095000000000002</v>
      </c>
      <c r="M1990" s="6">
        <v>0.27700000000000002</v>
      </c>
      <c r="N1990" s="6">
        <v>3.6139999999999999</v>
      </c>
      <c r="O1990" s="6">
        <v>1</v>
      </c>
      <c r="P1990" s="5">
        <v>11250</v>
      </c>
      <c r="Q1990" s="4" t="s">
        <v>1390</v>
      </c>
    </row>
    <row r="1991" spans="1:17" x14ac:dyDescent="0.3">
      <c r="A1991" s="2" t="s">
        <v>1389</v>
      </c>
      <c r="B1991" s="3">
        <v>156474</v>
      </c>
      <c r="C1991" s="3">
        <v>216624</v>
      </c>
      <c r="D1991" s="4" t="s">
        <v>17</v>
      </c>
      <c r="E1991" s="4" t="s">
        <v>1042</v>
      </c>
      <c r="F1991" s="4" t="s">
        <v>19</v>
      </c>
      <c r="G1991" s="4" t="s">
        <v>20</v>
      </c>
      <c r="H1991" s="5">
        <v>91794.15</v>
      </c>
      <c r="I1991" s="4" t="s">
        <v>21</v>
      </c>
      <c r="J1991" s="5">
        <f t="shared" si="31"/>
        <v>-386077.01548499992</v>
      </c>
      <c r="K1991" s="4" t="s">
        <v>54</v>
      </c>
      <c r="L1991" s="6">
        <v>4.2058999999999997</v>
      </c>
      <c r="M1991" s="6">
        <v>0.23780000000000001</v>
      </c>
      <c r="N1991" s="6">
        <v>4.2118000000000002</v>
      </c>
      <c r="O1991" s="6">
        <v>1</v>
      </c>
      <c r="P1991" s="5">
        <v>541.5854850000469</v>
      </c>
      <c r="Q1991" s="4" t="s">
        <v>1390</v>
      </c>
    </row>
    <row r="1992" spans="1:17" x14ac:dyDescent="0.3">
      <c r="A1992" s="2" t="s">
        <v>1389</v>
      </c>
      <c r="B1992" s="3">
        <v>156475</v>
      </c>
      <c r="C1992" s="3">
        <v>216625</v>
      </c>
      <c r="D1992" s="4" t="s">
        <v>17</v>
      </c>
      <c r="E1992" s="4" t="s">
        <v>980</v>
      </c>
      <c r="F1992" s="4" t="s">
        <v>32</v>
      </c>
      <c r="G1992" s="4" t="s">
        <v>20</v>
      </c>
      <c r="H1992" s="5">
        <v>-50000</v>
      </c>
      <c r="I1992" s="4" t="s">
        <v>21</v>
      </c>
      <c r="J1992" s="5">
        <f t="shared" si="31"/>
        <v>210820</v>
      </c>
      <c r="K1992" s="4" t="s">
        <v>48</v>
      </c>
      <c r="L1992" s="6">
        <v>4.2164000000000001</v>
      </c>
      <c r="M1992" s="6">
        <v>0.23719999999999999</v>
      </c>
      <c r="N1992" s="6">
        <v>4.2096999999999998</v>
      </c>
      <c r="O1992" s="6">
        <v>1</v>
      </c>
      <c r="P1992" s="5">
        <v>315</v>
      </c>
      <c r="Q1992" s="4" t="s">
        <v>1390</v>
      </c>
    </row>
    <row r="1993" spans="1:17" x14ac:dyDescent="0.3">
      <c r="A1993" s="2" t="s">
        <v>1389</v>
      </c>
      <c r="B1993" s="3">
        <v>156476</v>
      </c>
      <c r="C1993" s="3">
        <v>216634</v>
      </c>
      <c r="D1993" s="4" t="s">
        <v>17</v>
      </c>
      <c r="E1993" s="4" t="s">
        <v>1010</v>
      </c>
      <c r="F1993" s="4" t="s">
        <v>32</v>
      </c>
      <c r="G1993" s="4" t="s">
        <v>20</v>
      </c>
      <c r="H1993" s="5">
        <v>-10000</v>
      </c>
      <c r="I1993" s="4" t="s">
        <v>21</v>
      </c>
      <c r="J1993" s="5">
        <f t="shared" si="31"/>
        <v>42330</v>
      </c>
      <c r="K1993" s="4" t="s">
        <v>48</v>
      </c>
      <c r="L1993" s="6">
        <v>4.2329999999999997</v>
      </c>
      <c r="M1993" s="6">
        <v>0.23619999999999999</v>
      </c>
      <c r="N1993" s="6">
        <v>4.2096999999999998</v>
      </c>
      <c r="O1993" s="6">
        <v>1</v>
      </c>
      <c r="P1993" s="5">
        <v>233</v>
      </c>
      <c r="Q1993" s="4" t="s">
        <v>1390</v>
      </c>
    </row>
    <row r="1994" spans="1:17" x14ac:dyDescent="0.3">
      <c r="A1994" s="2" t="s">
        <v>1389</v>
      </c>
      <c r="B1994" s="3">
        <v>156477</v>
      </c>
      <c r="C1994" s="3">
        <v>216636</v>
      </c>
      <c r="D1994" s="4" t="s">
        <v>17</v>
      </c>
      <c r="E1994" s="4" t="s">
        <v>776</v>
      </c>
      <c r="F1994" s="4" t="s">
        <v>19</v>
      </c>
      <c r="G1994" s="4" t="s">
        <v>20</v>
      </c>
      <c r="H1994" s="5">
        <v>6000</v>
      </c>
      <c r="I1994" s="4" t="s">
        <v>21</v>
      </c>
      <c r="J1994" s="5">
        <f t="shared" si="31"/>
        <v>-25200</v>
      </c>
      <c r="K1994" s="4" t="s">
        <v>48</v>
      </c>
      <c r="L1994" s="6">
        <v>4.2</v>
      </c>
      <c r="M1994" s="6">
        <v>0.23810000000000001</v>
      </c>
      <c r="N1994" s="6">
        <v>4.2096999999999998</v>
      </c>
      <c r="O1994" s="6">
        <v>1</v>
      </c>
      <c r="P1994" s="5">
        <v>58.19999999999709</v>
      </c>
      <c r="Q1994" s="4" t="s">
        <v>1390</v>
      </c>
    </row>
    <row r="1995" spans="1:17" x14ac:dyDescent="0.3">
      <c r="A1995" s="2" t="s">
        <v>1389</v>
      </c>
      <c r="B1995" s="3">
        <v>156478</v>
      </c>
      <c r="C1995" s="3">
        <v>896252</v>
      </c>
      <c r="D1995" s="4" t="s">
        <v>81</v>
      </c>
      <c r="E1995" s="4" t="s">
        <v>742</v>
      </c>
      <c r="F1995" s="4" t="s">
        <v>83</v>
      </c>
      <c r="G1995" s="4" t="s">
        <v>20</v>
      </c>
      <c r="H1995" s="5">
        <v>-1000000</v>
      </c>
      <c r="I1995" s="4" t="s">
        <v>21</v>
      </c>
      <c r="J1995" s="5">
        <f t="shared" si="31"/>
        <v>4212200</v>
      </c>
      <c r="K1995" s="4" t="s">
        <v>35</v>
      </c>
      <c r="L1995" s="6">
        <v>4.2122000000000002</v>
      </c>
      <c r="M1995" s="6">
        <v>0.2374</v>
      </c>
      <c r="N1995" s="6">
        <v>4.2110000000000003</v>
      </c>
      <c r="O1995" s="6">
        <v>1</v>
      </c>
      <c r="P1995" s="5">
        <v>1200</v>
      </c>
      <c r="Q1995" s="4" t="s">
        <v>1396</v>
      </c>
    </row>
    <row r="1996" spans="1:17" x14ac:dyDescent="0.3">
      <c r="A1996" s="2" t="s">
        <v>1389</v>
      </c>
      <c r="B1996" s="3">
        <v>156479</v>
      </c>
      <c r="C1996" s="3">
        <v>896253</v>
      </c>
      <c r="D1996" s="4" t="s">
        <v>81</v>
      </c>
      <c r="E1996" s="4" t="s">
        <v>742</v>
      </c>
      <c r="F1996" s="4" t="s">
        <v>83</v>
      </c>
      <c r="G1996" s="4" t="s">
        <v>20</v>
      </c>
      <c r="H1996" s="5">
        <v>-1000000</v>
      </c>
      <c r="I1996" s="4" t="s">
        <v>21</v>
      </c>
      <c r="J1996" s="5">
        <f t="shared" si="31"/>
        <v>4212200</v>
      </c>
      <c r="K1996" s="4" t="s">
        <v>35</v>
      </c>
      <c r="L1996" s="6">
        <v>4.2122000000000002</v>
      </c>
      <c r="M1996" s="6">
        <v>0.2374</v>
      </c>
      <c r="N1996" s="6">
        <v>4.2110000000000003</v>
      </c>
      <c r="O1996" s="6">
        <v>1</v>
      </c>
      <c r="P1996" s="5">
        <v>1200</v>
      </c>
      <c r="Q1996" s="4" t="s">
        <v>1396</v>
      </c>
    </row>
    <row r="1997" spans="1:17" x14ac:dyDescent="0.3">
      <c r="A1997" s="2" t="s">
        <v>1389</v>
      </c>
      <c r="B1997" s="3">
        <v>156481</v>
      </c>
      <c r="C1997" s="3">
        <v>896266</v>
      </c>
      <c r="D1997" s="4" t="s">
        <v>81</v>
      </c>
      <c r="E1997" s="4" t="s">
        <v>725</v>
      </c>
      <c r="F1997" s="4" t="s">
        <v>83</v>
      </c>
      <c r="G1997" s="4" t="s">
        <v>20</v>
      </c>
      <c r="H1997" s="5">
        <v>-1000000</v>
      </c>
      <c r="I1997" s="4" t="s">
        <v>21</v>
      </c>
      <c r="J1997" s="5">
        <f t="shared" si="31"/>
        <v>4211000</v>
      </c>
      <c r="K1997" s="4" t="s">
        <v>35</v>
      </c>
      <c r="L1997" s="6">
        <v>4.2110000000000003</v>
      </c>
      <c r="M1997" s="6">
        <v>0.23749999999999999</v>
      </c>
      <c r="N1997" s="6">
        <v>4.2110000000000003</v>
      </c>
      <c r="O1997" s="6">
        <v>1</v>
      </c>
      <c r="P1997" s="5">
        <v>20</v>
      </c>
      <c r="Q1997" s="4" t="s">
        <v>1392</v>
      </c>
    </row>
    <row r="1998" spans="1:17" x14ac:dyDescent="0.3">
      <c r="A1998" s="2" t="s">
        <v>1389</v>
      </c>
      <c r="B1998" s="3">
        <v>156482</v>
      </c>
      <c r="C1998" s="3">
        <v>896267</v>
      </c>
      <c r="D1998" s="4" t="s">
        <v>81</v>
      </c>
      <c r="E1998" s="4" t="s">
        <v>735</v>
      </c>
      <c r="F1998" s="4" t="s">
        <v>83</v>
      </c>
      <c r="G1998" s="4" t="s">
        <v>20</v>
      </c>
      <c r="H1998" s="5">
        <v>-1000000</v>
      </c>
      <c r="I1998" s="4" t="s">
        <v>21</v>
      </c>
      <c r="J1998" s="5">
        <f t="shared" si="31"/>
        <v>4211100</v>
      </c>
      <c r="K1998" s="4" t="s">
        <v>35</v>
      </c>
      <c r="L1998" s="6">
        <v>4.2111000000000001</v>
      </c>
      <c r="M1998" s="6">
        <v>0.23749999999999999</v>
      </c>
      <c r="N1998" s="6">
        <v>4.2110000000000003</v>
      </c>
      <c r="O1998" s="6">
        <v>1</v>
      </c>
      <c r="P1998" s="5">
        <v>100</v>
      </c>
      <c r="Q1998" s="4" t="s">
        <v>1394</v>
      </c>
    </row>
    <row r="1999" spans="1:17" x14ac:dyDescent="0.3">
      <c r="A1999" s="2" t="s">
        <v>1389</v>
      </c>
      <c r="B1999" s="3">
        <v>156487</v>
      </c>
      <c r="C1999" s="3">
        <v>216652</v>
      </c>
      <c r="D1999" s="4" t="s">
        <v>17</v>
      </c>
      <c r="E1999" s="4" t="s">
        <v>1337</v>
      </c>
      <c r="F1999" s="4" t="s">
        <v>19</v>
      </c>
      <c r="G1999" s="4" t="s">
        <v>20</v>
      </c>
      <c r="H1999" s="5">
        <v>20000</v>
      </c>
      <c r="I1999" s="4" t="s">
        <v>21</v>
      </c>
      <c r="J1999" s="5">
        <f t="shared" si="31"/>
        <v>-84068</v>
      </c>
      <c r="K1999" s="4" t="s">
        <v>48</v>
      </c>
      <c r="L1999" s="6">
        <v>4.2034000000000002</v>
      </c>
      <c r="M1999" s="6">
        <v>0.2379</v>
      </c>
      <c r="N1999" s="6">
        <v>4.2096999999999998</v>
      </c>
      <c r="O1999" s="6">
        <v>1</v>
      </c>
      <c r="P1999" s="5">
        <v>126</v>
      </c>
      <c r="Q1999" s="4" t="s">
        <v>1390</v>
      </c>
    </row>
    <row r="2000" spans="1:17" x14ac:dyDescent="0.3">
      <c r="A2000" s="2" t="s">
        <v>1389</v>
      </c>
      <c r="B2000" s="3">
        <v>156488</v>
      </c>
      <c r="C2000" s="3">
        <v>216653</v>
      </c>
      <c r="D2000" s="4" t="s">
        <v>17</v>
      </c>
      <c r="E2000" s="4" t="s">
        <v>1098</v>
      </c>
      <c r="F2000" s="4" t="s">
        <v>19</v>
      </c>
      <c r="G2000" s="4" t="s">
        <v>20</v>
      </c>
      <c r="H2000" s="5">
        <v>7000</v>
      </c>
      <c r="I2000" s="4" t="s">
        <v>21</v>
      </c>
      <c r="J2000" s="5">
        <f t="shared" si="31"/>
        <v>-29423.800000000003</v>
      </c>
      <c r="K2000" s="4" t="s">
        <v>48</v>
      </c>
      <c r="L2000" s="6">
        <v>4.2034000000000002</v>
      </c>
      <c r="M2000" s="6">
        <v>0.2379</v>
      </c>
      <c r="N2000" s="6">
        <v>4.2096999999999998</v>
      </c>
      <c r="O2000" s="6">
        <v>1</v>
      </c>
      <c r="P2000" s="5">
        <v>44.099999999994907</v>
      </c>
      <c r="Q2000" s="4" t="s">
        <v>1390</v>
      </c>
    </row>
    <row r="2001" spans="1:17" x14ac:dyDescent="0.3">
      <c r="A2001" s="2" t="s">
        <v>1389</v>
      </c>
      <c r="B2001" s="3">
        <v>156489</v>
      </c>
      <c r="C2001" s="3">
        <v>216654</v>
      </c>
      <c r="D2001" s="4" t="s">
        <v>17</v>
      </c>
      <c r="E2001" s="4" t="s">
        <v>1042</v>
      </c>
      <c r="F2001" s="4" t="s">
        <v>19</v>
      </c>
      <c r="G2001" s="4" t="s">
        <v>20</v>
      </c>
      <c r="H2001" s="5">
        <v>108572.25</v>
      </c>
      <c r="I2001" s="4" t="s">
        <v>21</v>
      </c>
      <c r="J2001" s="5">
        <f t="shared" si="31"/>
        <v>-456513.73957500001</v>
      </c>
      <c r="K2001" s="4" t="s">
        <v>48</v>
      </c>
      <c r="L2001" s="6">
        <v>4.2046999999999999</v>
      </c>
      <c r="M2001" s="6">
        <v>0.23780000000000001</v>
      </c>
      <c r="N2001" s="6">
        <v>4.2096999999999998</v>
      </c>
      <c r="O2001" s="6">
        <v>1</v>
      </c>
      <c r="P2001" s="5">
        <v>542.86124999995809</v>
      </c>
      <c r="Q2001" s="4" t="s">
        <v>1390</v>
      </c>
    </row>
    <row r="2002" spans="1:17" x14ac:dyDescent="0.3">
      <c r="A2002" s="2" t="s">
        <v>1389</v>
      </c>
      <c r="B2002" s="3">
        <v>156491</v>
      </c>
      <c r="C2002" s="3">
        <v>216655</v>
      </c>
      <c r="D2002" s="4" t="s">
        <v>17</v>
      </c>
      <c r="E2002" s="4" t="s">
        <v>948</v>
      </c>
      <c r="F2002" s="4" t="s">
        <v>19</v>
      </c>
      <c r="G2002" s="4" t="s">
        <v>20</v>
      </c>
      <c r="H2002" s="5">
        <v>50000</v>
      </c>
      <c r="I2002" s="4" t="s">
        <v>21</v>
      </c>
      <c r="J2002" s="5">
        <f t="shared" si="31"/>
        <v>-210000</v>
      </c>
      <c r="K2002" s="4" t="s">
        <v>48</v>
      </c>
      <c r="L2002" s="6">
        <v>4.2</v>
      </c>
      <c r="M2002" s="6">
        <v>0.23810000000000001</v>
      </c>
      <c r="N2002" s="6">
        <v>4.2096999999999998</v>
      </c>
      <c r="O2002" s="6">
        <v>1</v>
      </c>
      <c r="P2002" s="5">
        <v>485</v>
      </c>
      <c r="Q2002" s="4" t="s">
        <v>1390</v>
      </c>
    </row>
    <row r="2003" spans="1:17" x14ac:dyDescent="0.3">
      <c r="A2003" s="2" t="s">
        <v>1389</v>
      </c>
      <c r="B2003" s="3">
        <v>156492</v>
      </c>
      <c r="C2003" s="3">
        <v>216656</v>
      </c>
      <c r="D2003" s="4" t="s">
        <v>17</v>
      </c>
      <c r="E2003" s="4" t="s">
        <v>948</v>
      </c>
      <c r="F2003" s="4" t="s">
        <v>19</v>
      </c>
      <c r="G2003" s="4" t="s">
        <v>34</v>
      </c>
      <c r="H2003" s="5">
        <v>100000</v>
      </c>
      <c r="I2003" s="4" t="s">
        <v>21</v>
      </c>
      <c r="J2003" s="5">
        <f t="shared" si="31"/>
        <v>-359600</v>
      </c>
      <c r="K2003" s="4" t="s">
        <v>48</v>
      </c>
      <c r="L2003" s="6">
        <v>3.5960000000000001</v>
      </c>
      <c r="M2003" s="6">
        <v>0.27810000000000001</v>
      </c>
      <c r="N2003" s="6">
        <v>3.6036999999999999</v>
      </c>
      <c r="O2003" s="6">
        <v>1</v>
      </c>
      <c r="P2003" s="5">
        <v>770</v>
      </c>
      <c r="Q2003" s="4" t="s">
        <v>1390</v>
      </c>
    </row>
    <row r="2004" spans="1:17" x14ac:dyDescent="0.3">
      <c r="A2004" s="2" t="s">
        <v>1389</v>
      </c>
      <c r="B2004" s="3">
        <v>156494</v>
      </c>
      <c r="C2004" s="3">
        <v>216659</v>
      </c>
      <c r="D2004" s="4" t="s">
        <v>17</v>
      </c>
      <c r="E2004" s="4" t="s">
        <v>824</v>
      </c>
      <c r="F2004" s="4" t="s">
        <v>32</v>
      </c>
      <c r="G2004" s="4" t="s">
        <v>20</v>
      </c>
      <c r="H2004" s="5">
        <v>-20000</v>
      </c>
      <c r="I2004" s="4" t="s">
        <v>21</v>
      </c>
      <c r="J2004" s="5">
        <f t="shared" si="31"/>
        <v>84580</v>
      </c>
      <c r="K2004" s="4" t="s">
        <v>48</v>
      </c>
      <c r="L2004" s="6">
        <v>4.2290000000000001</v>
      </c>
      <c r="M2004" s="6">
        <v>0.23649999999999999</v>
      </c>
      <c r="N2004" s="6">
        <v>4.2096999999999998</v>
      </c>
      <c r="O2004" s="6">
        <v>1</v>
      </c>
      <c r="P2004" s="5">
        <v>386</v>
      </c>
      <c r="Q2004" s="4" t="s">
        <v>1390</v>
      </c>
    </row>
    <row r="2005" spans="1:17" x14ac:dyDescent="0.3">
      <c r="A2005" s="2" t="s">
        <v>1389</v>
      </c>
      <c r="B2005" s="3">
        <v>156495</v>
      </c>
      <c r="C2005" s="3">
        <v>216661</v>
      </c>
      <c r="D2005" s="4" t="s">
        <v>17</v>
      </c>
      <c r="E2005" s="4" t="s">
        <v>1042</v>
      </c>
      <c r="F2005" s="4" t="s">
        <v>19</v>
      </c>
      <c r="G2005" s="4" t="s">
        <v>20</v>
      </c>
      <c r="H2005" s="5">
        <v>155794.35999999999</v>
      </c>
      <c r="I2005" s="4" t="s">
        <v>21</v>
      </c>
      <c r="J2005" s="5">
        <f t="shared" si="31"/>
        <v>-655130.86323599995</v>
      </c>
      <c r="K2005" s="4" t="s">
        <v>48</v>
      </c>
      <c r="L2005" s="6">
        <v>4.2050999999999998</v>
      </c>
      <c r="M2005" s="6">
        <v>0.23780000000000001</v>
      </c>
      <c r="N2005" s="6">
        <v>4.2096999999999998</v>
      </c>
      <c r="O2005" s="6">
        <v>1</v>
      </c>
      <c r="P2005" s="5">
        <v>716.65405599994119</v>
      </c>
      <c r="Q2005" s="4" t="s">
        <v>1390</v>
      </c>
    </row>
    <row r="2006" spans="1:17" x14ac:dyDescent="0.3">
      <c r="A2006" s="2" t="s">
        <v>1389</v>
      </c>
      <c r="B2006" s="3">
        <v>156496</v>
      </c>
      <c r="C2006" s="3">
        <v>896329</v>
      </c>
      <c r="D2006" s="4" t="s">
        <v>81</v>
      </c>
      <c r="E2006" s="4" t="s">
        <v>734</v>
      </c>
      <c r="F2006" s="4" t="s">
        <v>83</v>
      </c>
      <c r="G2006" s="4" t="s">
        <v>20</v>
      </c>
      <c r="H2006" s="5">
        <v>-500000</v>
      </c>
      <c r="I2006" s="4" t="s">
        <v>21</v>
      </c>
      <c r="J2006" s="5">
        <f t="shared" si="31"/>
        <v>2105950</v>
      </c>
      <c r="K2006" s="4" t="s">
        <v>35</v>
      </c>
      <c r="L2006" s="6">
        <v>4.2119</v>
      </c>
      <c r="M2006" s="6">
        <v>0.2374</v>
      </c>
      <c r="N2006" s="6">
        <v>4.2110000000000003</v>
      </c>
      <c r="O2006" s="6">
        <v>1</v>
      </c>
      <c r="P2006" s="5">
        <v>450</v>
      </c>
      <c r="Q2006" s="4" t="s">
        <v>1393</v>
      </c>
    </row>
    <row r="2007" spans="1:17" x14ac:dyDescent="0.3">
      <c r="A2007" s="2" t="s">
        <v>1389</v>
      </c>
      <c r="B2007" s="3">
        <v>156497</v>
      </c>
      <c r="C2007" s="3">
        <v>216667</v>
      </c>
      <c r="D2007" s="4" t="s">
        <v>17</v>
      </c>
      <c r="E2007" s="4" t="s">
        <v>779</v>
      </c>
      <c r="F2007" s="4" t="s">
        <v>19</v>
      </c>
      <c r="G2007" s="4" t="s">
        <v>34</v>
      </c>
      <c r="H2007" s="5">
        <v>50000</v>
      </c>
      <c r="I2007" s="4" t="s">
        <v>21</v>
      </c>
      <c r="J2007" s="5">
        <f t="shared" si="31"/>
        <v>-176000</v>
      </c>
      <c r="K2007" s="4" t="s">
        <v>48</v>
      </c>
      <c r="L2007" s="6">
        <v>3.52</v>
      </c>
      <c r="M2007" s="6">
        <v>0.28410000000000002</v>
      </c>
      <c r="N2007" s="6">
        <v>3.6036999999999999</v>
      </c>
      <c r="O2007" s="6">
        <v>1</v>
      </c>
      <c r="P2007" s="5">
        <v>4185</v>
      </c>
      <c r="Q2007" s="4" t="s">
        <v>1390</v>
      </c>
    </row>
    <row r="2008" spans="1:17" x14ac:dyDescent="0.3">
      <c r="A2008" s="2" t="s">
        <v>1389</v>
      </c>
      <c r="B2008" s="3">
        <v>156498</v>
      </c>
      <c r="C2008" s="3">
        <v>216670</v>
      </c>
      <c r="D2008" s="4" t="s">
        <v>17</v>
      </c>
      <c r="E2008" s="4" t="s">
        <v>1374</v>
      </c>
      <c r="F2008" s="4" t="s">
        <v>19</v>
      </c>
      <c r="G2008" s="4" t="s">
        <v>21</v>
      </c>
      <c r="H2008" s="5">
        <v>450000</v>
      </c>
      <c r="I2008" s="4" t="s">
        <v>91</v>
      </c>
      <c r="J2008" s="5">
        <f t="shared" si="31"/>
        <v>-2193840</v>
      </c>
      <c r="K2008" s="4" t="s">
        <v>48</v>
      </c>
      <c r="L2008" s="6">
        <v>4.8752000000000004</v>
      </c>
      <c r="M2008" s="6">
        <v>0.2051</v>
      </c>
      <c r="N2008" s="6">
        <v>1</v>
      </c>
      <c r="O2008" s="6">
        <v>4.8482000000000003</v>
      </c>
      <c r="P2008" s="5">
        <v>-10186175.088000001</v>
      </c>
      <c r="Q2008" s="4" t="s">
        <v>1390</v>
      </c>
    </row>
    <row r="2009" spans="1:17" x14ac:dyDescent="0.3">
      <c r="A2009" s="2" t="s">
        <v>1389</v>
      </c>
      <c r="B2009" s="3">
        <v>156500</v>
      </c>
      <c r="C2009" s="3">
        <v>216677</v>
      </c>
      <c r="D2009" s="4" t="s">
        <v>17</v>
      </c>
      <c r="E2009" s="4" t="s">
        <v>1224</v>
      </c>
      <c r="F2009" s="4" t="s">
        <v>32</v>
      </c>
      <c r="G2009" s="4" t="s">
        <v>20</v>
      </c>
      <c r="H2009" s="5">
        <v>-10000</v>
      </c>
      <c r="I2009" s="4" t="s">
        <v>21</v>
      </c>
      <c r="J2009" s="5">
        <f t="shared" si="31"/>
        <v>42129</v>
      </c>
      <c r="K2009" s="4" t="s">
        <v>48</v>
      </c>
      <c r="L2009" s="6">
        <v>4.2129000000000003</v>
      </c>
      <c r="M2009" s="6">
        <v>0.2374</v>
      </c>
      <c r="N2009" s="6">
        <v>4.2096999999999998</v>
      </c>
      <c r="O2009" s="6">
        <v>1</v>
      </c>
      <c r="P2009" s="5">
        <v>28</v>
      </c>
      <c r="Q2009" s="4" t="s">
        <v>1390</v>
      </c>
    </row>
    <row r="2010" spans="1:17" x14ac:dyDescent="0.3">
      <c r="A2010" s="2" t="s">
        <v>1389</v>
      </c>
      <c r="B2010" s="3">
        <v>156501</v>
      </c>
      <c r="C2010" s="3">
        <v>216678</v>
      </c>
      <c r="D2010" s="4" t="s">
        <v>17</v>
      </c>
      <c r="E2010" s="4" t="s">
        <v>1224</v>
      </c>
      <c r="F2010" s="4" t="s">
        <v>32</v>
      </c>
      <c r="G2010" s="4" t="s">
        <v>20</v>
      </c>
      <c r="H2010" s="5">
        <v>-10000</v>
      </c>
      <c r="I2010" s="4" t="s">
        <v>21</v>
      </c>
      <c r="J2010" s="5">
        <f t="shared" si="31"/>
        <v>42129</v>
      </c>
      <c r="K2010" s="4" t="s">
        <v>48</v>
      </c>
      <c r="L2010" s="6">
        <v>4.2129000000000003</v>
      </c>
      <c r="M2010" s="6">
        <v>0.2374</v>
      </c>
      <c r="N2010" s="6">
        <v>4.2096999999999998</v>
      </c>
      <c r="O2010" s="6">
        <v>1</v>
      </c>
      <c r="P2010" s="5">
        <v>28</v>
      </c>
      <c r="Q2010" s="4" t="s">
        <v>1390</v>
      </c>
    </row>
    <row r="2011" spans="1:17" x14ac:dyDescent="0.3">
      <c r="A2011" s="2" t="s">
        <v>1389</v>
      </c>
      <c r="B2011" s="3">
        <v>156502</v>
      </c>
      <c r="C2011" s="3">
        <v>216680</v>
      </c>
      <c r="D2011" s="4" t="s">
        <v>17</v>
      </c>
      <c r="E2011" s="4" t="s">
        <v>1224</v>
      </c>
      <c r="F2011" s="4" t="s">
        <v>32</v>
      </c>
      <c r="G2011" s="4" t="s">
        <v>20</v>
      </c>
      <c r="H2011" s="5">
        <v>-10000</v>
      </c>
      <c r="I2011" s="4" t="s">
        <v>21</v>
      </c>
      <c r="J2011" s="5">
        <f t="shared" si="31"/>
        <v>42129</v>
      </c>
      <c r="K2011" s="4" t="s">
        <v>37</v>
      </c>
      <c r="L2011" s="6">
        <v>4.2129000000000003</v>
      </c>
      <c r="M2011" s="6">
        <v>0.2374</v>
      </c>
      <c r="N2011" s="6">
        <v>4.2115999999999998</v>
      </c>
      <c r="O2011" s="6">
        <v>1</v>
      </c>
      <c r="P2011" s="5">
        <v>11</v>
      </c>
      <c r="Q2011" s="4" t="s">
        <v>1390</v>
      </c>
    </row>
    <row r="2012" spans="1:17" x14ac:dyDescent="0.3">
      <c r="A2012" s="2" t="s">
        <v>1389</v>
      </c>
      <c r="B2012" s="3">
        <v>156503</v>
      </c>
      <c r="C2012" s="3">
        <v>216681</v>
      </c>
      <c r="D2012" s="4" t="s">
        <v>17</v>
      </c>
      <c r="E2012" s="4" t="s">
        <v>1224</v>
      </c>
      <c r="F2012" s="4" t="s">
        <v>32</v>
      </c>
      <c r="G2012" s="4" t="s">
        <v>20</v>
      </c>
      <c r="H2012" s="5">
        <v>-10000</v>
      </c>
      <c r="I2012" s="4" t="s">
        <v>21</v>
      </c>
      <c r="J2012" s="5">
        <f t="shared" si="31"/>
        <v>42129</v>
      </c>
      <c r="K2012" s="4" t="s">
        <v>37</v>
      </c>
      <c r="L2012" s="6">
        <v>4.2129000000000003</v>
      </c>
      <c r="M2012" s="6">
        <v>0.2374</v>
      </c>
      <c r="N2012" s="6">
        <v>4.2115999999999998</v>
      </c>
      <c r="O2012" s="6">
        <v>1</v>
      </c>
      <c r="P2012" s="5">
        <v>11</v>
      </c>
      <c r="Q2012" s="4" t="s">
        <v>1390</v>
      </c>
    </row>
    <row r="2013" spans="1:17" x14ac:dyDescent="0.3">
      <c r="A2013" s="2" t="s">
        <v>1389</v>
      </c>
      <c r="B2013" s="3">
        <v>156504</v>
      </c>
      <c r="C2013" s="3">
        <v>216682</v>
      </c>
      <c r="D2013" s="4" t="s">
        <v>17</v>
      </c>
      <c r="E2013" s="4" t="s">
        <v>1245</v>
      </c>
      <c r="F2013" s="4" t="s">
        <v>32</v>
      </c>
      <c r="G2013" s="4" t="s">
        <v>34</v>
      </c>
      <c r="H2013" s="5">
        <v>-280000</v>
      </c>
      <c r="I2013" s="4" t="s">
        <v>21</v>
      </c>
      <c r="J2013" s="5">
        <f t="shared" si="31"/>
        <v>1011080.0000000001</v>
      </c>
      <c r="K2013" s="4" t="s">
        <v>48</v>
      </c>
      <c r="L2013" s="6">
        <v>3.6110000000000002</v>
      </c>
      <c r="M2013" s="6">
        <v>0.27689999999999998</v>
      </c>
      <c r="N2013" s="6">
        <v>3.6036999999999999</v>
      </c>
      <c r="O2013" s="6">
        <v>1</v>
      </c>
      <c r="P2013" s="5">
        <v>2044</v>
      </c>
      <c r="Q2013" s="4" t="s">
        <v>1390</v>
      </c>
    </row>
    <row r="2014" spans="1:17" x14ac:dyDescent="0.3">
      <c r="A2014" s="2" t="s">
        <v>1389</v>
      </c>
      <c r="B2014" s="3">
        <v>156506</v>
      </c>
      <c r="C2014" s="3">
        <v>216684</v>
      </c>
      <c r="D2014" s="4" t="s">
        <v>17</v>
      </c>
      <c r="E2014" s="4" t="s">
        <v>1224</v>
      </c>
      <c r="F2014" s="4" t="s">
        <v>32</v>
      </c>
      <c r="G2014" s="4" t="s">
        <v>20</v>
      </c>
      <c r="H2014" s="5">
        <v>-10000</v>
      </c>
      <c r="I2014" s="4" t="s">
        <v>21</v>
      </c>
      <c r="J2014" s="5">
        <f t="shared" si="31"/>
        <v>42127</v>
      </c>
      <c r="K2014" s="4" t="s">
        <v>37</v>
      </c>
      <c r="L2014" s="6">
        <v>4.2126999999999999</v>
      </c>
      <c r="M2014" s="6">
        <v>0.2374</v>
      </c>
      <c r="N2014" s="6">
        <v>4.2115999999999998</v>
      </c>
      <c r="O2014" s="6">
        <v>1</v>
      </c>
      <c r="P2014" s="5">
        <v>9</v>
      </c>
      <c r="Q2014" s="4" t="s">
        <v>1390</v>
      </c>
    </row>
    <row r="2015" spans="1:17" x14ac:dyDescent="0.3">
      <c r="A2015" s="2" t="s">
        <v>1389</v>
      </c>
      <c r="B2015" s="3">
        <v>156507</v>
      </c>
      <c r="C2015" s="3">
        <v>216685</v>
      </c>
      <c r="D2015" s="4" t="s">
        <v>17</v>
      </c>
      <c r="E2015" s="4" t="s">
        <v>1224</v>
      </c>
      <c r="F2015" s="4" t="s">
        <v>32</v>
      </c>
      <c r="G2015" s="4" t="s">
        <v>20</v>
      </c>
      <c r="H2015" s="5">
        <v>-10000</v>
      </c>
      <c r="I2015" s="4" t="s">
        <v>21</v>
      </c>
      <c r="J2015" s="5">
        <f t="shared" si="31"/>
        <v>42127</v>
      </c>
      <c r="K2015" s="4" t="s">
        <v>37</v>
      </c>
      <c r="L2015" s="6">
        <v>4.2126999999999999</v>
      </c>
      <c r="M2015" s="6">
        <v>0.2374</v>
      </c>
      <c r="N2015" s="6">
        <v>4.2115999999999998</v>
      </c>
      <c r="O2015" s="6">
        <v>1</v>
      </c>
      <c r="P2015" s="5">
        <v>9</v>
      </c>
      <c r="Q2015" s="4" t="s">
        <v>1390</v>
      </c>
    </row>
    <row r="2016" spans="1:17" x14ac:dyDescent="0.3">
      <c r="A2016" s="2" t="s">
        <v>1389</v>
      </c>
      <c r="B2016" s="3">
        <v>156508</v>
      </c>
      <c r="C2016" s="3">
        <v>216687</v>
      </c>
      <c r="D2016" s="4" t="s">
        <v>17</v>
      </c>
      <c r="E2016" s="4" t="s">
        <v>1224</v>
      </c>
      <c r="F2016" s="4" t="s">
        <v>32</v>
      </c>
      <c r="G2016" s="4" t="s">
        <v>20</v>
      </c>
      <c r="H2016" s="5">
        <v>-10000</v>
      </c>
      <c r="I2016" s="4" t="s">
        <v>21</v>
      </c>
      <c r="J2016" s="5">
        <f t="shared" si="31"/>
        <v>42127</v>
      </c>
      <c r="K2016" s="4" t="s">
        <v>37</v>
      </c>
      <c r="L2016" s="6">
        <v>4.2126999999999999</v>
      </c>
      <c r="M2016" s="6">
        <v>0.2374</v>
      </c>
      <c r="N2016" s="6">
        <v>4.2115999999999998</v>
      </c>
      <c r="O2016" s="6">
        <v>1</v>
      </c>
      <c r="P2016" s="5">
        <v>9</v>
      </c>
      <c r="Q2016" s="4" t="s">
        <v>1390</v>
      </c>
    </row>
    <row r="2017" spans="1:17" x14ac:dyDescent="0.3">
      <c r="A2017" s="2" t="s">
        <v>1389</v>
      </c>
      <c r="B2017" s="3">
        <v>156509</v>
      </c>
      <c r="C2017" s="3">
        <v>216690</v>
      </c>
      <c r="D2017" s="4" t="s">
        <v>17</v>
      </c>
      <c r="E2017" s="4" t="s">
        <v>1224</v>
      </c>
      <c r="F2017" s="4" t="s">
        <v>32</v>
      </c>
      <c r="G2017" s="4" t="s">
        <v>20</v>
      </c>
      <c r="H2017" s="5">
        <v>-10000</v>
      </c>
      <c r="I2017" s="4" t="s">
        <v>21</v>
      </c>
      <c r="J2017" s="5">
        <f t="shared" si="31"/>
        <v>42127</v>
      </c>
      <c r="K2017" s="4" t="s">
        <v>37</v>
      </c>
      <c r="L2017" s="6">
        <v>4.2126999999999999</v>
      </c>
      <c r="M2017" s="6">
        <v>0.2374</v>
      </c>
      <c r="N2017" s="6">
        <v>4.2115999999999998</v>
      </c>
      <c r="O2017" s="6">
        <v>1</v>
      </c>
      <c r="P2017" s="5">
        <v>9</v>
      </c>
      <c r="Q2017" s="4" t="s">
        <v>1390</v>
      </c>
    </row>
    <row r="2018" spans="1:17" x14ac:dyDescent="0.3">
      <c r="A2018" s="2" t="s">
        <v>1389</v>
      </c>
      <c r="B2018" s="3">
        <v>156510</v>
      </c>
      <c r="C2018" s="3">
        <v>896424</v>
      </c>
      <c r="D2018" s="4" t="s">
        <v>81</v>
      </c>
      <c r="E2018" s="4" t="s">
        <v>1224</v>
      </c>
      <c r="F2018" s="4" t="s">
        <v>83</v>
      </c>
      <c r="G2018" s="4" t="s">
        <v>20</v>
      </c>
      <c r="H2018" s="5">
        <v>-10000</v>
      </c>
      <c r="I2018" s="4" t="s">
        <v>21</v>
      </c>
      <c r="J2018" s="5">
        <f t="shared" si="31"/>
        <v>42127</v>
      </c>
      <c r="K2018" s="4" t="s">
        <v>35</v>
      </c>
      <c r="L2018" s="6">
        <v>4.2126999999999999</v>
      </c>
      <c r="M2018" s="6">
        <v>0.2374</v>
      </c>
      <c r="N2018" s="6">
        <v>4.2110000000000003</v>
      </c>
      <c r="O2018" s="6">
        <v>1</v>
      </c>
      <c r="P2018" s="5">
        <v>17</v>
      </c>
      <c r="Q2018" s="4" t="s">
        <v>1390</v>
      </c>
    </row>
    <row r="2019" spans="1:17" x14ac:dyDescent="0.3">
      <c r="A2019" s="2" t="s">
        <v>1389</v>
      </c>
      <c r="B2019" s="3">
        <v>156511</v>
      </c>
      <c r="C2019" s="3">
        <v>896425</v>
      </c>
      <c r="D2019" s="4" t="s">
        <v>81</v>
      </c>
      <c r="E2019" s="4" t="s">
        <v>1224</v>
      </c>
      <c r="F2019" s="4" t="s">
        <v>83</v>
      </c>
      <c r="G2019" s="4" t="s">
        <v>20</v>
      </c>
      <c r="H2019" s="5">
        <v>-10000</v>
      </c>
      <c r="I2019" s="4" t="s">
        <v>21</v>
      </c>
      <c r="J2019" s="5">
        <f t="shared" si="31"/>
        <v>42127</v>
      </c>
      <c r="K2019" s="4" t="s">
        <v>35</v>
      </c>
      <c r="L2019" s="6">
        <v>4.2126999999999999</v>
      </c>
      <c r="M2019" s="6">
        <v>0.2374</v>
      </c>
      <c r="N2019" s="6">
        <v>4.2110000000000003</v>
      </c>
      <c r="O2019" s="6">
        <v>1</v>
      </c>
      <c r="P2019" s="5">
        <v>17</v>
      </c>
      <c r="Q2019" s="4" t="s">
        <v>1390</v>
      </c>
    </row>
    <row r="2020" spans="1:17" x14ac:dyDescent="0.3">
      <c r="A2020" s="2" t="s">
        <v>1389</v>
      </c>
      <c r="B2020" s="3">
        <v>156512</v>
      </c>
      <c r="C2020" s="3">
        <v>216691</v>
      </c>
      <c r="D2020" s="4" t="s">
        <v>17</v>
      </c>
      <c r="E2020" s="4" t="s">
        <v>827</v>
      </c>
      <c r="F2020" s="4" t="s">
        <v>32</v>
      </c>
      <c r="G2020" s="4" t="s">
        <v>20</v>
      </c>
      <c r="H2020" s="5">
        <v>-100000</v>
      </c>
      <c r="I2020" s="4" t="s">
        <v>21</v>
      </c>
      <c r="J2020" s="5">
        <f t="shared" si="31"/>
        <v>421290.00000000006</v>
      </c>
      <c r="K2020" s="4" t="s">
        <v>48</v>
      </c>
      <c r="L2020" s="6">
        <v>4.2129000000000003</v>
      </c>
      <c r="M2020" s="6">
        <v>0.2374</v>
      </c>
      <c r="N2020" s="6">
        <v>4.2096999999999998</v>
      </c>
      <c r="O2020" s="6">
        <v>1</v>
      </c>
      <c r="P2020" s="5">
        <v>280</v>
      </c>
      <c r="Q2020" s="4" t="s">
        <v>1390</v>
      </c>
    </row>
    <row r="2021" spans="1:17" x14ac:dyDescent="0.3">
      <c r="A2021" s="2" t="s">
        <v>1389</v>
      </c>
      <c r="B2021" s="3">
        <v>156514</v>
      </c>
      <c r="C2021" s="3">
        <v>216699</v>
      </c>
      <c r="D2021" s="4" t="s">
        <v>17</v>
      </c>
      <c r="E2021" s="4" t="s">
        <v>1154</v>
      </c>
      <c r="F2021" s="4" t="s">
        <v>32</v>
      </c>
      <c r="G2021" s="4" t="s">
        <v>20</v>
      </c>
      <c r="H2021" s="5">
        <v>-118000</v>
      </c>
      <c r="I2021" s="4" t="s">
        <v>21</v>
      </c>
      <c r="J2021" s="5">
        <f t="shared" si="31"/>
        <v>496933.39999999997</v>
      </c>
      <c r="K2021" s="4" t="s">
        <v>48</v>
      </c>
      <c r="L2021" s="6">
        <v>4.2112999999999996</v>
      </c>
      <c r="M2021" s="6">
        <v>0.23749999999999999</v>
      </c>
      <c r="N2021" s="6">
        <v>4.2096999999999998</v>
      </c>
      <c r="O2021" s="6">
        <v>1</v>
      </c>
      <c r="P2021" s="5">
        <v>141.6</v>
      </c>
      <c r="Q2021" s="4" t="s">
        <v>1390</v>
      </c>
    </row>
    <row r="2022" spans="1:17" x14ac:dyDescent="0.3">
      <c r="A2022" s="2" t="s">
        <v>1389</v>
      </c>
      <c r="B2022" s="3">
        <v>156517</v>
      </c>
      <c r="C2022" s="3">
        <v>216704</v>
      </c>
      <c r="D2022" s="4" t="s">
        <v>17</v>
      </c>
      <c r="E2022" s="4" t="s">
        <v>994</v>
      </c>
      <c r="F2022" s="4" t="s">
        <v>19</v>
      </c>
      <c r="G2022" s="4" t="s">
        <v>20</v>
      </c>
      <c r="H2022" s="5">
        <v>30000</v>
      </c>
      <c r="I2022" s="4" t="s">
        <v>21</v>
      </c>
      <c r="J2022" s="5">
        <f t="shared" si="31"/>
        <v>-125700.00000000001</v>
      </c>
      <c r="K2022" s="4" t="s">
        <v>48</v>
      </c>
      <c r="L2022" s="6">
        <v>4.1900000000000004</v>
      </c>
      <c r="M2022" s="6">
        <v>0.2387</v>
      </c>
      <c r="N2022" s="6">
        <v>4.2096999999999998</v>
      </c>
      <c r="O2022" s="6">
        <v>1</v>
      </c>
      <c r="P2022" s="5">
        <v>590.99999999998545</v>
      </c>
      <c r="Q2022" s="4" t="s">
        <v>1390</v>
      </c>
    </row>
    <row r="2023" spans="1:17" x14ac:dyDescent="0.3">
      <c r="A2023" s="2" t="s">
        <v>1389</v>
      </c>
      <c r="B2023" s="3">
        <v>156518</v>
      </c>
      <c r="C2023" s="3">
        <v>896483</v>
      </c>
      <c r="D2023" s="4" t="s">
        <v>81</v>
      </c>
      <c r="E2023" s="4" t="s">
        <v>734</v>
      </c>
      <c r="F2023" s="4" t="s">
        <v>83</v>
      </c>
      <c r="G2023" s="4" t="s">
        <v>20</v>
      </c>
      <c r="H2023" s="5">
        <v>-300000</v>
      </c>
      <c r="I2023" s="4" t="s">
        <v>91</v>
      </c>
      <c r="J2023" s="5">
        <f t="shared" si="31"/>
        <v>259800</v>
      </c>
      <c r="K2023" s="4" t="s">
        <v>35</v>
      </c>
      <c r="L2023" s="6">
        <v>0.86599999999999999</v>
      </c>
      <c r="M2023" s="6">
        <v>1.1548</v>
      </c>
      <c r="N2023" s="6">
        <v>4.2110000000000003</v>
      </c>
      <c r="O2023" s="6">
        <v>4.8631000000000002</v>
      </c>
      <c r="P2023" s="5">
        <v>104.20140000000001</v>
      </c>
      <c r="Q2023" s="4" t="s">
        <v>1393</v>
      </c>
    </row>
    <row r="2024" spans="1:17" x14ac:dyDescent="0.3">
      <c r="A2024" s="2" t="s">
        <v>1389</v>
      </c>
      <c r="B2024" s="3">
        <v>156519</v>
      </c>
      <c r="C2024" s="3">
        <v>896484</v>
      </c>
      <c r="D2024" s="4" t="s">
        <v>81</v>
      </c>
      <c r="E2024" s="4" t="s">
        <v>735</v>
      </c>
      <c r="F2024" s="4" t="s">
        <v>87</v>
      </c>
      <c r="G2024" s="4" t="s">
        <v>20</v>
      </c>
      <c r="H2024" s="5">
        <v>200000</v>
      </c>
      <c r="I2024" s="4" t="s">
        <v>91</v>
      </c>
      <c r="J2024" s="5">
        <f t="shared" si="31"/>
        <v>-173200</v>
      </c>
      <c r="K2024" s="4" t="s">
        <v>35</v>
      </c>
      <c r="L2024" s="6">
        <v>0.86599999999999999</v>
      </c>
      <c r="M2024" s="6">
        <v>1.1547000000000001</v>
      </c>
      <c r="N2024" s="6">
        <v>4.2110000000000003</v>
      </c>
      <c r="O2024" s="6">
        <v>4.8631000000000002</v>
      </c>
      <c r="P2024" s="5">
        <v>-108.3724</v>
      </c>
      <c r="Q2024" s="4" t="s">
        <v>1394</v>
      </c>
    </row>
    <row r="2025" spans="1:17" x14ac:dyDescent="0.3">
      <c r="A2025" s="2" t="s">
        <v>1389</v>
      </c>
      <c r="B2025" s="3">
        <v>156520</v>
      </c>
      <c r="C2025" s="3">
        <v>896488</v>
      </c>
      <c r="D2025" s="4" t="s">
        <v>81</v>
      </c>
      <c r="E2025" s="4" t="s">
        <v>735</v>
      </c>
      <c r="F2025" s="4" t="s">
        <v>87</v>
      </c>
      <c r="G2025" s="4" t="s">
        <v>20</v>
      </c>
      <c r="H2025" s="5">
        <v>500000</v>
      </c>
      <c r="I2025" s="4" t="s">
        <v>21</v>
      </c>
      <c r="J2025" s="5">
        <f t="shared" si="31"/>
        <v>-2105400</v>
      </c>
      <c r="K2025" s="4" t="s">
        <v>35</v>
      </c>
      <c r="L2025" s="6">
        <v>4.2107999999999999</v>
      </c>
      <c r="M2025" s="6">
        <v>0.23749999999999999</v>
      </c>
      <c r="N2025" s="6">
        <v>4.2110000000000003</v>
      </c>
      <c r="O2025" s="6">
        <v>1</v>
      </c>
      <c r="P2025" s="5">
        <v>100</v>
      </c>
      <c r="Q2025" s="4" t="s">
        <v>1394</v>
      </c>
    </row>
    <row r="2026" spans="1:17" x14ac:dyDescent="0.3">
      <c r="A2026" s="2" t="s">
        <v>1389</v>
      </c>
      <c r="B2026" s="3">
        <v>156521</v>
      </c>
      <c r="C2026" s="3">
        <v>896501</v>
      </c>
      <c r="D2026" s="4" t="s">
        <v>81</v>
      </c>
      <c r="E2026" s="4" t="s">
        <v>1077</v>
      </c>
      <c r="F2026" s="4" t="s">
        <v>87</v>
      </c>
      <c r="G2026" s="4" t="s">
        <v>20</v>
      </c>
      <c r="H2026" s="5">
        <v>25000</v>
      </c>
      <c r="I2026" s="4" t="s">
        <v>21</v>
      </c>
      <c r="J2026" s="5">
        <f t="shared" si="31"/>
        <v>-105190</v>
      </c>
      <c r="K2026" s="4" t="s">
        <v>35</v>
      </c>
      <c r="L2026" s="6">
        <v>4.2076000000000002</v>
      </c>
      <c r="M2026" s="6">
        <v>0.23769999999999999</v>
      </c>
      <c r="N2026" s="6">
        <v>4.2110000000000003</v>
      </c>
      <c r="O2026" s="6">
        <v>1</v>
      </c>
      <c r="P2026" s="5">
        <v>85</v>
      </c>
      <c r="Q2026" s="4" t="s">
        <v>1390</v>
      </c>
    </row>
    <row r="2027" spans="1:17" x14ac:dyDescent="0.3">
      <c r="A2027" s="2" t="s">
        <v>1389</v>
      </c>
      <c r="B2027" s="3">
        <v>156522</v>
      </c>
      <c r="C2027" s="3">
        <v>216716</v>
      </c>
      <c r="D2027" s="4" t="s">
        <v>17</v>
      </c>
      <c r="E2027" s="4" t="s">
        <v>1224</v>
      </c>
      <c r="F2027" s="4" t="s">
        <v>32</v>
      </c>
      <c r="G2027" s="4" t="s">
        <v>20</v>
      </c>
      <c r="H2027" s="5">
        <v>-10000</v>
      </c>
      <c r="I2027" s="4" t="s">
        <v>21</v>
      </c>
      <c r="J2027" s="5">
        <f t="shared" si="31"/>
        <v>42130</v>
      </c>
      <c r="K2027" s="4" t="s">
        <v>48</v>
      </c>
      <c r="L2027" s="6">
        <v>4.2130000000000001</v>
      </c>
      <c r="M2027" s="6">
        <v>0.2374</v>
      </c>
      <c r="N2027" s="6">
        <v>4.2096999999999998</v>
      </c>
      <c r="O2027" s="6">
        <v>1</v>
      </c>
      <c r="P2027" s="5">
        <v>29</v>
      </c>
      <c r="Q2027" s="4" t="s">
        <v>1390</v>
      </c>
    </row>
    <row r="2028" spans="1:17" x14ac:dyDescent="0.3">
      <c r="A2028" s="2" t="s">
        <v>1389</v>
      </c>
      <c r="B2028" s="3">
        <v>156523</v>
      </c>
      <c r="C2028" s="3">
        <v>216720</v>
      </c>
      <c r="D2028" s="4" t="s">
        <v>17</v>
      </c>
      <c r="E2028" s="4" t="s">
        <v>823</v>
      </c>
      <c r="F2028" s="4" t="s">
        <v>32</v>
      </c>
      <c r="G2028" s="4" t="s">
        <v>20</v>
      </c>
      <c r="H2028" s="5">
        <v>-45000</v>
      </c>
      <c r="I2028" s="4" t="s">
        <v>21</v>
      </c>
      <c r="J2028" s="5">
        <f t="shared" si="31"/>
        <v>189720</v>
      </c>
      <c r="K2028" s="4" t="s">
        <v>48</v>
      </c>
      <c r="L2028" s="6">
        <v>4.2160000000000002</v>
      </c>
      <c r="M2028" s="6">
        <v>0.23719999999999999</v>
      </c>
      <c r="N2028" s="6">
        <v>4.2096999999999998</v>
      </c>
      <c r="O2028" s="6">
        <v>1</v>
      </c>
      <c r="P2028" s="5">
        <v>283.5</v>
      </c>
      <c r="Q2028" s="4" t="s">
        <v>1390</v>
      </c>
    </row>
    <row r="2029" spans="1:17" x14ac:dyDescent="0.3">
      <c r="A2029" s="2" t="s">
        <v>1389</v>
      </c>
      <c r="B2029" s="3">
        <v>156524</v>
      </c>
      <c r="C2029" s="3">
        <v>216725</v>
      </c>
      <c r="D2029" s="4" t="s">
        <v>17</v>
      </c>
      <c r="E2029" s="4" t="s">
        <v>1191</v>
      </c>
      <c r="F2029" s="4" t="s">
        <v>19</v>
      </c>
      <c r="G2029" s="4" t="s">
        <v>20</v>
      </c>
      <c r="H2029" s="5">
        <v>185688.78</v>
      </c>
      <c r="I2029" s="4" t="s">
        <v>21</v>
      </c>
      <c r="J2029" s="5">
        <f t="shared" si="31"/>
        <v>-780264.25355999998</v>
      </c>
      <c r="K2029" s="4" t="s">
        <v>48</v>
      </c>
      <c r="L2029" s="6">
        <v>4.202</v>
      </c>
      <c r="M2029" s="6">
        <v>0.23799999999999999</v>
      </c>
      <c r="N2029" s="6">
        <v>4.2096999999999998</v>
      </c>
      <c r="O2029" s="6">
        <v>1</v>
      </c>
      <c r="P2029" s="5">
        <v>1429.803605999914</v>
      </c>
      <c r="Q2029" s="4" t="s">
        <v>1390</v>
      </c>
    </row>
    <row r="2030" spans="1:17" x14ac:dyDescent="0.3">
      <c r="A2030" s="2" t="s">
        <v>1389</v>
      </c>
      <c r="B2030" s="3">
        <v>156525</v>
      </c>
      <c r="C2030" s="3">
        <v>216726</v>
      </c>
      <c r="D2030" s="4" t="s">
        <v>17</v>
      </c>
      <c r="E2030" s="4" t="s">
        <v>1067</v>
      </c>
      <c r="F2030" s="4" t="s">
        <v>32</v>
      </c>
      <c r="G2030" s="4" t="s">
        <v>20</v>
      </c>
      <c r="H2030" s="5">
        <v>-8580</v>
      </c>
      <c r="I2030" s="4" t="s">
        <v>21</v>
      </c>
      <c r="J2030" s="5">
        <f t="shared" si="31"/>
        <v>36199.020000000004</v>
      </c>
      <c r="K2030" s="4" t="s">
        <v>48</v>
      </c>
      <c r="L2030" s="6">
        <v>4.2190000000000003</v>
      </c>
      <c r="M2030" s="6">
        <v>0.23699999999999999</v>
      </c>
      <c r="N2030" s="6">
        <v>4.2096999999999998</v>
      </c>
      <c r="O2030" s="6">
        <v>1</v>
      </c>
      <c r="P2030" s="5">
        <v>79.793999999999997</v>
      </c>
      <c r="Q2030" s="4" t="s">
        <v>1390</v>
      </c>
    </row>
    <row r="2031" spans="1:17" x14ac:dyDescent="0.3">
      <c r="A2031" s="2" t="s">
        <v>1389</v>
      </c>
      <c r="B2031" s="3">
        <v>156526</v>
      </c>
      <c r="C2031" s="3">
        <v>216727</v>
      </c>
      <c r="D2031" s="4" t="s">
        <v>17</v>
      </c>
      <c r="E2031" s="4" t="s">
        <v>1236</v>
      </c>
      <c r="F2031" s="4" t="s">
        <v>32</v>
      </c>
      <c r="G2031" s="4" t="s">
        <v>20</v>
      </c>
      <c r="H2031" s="5">
        <v>-30000</v>
      </c>
      <c r="I2031" s="4" t="s">
        <v>21</v>
      </c>
      <c r="J2031" s="5">
        <f t="shared" si="31"/>
        <v>126480</v>
      </c>
      <c r="K2031" s="4" t="s">
        <v>48</v>
      </c>
      <c r="L2031" s="6">
        <v>4.2160000000000002</v>
      </c>
      <c r="M2031" s="6">
        <v>0.23719999999999999</v>
      </c>
      <c r="N2031" s="6">
        <v>4.2096999999999998</v>
      </c>
      <c r="O2031" s="6">
        <v>1</v>
      </c>
      <c r="P2031" s="5">
        <v>189</v>
      </c>
      <c r="Q2031" s="4" t="s">
        <v>1390</v>
      </c>
    </row>
    <row r="2032" spans="1:17" x14ac:dyDescent="0.3">
      <c r="A2032" s="2" t="s">
        <v>1389</v>
      </c>
      <c r="B2032" s="3">
        <v>156527</v>
      </c>
      <c r="C2032" s="3">
        <v>896569</v>
      </c>
      <c r="D2032" s="4" t="s">
        <v>81</v>
      </c>
      <c r="E2032" s="4" t="s">
        <v>730</v>
      </c>
      <c r="F2032" s="4" t="s">
        <v>87</v>
      </c>
      <c r="G2032" s="4" t="s">
        <v>20</v>
      </c>
      <c r="H2032" s="5">
        <v>100000</v>
      </c>
      <c r="I2032" s="4" t="s">
        <v>74</v>
      </c>
      <c r="J2032" s="5">
        <f t="shared" si="31"/>
        <v>-1175890</v>
      </c>
      <c r="K2032" s="4" t="s">
        <v>35</v>
      </c>
      <c r="L2032" s="6">
        <v>11.758900000000001</v>
      </c>
      <c r="M2032" s="6">
        <v>8.5000000000000006E-2</v>
      </c>
      <c r="N2032" s="6">
        <v>4.2110000000000003</v>
      </c>
      <c r="O2032" s="6">
        <v>0.35849999999999999</v>
      </c>
      <c r="P2032" s="5">
        <v>-457.28199999999998</v>
      </c>
      <c r="Q2032" s="4" t="s">
        <v>1396</v>
      </c>
    </row>
    <row r="2033" spans="1:17" x14ac:dyDescent="0.3">
      <c r="A2033" s="2" t="s">
        <v>1389</v>
      </c>
      <c r="B2033" s="3">
        <v>156528</v>
      </c>
      <c r="C2033" s="3">
        <v>896582</v>
      </c>
      <c r="D2033" s="4" t="s">
        <v>81</v>
      </c>
      <c r="E2033" s="4" t="s">
        <v>734</v>
      </c>
      <c r="F2033" s="4" t="s">
        <v>87</v>
      </c>
      <c r="G2033" s="4" t="s">
        <v>20</v>
      </c>
      <c r="H2033" s="5">
        <v>100000</v>
      </c>
      <c r="I2033" s="4" t="s">
        <v>91</v>
      </c>
      <c r="J2033" s="5">
        <f t="shared" si="31"/>
        <v>-86610</v>
      </c>
      <c r="K2033" s="4" t="s">
        <v>35</v>
      </c>
      <c r="L2033" s="6">
        <v>0.86609999999999998</v>
      </c>
      <c r="M2033" s="6">
        <v>1.1546000000000001</v>
      </c>
      <c r="N2033" s="6">
        <v>4.2110000000000003</v>
      </c>
      <c r="O2033" s="6">
        <v>4.8631000000000002</v>
      </c>
      <c r="P2033" s="5">
        <v>-78.5017</v>
      </c>
      <c r="Q2033" s="4" t="s">
        <v>1393</v>
      </c>
    </row>
    <row r="2034" spans="1:17" x14ac:dyDescent="0.3">
      <c r="A2034" s="2" t="s">
        <v>1389</v>
      </c>
      <c r="B2034" s="3">
        <v>156530</v>
      </c>
      <c r="C2034" s="3">
        <v>896597</v>
      </c>
      <c r="D2034" s="4" t="s">
        <v>81</v>
      </c>
      <c r="E2034" s="4" t="s">
        <v>735</v>
      </c>
      <c r="F2034" s="4" t="s">
        <v>87</v>
      </c>
      <c r="G2034" s="4" t="s">
        <v>34</v>
      </c>
      <c r="H2034" s="5">
        <v>500000</v>
      </c>
      <c r="I2034" s="4" t="s">
        <v>21</v>
      </c>
      <c r="J2034" s="5">
        <f t="shared" si="31"/>
        <v>-1804650</v>
      </c>
      <c r="K2034" s="4" t="s">
        <v>35</v>
      </c>
      <c r="L2034" s="6">
        <v>3.6093000000000002</v>
      </c>
      <c r="M2034" s="6">
        <v>0.27710000000000001</v>
      </c>
      <c r="N2034" s="6">
        <v>3.6139999999999999</v>
      </c>
      <c r="O2034" s="6">
        <v>1</v>
      </c>
      <c r="P2034" s="5">
        <v>2350</v>
      </c>
      <c r="Q2034" s="4" t="s">
        <v>1394</v>
      </c>
    </row>
    <row r="2035" spans="1:17" x14ac:dyDescent="0.3">
      <c r="A2035" s="2" t="s">
        <v>1389</v>
      </c>
      <c r="B2035" s="3">
        <v>156531</v>
      </c>
      <c r="C2035" s="3">
        <v>216744</v>
      </c>
      <c r="D2035" s="4" t="s">
        <v>17</v>
      </c>
      <c r="E2035" s="4" t="s">
        <v>952</v>
      </c>
      <c r="F2035" s="4" t="s">
        <v>32</v>
      </c>
      <c r="G2035" s="4" t="s">
        <v>20</v>
      </c>
      <c r="H2035" s="5">
        <v>-23741.69</v>
      </c>
      <c r="I2035" s="4" t="s">
        <v>21</v>
      </c>
      <c r="J2035" s="5">
        <f t="shared" si="31"/>
        <v>102445.39235000001</v>
      </c>
      <c r="K2035" s="4" t="s">
        <v>48</v>
      </c>
      <c r="L2035" s="6">
        <v>4.3150000000000004</v>
      </c>
      <c r="M2035" s="6">
        <v>0.23169999999999999</v>
      </c>
      <c r="N2035" s="6">
        <v>4.2096999999999998</v>
      </c>
      <c r="O2035" s="6">
        <v>1</v>
      </c>
      <c r="P2035" s="5">
        <v>54.607607000000002</v>
      </c>
      <c r="Q2035" s="4" t="s">
        <v>1390</v>
      </c>
    </row>
    <row r="2036" spans="1:17" x14ac:dyDescent="0.3">
      <c r="A2036" s="2" t="s">
        <v>1389</v>
      </c>
      <c r="B2036" s="3">
        <v>156532</v>
      </c>
      <c r="C2036" s="3">
        <v>216746</v>
      </c>
      <c r="D2036" s="4" t="s">
        <v>17</v>
      </c>
      <c r="E2036" s="4" t="s">
        <v>1188</v>
      </c>
      <c r="F2036" s="4" t="s">
        <v>19</v>
      </c>
      <c r="G2036" s="4" t="s">
        <v>20</v>
      </c>
      <c r="H2036" s="5">
        <v>4000</v>
      </c>
      <c r="I2036" s="4" t="s">
        <v>21</v>
      </c>
      <c r="J2036" s="5">
        <f t="shared" si="31"/>
        <v>-16825.600000000002</v>
      </c>
      <c r="K2036" s="4" t="s">
        <v>48</v>
      </c>
      <c r="L2036" s="6">
        <v>4.2064000000000004</v>
      </c>
      <c r="M2036" s="6">
        <v>0.23769999999999999</v>
      </c>
      <c r="N2036" s="6">
        <v>4.2096999999999998</v>
      </c>
      <c r="O2036" s="6">
        <v>1</v>
      </c>
      <c r="P2036" s="5">
        <v>13.19999999999709</v>
      </c>
      <c r="Q2036" s="4" t="s">
        <v>1390</v>
      </c>
    </row>
    <row r="2037" spans="1:17" x14ac:dyDescent="0.3">
      <c r="A2037" s="2" t="s">
        <v>1389</v>
      </c>
      <c r="B2037" s="3">
        <v>156540</v>
      </c>
      <c r="C2037" s="3">
        <v>216747</v>
      </c>
      <c r="D2037" s="4" t="s">
        <v>17</v>
      </c>
      <c r="E2037" s="4" t="s">
        <v>1381</v>
      </c>
      <c r="F2037" s="4" t="s">
        <v>19</v>
      </c>
      <c r="G2037" s="4" t="s">
        <v>20</v>
      </c>
      <c r="H2037" s="5">
        <v>140000</v>
      </c>
      <c r="I2037" s="4" t="s">
        <v>21</v>
      </c>
      <c r="J2037" s="5">
        <f t="shared" si="31"/>
        <v>-588070</v>
      </c>
      <c r="K2037" s="4" t="s">
        <v>48</v>
      </c>
      <c r="L2037" s="6">
        <v>4.2004999999999999</v>
      </c>
      <c r="M2037" s="6">
        <v>0.23810000000000001</v>
      </c>
      <c r="N2037" s="6">
        <v>4.2096999999999998</v>
      </c>
      <c r="O2037" s="6">
        <v>1</v>
      </c>
      <c r="P2037" s="5">
        <v>1288</v>
      </c>
      <c r="Q2037" s="4" t="s">
        <v>1390</v>
      </c>
    </row>
    <row r="2038" spans="1:17" x14ac:dyDescent="0.3">
      <c r="A2038" s="2" t="s">
        <v>1389</v>
      </c>
      <c r="B2038" s="3">
        <v>156541</v>
      </c>
      <c r="C2038" s="3">
        <v>216749</v>
      </c>
      <c r="D2038" s="4" t="s">
        <v>17</v>
      </c>
      <c r="E2038" s="4" t="s">
        <v>1344</v>
      </c>
      <c r="F2038" s="4" t="s">
        <v>32</v>
      </c>
      <c r="G2038" s="4" t="s">
        <v>20</v>
      </c>
      <c r="H2038" s="5">
        <v>-200000</v>
      </c>
      <c r="I2038" s="4" t="s">
        <v>21</v>
      </c>
      <c r="J2038" s="5">
        <f t="shared" si="31"/>
        <v>844500</v>
      </c>
      <c r="K2038" s="4" t="s">
        <v>48</v>
      </c>
      <c r="L2038" s="6">
        <v>4.2225000000000001</v>
      </c>
      <c r="M2038" s="6">
        <v>0.23680000000000001</v>
      </c>
      <c r="N2038" s="6">
        <v>4.2096999999999998</v>
      </c>
      <c r="O2038" s="6">
        <v>1</v>
      </c>
      <c r="P2038" s="5">
        <v>2460</v>
      </c>
      <c r="Q2038" s="4" t="s">
        <v>1390</v>
      </c>
    </row>
    <row r="2039" spans="1:17" x14ac:dyDescent="0.3">
      <c r="A2039" s="2" t="s">
        <v>1389</v>
      </c>
      <c r="B2039" s="3">
        <v>156542</v>
      </c>
      <c r="C2039" s="3">
        <v>216751</v>
      </c>
      <c r="D2039" s="4" t="s">
        <v>17</v>
      </c>
      <c r="E2039" s="4" t="s">
        <v>1007</v>
      </c>
      <c r="F2039" s="4" t="s">
        <v>19</v>
      </c>
      <c r="G2039" s="4" t="s">
        <v>20</v>
      </c>
      <c r="H2039" s="5">
        <v>200000</v>
      </c>
      <c r="I2039" s="4" t="s">
        <v>21</v>
      </c>
      <c r="J2039" s="5">
        <f t="shared" si="31"/>
        <v>-841080</v>
      </c>
      <c r="K2039" s="4" t="s">
        <v>48</v>
      </c>
      <c r="L2039" s="6">
        <v>4.2054</v>
      </c>
      <c r="M2039" s="6">
        <v>0.23780000000000001</v>
      </c>
      <c r="N2039" s="6">
        <v>4.2096999999999998</v>
      </c>
      <c r="O2039" s="6">
        <v>1</v>
      </c>
      <c r="P2039" s="5">
        <v>860</v>
      </c>
      <c r="Q2039" s="4" t="s">
        <v>1390</v>
      </c>
    </row>
    <row r="2040" spans="1:17" x14ac:dyDescent="0.3">
      <c r="A2040" s="2" t="s">
        <v>1389</v>
      </c>
      <c r="B2040" s="3">
        <v>156545</v>
      </c>
      <c r="C2040" s="3">
        <v>216755</v>
      </c>
      <c r="D2040" s="4" t="s">
        <v>17</v>
      </c>
      <c r="E2040" s="4" t="s">
        <v>1042</v>
      </c>
      <c r="F2040" s="4" t="s">
        <v>19</v>
      </c>
      <c r="G2040" s="4" t="s">
        <v>20</v>
      </c>
      <c r="H2040" s="5">
        <v>60000</v>
      </c>
      <c r="I2040" s="4" t="s">
        <v>21</v>
      </c>
      <c r="J2040" s="5">
        <f t="shared" si="31"/>
        <v>-252252</v>
      </c>
      <c r="K2040" s="4" t="s">
        <v>55</v>
      </c>
      <c r="L2040" s="6">
        <v>4.2042000000000002</v>
      </c>
      <c r="M2040" s="6">
        <v>0.2379</v>
      </c>
      <c r="N2040" s="6">
        <v>4.2008999999999999</v>
      </c>
      <c r="O2040" s="6">
        <v>1</v>
      </c>
      <c r="P2040" s="5">
        <v>-198</v>
      </c>
      <c r="Q2040" s="4" t="s">
        <v>1390</v>
      </c>
    </row>
    <row r="2041" spans="1:17" x14ac:dyDescent="0.3">
      <c r="A2041" s="2" t="s">
        <v>1389</v>
      </c>
      <c r="B2041" s="3">
        <v>156547</v>
      </c>
      <c r="C2041" s="3">
        <v>216759</v>
      </c>
      <c r="D2041" s="4" t="s">
        <v>17</v>
      </c>
      <c r="E2041" s="4" t="s">
        <v>1092</v>
      </c>
      <c r="F2041" s="4" t="s">
        <v>32</v>
      </c>
      <c r="G2041" s="4" t="s">
        <v>20</v>
      </c>
      <c r="H2041" s="5">
        <v>-5000</v>
      </c>
      <c r="I2041" s="4" t="s">
        <v>21</v>
      </c>
      <c r="J2041" s="5">
        <f t="shared" si="31"/>
        <v>21082.5</v>
      </c>
      <c r="K2041" s="4" t="s">
        <v>48</v>
      </c>
      <c r="L2041" s="6">
        <v>4.2164999999999999</v>
      </c>
      <c r="M2041" s="6">
        <v>0.23719999999999999</v>
      </c>
      <c r="N2041" s="6">
        <v>4.2096999999999998</v>
      </c>
      <c r="O2041" s="6">
        <v>1</v>
      </c>
      <c r="P2041" s="5">
        <v>32</v>
      </c>
      <c r="Q2041" s="4" t="s">
        <v>1390</v>
      </c>
    </row>
    <row r="2042" spans="1:17" x14ac:dyDescent="0.3">
      <c r="A2042" s="2" t="s">
        <v>1389</v>
      </c>
      <c r="B2042" s="3">
        <v>156548</v>
      </c>
      <c r="C2042" s="3">
        <v>216760</v>
      </c>
      <c r="D2042" s="4" t="s">
        <v>17</v>
      </c>
      <c r="E2042" s="4" t="s">
        <v>1042</v>
      </c>
      <c r="F2042" s="4" t="s">
        <v>19</v>
      </c>
      <c r="G2042" s="4" t="s">
        <v>20</v>
      </c>
      <c r="H2042" s="5">
        <v>50000</v>
      </c>
      <c r="I2042" s="4" t="s">
        <v>21</v>
      </c>
      <c r="J2042" s="5">
        <f t="shared" si="31"/>
        <v>-210205.00000000003</v>
      </c>
      <c r="K2042" s="4" t="s">
        <v>27</v>
      </c>
      <c r="L2042" s="6">
        <v>4.2041000000000004</v>
      </c>
      <c r="M2042" s="6">
        <v>0.2379</v>
      </c>
      <c r="N2042" s="6">
        <v>4.2072000000000003</v>
      </c>
      <c r="O2042" s="6">
        <v>1</v>
      </c>
      <c r="P2042" s="5">
        <v>154.9999999999709</v>
      </c>
      <c r="Q2042" s="4" t="s">
        <v>1390</v>
      </c>
    </row>
    <row r="2043" spans="1:17" x14ac:dyDescent="0.3">
      <c r="A2043" s="2" t="s">
        <v>1389</v>
      </c>
      <c r="B2043" s="3">
        <v>156550</v>
      </c>
      <c r="C2043" s="3">
        <v>896667</v>
      </c>
      <c r="D2043" s="4" t="s">
        <v>81</v>
      </c>
      <c r="E2043" s="4" t="s">
        <v>735</v>
      </c>
      <c r="F2043" s="4" t="s">
        <v>83</v>
      </c>
      <c r="G2043" s="4" t="s">
        <v>20</v>
      </c>
      <c r="H2043" s="5">
        <v>-500000</v>
      </c>
      <c r="I2043" s="4" t="s">
        <v>21</v>
      </c>
      <c r="J2043" s="5">
        <f t="shared" si="31"/>
        <v>2105400</v>
      </c>
      <c r="K2043" s="4" t="s">
        <v>35</v>
      </c>
      <c r="L2043" s="6">
        <v>4.2107999999999999</v>
      </c>
      <c r="M2043" s="6">
        <v>0.23749999999999999</v>
      </c>
      <c r="N2043" s="6">
        <v>4.2110000000000003</v>
      </c>
      <c r="O2043" s="6">
        <v>1</v>
      </c>
      <c r="P2043" s="5">
        <v>-100</v>
      </c>
      <c r="Q2043" s="4" t="s">
        <v>1394</v>
      </c>
    </row>
    <row r="2044" spans="1:17" x14ac:dyDescent="0.3">
      <c r="A2044" s="2" t="s">
        <v>1389</v>
      </c>
      <c r="B2044" s="3">
        <v>156551</v>
      </c>
      <c r="C2044" s="3">
        <v>216762</v>
      </c>
      <c r="D2044" s="4" t="s">
        <v>17</v>
      </c>
      <c r="E2044" s="4" t="s">
        <v>849</v>
      </c>
      <c r="F2044" s="4" t="s">
        <v>32</v>
      </c>
      <c r="G2044" s="4" t="s">
        <v>20</v>
      </c>
      <c r="H2044" s="5">
        <v>-60000</v>
      </c>
      <c r="I2044" s="4" t="s">
        <v>21</v>
      </c>
      <c r="J2044" s="5">
        <f t="shared" si="31"/>
        <v>253140.00000000003</v>
      </c>
      <c r="K2044" s="4" t="s">
        <v>48</v>
      </c>
      <c r="L2044" s="6">
        <v>4.2190000000000003</v>
      </c>
      <c r="M2044" s="6">
        <v>0.23699999999999999</v>
      </c>
      <c r="N2044" s="6">
        <v>4.2096999999999998</v>
      </c>
      <c r="O2044" s="6">
        <v>1</v>
      </c>
      <c r="P2044" s="5">
        <v>558</v>
      </c>
      <c r="Q2044" s="4" t="s">
        <v>1390</v>
      </c>
    </row>
    <row r="2045" spans="1:17" x14ac:dyDescent="0.3">
      <c r="A2045" s="2" t="s">
        <v>1389</v>
      </c>
      <c r="B2045" s="3">
        <v>156553</v>
      </c>
      <c r="C2045" s="3">
        <v>216767</v>
      </c>
      <c r="D2045" s="4" t="s">
        <v>17</v>
      </c>
      <c r="E2045" s="4" t="s">
        <v>1042</v>
      </c>
      <c r="F2045" s="4" t="s">
        <v>19</v>
      </c>
      <c r="G2045" s="4" t="s">
        <v>20</v>
      </c>
      <c r="H2045" s="5">
        <v>104677.35</v>
      </c>
      <c r="I2045" s="4" t="s">
        <v>21</v>
      </c>
      <c r="J2045" s="5">
        <f t="shared" si="31"/>
        <v>-440063.57939999999</v>
      </c>
      <c r="K2045" s="4" t="s">
        <v>48</v>
      </c>
      <c r="L2045" s="6">
        <v>4.2039999999999997</v>
      </c>
      <c r="M2045" s="6">
        <v>0.2379</v>
      </c>
      <c r="N2045" s="6">
        <v>4.2096999999999998</v>
      </c>
      <c r="O2045" s="6">
        <v>1</v>
      </c>
      <c r="P2045" s="5">
        <v>596.66089500003727</v>
      </c>
      <c r="Q2045" s="4" t="s">
        <v>1390</v>
      </c>
    </row>
    <row r="2046" spans="1:17" x14ac:dyDescent="0.3">
      <c r="A2046" s="2" t="s">
        <v>1389</v>
      </c>
      <c r="B2046" s="3">
        <v>156554</v>
      </c>
      <c r="C2046" s="3">
        <v>216771</v>
      </c>
      <c r="D2046" s="4" t="s">
        <v>17</v>
      </c>
      <c r="E2046" s="4" t="s">
        <v>1070</v>
      </c>
      <c r="F2046" s="4" t="s">
        <v>32</v>
      </c>
      <c r="G2046" s="4" t="s">
        <v>34</v>
      </c>
      <c r="H2046" s="5">
        <v>-50000</v>
      </c>
      <c r="I2046" s="4" t="s">
        <v>21</v>
      </c>
      <c r="J2046" s="5">
        <f t="shared" si="31"/>
        <v>180660</v>
      </c>
      <c r="K2046" s="4" t="s">
        <v>48</v>
      </c>
      <c r="L2046" s="6">
        <v>3.6132</v>
      </c>
      <c r="M2046" s="6">
        <v>0.27679999999999999</v>
      </c>
      <c r="N2046" s="6">
        <v>3.6036999999999999</v>
      </c>
      <c r="O2046" s="6">
        <v>1</v>
      </c>
      <c r="P2046" s="5">
        <v>475</v>
      </c>
      <c r="Q2046" s="4" t="s">
        <v>1390</v>
      </c>
    </row>
    <row r="2047" spans="1:17" x14ac:dyDescent="0.3">
      <c r="A2047" s="2" t="s">
        <v>1389</v>
      </c>
      <c r="B2047" s="3">
        <v>156558</v>
      </c>
      <c r="C2047" s="3">
        <v>216775</v>
      </c>
      <c r="D2047" s="4" t="s">
        <v>17</v>
      </c>
      <c r="E2047" s="4" t="s">
        <v>1139</v>
      </c>
      <c r="F2047" s="4" t="s">
        <v>19</v>
      </c>
      <c r="G2047" s="4" t="s">
        <v>34</v>
      </c>
      <c r="H2047" s="5">
        <v>21000</v>
      </c>
      <c r="I2047" s="4" t="s">
        <v>21</v>
      </c>
      <c r="J2047" s="5">
        <f t="shared" si="31"/>
        <v>-75537</v>
      </c>
      <c r="K2047" s="4" t="s">
        <v>48</v>
      </c>
      <c r="L2047" s="6">
        <v>3.597</v>
      </c>
      <c r="M2047" s="6">
        <v>0.27800000000000002</v>
      </c>
      <c r="N2047" s="6">
        <v>3.6036999999999999</v>
      </c>
      <c r="O2047" s="6">
        <v>1</v>
      </c>
      <c r="P2047" s="5">
        <v>140.69999999999709</v>
      </c>
      <c r="Q2047" s="4" t="s">
        <v>1390</v>
      </c>
    </row>
    <row r="2048" spans="1:17" x14ac:dyDescent="0.3">
      <c r="A2048" s="2" t="s">
        <v>1389</v>
      </c>
      <c r="B2048" s="3">
        <v>156560</v>
      </c>
      <c r="C2048" s="3">
        <v>216776</v>
      </c>
      <c r="D2048" s="4" t="s">
        <v>17</v>
      </c>
      <c r="E2048" s="4" t="s">
        <v>1139</v>
      </c>
      <c r="F2048" s="4" t="s">
        <v>19</v>
      </c>
      <c r="G2048" s="4" t="s">
        <v>453</v>
      </c>
      <c r="H2048" s="5">
        <v>79000</v>
      </c>
      <c r="I2048" s="4" t="s">
        <v>21</v>
      </c>
      <c r="J2048" s="5">
        <f t="shared" si="31"/>
        <v>-204452</v>
      </c>
      <c r="K2048" s="4" t="s">
        <v>48</v>
      </c>
      <c r="L2048" s="6">
        <v>2.5880000000000001</v>
      </c>
      <c r="M2048" s="6">
        <v>0.38640000000000002</v>
      </c>
      <c r="N2048" s="6">
        <v>2.5962999999999998</v>
      </c>
      <c r="O2048" s="6">
        <v>1</v>
      </c>
      <c r="P2048" s="5">
        <v>655.69999999998254</v>
      </c>
      <c r="Q2048" s="4" t="s">
        <v>1390</v>
      </c>
    </row>
    <row r="2049" spans="1:17" x14ac:dyDescent="0.3">
      <c r="A2049" s="2" t="s">
        <v>1389</v>
      </c>
      <c r="B2049" s="3">
        <v>156561</v>
      </c>
      <c r="C2049" s="3">
        <v>896719</v>
      </c>
      <c r="D2049" s="4" t="s">
        <v>81</v>
      </c>
      <c r="E2049" s="4" t="s">
        <v>1327</v>
      </c>
      <c r="F2049" s="4" t="s">
        <v>83</v>
      </c>
      <c r="G2049" s="4" t="s">
        <v>20</v>
      </c>
      <c r="H2049" s="5">
        <v>-5000</v>
      </c>
      <c r="I2049" s="4" t="s">
        <v>21</v>
      </c>
      <c r="J2049" s="5">
        <f t="shared" si="31"/>
        <v>21087.5</v>
      </c>
      <c r="K2049" s="4" t="s">
        <v>35</v>
      </c>
      <c r="L2049" s="6">
        <v>4.2175000000000002</v>
      </c>
      <c r="M2049" s="6">
        <v>0.23710000000000001</v>
      </c>
      <c r="N2049" s="6">
        <v>4.2110000000000003</v>
      </c>
      <c r="O2049" s="6">
        <v>1</v>
      </c>
      <c r="P2049" s="5">
        <v>32.5</v>
      </c>
      <c r="Q2049" s="4" t="s">
        <v>1390</v>
      </c>
    </row>
    <row r="2050" spans="1:17" x14ac:dyDescent="0.3">
      <c r="A2050" s="2" t="s">
        <v>1389</v>
      </c>
      <c r="B2050" s="3">
        <v>156562</v>
      </c>
      <c r="C2050" s="3">
        <v>216780</v>
      </c>
      <c r="D2050" s="4" t="s">
        <v>17</v>
      </c>
      <c r="E2050" s="4" t="s">
        <v>1143</v>
      </c>
      <c r="F2050" s="4" t="s">
        <v>32</v>
      </c>
      <c r="G2050" s="4" t="s">
        <v>20</v>
      </c>
      <c r="H2050" s="5">
        <v>-100000</v>
      </c>
      <c r="I2050" s="4" t="s">
        <v>21</v>
      </c>
      <c r="J2050" s="5">
        <f t="shared" si="31"/>
        <v>421590.00000000006</v>
      </c>
      <c r="K2050" s="4" t="s">
        <v>48</v>
      </c>
      <c r="L2050" s="6">
        <v>4.2159000000000004</v>
      </c>
      <c r="M2050" s="6">
        <v>0.23719999999999999</v>
      </c>
      <c r="N2050" s="6">
        <v>4.2096999999999998</v>
      </c>
      <c r="O2050" s="6">
        <v>1</v>
      </c>
      <c r="P2050" s="5">
        <v>580</v>
      </c>
      <c r="Q2050" s="4" t="s">
        <v>1390</v>
      </c>
    </row>
    <row r="2051" spans="1:17" x14ac:dyDescent="0.3">
      <c r="A2051" s="2" t="s">
        <v>1389</v>
      </c>
      <c r="B2051" s="3">
        <v>156563</v>
      </c>
      <c r="C2051" s="3">
        <v>216782</v>
      </c>
      <c r="D2051" s="4" t="s">
        <v>17</v>
      </c>
      <c r="E2051" s="4" t="s">
        <v>1231</v>
      </c>
      <c r="F2051" s="4" t="s">
        <v>19</v>
      </c>
      <c r="G2051" s="4" t="s">
        <v>20</v>
      </c>
      <c r="H2051" s="5">
        <v>70000</v>
      </c>
      <c r="I2051" s="4" t="s">
        <v>21</v>
      </c>
      <c r="J2051" s="5">
        <f t="shared" si="31"/>
        <v>-294070</v>
      </c>
      <c r="K2051" s="4" t="s">
        <v>48</v>
      </c>
      <c r="L2051" s="6">
        <v>4.2009999999999996</v>
      </c>
      <c r="M2051" s="6">
        <v>0.23799999999999999</v>
      </c>
      <c r="N2051" s="6">
        <v>4.2096999999999998</v>
      </c>
      <c r="O2051" s="6">
        <v>1</v>
      </c>
      <c r="P2051" s="5">
        <v>609</v>
      </c>
      <c r="Q2051" s="4" t="s">
        <v>1390</v>
      </c>
    </row>
    <row r="2052" spans="1:17" x14ac:dyDescent="0.3">
      <c r="A2052" s="2" t="s">
        <v>1389</v>
      </c>
      <c r="B2052" s="3">
        <v>156564</v>
      </c>
      <c r="C2052" s="3">
        <v>216784</v>
      </c>
      <c r="D2052" s="4" t="s">
        <v>17</v>
      </c>
      <c r="E2052" s="4" t="s">
        <v>1323</v>
      </c>
      <c r="F2052" s="4" t="s">
        <v>32</v>
      </c>
      <c r="G2052" s="4" t="s">
        <v>20</v>
      </c>
      <c r="H2052" s="5">
        <v>-10500</v>
      </c>
      <c r="I2052" s="4" t="s">
        <v>21</v>
      </c>
      <c r="J2052" s="5">
        <f t="shared" ref="J2052:J2115" si="32">-H2052*L2052</f>
        <v>44257.5</v>
      </c>
      <c r="K2052" s="4" t="s">
        <v>48</v>
      </c>
      <c r="L2052" s="6">
        <v>4.2149999999999999</v>
      </c>
      <c r="M2052" s="6">
        <v>0.23719999999999999</v>
      </c>
      <c r="N2052" s="6">
        <v>4.2096999999999998</v>
      </c>
      <c r="O2052" s="6">
        <v>1</v>
      </c>
      <c r="P2052" s="5">
        <v>55.65</v>
      </c>
      <c r="Q2052" s="4" t="s">
        <v>1390</v>
      </c>
    </row>
    <row r="2053" spans="1:17" x14ac:dyDescent="0.3">
      <c r="A2053" s="2" t="s">
        <v>1389</v>
      </c>
      <c r="B2053" s="3">
        <v>156565</v>
      </c>
      <c r="C2053" s="3">
        <v>216786</v>
      </c>
      <c r="D2053" s="4" t="s">
        <v>17</v>
      </c>
      <c r="E2053" s="4" t="s">
        <v>1387</v>
      </c>
      <c r="F2053" s="4" t="s">
        <v>19</v>
      </c>
      <c r="G2053" s="4" t="s">
        <v>20</v>
      </c>
      <c r="H2053" s="5">
        <v>21297.05</v>
      </c>
      <c r="I2053" s="4" t="s">
        <v>21</v>
      </c>
      <c r="J2053" s="5">
        <f t="shared" si="32"/>
        <v>-88925.832275000008</v>
      </c>
      <c r="K2053" s="4" t="s">
        <v>48</v>
      </c>
      <c r="L2053" s="6">
        <v>4.1755000000000004</v>
      </c>
      <c r="M2053" s="6">
        <v>0.23949999999999999</v>
      </c>
      <c r="N2053" s="6">
        <v>4.2096999999999998</v>
      </c>
      <c r="O2053" s="6">
        <v>1</v>
      </c>
      <c r="P2053" s="5">
        <v>728.35910999999032</v>
      </c>
      <c r="Q2053" s="4" t="s">
        <v>1390</v>
      </c>
    </row>
    <row r="2054" spans="1:17" x14ac:dyDescent="0.3">
      <c r="A2054" s="2" t="s">
        <v>1389</v>
      </c>
      <c r="B2054" s="3">
        <v>156566</v>
      </c>
      <c r="C2054" s="3">
        <v>216787</v>
      </c>
      <c r="D2054" s="4" t="s">
        <v>17</v>
      </c>
      <c r="E2054" s="4" t="s">
        <v>1387</v>
      </c>
      <c r="F2054" s="4" t="s">
        <v>19</v>
      </c>
      <c r="G2054" s="4" t="s">
        <v>20</v>
      </c>
      <c r="H2054" s="5">
        <v>9002.26</v>
      </c>
      <c r="I2054" s="4" t="s">
        <v>21</v>
      </c>
      <c r="J2054" s="5">
        <f t="shared" si="32"/>
        <v>-37588.936630000004</v>
      </c>
      <c r="K2054" s="4" t="s">
        <v>48</v>
      </c>
      <c r="L2054" s="6">
        <v>4.1755000000000004</v>
      </c>
      <c r="M2054" s="6">
        <v>0.23949999999999999</v>
      </c>
      <c r="N2054" s="6">
        <v>4.2096999999999998</v>
      </c>
      <c r="O2054" s="6">
        <v>1</v>
      </c>
      <c r="P2054" s="5">
        <v>307.8772919999974</v>
      </c>
      <c r="Q2054" s="4" t="s">
        <v>1390</v>
      </c>
    </row>
    <row r="2055" spans="1:17" x14ac:dyDescent="0.3">
      <c r="A2055" s="2" t="s">
        <v>1389</v>
      </c>
      <c r="B2055" s="3">
        <v>156567</v>
      </c>
      <c r="C2055" s="3">
        <v>216789</v>
      </c>
      <c r="D2055" s="4" t="s">
        <v>17</v>
      </c>
      <c r="E2055" s="4" t="s">
        <v>1387</v>
      </c>
      <c r="F2055" s="4" t="s">
        <v>19</v>
      </c>
      <c r="G2055" s="4" t="s">
        <v>20</v>
      </c>
      <c r="H2055" s="5">
        <v>5883.79</v>
      </c>
      <c r="I2055" s="4" t="s">
        <v>21</v>
      </c>
      <c r="J2055" s="5">
        <f t="shared" si="32"/>
        <v>-24567.765145000001</v>
      </c>
      <c r="K2055" s="4" t="s">
        <v>48</v>
      </c>
      <c r="L2055" s="6">
        <v>4.1755000000000004</v>
      </c>
      <c r="M2055" s="6">
        <v>0.23949999999999999</v>
      </c>
      <c r="N2055" s="6">
        <v>4.2096999999999998</v>
      </c>
      <c r="O2055" s="6">
        <v>1</v>
      </c>
      <c r="P2055" s="5">
        <v>201.22561799999676</v>
      </c>
      <c r="Q2055" s="4" t="s">
        <v>1390</v>
      </c>
    </row>
    <row r="2056" spans="1:17" x14ac:dyDescent="0.3">
      <c r="A2056" s="2" t="s">
        <v>1389</v>
      </c>
      <c r="B2056" s="3">
        <v>156568</v>
      </c>
      <c r="C2056" s="3">
        <v>216791</v>
      </c>
      <c r="D2056" s="4" t="s">
        <v>17</v>
      </c>
      <c r="E2056" s="4" t="s">
        <v>1387</v>
      </c>
      <c r="F2056" s="4" t="s">
        <v>19</v>
      </c>
      <c r="G2056" s="4" t="s">
        <v>20</v>
      </c>
      <c r="H2056" s="5">
        <v>3900.22</v>
      </c>
      <c r="I2056" s="4" t="s">
        <v>21</v>
      </c>
      <c r="J2056" s="5">
        <f t="shared" si="32"/>
        <v>-16285.368610000001</v>
      </c>
      <c r="K2056" s="4" t="s">
        <v>48</v>
      </c>
      <c r="L2056" s="6">
        <v>4.1755000000000004</v>
      </c>
      <c r="M2056" s="6">
        <v>0.23949999999999999</v>
      </c>
      <c r="N2056" s="6">
        <v>4.2096999999999998</v>
      </c>
      <c r="O2056" s="6">
        <v>1</v>
      </c>
      <c r="P2056" s="5">
        <v>133.38752399999794</v>
      </c>
      <c r="Q2056" s="4" t="s">
        <v>1390</v>
      </c>
    </row>
    <row r="2057" spans="1:17" x14ac:dyDescent="0.3">
      <c r="A2057" s="2" t="s">
        <v>1389</v>
      </c>
      <c r="B2057" s="3">
        <v>156569</v>
      </c>
      <c r="C2057" s="3">
        <v>216792</v>
      </c>
      <c r="D2057" s="4" t="s">
        <v>17</v>
      </c>
      <c r="E2057" s="4" t="s">
        <v>1387</v>
      </c>
      <c r="F2057" s="4" t="s">
        <v>19</v>
      </c>
      <c r="G2057" s="4" t="s">
        <v>20</v>
      </c>
      <c r="H2057" s="5">
        <v>2171.36</v>
      </c>
      <c r="I2057" s="4" t="s">
        <v>21</v>
      </c>
      <c r="J2057" s="5">
        <f t="shared" si="32"/>
        <v>-9066.5136800000018</v>
      </c>
      <c r="K2057" s="4" t="s">
        <v>48</v>
      </c>
      <c r="L2057" s="6">
        <v>4.1755000000000004</v>
      </c>
      <c r="M2057" s="6">
        <v>0.23949999999999999</v>
      </c>
      <c r="N2057" s="6">
        <v>4.2096999999999998</v>
      </c>
      <c r="O2057" s="6">
        <v>1</v>
      </c>
      <c r="P2057" s="5">
        <v>74.260511999998926</v>
      </c>
      <c r="Q2057" s="4" t="s">
        <v>1390</v>
      </c>
    </row>
    <row r="2058" spans="1:17" x14ac:dyDescent="0.3">
      <c r="A2058" s="2" t="s">
        <v>1389</v>
      </c>
      <c r="B2058" s="3">
        <v>156570</v>
      </c>
      <c r="C2058" s="3">
        <v>216793</v>
      </c>
      <c r="D2058" s="4" t="s">
        <v>17</v>
      </c>
      <c r="E2058" s="4" t="s">
        <v>1387</v>
      </c>
      <c r="F2058" s="4" t="s">
        <v>19</v>
      </c>
      <c r="G2058" s="4" t="s">
        <v>20</v>
      </c>
      <c r="H2058" s="5">
        <v>1171.45</v>
      </c>
      <c r="I2058" s="4" t="s">
        <v>21</v>
      </c>
      <c r="J2058" s="5">
        <f t="shared" si="32"/>
        <v>-4891.3894750000009</v>
      </c>
      <c r="K2058" s="4" t="s">
        <v>48</v>
      </c>
      <c r="L2058" s="6">
        <v>4.1755000000000004</v>
      </c>
      <c r="M2058" s="6">
        <v>0.23949999999999999</v>
      </c>
      <c r="N2058" s="6">
        <v>4.2096999999999998</v>
      </c>
      <c r="O2058" s="6">
        <v>1</v>
      </c>
      <c r="P2058" s="5">
        <v>40.06358999999884</v>
      </c>
      <c r="Q2058" s="4" t="s">
        <v>1390</v>
      </c>
    </row>
    <row r="2059" spans="1:17" x14ac:dyDescent="0.3">
      <c r="A2059" s="2" t="s">
        <v>1389</v>
      </c>
      <c r="B2059" s="3">
        <v>156571</v>
      </c>
      <c r="C2059" s="3">
        <v>216797</v>
      </c>
      <c r="D2059" s="4" t="s">
        <v>17</v>
      </c>
      <c r="E2059" s="4" t="s">
        <v>1047</v>
      </c>
      <c r="F2059" s="4" t="s">
        <v>32</v>
      </c>
      <c r="G2059" s="4" t="s">
        <v>84</v>
      </c>
      <c r="H2059" s="5">
        <v>-214000</v>
      </c>
      <c r="I2059" s="4" t="s">
        <v>21</v>
      </c>
      <c r="J2059" s="5">
        <f t="shared" si="32"/>
        <v>84465.8</v>
      </c>
      <c r="K2059" s="4" t="s">
        <v>48</v>
      </c>
      <c r="L2059" s="6">
        <v>0.3947</v>
      </c>
      <c r="M2059" s="6">
        <v>2.5335999999999999</v>
      </c>
      <c r="N2059" s="6">
        <v>0.39279999999999998</v>
      </c>
      <c r="O2059" s="6">
        <v>1</v>
      </c>
      <c r="P2059" s="5">
        <v>406.6</v>
      </c>
      <c r="Q2059" s="4" t="s">
        <v>1390</v>
      </c>
    </row>
    <row r="2060" spans="1:17" x14ac:dyDescent="0.3">
      <c r="A2060" s="2" t="s">
        <v>1389</v>
      </c>
      <c r="B2060" s="3">
        <v>156572</v>
      </c>
      <c r="C2060" s="3">
        <v>896795</v>
      </c>
      <c r="D2060" s="4" t="s">
        <v>81</v>
      </c>
      <c r="E2060" s="4" t="s">
        <v>743</v>
      </c>
      <c r="F2060" s="4" t="s">
        <v>83</v>
      </c>
      <c r="G2060" s="4" t="s">
        <v>20</v>
      </c>
      <c r="H2060" s="5">
        <v>-500000</v>
      </c>
      <c r="I2060" s="4" t="s">
        <v>21</v>
      </c>
      <c r="J2060" s="5">
        <f t="shared" si="32"/>
        <v>2105750</v>
      </c>
      <c r="K2060" s="4" t="s">
        <v>35</v>
      </c>
      <c r="L2060" s="6">
        <v>4.2115</v>
      </c>
      <c r="M2060" s="6">
        <v>0.2374</v>
      </c>
      <c r="N2060" s="6">
        <v>4.2110000000000003</v>
      </c>
      <c r="O2060" s="6">
        <v>1</v>
      </c>
      <c r="P2060" s="5">
        <v>255</v>
      </c>
      <c r="Q2060" s="4" t="s">
        <v>1395</v>
      </c>
    </row>
    <row r="2061" spans="1:17" x14ac:dyDescent="0.3">
      <c r="A2061" s="2" t="s">
        <v>1389</v>
      </c>
      <c r="B2061" s="3">
        <v>156573</v>
      </c>
      <c r="C2061" s="3">
        <v>896806</v>
      </c>
      <c r="D2061" s="4" t="s">
        <v>81</v>
      </c>
      <c r="E2061" s="4" t="s">
        <v>730</v>
      </c>
      <c r="F2061" s="4" t="s">
        <v>87</v>
      </c>
      <c r="G2061" s="4" t="s">
        <v>20</v>
      </c>
      <c r="H2061" s="5">
        <v>100000</v>
      </c>
      <c r="I2061" s="4" t="s">
        <v>101</v>
      </c>
      <c r="J2061" s="5">
        <f t="shared" si="32"/>
        <v>-2425690</v>
      </c>
      <c r="K2061" s="4" t="s">
        <v>35</v>
      </c>
      <c r="L2061" s="6">
        <v>24.256900000000002</v>
      </c>
      <c r="M2061" s="6">
        <v>4.1200000000000001E-2</v>
      </c>
      <c r="N2061" s="6">
        <v>4.2110000000000003</v>
      </c>
      <c r="O2061" s="6">
        <v>0.1739</v>
      </c>
      <c r="P2061" s="5">
        <v>-727.49099999999999</v>
      </c>
      <c r="Q2061" s="4" t="s">
        <v>1396</v>
      </c>
    </row>
    <row r="2062" spans="1:17" x14ac:dyDescent="0.3">
      <c r="A2062" s="2" t="s">
        <v>1389</v>
      </c>
      <c r="B2062" s="3">
        <v>156574</v>
      </c>
      <c r="C2062" s="3">
        <v>896816</v>
      </c>
      <c r="D2062" s="4" t="s">
        <v>81</v>
      </c>
      <c r="E2062" s="4" t="s">
        <v>734</v>
      </c>
      <c r="F2062" s="4" t="s">
        <v>87</v>
      </c>
      <c r="G2062" s="4" t="s">
        <v>20</v>
      </c>
      <c r="H2062" s="5">
        <v>100000</v>
      </c>
      <c r="I2062" s="4" t="s">
        <v>453</v>
      </c>
      <c r="J2062" s="5">
        <f t="shared" si="32"/>
        <v>-161760</v>
      </c>
      <c r="K2062" s="4" t="s">
        <v>35</v>
      </c>
      <c r="L2062" s="6">
        <v>1.6175999999999999</v>
      </c>
      <c r="M2062" s="6">
        <v>0.61819999999999997</v>
      </c>
      <c r="N2062" s="6">
        <v>4.2110000000000003</v>
      </c>
      <c r="O2062" s="6">
        <v>2.6015999999999999</v>
      </c>
      <c r="P2062" s="5">
        <v>270.38720000000001</v>
      </c>
      <c r="Q2062" s="4" t="s">
        <v>1393</v>
      </c>
    </row>
    <row r="2063" spans="1:17" x14ac:dyDescent="0.3">
      <c r="A2063" s="2" t="s">
        <v>1389</v>
      </c>
      <c r="B2063" s="3">
        <v>156575</v>
      </c>
      <c r="C2063" s="3">
        <v>216803</v>
      </c>
      <c r="D2063" s="4" t="s">
        <v>17</v>
      </c>
      <c r="E2063" s="4" t="s">
        <v>959</v>
      </c>
      <c r="F2063" s="4" t="s">
        <v>32</v>
      </c>
      <c r="G2063" s="4" t="s">
        <v>20</v>
      </c>
      <c r="H2063" s="5">
        <v>-23668.639999999999</v>
      </c>
      <c r="I2063" s="4" t="s">
        <v>21</v>
      </c>
      <c r="J2063" s="5">
        <f t="shared" si="32"/>
        <v>100011.83832000001</v>
      </c>
      <c r="K2063" s="4" t="s">
        <v>48</v>
      </c>
      <c r="L2063" s="6">
        <v>4.2255000000000003</v>
      </c>
      <c r="M2063" s="6">
        <v>0.23669999999999999</v>
      </c>
      <c r="N2063" s="6">
        <v>4.2096999999999998</v>
      </c>
      <c r="O2063" s="6">
        <v>1</v>
      </c>
      <c r="P2063" s="5">
        <v>362.126192</v>
      </c>
      <c r="Q2063" s="4" t="s">
        <v>1390</v>
      </c>
    </row>
    <row r="2064" spans="1:17" x14ac:dyDescent="0.3">
      <c r="A2064" s="2" t="s">
        <v>1389</v>
      </c>
      <c r="B2064" s="3">
        <v>156576</v>
      </c>
      <c r="C2064" s="3">
        <v>896835</v>
      </c>
      <c r="D2064" s="4" t="s">
        <v>81</v>
      </c>
      <c r="E2064" s="4" t="s">
        <v>735</v>
      </c>
      <c r="F2064" s="4" t="s">
        <v>83</v>
      </c>
      <c r="G2064" s="4" t="s">
        <v>20</v>
      </c>
      <c r="H2064" s="5">
        <v>-500000</v>
      </c>
      <c r="I2064" s="4" t="s">
        <v>21</v>
      </c>
      <c r="J2064" s="5">
        <f t="shared" si="32"/>
        <v>2105650</v>
      </c>
      <c r="K2064" s="4" t="s">
        <v>35</v>
      </c>
      <c r="L2064" s="6">
        <v>4.2112999999999996</v>
      </c>
      <c r="M2064" s="6">
        <v>0.23749999999999999</v>
      </c>
      <c r="N2064" s="6">
        <v>4.2110000000000003</v>
      </c>
      <c r="O2064" s="6">
        <v>1</v>
      </c>
      <c r="P2064" s="5">
        <v>150</v>
      </c>
      <c r="Q2064" s="4" t="s">
        <v>1394</v>
      </c>
    </row>
    <row r="2065" spans="1:17" x14ac:dyDescent="0.3">
      <c r="A2065" s="2" t="s">
        <v>1389</v>
      </c>
      <c r="B2065" s="3">
        <v>156577</v>
      </c>
      <c r="C2065" s="3">
        <v>216809</v>
      </c>
      <c r="D2065" s="4" t="s">
        <v>17</v>
      </c>
      <c r="E2065" s="4" t="s">
        <v>926</v>
      </c>
      <c r="F2065" s="4" t="s">
        <v>19</v>
      </c>
      <c r="G2065" s="4" t="s">
        <v>20</v>
      </c>
      <c r="H2065" s="5">
        <v>252890.59</v>
      </c>
      <c r="I2065" s="4" t="s">
        <v>21</v>
      </c>
      <c r="J2065" s="5">
        <f t="shared" si="32"/>
        <v>-1061128.91564</v>
      </c>
      <c r="K2065" s="4" t="s">
        <v>48</v>
      </c>
      <c r="L2065" s="6">
        <v>4.1959999999999997</v>
      </c>
      <c r="M2065" s="6">
        <v>0.23830000000000001</v>
      </c>
      <c r="N2065" s="6">
        <v>4.2096999999999998</v>
      </c>
      <c r="O2065" s="6">
        <v>1</v>
      </c>
      <c r="P2065" s="5">
        <v>3464.6010829999577</v>
      </c>
      <c r="Q2065" s="4" t="s">
        <v>1390</v>
      </c>
    </row>
    <row r="2066" spans="1:17" x14ac:dyDescent="0.3">
      <c r="A2066" s="2" t="s">
        <v>1389</v>
      </c>
      <c r="B2066" s="3">
        <v>156578</v>
      </c>
      <c r="C2066" s="3">
        <v>896842</v>
      </c>
      <c r="D2066" s="4" t="s">
        <v>81</v>
      </c>
      <c r="E2066" s="4" t="s">
        <v>1077</v>
      </c>
      <c r="F2066" s="4" t="s">
        <v>87</v>
      </c>
      <c r="G2066" s="4" t="s">
        <v>20</v>
      </c>
      <c r="H2066" s="5">
        <v>25000</v>
      </c>
      <c r="I2066" s="4" t="s">
        <v>21</v>
      </c>
      <c r="J2066" s="5">
        <f t="shared" si="32"/>
        <v>-105217.50000000001</v>
      </c>
      <c r="K2066" s="4" t="s">
        <v>35</v>
      </c>
      <c r="L2066" s="6">
        <v>4.2087000000000003</v>
      </c>
      <c r="M2066" s="6">
        <v>0.23760000000000001</v>
      </c>
      <c r="N2066" s="6">
        <v>4.2110000000000003</v>
      </c>
      <c r="O2066" s="6">
        <v>1</v>
      </c>
      <c r="P2066" s="5">
        <v>57.5</v>
      </c>
      <c r="Q2066" s="4" t="s">
        <v>1390</v>
      </c>
    </row>
    <row r="2067" spans="1:17" x14ac:dyDescent="0.3">
      <c r="A2067" s="2" t="s">
        <v>1389</v>
      </c>
      <c r="B2067" s="3">
        <v>156580</v>
      </c>
      <c r="C2067" s="3">
        <v>896849</v>
      </c>
      <c r="D2067" s="4" t="s">
        <v>81</v>
      </c>
      <c r="E2067" s="4" t="s">
        <v>732</v>
      </c>
      <c r="F2067" s="4" t="s">
        <v>87</v>
      </c>
      <c r="G2067" s="4" t="s">
        <v>20</v>
      </c>
      <c r="H2067" s="5">
        <v>1000000</v>
      </c>
      <c r="I2067" s="4" t="s">
        <v>21</v>
      </c>
      <c r="J2067" s="5">
        <f t="shared" si="32"/>
        <v>-4210900</v>
      </c>
      <c r="K2067" s="4" t="s">
        <v>35</v>
      </c>
      <c r="L2067" s="6">
        <v>4.2108999999999996</v>
      </c>
      <c r="M2067" s="6">
        <v>0.23749999999999999</v>
      </c>
      <c r="N2067" s="6">
        <v>4.2110000000000003</v>
      </c>
      <c r="O2067" s="6">
        <v>1</v>
      </c>
      <c r="P2067" s="5">
        <v>100</v>
      </c>
      <c r="Q2067" s="4" t="s">
        <v>1394</v>
      </c>
    </row>
    <row r="2068" spans="1:17" x14ac:dyDescent="0.3">
      <c r="A2068" s="2" t="s">
        <v>1389</v>
      </c>
      <c r="B2068" s="3">
        <v>156581</v>
      </c>
      <c r="C2068" s="3">
        <v>896851</v>
      </c>
      <c r="D2068" s="4" t="s">
        <v>81</v>
      </c>
      <c r="E2068" s="4" t="s">
        <v>734</v>
      </c>
      <c r="F2068" s="4" t="s">
        <v>87</v>
      </c>
      <c r="G2068" s="4" t="s">
        <v>20</v>
      </c>
      <c r="H2068" s="5">
        <v>500000</v>
      </c>
      <c r="I2068" s="4" t="s">
        <v>21</v>
      </c>
      <c r="J2068" s="5">
        <f t="shared" si="32"/>
        <v>-2105550</v>
      </c>
      <c r="K2068" s="4" t="s">
        <v>35</v>
      </c>
      <c r="L2068" s="6">
        <v>4.2111000000000001</v>
      </c>
      <c r="M2068" s="6">
        <v>0.23749999999999999</v>
      </c>
      <c r="N2068" s="6">
        <v>4.2110000000000003</v>
      </c>
      <c r="O2068" s="6">
        <v>1</v>
      </c>
      <c r="P2068" s="5">
        <v>-50</v>
      </c>
      <c r="Q2068" s="4" t="s">
        <v>1393</v>
      </c>
    </row>
    <row r="2069" spans="1:17" x14ac:dyDescent="0.3">
      <c r="A2069" s="2" t="s">
        <v>1389</v>
      </c>
      <c r="B2069" s="3">
        <v>156584</v>
      </c>
      <c r="C2069" s="3">
        <v>896868</v>
      </c>
      <c r="D2069" s="4" t="s">
        <v>81</v>
      </c>
      <c r="E2069" s="4" t="s">
        <v>735</v>
      </c>
      <c r="F2069" s="4" t="s">
        <v>83</v>
      </c>
      <c r="G2069" s="4" t="s">
        <v>20</v>
      </c>
      <c r="H2069" s="5">
        <v>-1000000</v>
      </c>
      <c r="I2069" s="4" t="s">
        <v>21</v>
      </c>
      <c r="J2069" s="5">
        <f t="shared" si="32"/>
        <v>4210100</v>
      </c>
      <c r="K2069" s="4" t="s">
        <v>35</v>
      </c>
      <c r="L2069" s="6">
        <v>4.2100999999999997</v>
      </c>
      <c r="M2069" s="6">
        <v>0.23749999999999999</v>
      </c>
      <c r="N2069" s="6">
        <v>4.2110000000000003</v>
      </c>
      <c r="O2069" s="6">
        <v>1</v>
      </c>
      <c r="P2069" s="5">
        <v>-900</v>
      </c>
      <c r="Q2069" s="4" t="s">
        <v>1394</v>
      </c>
    </row>
    <row r="2070" spans="1:17" x14ac:dyDescent="0.3">
      <c r="A2070" s="2" t="s">
        <v>1389</v>
      </c>
      <c r="B2070" s="3">
        <v>156585</v>
      </c>
      <c r="C2070" s="3">
        <v>896875</v>
      </c>
      <c r="D2070" s="4" t="s">
        <v>81</v>
      </c>
      <c r="E2070" s="4" t="s">
        <v>734</v>
      </c>
      <c r="F2070" s="4" t="s">
        <v>87</v>
      </c>
      <c r="G2070" s="4" t="s">
        <v>20</v>
      </c>
      <c r="H2070" s="5">
        <v>100000</v>
      </c>
      <c r="I2070" s="4" t="s">
        <v>91</v>
      </c>
      <c r="J2070" s="5">
        <f t="shared" si="32"/>
        <v>-86590</v>
      </c>
      <c r="K2070" s="4" t="s">
        <v>35</v>
      </c>
      <c r="L2070" s="6">
        <v>0.8659</v>
      </c>
      <c r="M2070" s="6">
        <v>1.1548</v>
      </c>
      <c r="N2070" s="6">
        <v>4.2110000000000003</v>
      </c>
      <c r="O2070" s="6">
        <v>4.8631000000000002</v>
      </c>
      <c r="P2070" s="5">
        <v>-15.2814</v>
      </c>
      <c r="Q2070" s="4" t="s">
        <v>1393</v>
      </c>
    </row>
    <row r="2071" spans="1:17" x14ac:dyDescent="0.3">
      <c r="A2071" s="2" t="s">
        <v>1389</v>
      </c>
      <c r="B2071" s="3">
        <v>156586</v>
      </c>
      <c r="C2071" s="3">
        <v>896876</v>
      </c>
      <c r="D2071" s="4" t="s">
        <v>81</v>
      </c>
      <c r="E2071" s="4" t="s">
        <v>734</v>
      </c>
      <c r="F2071" s="4" t="s">
        <v>83</v>
      </c>
      <c r="G2071" s="4" t="s">
        <v>20</v>
      </c>
      <c r="H2071" s="5">
        <v>-500000</v>
      </c>
      <c r="I2071" s="4" t="s">
        <v>21</v>
      </c>
      <c r="J2071" s="5">
        <f t="shared" si="32"/>
        <v>2104850</v>
      </c>
      <c r="K2071" s="4" t="s">
        <v>35</v>
      </c>
      <c r="L2071" s="6">
        <v>4.2096999999999998</v>
      </c>
      <c r="M2071" s="6">
        <v>0.23749999999999999</v>
      </c>
      <c r="N2071" s="6">
        <v>4.2110000000000003</v>
      </c>
      <c r="O2071" s="6">
        <v>1</v>
      </c>
      <c r="P2071" s="5">
        <v>-650</v>
      </c>
      <c r="Q2071" s="4" t="s">
        <v>1393</v>
      </c>
    </row>
    <row r="2072" spans="1:17" x14ac:dyDescent="0.3">
      <c r="A2072" s="2" t="s">
        <v>1389</v>
      </c>
      <c r="B2072" s="3">
        <v>156587</v>
      </c>
      <c r="C2072" s="3">
        <v>896877</v>
      </c>
      <c r="D2072" s="4" t="s">
        <v>81</v>
      </c>
      <c r="E2072" s="4" t="s">
        <v>735</v>
      </c>
      <c r="F2072" s="4" t="s">
        <v>83</v>
      </c>
      <c r="G2072" s="4" t="s">
        <v>20</v>
      </c>
      <c r="H2072" s="5">
        <v>-500000</v>
      </c>
      <c r="I2072" s="4" t="s">
        <v>21</v>
      </c>
      <c r="J2072" s="5">
        <f t="shared" si="32"/>
        <v>2104850</v>
      </c>
      <c r="K2072" s="4" t="s">
        <v>35</v>
      </c>
      <c r="L2072" s="6">
        <v>4.2096999999999998</v>
      </c>
      <c r="M2072" s="6">
        <v>0.23749999999999999</v>
      </c>
      <c r="N2072" s="6">
        <v>4.2110000000000003</v>
      </c>
      <c r="O2072" s="6">
        <v>1</v>
      </c>
      <c r="P2072" s="5">
        <v>-650</v>
      </c>
      <c r="Q2072" s="4" t="s">
        <v>1394</v>
      </c>
    </row>
    <row r="2073" spans="1:17" x14ac:dyDescent="0.3">
      <c r="A2073" s="2" t="s">
        <v>1389</v>
      </c>
      <c r="B2073" s="3">
        <v>156588</v>
      </c>
      <c r="C2073" s="3">
        <v>896881</v>
      </c>
      <c r="D2073" s="4" t="s">
        <v>81</v>
      </c>
      <c r="E2073" s="4" t="s">
        <v>732</v>
      </c>
      <c r="F2073" s="4" t="s">
        <v>87</v>
      </c>
      <c r="G2073" s="4" t="s">
        <v>20</v>
      </c>
      <c r="H2073" s="5">
        <v>500000</v>
      </c>
      <c r="I2073" s="4" t="s">
        <v>21</v>
      </c>
      <c r="J2073" s="5">
        <f t="shared" si="32"/>
        <v>-2104950</v>
      </c>
      <c r="K2073" s="4" t="s">
        <v>35</v>
      </c>
      <c r="L2073" s="6">
        <v>4.2099000000000002</v>
      </c>
      <c r="M2073" s="6">
        <v>0.23749999999999999</v>
      </c>
      <c r="N2073" s="6">
        <v>4.2110000000000003</v>
      </c>
      <c r="O2073" s="6">
        <v>1</v>
      </c>
      <c r="P2073" s="5">
        <v>550</v>
      </c>
      <c r="Q2073" s="4" t="s">
        <v>1394</v>
      </c>
    </row>
    <row r="2074" spans="1:17" x14ac:dyDescent="0.3">
      <c r="A2074" s="2" t="s">
        <v>1389</v>
      </c>
      <c r="B2074" s="3">
        <v>156589</v>
      </c>
      <c r="C2074" s="3">
        <v>216819</v>
      </c>
      <c r="D2074" s="4" t="s">
        <v>17</v>
      </c>
      <c r="E2074" s="4" t="s">
        <v>1169</v>
      </c>
      <c r="F2074" s="4" t="s">
        <v>19</v>
      </c>
      <c r="G2074" s="4" t="s">
        <v>20</v>
      </c>
      <c r="H2074" s="5">
        <v>250000</v>
      </c>
      <c r="I2074" s="4" t="s">
        <v>21</v>
      </c>
      <c r="J2074" s="5">
        <f t="shared" si="32"/>
        <v>-1050750</v>
      </c>
      <c r="K2074" s="4" t="s">
        <v>48</v>
      </c>
      <c r="L2074" s="6">
        <v>4.2030000000000003</v>
      </c>
      <c r="M2074" s="6">
        <v>0.2379</v>
      </c>
      <c r="N2074" s="6">
        <v>4.2096999999999998</v>
      </c>
      <c r="O2074" s="6">
        <v>1</v>
      </c>
      <c r="P2074" s="5">
        <v>1675</v>
      </c>
      <c r="Q2074" s="4" t="s">
        <v>1390</v>
      </c>
    </row>
    <row r="2075" spans="1:17" x14ac:dyDescent="0.3">
      <c r="A2075" s="2" t="s">
        <v>1389</v>
      </c>
      <c r="B2075" s="3">
        <v>156590</v>
      </c>
      <c r="C2075" s="3">
        <v>216820</v>
      </c>
      <c r="D2075" s="4" t="s">
        <v>17</v>
      </c>
      <c r="E2075" s="4" t="s">
        <v>1022</v>
      </c>
      <c r="F2075" s="4" t="s">
        <v>32</v>
      </c>
      <c r="G2075" s="4" t="s">
        <v>20</v>
      </c>
      <c r="H2075" s="5">
        <v>-600000</v>
      </c>
      <c r="I2075" s="4" t="s">
        <v>21</v>
      </c>
      <c r="J2075" s="5">
        <f t="shared" si="32"/>
        <v>2528340</v>
      </c>
      <c r="K2075" s="4" t="s">
        <v>48</v>
      </c>
      <c r="L2075" s="6">
        <v>4.2138999999999998</v>
      </c>
      <c r="M2075" s="6">
        <v>0.23730000000000001</v>
      </c>
      <c r="N2075" s="6">
        <v>4.2096999999999998</v>
      </c>
      <c r="O2075" s="6">
        <v>1</v>
      </c>
      <c r="P2075" s="5">
        <v>2280</v>
      </c>
      <c r="Q2075" s="4" t="s">
        <v>1390</v>
      </c>
    </row>
    <row r="2076" spans="1:17" x14ac:dyDescent="0.3">
      <c r="A2076" s="2" t="s">
        <v>1389</v>
      </c>
      <c r="B2076" s="3">
        <v>156591</v>
      </c>
      <c r="C2076" s="3">
        <v>216823</v>
      </c>
      <c r="D2076" s="4" t="s">
        <v>17</v>
      </c>
      <c r="E2076" s="4" t="s">
        <v>1026</v>
      </c>
      <c r="F2076" s="4" t="s">
        <v>19</v>
      </c>
      <c r="G2076" s="4" t="s">
        <v>20</v>
      </c>
      <c r="H2076" s="5">
        <v>50000</v>
      </c>
      <c r="I2076" s="4" t="s">
        <v>21</v>
      </c>
      <c r="J2076" s="5">
        <f t="shared" si="32"/>
        <v>-210000</v>
      </c>
      <c r="K2076" s="4" t="s">
        <v>48</v>
      </c>
      <c r="L2076" s="6">
        <v>4.2</v>
      </c>
      <c r="M2076" s="6">
        <v>0.23810000000000001</v>
      </c>
      <c r="N2076" s="6">
        <v>4.2096999999999998</v>
      </c>
      <c r="O2076" s="6">
        <v>1</v>
      </c>
      <c r="P2076" s="5">
        <v>485</v>
      </c>
      <c r="Q2076" s="4" t="s">
        <v>1390</v>
      </c>
    </row>
    <row r="2077" spans="1:17" x14ac:dyDescent="0.3">
      <c r="A2077" s="2" t="s">
        <v>1389</v>
      </c>
      <c r="B2077" s="3">
        <v>156592</v>
      </c>
      <c r="C2077" s="3">
        <v>216824</v>
      </c>
      <c r="D2077" s="4" t="s">
        <v>17</v>
      </c>
      <c r="E2077" s="4" t="s">
        <v>947</v>
      </c>
      <c r="F2077" s="4" t="s">
        <v>19</v>
      </c>
      <c r="G2077" s="4" t="s">
        <v>20</v>
      </c>
      <c r="H2077" s="5">
        <v>2100</v>
      </c>
      <c r="I2077" s="4" t="s">
        <v>21</v>
      </c>
      <c r="J2077" s="5">
        <f t="shared" si="32"/>
        <v>-8820</v>
      </c>
      <c r="K2077" s="4" t="s">
        <v>48</v>
      </c>
      <c r="L2077" s="6">
        <v>4.2</v>
      </c>
      <c r="M2077" s="6">
        <v>0.23810000000000001</v>
      </c>
      <c r="N2077" s="6">
        <v>4.2096999999999998</v>
      </c>
      <c r="O2077" s="6">
        <v>1</v>
      </c>
      <c r="P2077" s="5">
        <v>20.369999999998981</v>
      </c>
      <c r="Q2077" s="4" t="s">
        <v>1390</v>
      </c>
    </row>
    <row r="2078" spans="1:17" x14ac:dyDescent="0.3">
      <c r="A2078" s="2" t="s">
        <v>1389</v>
      </c>
      <c r="B2078" s="3">
        <v>156593</v>
      </c>
      <c r="C2078" s="3">
        <v>896900</v>
      </c>
      <c r="D2078" s="4" t="s">
        <v>81</v>
      </c>
      <c r="E2078" s="4" t="s">
        <v>769</v>
      </c>
      <c r="F2078" s="4" t="s">
        <v>83</v>
      </c>
      <c r="G2078" s="4" t="s">
        <v>20</v>
      </c>
      <c r="H2078" s="5">
        <v>-100000</v>
      </c>
      <c r="I2078" s="4" t="s">
        <v>21</v>
      </c>
      <c r="J2078" s="5">
        <f t="shared" si="32"/>
        <v>421080</v>
      </c>
      <c r="K2078" s="4" t="s">
        <v>35</v>
      </c>
      <c r="L2078" s="6">
        <v>4.2107999999999999</v>
      </c>
      <c r="M2078" s="6">
        <v>0.23749999999999999</v>
      </c>
      <c r="N2078" s="6">
        <v>4.2110000000000003</v>
      </c>
      <c r="O2078" s="6">
        <v>1</v>
      </c>
      <c r="P2078" s="5">
        <v>-20</v>
      </c>
      <c r="Q2078" s="4" t="s">
        <v>1390</v>
      </c>
    </row>
    <row r="2079" spans="1:17" x14ac:dyDescent="0.3">
      <c r="A2079" s="2" t="s">
        <v>1389</v>
      </c>
      <c r="B2079" s="3">
        <v>156594</v>
      </c>
      <c r="C2079" s="3">
        <v>216825</v>
      </c>
      <c r="D2079" s="4" t="s">
        <v>17</v>
      </c>
      <c r="E2079" s="4" t="s">
        <v>1130</v>
      </c>
      <c r="F2079" s="4" t="s">
        <v>19</v>
      </c>
      <c r="G2079" s="4" t="s">
        <v>20</v>
      </c>
      <c r="H2079" s="5">
        <v>857.12</v>
      </c>
      <c r="I2079" s="4" t="s">
        <v>34</v>
      </c>
      <c r="J2079" s="5">
        <f t="shared" si="32"/>
        <v>-994.25919999999996</v>
      </c>
      <c r="K2079" s="4" t="s">
        <v>48</v>
      </c>
      <c r="L2079" s="6">
        <v>1.1599999999999999</v>
      </c>
      <c r="M2079" s="6">
        <v>0.86209999999999998</v>
      </c>
      <c r="N2079" s="6">
        <v>4.2096999999999998</v>
      </c>
      <c r="O2079" s="6">
        <v>3.6036999999999999</v>
      </c>
      <c r="P2079" s="5">
        <v>25.206184959999973</v>
      </c>
      <c r="Q2079" s="4" t="s">
        <v>1390</v>
      </c>
    </row>
    <row r="2080" spans="1:17" x14ac:dyDescent="0.3">
      <c r="A2080" s="2" t="s">
        <v>1389</v>
      </c>
      <c r="B2080" s="3">
        <v>156595</v>
      </c>
      <c r="C2080" s="3">
        <v>896914</v>
      </c>
      <c r="D2080" s="4" t="s">
        <v>81</v>
      </c>
      <c r="E2080" s="4" t="s">
        <v>732</v>
      </c>
      <c r="F2080" s="4" t="s">
        <v>87</v>
      </c>
      <c r="G2080" s="4" t="s">
        <v>20</v>
      </c>
      <c r="H2080" s="5">
        <v>1000000</v>
      </c>
      <c r="I2080" s="4" t="s">
        <v>21</v>
      </c>
      <c r="J2080" s="5">
        <f t="shared" si="32"/>
        <v>-4209900</v>
      </c>
      <c r="K2080" s="4" t="s">
        <v>35</v>
      </c>
      <c r="L2080" s="6">
        <v>4.2099000000000002</v>
      </c>
      <c r="M2080" s="6">
        <v>0.23749999999999999</v>
      </c>
      <c r="N2080" s="6">
        <v>4.2110000000000003</v>
      </c>
      <c r="O2080" s="6">
        <v>1</v>
      </c>
      <c r="P2080" s="5">
        <v>1100</v>
      </c>
      <c r="Q2080" s="4" t="s">
        <v>1394</v>
      </c>
    </row>
    <row r="2081" spans="1:17" x14ac:dyDescent="0.3">
      <c r="A2081" s="2" t="s">
        <v>1389</v>
      </c>
      <c r="B2081" s="3">
        <v>156596</v>
      </c>
      <c r="C2081" s="3">
        <v>896915</v>
      </c>
      <c r="D2081" s="4" t="s">
        <v>81</v>
      </c>
      <c r="E2081" s="4" t="s">
        <v>743</v>
      </c>
      <c r="F2081" s="4" t="s">
        <v>87</v>
      </c>
      <c r="G2081" s="4" t="s">
        <v>20</v>
      </c>
      <c r="H2081" s="5">
        <v>1000000</v>
      </c>
      <c r="I2081" s="4" t="s">
        <v>21</v>
      </c>
      <c r="J2081" s="5">
        <f t="shared" si="32"/>
        <v>-4210100</v>
      </c>
      <c r="K2081" s="4" t="s">
        <v>35</v>
      </c>
      <c r="L2081" s="6">
        <v>4.2100999999999997</v>
      </c>
      <c r="M2081" s="6">
        <v>0.23749999999999999</v>
      </c>
      <c r="N2081" s="6">
        <v>4.2110000000000003</v>
      </c>
      <c r="O2081" s="6">
        <v>1</v>
      </c>
      <c r="P2081" s="5">
        <v>930</v>
      </c>
      <c r="Q2081" s="4" t="s">
        <v>1395</v>
      </c>
    </row>
    <row r="2082" spans="1:17" x14ac:dyDescent="0.3">
      <c r="A2082" s="2" t="s">
        <v>1389</v>
      </c>
      <c r="B2082" s="3">
        <v>156597</v>
      </c>
      <c r="C2082" s="3">
        <v>896916</v>
      </c>
      <c r="D2082" s="4" t="s">
        <v>81</v>
      </c>
      <c r="E2082" s="4" t="s">
        <v>725</v>
      </c>
      <c r="F2082" s="4" t="s">
        <v>87</v>
      </c>
      <c r="G2082" s="4" t="s">
        <v>20</v>
      </c>
      <c r="H2082" s="5">
        <v>1000000</v>
      </c>
      <c r="I2082" s="4" t="s">
        <v>21</v>
      </c>
      <c r="J2082" s="5">
        <f t="shared" si="32"/>
        <v>-4210000</v>
      </c>
      <c r="K2082" s="4" t="s">
        <v>35</v>
      </c>
      <c r="L2082" s="6">
        <v>4.21</v>
      </c>
      <c r="M2082" s="6">
        <v>0.23749999999999999</v>
      </c>
      <c r="N2082" s="6">
        <v>4.2110000000000003</v>
      </c>
      <c r="O2082" s="6">
        <v>1</v>
      </c>
      <c r="P2082" s="5">
        <v>950</v>
      </c>
      <c r="Q2082" s="4" t="s">
        <v>1392</v>
      </c>
    </row>
    <row r="2083" spans="1:17" x14ac:dyDescent="0.3">
      <c r="A2083" s="2" t="s">
        <v>1389</v>
      </c>
      <c r="B2083" s="3">
        <v>156598</v>
      </c>
      <c r="C2083" s="3">
        <v>896917</v>
      </c>
      <c r="D2083" s="4" t="s">
        <v>81</v>
      </c>
      <c r="E2083" s="4" t="s">
        <v>742</v>
      </c>
      <c r="F2083" s="4" t="s">
        <v>87</v>
      </c>
      <c r="G2083" s="4" t="s">
        <v>20</v>
      </c>
      <c r="H2083" s="5">
        <v>1000000</v>
      </c>
      <c r="I2083" s="4" t="s">
        <v>21</v>
      </c>
      <c r="J2083" s="5">
        <f t="shared" si="32"/>
        <v>-4210100</v>
      </c>
      <c r="K2083" s="4" t="s">
        <v>35</v>
      </c>
      <c r="L2083" s="6">
        <v>4.2100999999999997</v>
      </c>
      <c r="M2083" s="6">
        <v>0.23749999999999999</v>
      </c>
      <c r="N2083" s="6">
        <v>4.2110000000000003</v>
      </c>
      <c r="O2083" s="6">
        <v>1</v>
      </c>
      <c r="P2083" s="5">
        <v>900</v>
      </c>
      <c r="Q2083" s="4" t="s">
        <v>1396</v>
      </c>
    </row>
    <row r="2084" spans="1:17" x14ac:dyDescent="0.3">
      <c r="A2084" s="2" t="s">
        <v>1389</v>
      </c>
      <c r="B2084" s="3">
        <v>156599</v>
      </c>
      <c r="C2084" s="3">
        <v>216830</v>
      </c>
      <c r="D2084" s="4" t="s">
        <v>17</v>
      </c>
      <c r="E2084" s="4" t="s">
        <v>1201</v>
      </c>
      <c r="F2084" s="4" t="s">
        <v>32</v>
      </c>
      <c r="G2084" s="4" t="s">
        <v>20</v>
      </c>
      <c r="H2084" s="5">
        <v>-4000000</v>
      </c>
      <c r="I2084" s="4" t="s">
        <v>21</v>
      </c>
      <c r="J2084" s="5">
        <f t="shared" si="32"/>
        <v>16845600</v>
      </c>
      <c r="K2084" s="4" t="s">
        <v>48</v>
      </c>
      <c r="L2084" s="6">
        <v>4.2114000000000003</v>
      </c>
      <c r="M2084" s="6">
        <v>0.23749999999999999</v>
      </c>
      <c r="N2084" s="6">
        <v>4.2096999999999998</v>
      </c>
      <c r="O2084" s="6">
        <v>1</v>
      </c>
      <c r="P2084" s="5">
        <v>5200</v>
      </c>
      <c r="Q2084" s="4" t="s">
        <v>1390</v>
      </c>
    </row>
    <row r="2085" spans="1:17" x14ac:dyDescent="0.3">
      <c r="A2085" s="2" t="s">
        <v>1389</v>
      </c>
      <c r="B2085" s="3">
        <v>156600</v>
      </c>
      <c r="C2085" s="3">
        <v>216834</v>
      </c>
      <c r="D2085" s="4" t="s">
        <v>17</v>
      </c>
      <c r="E2085" s="4" t="s">
        <v>1035</v>
      </c>
      <c r="F2085" s="4" t="s">
        <v>19</v>
      </c>
      <c r="G2085" s="4" t="s">
        <v>20</v>
      </c>
      <c r="H2085" s="5">
        <v>1000</v>
      </c>
      <c r="I2085" s="4" t="s">
        <v>104</v>
      </c>
      <c r="J2085" s="5">
        <f t="shared" si="32"/>
        <v>-184690</v>
      </c>
      <c r="K2085" s="4" t="s">
        <v>48</v>
      </c>
      <c r="L2085" s="6">
        <v>184.69</v>
      </c>
      <c r="M2085" s="6">
        <v>5.4000000000000003E-3</v>
      </c>
      <c r="N2085" s="6">
        <v>4.2096999999999998</v>
      </c>
      <c r="O2085" s="6">
        <v>2.2942</v>
      </c>
      <c r="P2085" s="5">
        <v>-419506.098</v>
      </c>
      <c r="Q2085" s="4" t="s">
        <v>1390</v>
      </c>
    </row>
    <row r="2086" spans="1:17" x14ac:dyDescent="0.3">
      <c r="A2086" s="2" t="s">
        <v>1389</v>
      </c>
      <c r="B2086" s="3">
        <v>156602</v>
      </c>
      <c r="C2086" s="3">
        <v>896937</v>
      </c>
      <c r="D2086" s="4" t="s">
        <v>81</v>
      </c>
      <c r="E2086" s="4" t="s">
        <v>1114</v>
      </c>
      <c r="F2086" s="4" t="s">
        <v>83</v>
      </c>
      <c r="G2086" s="4" t="s">
        <v>20</v>
      </c>
      <c r="H2086" s="5">
        <v>-300000</v>
      </c>
      <c r="I2086" s="4" t="s">
        <v>21</v>
      </c>
      <c r="J2086" s="5">
        <f t="shared" si="32"/>
        <v>1263300</v>
      </c>
      <c r="K2086" s="4" t="s">
        <v>35</v>
      </c>
      <c r="L2086" s="6">
        <v>4.2110000000000003</v>
      </c>
      <c r="M2086" s="6">
        <v>0.23749999999999999</v>
      </c>
      <c r="N2086" s="6">
        <v>4.2110000000000003</v>
      </c>
      <c r="O2086" s="6">
        <v>1</v>
      </c>
      <c r="P2086" s="5">
        <v>0</v>
      </c>
      <c r="Q2086" s="4" t="s">
        <v>1390</v>
      </c>
    </row>
    <row r="2087" spans="1:17" x14ac:dyDescent="0.3">
      <c r="A2087" s="2" t="s">
        <v>1389</v>
      </c>
      <c r="B2087" s="3">
        <v>156603</v>
      </c>
      <c r="C2087" s="3">
        <v>896967</v>
      </c>
      <c r="D2087" s="4" t="s">
        <v>81</v>
      </c>
      <c r="E2087" s="4" t="s">
        <v>735</v>
      </c>
      <c r="F2087" s="4" t="s">
        <v>87</v>
      </c>
      <c r="G2087" s="4" t="s">
        <v>20</v>
      </c>
      <c r="H2087" s="5">
        <v>500000</v>
      </c>
      <c r="I2087" s="4" t="s">
        <v>21</v>
      </c>
      <c r="J2087" s="5">
        <f t="shared" si="32"/>
        <v>-2104700</v>
      </c>
      <c r="K2087" s="4" t="s">
        <v>35</v>
      </c>
      <c r="L2087" s="6">
        <v>4.2093999999999996</v>
      </c>
      <c r="M2087" s="6">
        <v>0.23760000000000001</v>
      </c>
      <c r="N2087" s="6">
        <v>4.2110000000000003</v>
      </c>
      <c r="O2087" s="6">
        <v>1</v>
      </c>
      <c r="P2087" s="5">
        <v>800</v>
      </c>
      <c r="Q2087" s="4" t="s">
        <v>1394</v>
      </c>
    </row>
    <row r="2088" spans="1:17" x14ac:dyDescent="0.3">
      <c r="A2088" s="2" t="s">
        <v>1389</v>
      </c>
      <c r="B2088" s="3">
        <v>156604</v>
      </c>
      <c r="C2088" s="3">
        <v>216840</v>
      </c>
      <c r="D2088" s="4" t="s">
        <v>17</v>
      </c>
      <c r="E2088" s="4" t="s">
        <v>1373</v>
      </c>
      <c r="F2088" s="4" t="s">
        <v>19</v>
      </c>
      <c r="G2088" s="4" t="s">
        <v>21</v>
      </c>
      <c r="H2088" s="5">
        <v>670000</v>
      </c>
      <c r="I2088" s="4" t="s">
        <v>20</v>
      </c>
      <c r="J2088" s="5">
        <f t="shared" si="32"/>
        <v>-2827400</v>
      </c>
      <c r="K2088" s="4" t="s">
        <v>48</v>
      </c>
      <c r="L2088" s="6">
        <v>4.22</v>
      </c>
      <c r="M2088" s="6">
        <v>0.23699999999999999</v>
      </c>
      <c r="N2088" s="6">
        <v>1</v>
      </c>
      <c r="O2088" s="6">
        <v>4.2096999999999998</v>
      </c>
      <c r="P2088" s="5">
        <v>-11232505.779999999</v>
      </c>
      <c r="Q2088" s="4" t="s">
        <v>1390</v>
      </c>
    </row>
    <row r="2089" spans="1:17" x14ac:dyDescent="0.3">
      <c r="A2089" s="2" t="s">
        <v>1389</v>
      </c>
      <c r="B2089" s="3">
        <v>156605</v>
      </c>
      <c r="C2089" s="3">
        <v>216841</v>
      </c>
      <c r="D2089" s="4" t="s">
        <v>17</v>
      </c>
      <c r="E2089" s="4" t="s">
        <v>808</v>
      </c>
      <c r="F2089" s="4" t="s">
        <v>19</v>
      </c>
      <c r="G2089" s="4" t="s">
        <v>20</v>
      </c>
      <c r="H2089" s="5">
        <v>10000</v>
      </c>
      <c r="I2089" s="4" t="s">
        <v>21</v>
      </c>
      <c r="J2089" s="5">
        <f t="shared" si="32"/>
        <v>-41955</v>
      </c>
      <c r="K2089" s="4" t="s">
        <v>48</v>
      </c>
      <c r="L2089" s="6">
        <v>4.1955</v>
      </c>
      <c r="M2089" s="6">
        <v>0.2384</v>
      </c>
      <c r="N2089" s="6">
        <v>4.2096999999999998</v>
      </c>
      <c r="O2089" s="6">
        <v>1</v>
      </c>
      <c r="P2089" s="5">
        <v>142</v>
      </c>
      <c r="Q2089" s="4" t="s">
        <v>1390</v>
      </c>
    </row>
    <row r="2090" spans="1:17" x14ac:dyDescent="0.3">
      <c r="A2090" s="2" t="s">
        <v>1389</v>
      </c>
      <c r="B2090" s="3">
        <v>156606</v>
      </c>
      <c r="C2090" s="3">
        <v>216842</v>
      </c>
      <c r="D2090" s="4" t="s">
        <v>17</v>
      </c>
      <c r="E2090" s="4" t="s">
        <v>976</v>
      </c>
      <c r="F2090" s="4" t="s">
        <v>19</v>
      </c>
      <c r="G2090" s="4" t="s">
        <v>20</v>
      </c>
      <c r="H2090" s="5">
        <v>10000</v>
      </c>
      <c r="I2090" s="4" t="s">
        <v>21</v>
      </c>
      <c r="J2090" s="5">
        <f t="shared" si="32"/>
        <v>-41954</v>
      </c>
      <c r="K2090" s="4" t="s">
        <v>48</v>
      </c>
      <c r="L2090" s="6">
        <v>4.1954000000000002</v>
      </c>
      <c r="M2090" s="6">
        <v>0.2384</v>
      </c>
      <c r="N2090" s="6">
        <v>4.2096999999999998</v>
      </c>
      <c r="O2090" s="6">
        <v>1</v>
      </c>
      <c r="P2090" s="5">
        <v>143</v>
      </c>
      <c r="Q2090" s="4" t="s">
        <v>1390</v>
      </c>
    </row>
    <row r="2091" spans="1:17" x14ac:dyDescent="0.3">
      <c r="A2091" s="2" t="s">
        <v>1389</v>
      </c>
      <c r="B2091" s="3">
        <v>156607</v>
      </c>
      <c r="C2091" s="3">
        <v>896981</v>
      </c>
      <c r="D2091" s="4" t="s">
        <v>81</v>
      </c>
      <c r="E2091" s="4" t="s">
        <v>735</v>
      </c>
      <c r="F2091" s="4" t="s">
        <v>83</v>
      </c>
      <c r="G2091" s="4" t="s">
        <v>20</v>
      </c>
      <c r="H2091" s="5">
        <v>-500000</v>
      </c>
      <c r="I2091" s="4" t="s">
        <v>21</v>
      </c>
      <c r="J2091" s="5">
        <f t="shared" si="32"/>
        <v>2104350</v>
      </c>
      <c r="K2091" s="4" t="s">
        <v>35</v>
      </c>
      <c r="L2091" s="6">
        <v>4.2087000000000003</v>
      </c>
      <c r="M2091" s="6">
        <v>0.23760000000000001</v>
      </c>
      <c r="N2091" s="6">
        <v>4.2110000000000003</v>
      </c>
      <c r="O2091" s="6">
        <v>1</v>
      </c>
      <c r="P2091" s="5">
        <v>-1150</v>
      </c>
      <c r="Q2091" s="4" t="s">
        <v>1394</v>
      </c>
    </row>
    <row r="2092" spans="1:17" x14ac:dyDescent="0.3">
      <c r="A2092" s="2" t="s">
        <v>1389</v>
      </c>
      <c r="B2092" s="3">
        <v>156608</v>
      </c>
      <c r="C2092" s="3">
        <v>896985</v>
      </c>
      <c r="D2092" s="4" t="s">
        <v>81</v>
      </c>
      <c r="E2092" s="4" t="s">
        <v>736</v>
      </c>
      <c r="F2092" s="4" t="s">
        <v>87</v>
      </c>
      <c r="G2092" s="4" t="s">
        <v>74</v>
      </c>
      <c r="H2092" s="5">
        <v>230000</v>
      </c>
      <c r="I2092" s="4" t="s">
        <v>21</v>
      </c>
      <c r="J2092" s="5">
        <f t="shared" si="32"/>
        <v>-82294</v>
      </c>
      <c r="K2092" s="4" t="s">
        <v>35</v>
      </c>
      <c r="L2092" s="6">
        <v>0.35780000000000001</v>
      </c>
      <c r="M2092" s="6">
        <v>2.7949000000000002</v>
      </c>
      <c r="N2092" s="6">
        <v>0.35849999999999999</v>
      </c>
      <c r="O2092" s="6">
        <v>1</v>
      </c>
      <c r="P2092" s="5">
        <v>161</v>
      </c>
      <c r="Q2092" s="4" t="s">
        <v>1390</v>
      </c>
    </row>
    <row r="2093" spans="1:17" x14ac:dyDescent="0.3">
      <c r="A2093" s="2" t="s">
        <v>1389</v>
      </c>
      <c r="B2093" s="3">
        <v>156609</v>
      </c>
      <c r="C2093" s="3">
        <v>216845</v>
      </c>
      <c r="D2093" s="4" t="s">
        <v>17</v>
      </c>
      <c r="E2093" s="4" t="s">
        <v>951</v>
      </c>
      <c r="F2093" s="4" t="s">
        <v>32</v>
      </c>
      <c r="G2093" s="4" t="s">
        <v>20</v>
      </c>
      <c r="H2093" s="5">
        <v>-74100</v>
      </c>
      <c r="I2093" s="4" t="s">
        <v>21</v>
      </c>
      <c r="J2093" s="5">
        <f t="shared" si="32"/>
        <v>312035.10000000003</v>
      </c>
      <c r="K2093" s="4" t="s">
        <v>48</v>
      </c>
      <c r="L2093" s="6">
        <v>4.2110000000000003</v>
      </c>
      <c r="M2093" s="6">
        <v>0.23749999999999999</v>
      </c>
      <c r="N2093" s="6">
        <v>4.2096999999999998</v>
      </c>
      <c r="O2093" s="6">
        <v>1</v>
      </c>
      <c r="P2093" s="5">
        <v>66.69</v>
      </c>
      <c r="Q2093" s="4" t="s">
        <v>1390</v>
      </c>
    </row>
    <row r="2094" spans="1:17" x14ac:dyDescent="0.3">
      <c r="A2094" s="2" t="s">
        <v>1389</v>
      </c>
      <c r="B2094" s="3">
        <v>156610</v>
      </c>
      <c r="C2094" s="3">
        <v>216846</v>
      </c>
      <c r="D2094" s="4" t="s">
        <v>17</v>
      </c>
      <c r="E2094" s="4" t="s">
        <v>1182</v>
      </c>
      <c r="F2094" s="4" t="s">
        <v>19</v>
      </c>
      <c r="G2094" s="4" t="s">
        <v>20</v>
      </c>
      <c r="H2094" s="5">
        <v>108713</v>
      </c>
      <c r="I2094" s="4" t="s">
        <v>21</v>
      </c>
      <c r="J2094" s="5">
        <f t="shared" si="32"/>
        <v>-452463.50599999999</v>
      </c>
      <c r="K2094" s="4" t="s">
        <v>48</v>
      </c>
      <c r="L2094" s="6">
        <v>4.1619999999999999</v>
      </c>
      <c r="M2094" s="6">
        <v>0.24030000000000001</v>
      </c>
      <c r="N2094" s="6">
        <v>4.2096999999999998</v>
      </c>
      <c r="O2094" s="6">
        <v>1</v>
      </c>
      <c r="P2094" s="5">
        <v>5185.6100999999908</v>
      </c>
      <c r="Q2094" s="4" t="s">
        <v>1390</v>
      </c>
    </row>
    <row r="2095" spans="1:17" x14ac:dyDescent="0.3">
      <c r="A2095" s="2" t="s">
        <v>1389</v>
      </c>
      <c r="B2095" s="3">
        <v>156613</v>
      </c>
      <c r="C2095" s="3">
        <v>896996</v>
      </c>
      <c r="D2095" s="4" t="s">
        <v>81</v>
      </c>
      <c r="E2095" s="4" t="s">
        <v>736</v>
      </c>
      <c r="F2095" s="4" t="s">
        <v>87</v>
      </c>
      <c r="G2095" s="4" t="s">
        <v>89</v>
      </c>
      <c r="H2095" s="5">
        <v>220000</v>
      </c>
      <c r="I2095" s="4" t="s">
        <v>21</v>
      </c>
      <c r="J2095" s="5">
        <f t="shared" si="32"/>
        <v>-123882.00000000001</v>
      </c>
      <c r="K2095" s="4" t="s">
        <v>35</v>
      </c>
      <c r="L2095" s="6">
        <v>0.56310000000000004</v>
      </c>
      <c r="M2095" s="6">
        <v>1.7759</v>
      </c>
      <c r="N2095" s="6">
        <v>0.5635</v>
      </c>
      <c r="O2095" s="6">
        <v>1</v>
      </c>
      <c r="P2095" s="5">
        <v>88</v>
      </c>
      <c r="Q2095" s="4" t="s">
        <v>1390</v>
      </c>
    </row>
    <row r="2096" spans="1:17" x14ac:dyDescent="0.3">
      <c r="A2096" s="2" t="s">
        <v>1389</v>
      </c>
      <c r="B2096" s="3">
        <v>156614</v>
      </c>
      <c r="C2096" s="3">
        <v>897000</v>
      </c>
      <c r="D2096" s="4" t="s">
        <v>81</v>
      </c>
      <c r="E2096" s="4" t="s">
        <v>732</v>
      </c>
      <c r="F2096" s="4" t="s">
        <v>87</v>
      </c>
      <c r="G2096" s="4" t="s">
        <v>20</v>
      </c>
      <c r="H2096" s="5">
        <v>1000000</v>
      </c>
      <c r="I2096" s="4" t="s">
        <v>21</v>
      </c>
      <c r="J2096" s="5">
        <f t="shared" si="32"/>
        <v>-4208300</v>
      </c>
      <c r="K2096" s="4" t="s">
        <v>35</v>
      </c>
      <c r="L2096" s="6">
        <v>4.2083000000000004</v>
      </c>
      <c r="M2096" s="6">
        <v>0.23760000000000001</v>
      </c>
      <c r="N2096" s="6">
        <v>4.2110000000000003</v>
      </c>
      <c r="O2096" s="6">
        <v>1</v>
      </c>
      <c r="P2096" s="5">
        <v>2700</v>
      </c>
      <c r="Q2096" s="4" t="s">
        <v>1394</v>
      </c>
    </row>
    <row r="2097" spans="1:17" x14ac:dyDescent="0.3">
      <c r="A2097" s="2" t="s">
        <v>1389</v>
      </c>
      <c r="B2097" s="3">
        <v>156615</v>
      </c>
      <c r="C2097" s="3">
        <v>897001</v>
      </c>
      <c r="D2097" s="4" t="s">
        <v>81</v>
      </c>
      <c r="E2097" s="4" t="s">
        <v>725</v>
      </c>
      <c r="F2097" s="4" t="s">
        <v>87</v>
      </c>
      <c r="G2097" s="4" t="s">
        <v>20</v>
      </c>
      <c r="H2097" s="5">
        <v>1000000</v>
      </c>
      <c r="I2097" s="4" t="s">
        <v>21</v>
      </c>
      <c r="J2097" s="5">
        <f t="shared" si="32"/>
        <v>-4208400</v>
      </c>
      <c r="K2097" s="4" t="s">
        <v>35</v>
      </c>
      <c r="L2097" s="6">
        <v>4.2084000000000001</v>
      </c>
      <c r="M2097" s="6">
        <v>0.23760000000000001</v>
      </c>
      <c r="N2097" s="6">
        <v>4.2110000000000003</v>
      </c>
      <c r="O2097" s="6">
        <v>1</v>
      </c>
      <c r="P2097" s="5">
        <v>2580</v>
      </c>
      <c r="Q2097" s="4" t="s">
        <v>1392</v>
      </c>
    </row>
    <row r="2098" spans="1:17" x14ac:dyDescent="0.3">
      <c r="A2098" s="2" t="s">
        <v>1389</v>
      </c>
      <c r="B2098" s="3">
        <v>156616</v>
      </c>
      <c r="C2098" s="3">
        <v>216849</v>
      </c>
      <c r="D2098" s="4" t="s">
        <v>17</v>
      </c>
      <c r="E2098" s="4" t="s">
        <v>751</v>
      </c>
      <c r="F2098" s="4" t="s">
        <v>32</v>
      </c>
      <c r="G2098" s="4" t="s">
        <v>20</v>
      </c>
      <c r="H2098" s="5">
        <v>-2000000</v>
      </c>
      <c r="I2098" s="4" t="s">
        <v>21</v>
      </c>
      <c r="J2098" s="5">
        <f t="shared" si="32"/>
        <v>8419800</v>
      </c>
      <c r="K2098" s="4" t="s">
        <v>37</v>
      </c>
      <c r="L2098" s="6">
        <v>4.2099000000000002</v>
      </c>
      <c r="M2098" s="6">
        <v>0.23749999999999999</v>
      </c>
      <c r="N2098" s="6">
        <v>4.2115999999999998</v>
      </c>
      <c r="O2098" s="6">
        <v>1</v>
      </c>
      <c r="P2098" s="5">
        <v>-3400</v>
      </c>
      <c r="Q2098" s="4" t="s">
        <v>1390</v>
      </c>
    </row>
    <row r="2099" spans="1:17" x14ac:dyDescent="0.3">
      <c r="A2099" s="2" t="s">
        <v>1389</v>
      </c>
      <c r="B2099" s="3">
        <v>156618</v>
      </c>
      <c r="C2099" s="3">
        <v>216853</v>
      </c>
      <c r="D2099" s="4" t="s">
        <v>17</v>
      </c>
      <c r="E2099" s="4" t="s">
        <v>943</v>
      </c>
      <c r="F2099" s="4" t="s">
        <v>32</v>
      </c>
      <c r="G2099" s="4" t="s">
        <v>20</v>
      </c>
      <c r="H2099" s="5">
        <v>-35629.449999999997</v>
      </c>
      <c r="I2099" s="4" t="s">
        <v>21</v>
      </c>
      <c r="J2099" s="5">
        <f t="shared" si="32"/>
        <v>150356.27899999998</v>
      </c>
      <c r="K2099" s="4" t="s">
        <v>48</v>
      </c>
      <c r="L2099" s="6">
        <v>4.22</v>
      </c>
      <c r="M2099" s="6">
        <v>0.23699999999999999</v>
      </c>
      <c r="N2099" s="6">
        <v>4.2096999999999998</v>
      </c>
      <c r="O2099" s="6">
        <v>1</v>
      </c>
      <c r="P2099" s="5">
        <v>10.704335</v>
      </c>
      <c r="Q2099" s="4" t="s">
        <v>1390</v>
      </c>
    </row>
    <row r="2100" spans="1:17" x14ac:dyDescent="0.3">
      <c r="A2100" s="2" t="s">
        <v>1389</v>
      </c>
      <c r="B2100" s="3">
        <v>156619</v>
      </c>
      <c r="C2100" s="3">
        <v>897069</v>
      </c>
      <c r="D2100" s="4" t="s">
        <v>81</v>
      </c>
      <c r="E2100" s="4" t="s">
        <v>735</v>
      </c>
      <c r="F2100" s="4" t="s">
        <v>87</v>
      </c>
      <c r="G2100" s="4" t="s">
        <v>34</v>
      </c>
      <c r="H2100" s="5">
        <v>500000</v>
      </c>
      <c r="I2100" s="4" t="s">
        <v>21</v>
      </c>
      <c r="J2100" s="5">
        <f t="shared" si="32"/>
        <v>-1803850</v>
      </c>
      <c r="K2100" s="4" t="s">
        <v>35</v>
      </c>
      <c r="L2100" s="6">
        <v>3.6076999999999999</v>
      </c>
      <c r="M2100" s="6">
        <v>0.2772</v>
      </c>
      <c r="N2100" s="6">
        <v>3.6139999999999999</v>
      </c>
      <c r="O2100" s="6">
        <v>1</v>
      </c>
      <c r="P2100" s="5">
        <v>3150</v>
      </c>
      <c r="Q2100" s="4" t="s">
        <v>1394</v>
      </c>
    </row>
    <row r="2101" spans="1:17" x14ac:dyDescent="0.3">
      <c r="A2101" s="2" t="s">
        <v>1389</v>
      </c>
      <c r="B2101" s="3">
        <v>156620</v>
      </c>
      <c r="C2101" s="3">
        <v>216854</v>
      </c>
      <c r="D2101" s="4" t="s">
        <v>17</v>
      </c>
      <c r="E2101" s="4" t="s">
        <v>1047</v>
      </c>
      <c r="F2101" s="4" t="s">
        <v>32</v>
      </c>
      <c r="G2101" s="4" t="s">
        <v>34</v>
      </c>
      <c r="H2101" s="5">
        <v>-500000</v>
      </c>
      <c r="I2101" s="4" t="s">
        <v>21</v>
      </c>
      <c r="J2101" s="5">
        <f t="shared" si="32"/>
        <v>1806500</v>
      </c>
      <c r="K2101" s="4" t="s">
        <v>48</v>
      </c>
      <c r="L2101" s="6">
        <v>3.613</v>
      </c>
      <c r="M2101" s="6">
        <v>0.27679999999999999</v>
      </c>
      <c r="N2101" s="6">
        <v>3.6036999999999999</v>
      </c>
      <c r="O2101" s="6">
        <v>1</v>
      </c>
      <c r="P2101" s="5">
        <v>4650</v>
      </c>
      <c r="Q2101" s="4" t="s">
        <v>1390</v>
      </c>
    </row>
    <row r="2102" spans="1:17" x14ac:dyDescent="0.3">
      <c r="A2102" s="2" t="s">
        <v>1389</v>
      </c>
      <c r="B2102" s="3">
        <v>156622</v>
      </c>
      <c r="C2102" s="3">
        <v>897097</v>
      </c>
      <c r="D2102" s="4" t="s">
        <v>81</v>
      </c>
      <c r="E2102" s="4" t="s">
        <v>730</v>
      </c>
      <c r="F2102" s="4" t="s">
        <v>83</v>
      </c>
      <c r="G2102" s="4" t="s">
        <v>20</v>
      </c>
      <c r="H2102" s="5">
        <v>-200000</v>
      </c>
      <c r="I2102" s="4" t="s">
        <v>34</v>
      </c>
      <c r="J2102" s="5">
        <f t="shared" si="32"/>
        <v>233160</v>
      </c>
      <c r="K2102" s="4" t="s">
        <v>35</v>
      </c>
      <c r="L2102" s="6">
        <v>1.1657999999999999</v>
      </c>
      <c r="M2102" s="6">
        <v>0.85780000000000001</v>
      </c>
      <c r="N2102" s="6">
        <v>4.2110000000000003</v>
      </c>
      <c r="O2102" s="6">
        <v>3.6139999999999999</v>
      </c>
      <c r="P2102" s="5">
        <v>447.46800000000002</v>
      </c>
      <c r="Q2102" s="4" t="s">
        <v>1396</v>
      </c>
    </row>
    <row r="2103" spans="1:17" x14ac:dyDescent="0.3">
      <c r="A2103" s="2" t="s">
        <v>1389</v>
      </c>
      <c r="B2103" s="3">
        <v>156623</v>
      </c>
      <c r="C2103" s="3">
        <v>216862</v>
      </c>
      <c r="D2103" s="4" t="s">
        <v>17</v>
      </c>
      <c r="E2103" s="4" t="s">
        <v>1168</v>
      </c>
      <c r="F2103" s="4" t="s">
        <v>32</v>
      </c>
      <c r="G2103" s="4" t="s">
        <v>20</v>
      </c>
      <c r="H2103" s="5">
        <v>-90000</v>
      </c>
      <c r="I2103" s="4" t="s">
        <v>21</v>
      </c>
      <c r="J2103" s="5">
        <f t="shared" si="32"/>
        <v>379476</v>
      </c>
      <c r="K2103" s="4" t="s">
        <v>48</v>
      </c>
      <c r="L2103" s="6">
        <v>4.2164000000000001</v>
      </c>
      <c r="M2103" s="6">
        <v>0.23719999999999999</v>
      </c>
      <c r="N2103" s="6">
        <v>4.2096999999999998</v>
      </c>
      <c r="O2103" s="6">
        <v>1</v>
      </c>
      <c r="P2103" s="5">
        <v>567</v>
      </c>
      <c r="Q2103" s="4" t="s">
        <v>1390</v>
      </c>
    </row>
    <row r="2104" spans="1:17" x14ac:dyDescent="0.3">
      <c r="A2104" s="2" t="s">
        <v>1389</v>
      </c>
      <c r="B2104" s="3">
        <v>156624</v>
      </c>
      <c r="C2104" s="3">
        <v>897101</v>
      </c>
      <c r="D2104" s="4" t="s">
        <v>81</v>
      </c>
      <c r="E2104" s="4" t="s">
        <v>735</v>
      </c>
      <c r="F2104" s="4" t="s">
        <v>83</v>
      </c>
      <c r="G2104" s="4" t="s">
        <v>20</v>
      </c>
      <c r="H2104" s="5">
        <v>-100000</v>
      </c>
      <c r="I2104" s="4" t="s">
        <v>34</v>
      </c>
      <c r="J2104" s="5">
        <f t="shared" si="32"/>
        <v>116580</v>
      </c>
      <c r="K2104" s="4" t="s">
        <v>35</v>
      </c>
      <c r="L2104" s="6">
        <v>1.1657999999999999</v>
      </c>
      <c r="M2104" s="6">
        <v>0.85780000000000001</v>
      </c>
      <c r="N2104" s="6">
        <v>4.2110000000000003</v>
      </c>
      <c r="O2104" s="6">
        <v>3.6139999999999999</v>
      </c>
      <c r="P2104" s="5">
        <v>230.96199999999999</v>
      </c>
      <c r="Q2104" s="4" t="s">
        <v>1394</v>
      </c>
    </row>
    <row r="2105" spans="1:17" x14ac:dyDescent="0.3">
      <c r="A2105" s="2" t="s">
        <v>1389</v>
      </c>
      <c r="B2105" s="3">
        <v>156626</v>
      </c>
      <c r="C2105" s="3">
        <v>897114</v>
      </c>
      <c r="D2105" s="4" t="s">
        <v>81</v>
      </c>
      <c r="E2105" s="4" t="s">
        <v>733</v>
      </c>
      <c r="F2105" s="4" t="s">
        <v>83</v>
      </c>
      <c r="G2105" s="4" t="s">
        <v>20</v>
      </c>
      <c r="H2105" s="5">
        <v>-1000000</v>
      </c>
      <c r="I2105" s="4" t="s">
        <v>21</v>
      </c>
      <c r="J2105" s="5">
        <f t="shared" si="32"/>
        <v>4210700</v>
      </c>
      <c r="K2105" s="4" t="s">
        <v>35</v>
      </c>
      <c r="L2105" s="6">
        <v>4.2107000000000001</v>
      </c>
      <c r="M2105" s="6">
        <v>0.23749999999999999</v>
      </c>
      <c r="N2105" s="6">
        <v>4.2110000000000003</v>
      </c>
      <c r="O2105" s="6">
        <v>1</v>
      </c>
      <c r="P2105" s="5">
        <v>-310</v>
      </c>
      <c r="Q2105" s="4" t="s">
        <v>1391</v>
      </c>
    </row>
    <row r="2106" spans="1:17" x14ac:dyDescent="0.3">
      <c r="A2106" s="2" t="s">
        <v>1389</v>
      </c>
      <c r="B2106" s="3">
        <v>156627</v>
      </c>
      <c r="C2106" s="3">
        <v>897115</v>
      </c>
      <c r="D2106" s="4" t="s">
        <v>81</v>
      </c>
      <c r="E2106" s="4" t="s">
        <v>725</v>
      </c>
      <c r="F2106" s="4" t="s">
        <v>83</v>
      </c>
      <c r="G2106" s="4" t="s">
        <v>20</v>
      </c>
      <c r="H2106" s="5">
        <v>-1000000</v>
      </c>
      <c r="I2106" s="4" t="s">
        <v>21</v>
      </c>
      <c r="J2106" s="5">
        <f t="shared" si="32"/>
        <v>4210700</v>
      </c>
      <c r="K2106" s="4" t="s">
        <v>35</v>
      </c>
      <c r="L2106" s="6">
        <v>4.2107000000000001</v>
      </c>
      <c r="M2106" s="6">
        <v>0.23749999999999999</v>
      </c>
      <c r="N2106" s="6">
        <v>4.2110000000000003</v>
      </c>
      <c r="O2106" s="6">
        <v>1</v>
      </c>
      <c r="P2106" s="5">
        <v>-310</v>
      </c>
      <c r="Q2106" s="4" t="s">
        <v>1392</v>
      </c>
    </row>
    <row r="2107" spans="1:17" x14ac:dyDescent="0.3">
      <c r="A2107" s="2" t="s">
        <v>1389</v>
      </c>
      <c r="B2107" s="3">
        <v>156628</v>
      </c>
      <c r="C2107" s="3">
        <v>897116</v>
      </c>
      <c r="D2107" s="4" t="s">
        <v>81</v>
      </c>
      <c r="E2107" s="4" t="s">
        <v>725</v>
      </c>
      <c r="F2107" s="4" t="s">
        <v>83</v>
      </c>
      <c r="G2107" s="4" t="s">
        <v>20</v>
      </c>
      <c r="H2107" s="5">
        <v>-1000000</v>
      </c>
      <c r="I2107" s="4" t="s">
        <v>21</v>
      </c>
      <c r="J2107" s="5">
        <f t="shared" si="32"/>
        <v>4210600</v>
      </c>
      <c r="K2107" s="4" t="s">
        <v>35</v>
      </c>
      <c r="L2107" s="6">
        <v>4.2106000000000003</v>
      </c>
      <c r="M2107" s="6">
        <v>0.23749999999999999</v>
      </c>
      <c r="N2107" s="6">
        <v>4.2110000000000003</v>
      </c>
      <c r="O2107" s="6">
        <v>1</v>
      </c>
      <c r="P2107" s="5">
        <v>-360</v>
      </c>
      <c r="Q2107" s="4" t="s">
        <v>1392</v>
      </c>
    </row>
    <row r="2108" spans="1:17" x14ac:dyDescent="0.3">
      <c r="A2108" s="2" t="s">
        <v>1389</v>
      </c>
      <c r="B2108" s="3">
        <v>156630</v>
      </c>
      <c r="C2108" s="3">
        <v>897122</v>
      </c>
      <c r="D2108" s="4" t="s">
        <v>81</v>
      </c>
      <c r="E2108" s="4" t="s">
        <v>734</v>
      </c>
      <c r="F2108" s="4" t="s">
        <v>83</v>
      </c>
      <c r="G2108" s="4" t="s">
        <v>34</v>
      </c>
      <c r="H2108" s="5">
        <v>-700000</v>
      </c>
      <c r="I2108" s="4" t="s">
        <v>21</v>
      </c>
      <c r="J2108" s="5">
        <f t="shared" si="32"/>
        <v>2527840</v>
      </c>
      <c r="K2108" s="4" t="s">
        <v>35</v>
      </c>
      <c r="L2108" s="6">
        <v>3.6112000000000002</v>
      </c>
      <c r="M2108" s="6">
        <v>0.27689999999999998</v>
      </c>
      <c r="N2108" s="6">
        <v>3.6139999999999999</v>
      </c>
      <c r="O2108" s="6">
        <v>1</v>
      </c>
      <c r="P2108" s="5">
        <v>-1960</v>
      </c>
      <c r="Q2108" s="4" t="s">
        <v>1393</v>
      </c>
    </row>
    <row r="2109" spans="1:17" x14ac:dyDescent="0.3">
      <c r="A2109" s="2" t="s">
        <v>1389</v>
      </c>
      <c r="B2109" s="3">
        <v>156631</v>
      </c>
      <c r="C2109" s="3">
        <v>897125</v>
      </c>
      <c r="D2109" s="4" t="s">
        <v>81</v>
      </c>
      <c r="E2109" s="4" t="s">
        <v>735</v>
      </c>
      <c r="F2109" s="4" t="s">
        <v>87</v>
      </c>
      <c r="G2109" s="4" t="s">
        <v>34</v>
      </c>
      <c r="H2109" s="5">
        <v>500000</v>
      </c>
      <c r="I2109" s="4" t="s">
        <v>21</v>
      </c>
      <c r="J2109" s="5">
        <f t="shared" si="32"/>
        <v>-1805700</v>
      </c>
      <c r="K2109" s="4" t="s">
        <v>35</v>
      </c>
      <c r="L2109" s="6">
        <v>3.6114000000000002</v>
      </c>
      <c r="M2109" s="6">
        <v>0.27689999999999998</v>
      </c>
      <c r="N2109" s="6">
        <v>3.6139999999999999</v>
      </c>
      <c r="O2109" s="6">
        <v>1</v>
      </c>
      <c r="P2109" s="5">
        <v>1300</v>
      </c>
      <c r="Q2109" s="4" t="s">
        <v>1394</v>
      </c>
    </row>
    <row r="2110" spans="1:17" x14ac:dyDescent="0.3">
      <c r="A2110" s="2" t="s">
        <v>1389</v>
      </c>
      <c r="B2110" s="3">
        <v>156632</v>
      </c>
      <c r="C2110" s="3">
        <v>216868</v>
      </c>
      <c r="D2110" s="4" t="s">
        <v>17</v>
      </c>
      <c r="E2110" s="4" t="s">
        <v>1074</v>
      </c>
      <c r="F2110" s="4" t="s">
        <v>19</v>
      </c>
      <c r="G2110" s="4" t="s">
        <v>20</v>
      </c>
      <c r="H2110" s="5">
        <v>40000</v>
      </c>
      <c r="I2110" s="4" t="s">
        <v>21</v>
      </c>
      <c r="J2110" s="5">
        <f t="shared" si="32"/>
        <v>-168020</v>
      </c>
      <c r="K2110" s="4" t="s">
        <v>48</v>
      </c>
      <c r="L2110" s="6">
        <v>4.2004999999999999</v>
      </c>
      <c r="M2110" s="6">
        <v>0.23810000000000001</v>
      </c>
      <c r="N2110" s="6">
        <v>4.2096999999999998</v>
      </c>
      <c r="O2110" s="6">
        <v>1</v>
      </c>
      <c r="P2110" s="5">
        <v>368</v>
      </c>
      <c r="Q2110" s="4" t="s">
        <v>1390</v>
      </c>
    </row>
    <row r="2111" spans="1:17" x14ac:dyDescent="0.3">
      <c r="A2111" s="2" t="s">
        <v>1389</v>
      </c>
      <c r="B2111" s="3">
        <v>156634</v>
      </c>
      <c r="C2111" s="3">
        <v>216869</v>
      </c>
      <c r="D2111" s="4" t="s">
        <v>17</v>
      </c>
      <c r="E2111" s="4" t="s">
        <v>765</v>
      </c>
      <c r="F2111" s="4" t="s">
        <v>32</v>
      </c>
      <c r="G2111" s="4" t="s">
        <v>34</v>
      </c>
      <c r="H2111" s="5">
        <v>-600000</v>
      </c>
      <c r="I2111" s="4" t="s">
        <v>21</v>
      </c>
      <c r="J2111" s="5">
        <f t="shared" si="32"/>
        <v>2169000</v>
      </c>
      <c r="K2111" s="4" t="s">
        <v>48</v>
      </c>
      <c r="L2111" s="6">
        <v>3.6150000000000002</v>
      </c>
      <c r="M2111" s="6">
        <v>0.27660000000000001</v>
      </c>
      <c r="N2111" s="6">
        <v>3.6036999999999999</v>
      </c>
      <c r="O2111" s="6">
        <v>1</v>
      </c>
      <c r="P2111" s="5">
        <v>6780</v>
      </c>
      <c r="Q2111" s="4" t="s">
        <v>1390</v>
      </c>
    </row>
    <row r="2112" spans="1:17" x14ac:dyDescent="0.3">
      <c r="A2112" s="2" t="s">
        <v>1389</v>
      </c>
      <c r="B2112" s="3">
        <v>156637</v>
      </c>
      <c r="C2112" s="3">
        <v>216871</v>
      </c>
      <c r="D2112" s="4" t="s">
        <v>17</v>
      </c>
      <c r="E2112" s="4" t="s">
        <v>1070</v>
      </c>
      <c r="F2112" s="4" t="s">
        <v>32</v>
      </c>
      <c r="G2112" s="4" t="s">
        <v>34</v>
      </c>
      <c r="H2112" s="5">
        <v>-50000</v>
      </c>
      <c r="I2112" s="4" t="s">
        <v>21</v>
      </c>
      <c r="J2112" s="5">
        <f t="shared" si="32"/>
        <v>180650</v>
      </c>
      <c r="K2112" s="4" t="s">
        <v>48</v>
      </c>
      <c r="L2112" s="6">
        <v>3.613</v>
      </c>
      <c r="M2112" s="6">
        <v>0.27679999999999999</v>
      </c>
      <c r="N2112" s="6">
        <v>3.6036999999999999</v>
      </c>
      <c r="O2112" s="6">
        <v>1</v>
      </c>
      <c r="P2112" s="5">
        <v>465</v>
      </c>
      <c r="Q2112" s="4" t="s">
        <v>1390</v>
      </c>
    </row>
    <row r="2113" spans="1:17" x14ac:dyDescent="0.3">
      <c r="A2113" s="2" t="s">
        <v>1389</v>
      </c>
      <c r="B2113" s="3">
        <v>156640</v>
      </c>
      <c r="C2113" s="3">
        <v>216875</v>
      </c>
      <c r="D2113" s="4" t="s">
        <v>17</v>
      </c>
      <c r="E2113" s="4" t="s">
        <v>773</v>
      </c>
      <c r="F2113" s="4" t="s">
        <v>19</v>
      </c>
      <c r="G2113" s="4" t="s">
        <v>20</v>
      </c>
      <c r="H2113" s="5">
        <v>48000</v>
      </c>
      <c r="I2113" s="4" t="s">
        <v>21</v>
      </c>
      <c r="J2113" s="5">
        <f t="shared" si="32"/>
        <v>-201624</v>
      </c>
      <c r="K2113" s="4" t="s">
        <v>48</v>
      </c>
      <c r="L2113" s="6">
        <v>4.2004999999999999</v>
      </c>
      <c r="M2113" s="6">
        <v>0.23810000000000001</v>
      </c>
      <c r="N2113" s="6">
        <v>4.2096999999999998</v>
      </c>
      <c r="O2113" s="6">
        <v>1</v>
      </c>
      <c r="P2113" s="5">
        <v>441.59999999997672</v>
      </c>
      <c r="Q2113" s="4" t="s">
        <v>1390</v>
      </c>
    </row>
    <row r="2114" spans="1:17" x14ac:dyDescent="0.3">
      <c r="A2114" s="2" t="s">
        <v>1389</v>
      </c>
      <c r="B2114" s="3">
        <v>156642</v>
      </c>
      <c r="C2114" s="3">
        <v>216877</v>
      </c>
      <c r="D2114" s="4" t="s">
        <v>17</v>
      </c>
      <c r="E2114" s="4" t="s">
        <v>1034</v>
      </c>
      <c r="F2114" s="4" t="s">
        <v>19</v>
      </c>
      <c r="G2114" s="4" t="s">
        <v>20</v>
      </c>
      <c r="H2114" s="5">
        <v>17500</v>
      </c>
      <c r="I2114" s="4" t="s">
        <v>21</v>
      </c>
      <c r="J2114" s="5">
        <f t="shared" si="32"/>
        <v>-73508.75</v>
      </c>
      <c r="K2114" s="4" t="s">
        <v>48</v>
      </c>
      <c r="L2114" s="6">
        <v>4.2004999999999999</v>
      </c>
      <c r="M2114" s="6">
        <v>0.23810000000000001</v>
      </c>
      <c r="N2114" s="6">
        <v>4.2096999999999998</v>
      </c>
      <c r="O2114" s="6">
        <v>1</v>
      </c>
      <c r="P2114" s="5">
        <v>161</v>
      </c>
      <c r="Q2114" s="4" t="s">
        <v>1390</v>
      </c>
    </row>
    <row r="2115" spans="1:17" x14ac:dyDescent="0.3">
      <c r="A2115" s="2" t="s">
        <v>1389</v>
      </c>
      <c r="B2115" s="3">
        <v>156643</v>
      </c>
      <c r="C2115" s="3">
        <v>897202</v>
      </c>
      <c r="D2115" s="4" t="s">
        <v>81</v>
      </c>
      <c r="E2115" s="4" t="s">
        <v>730</v>
      </c>
      <c r="F2115" s="4" t="s">
        <v>83</v>
      </c>
      <c r="G2115" s="4" t="s">
        <v>20</v>
      </c>
      <c r="H2115" s="5">
        <v>-200000</v>
      </c>
      <c r="I2115" s="4" t="s">
        <v>34</v>
      </c>
      <c r="J2115" s="5">
        <f t="shared" si="32"/>
        <v>233120</v>
      </c>
      <c r="K2115" s="4" t="s">
        <v>35</v>
      </c>
      <c r="L2115" s="6">
        <v>1.1656</v>
      </c>
      <c r="M2115" s="6">
        <v>0.8579</v>
      </c>
      <c r="N2115" s="6">
        <v>4.2110000000000003</v>
      </c>
      <c r="O2115" s="6">
        <v>3.6139999999999999</v>
      </c>
      <c r="P2115" s="5">
        <v>317.36399999999998</v>
      </c>
      <c r="Q2115" s="4" t="s">
        <v>1396</v>
      </c>
    </row>
    <row r="2116" spans="1:17" x14ac:dyDescent="0.3">
      <c r="A2116" s="2" t="s">
        <v>1389</v>
      </c>
      <c r="B2116" s="3">
        <v>156646</v>
      </c>
      <c r="C2116" s="3">
        <v>216880</v>
      </c>
      <c r="D2116" s="4" t="s">
        <v>17</v>
      </c>
      <c r="E2116" s="4" t="s">
        <v>1254</v>
      </c>
      <c r="F2116" s="4" t="s">
        <v>19</v>
      </c>
      <c r="G2116" s="4" t="s">
        <v>20</v>
      </c>
      <c r="H2116" s="5">
        <v>8900</v>
      </c>
      <c r="I2116" s="4" t="s">
        <v>21</v>
      </c>
      <c r="J2116" s="5">
        <f t="shared" ref="J2116:J2179" si="33">-H2116*L2116</f>
        <v>-37383.56</v>
      </c>
      <c r="K2116" s="4" t="s">
        <v>48</v>
      </c>
      <c r="L2116" s="6">
        <v>4.2004000000000001</v>
      </c>
      <c r="M2116" s="6">
        <v>0.23810000000000001</v>
      </c>
      <c r="N2116" s="6">
        <v>4.2096999999999998</v>
      </c>
      <c r="O2116" s="6">
        <v>1</v>
      </c>
      <c r="P2116" s="5">
        <v>82.769999999996799</v>
      </c>
      <c r="Q2116" s="4" t="s">
        <v>1390</v>
      </c>
    </row>
    <row r="2117" spans="1:17" x14ac:dyDescent="0.3">
      <c r="A2117" s="2" t="s">
        <v>1389</v>
      </c>
      <c r="B2117" s="3">
        <v>156647</v>
      </c>
      <c r="C2117" s="3">
        <v>897213</v>
      </c>
      <c r="D2117" s="4" t="s">
        <v>81</v>
      </c>
      <c r="E2117" s="4" t="s">
        <v>730</v>
      </c>
      <c r="F2117" s="4" t="s">
        <v>83</v>
      </c>
      <c r="G2117" s="4" t="s">
        <v>20</v>
      </c>
      <c r="H2117" s="5">
        <v>-500000</v>
      </c>
      <c r="I2117" s="4" t="s">
        <v>21</v>
      </c>
      <c r="J2117" s="5">
        <f t="shared" si="33"/>
        <v>2105900</v>
      </c>
      <c r="K2117" s="4" t="s">
        <v>35</v>
      </c>
      <c r="L2117" s="6">
        <v>4.2118000000000002</v>
      </c>
      <c r="M2117" s="6">
        <v>0.2374</v>
      </c>
      <c r="N2117" s="6">
        <v>4.2110000000000003</v>
      </c>
      <c r="O2117" s="6">
        <v>1</v>
      </c>
      <c r="P2117" s="5">
        <v>375</v>
      </c>
      <c r="Q2117" s="4" t="s">
        <v>1396</v>
      </c>
    </row>
    <row r="2118" spans="1:17" x14ac:dyDescent="0.3">
      <c r="A2118" s="2" t="s">
        <v>1389</v>
      </c>
      <c r="B2118" s="3">
        <v>156648</v>
      </c>
      <c r="C2118" s="3">
        <v>897214</v>
      </c>
      <c r="D2118" s="4" t="s">
        <v>81</v>
      </c>
      <c r="E2118" s="4" t="s">
        <v>735</v>
      </c>
      <c r="F2118" s="4" t="s">
        <v>83</v>
      </c>
      <c r="G2118" s="4" t="s">
        <v>20</v>
      </c>
      <c r="H2118" s="5">
        <v>-500000</v>
      </c>
      <c r="I2118" s="4" t="s">
        <v>21</v>
      </c>
      <c r="J2118" s="5">
        <f t="shared" si="33"/>
        <v>2105850</v>
      </c>
      <c r="K2118" s="4" t="s">
        <v>35</v>
      </c>
      <c r="L2118" s="6">
        <v>4.2117000000000004</v>
      </c>
      <c r="M2118" s="6">
        <v>0.2374</v>
      </c>
      <c r="N2118" s="6">
        <v>4.2110000000000003</v>
      </c>
      <c r="O2118" s="6">
        <v>1</v>
      </c>
      <c r="P2118" s="5">
        <v>350</v>
      </c>
      <c r="Q2118" s="4" t="s">
        <v>1394</v>
      </c>
    </row>
    <row r="2119" spans="1:17" x14ac:dyDescent="0.3">
      <c r="A2119" s="2" t="s">
        <v>1389</v>
      </c>
      <c r="B2119" s="3">
        <v>156649</v>
      </c>
      <c r="C2119" s="3">
        <v>897215</v>
      </c>
      <c r="D2119" s="4" t="s">
        <v>81</v>
      </c>
      <c r="E2119" s="4" t="s">
        <v>725</v>
      </c>
      <c r="F2119" s="4" t="s">
        <v>83</v>
      </c>
      <c r="G2119" s="4" t="s">
        <v>20</v>
      </c>
      <c r="H2119" s="5">
        <v>-1000000</v>
      </c>
      <c r="I2119" s="4" t="s">
        <v>21</v>
      </c>
      <c r="J2119" s="5">
        <f t="shared" si="33"/>
        <v>4212200</v>
      </c>
      <c r="K2119" s="4" t="s">
        <v>35</v>
      </c>
      <c r="L2119" s="6">
        <v>4.2122000000000002</v>
      </c>
      <c r="M2119" s="6">
        <v>0.2374</v>
      </c>
      <c r="N2119" s="6">
        <v>4.2110000000000003</v>
      </c>
      <c r="O2119" s="6">
        <v>1</v>
      </c>
      <c r="P2119" s="5">
        <v>1190</v>
      </c>
      <c r="Q2119" s="4" t="s">
        <v>1392</v>
      </c>
    </row>
    <row r="2120" spans="1:17" x14ac:dyDescent="0.3">
      <c r="A2120" s="2" t="s">
        <v>1389</v>
      </c>
      <c r="B2120" s="3">
        <v>156653</v>
      </c>
      <c r="C2120" s="3">
        <v>897223</v>
      </c>
      <c r="D2120" s="4" t="s">
        <v>81</v>
      </c>
      <c r="E2120" s="4" t="s">
        <v>1100</v>
      </c>
      <c r="F2120" s="4" t="s">
        <v>87</v>
      </c>
      <c r="G2120" s="4" t="s">
        <v>20</v>
      </c>
      <c r="H2120" s="5">
        <v>12370</v>
      </c>
      <c r="I2120" s="4" t="s">
        <v>21</v>
      </c>
      <c r="J2120" s="5">
        <f t="shared" si="33"/>
        <v>-52005.954000000005</v>
      </c>
      <c r="K2120" s="4" t="s">
        <v>35</v>
      </c>
      <c r="L2120" s="6">
        <v>4.2042000000000002</v>
      </c>
      <c r="M2120" s="6">
        <v>0.2379</v>
      </c>
      <c r="N2120" s="6">
        <v>4.2110000000000003</v>
      </c>
      <c r="O2120" s="6">
        <v>1</v>
      </c>
      <c r="P2120" s="5">
        <v>84.12</v>
      </c>
      <c r="Q2120" s="4" t="s">
        <v>1390</v>
      </c>
    </row>
    <row r="2121" spans="1:17" x14ac:dyDescent="0.3">
      <c r="A2121" s="2" t="s">
        <v>1389</v>
      </c>
      <c r="B2121" s="3">
        <v>156654</v>
      </c>
      <c r="C2121" s="3">
        <v>897243</v>
      </c>
      <c r="D2121" s="4" t="s">
        <v>81</v>
      </c>
      <c r="E2121" s="4" t="s">
        <v>739</v>
      </c>
      <c r="F2121" s="4" t="s">
        <v>83</v>
      </c>
      <c r="G2121" s="4" t="s">
        <v>20</v>
      </c>
      <c r="H2121" s="5">
        <v>-82220.149999999994</v>
      </c>
      <c r="I2121" s="4" t="s">
        <v>21</v>
      </c>
      <c r="J2121" s="5">
        <f t="shared" si="33"/>
        <v>346319.49381499999</v>
      </c>
      <c r="K2121" s="4" t="s">
        <v>35</v>
      </c>
      <c r="L2121" s="6">
        <v>4.2121000000000004</v>
      </c>
      <c r="M2121" s="6">
        <v>0.2374</v>
      </c>
      <c r="N2121" s="6">
        <v>4.2110000000000003</v>
      </c>
      <c r="O2121" s="6">
        <v>1</v>
      </c>
      <c r="P2121" s="5">
        <v>92.908349999999999</v>
      </c>
      <c r="Q2121" s="4" t="s">
        <v>1391</v>
      </c>
    </row>
    <row r="2122" spans="1:17" x14ac:dyDescent="0.3">
      <c r="A2122" s="2" t="s">
        <v>1389</v>
      </c>
      <c r="B2122" s="3">
        <v>156655</v>
      </c>
      <c r="C2122" s="3">
        <v>897244</v>
      </c>
      <c r="D2122" s="4" t="s">
        <v>81</v>
      </c>
      <c r="E2122" s="4" t="s">
        <v>739</v>
      </c>
      <c r="F2122" s="4" t="s">
        <v>87</v>
      </c>
      <c r="G2122" s="4" t="s">
        <v>91</v>
      </c>
      <c r="H2122" s="5">
        <v>368.47</v>
      </c>
      <c r="I2122" s="4" t="s">
        <v>21</v>
      </c>
      <c r="J2122" s="5">
        <f t="shared" si="33"/>
        <v>-1790.727353</v>
      </c>
      <c r="K2122" s="4" t="s">
        <v>35</v>
      </c>
      <c r="L2122" s="6">
        <v>4.8598999999999997</v>
      </c>
      <c r="M2122" s="6">
        <v>0.20580000000000001</v>
      </c>
      <c r="N2122" s="6">
        <v>4.8631000000000002</v>
      </c>
      <c r="O2122" s="6">
        <v>1</v>
      </c>
      <c r="P2122" s="5">
        <v>1.1864570000000001</v>
      </c>
      <c r="Q2122" s="4" t="s">
        <v>1391</v>
      </c>
    </row>
    <row r="2123" spans="1:17" x14ac:dyDescent="0.3">
      <c r="A2123" s="2" t="s">
        <v>1389</v>
      </c>
      <c r="B2123" s="3">
        <v>156656</v>
      </c>
      <c r="C2123" s="3">
        <v>897245</v>
      </c>
      <c r="D2123" s="4" t="s">
        <v>81</v>
      </c>
      <c r="E2123" s="4" t="s">
        <v>739</v>
      </c>
      <c r="F2123" s="4" t="s">
        <v>83</v>
      </c>
      <c r="G2123" s="4" t="s">
        <v>34</v>
      </c>
      <c r="H2123" s="5">
        <v>-59747.39</v>
      </c>
      <c r="I2123" s="4" t="s">
        <v>21</v>
      </c>
      <c r="J2123" s="5">
        <f t="shared" si="33"/>
        <v>216088.38541299998</v>
      </c>
      <c r="K2123" s="4" t="s">
        <v>35</v>
      </c>
      <c r="L2123" s="6">
        <v>3.6166999999999998</v>
      </c>
      <c r="M2123" s="6">
        <v>0.27650000000000002</v>
      </c>
      <c r="N2123" s="6">
        <v>3.6139999999999999</v>
      </c>
      <c r="O2123" s="6">
        <v>1</v>
      </c>
      <c r="P2123" s="5">
        <v>160.72254000000001</v>
      </c>
      <c r="Q2123" s="4" t="s">
        <v>1391</v>
      </c>
    </row>
    <row r="2124" spans="1:17" x14ac:dyDescent="0.3">
      <c r="A2124" s="2" t="s">
        <v>1389</v>
      </c>
      <c r="B2124" s="3">
        <v>156657</v>
      </c>
      <c r="C2124" s="3">
        <v>897246</v>
      </c>
      <c r="D2124" s="4" t="s">
        <v>81</v>
      </c>
      <c r="E2124" s="4" t="s">
        <v>739</v>
      </c>
      <c r="F2124" s="4" t="s">
        <v>87</v>
      </c>
      <c r="G2124" s="4" t="s">
        <v>93</v>
      </c>
      <c r="H2124" s="5">
        <v>557.9</v>
      </c>
      <c r="I2124" s="4" t="s">
        <v>21</v>
      </c>
      <c r="J2124" s="5">
        <f t="shared" si="33"/>
        <v>-2521.2616799999996</v>
      </c>
      <c r="K2124" s="4" t="s">
        <v>35</v>
      </c>
      <c r="L2124" s="6">
        <v>4.5191999999999997</v>
      </c>
      <c r="M2124" s="6">
        <v>0.2213</v>
      </c>
      <c r="N2124" s="6">
        <v>4.5058999999999996</v>
      </c>
      <c r="O2124" s="6">
        <v>1</v>
      </c>
      <c r="P2124" s="5">
        <v>-7.4283900000000003</v>
      </c>
      <c r="Q2124" s="4" t="s">
        <v>1391</v>
      </c>
    </row>
    <row r="2125" spans="1:17" x14ac:dyDescent="0.3">
      <c r="A2125" s="2" t="s">
        <v>1389</v>
      </c>
      <c r="B2125" s="3">
        <v>156658</v>
      </c>
      <c r="C2125" s="3">
        <v>897251</v>
      </c>
      <c r="D2125" s="4" t="s">
        <v>81</v>
      </c>
      <c r="E2125" s="4" t="s">
        <v>735</v>
      </c>
      <c r="F2125" s="4" t="s">
        <v>83</v>
      </c>
      <c r="G2125" s="4" t="s">
        <v>20</v>
      </c>
      <c r="H2125" s="5">
        <v>-104363.37</v>
      </c>
      <c r="I2125" s="4" t="s">
        <v>21</v>
      </c>
      <c r="J2125" s="5">
        <f t="shared" si="33"/>
        <v>439672.44147299998</v>
      </c>
      <c r="K2125" s="4" t="s">
        <v>35</v>
      </c>
      <c r="L2125" s="6">
        <v>4.2129000000000003</v>
      </c>
      <c r="M2125" s="6">
        <v>0.2374</v>
      </c>
      <c r="N2125" s="6">
        <v>4.2110000000000003</v>
      </c>
      <c r="O2125" s="6">
        <v>1</v>
      </c>
      <c r="P2125" s="5">
        <v>198.28892999999999</v>
      </c>
      <c r="Q2125" s="4" t="s">
        <v>1394</v>
      </c>
    </row>
    <row r="2126" spans="1:17" x14ac:dyDescent="0.3">
      <c r="A2126" s="2" t="s">
        <v>1389</v>
      </c>
      <c r="B2126" s="3">
        <v>156659</v>
      </c>
      <c r="C2126" s="3">
        <v>897253</v>
      </c>
      <c r="D2126" s="4" t="s">
        <v>81</v>
      </c>
      <c r="E2126" s="4" t="s">
        <v>735</v>
      </c>
      <c r="F2126" s="4" t="s">
        <v>83</v>
      </c>
      <c r="G2126" s="4" t="s">
        <v>20</v>
      </c>
      <c r="H2126" s="5">
        <v>-104950.03</v>
      </c>
      <c r="I2126" s="4" t="s">
        <v>21</v>
      </c>
      <c r="J2126" s="5">
        <f t="shared" si="33"/>
        <v>441965.56633599999</v>
      </c>
      <c r="K2126" s="4" t="s">
        <v>35</v>
      </c>
      <c r="L2126" s="6">
        <v>4.2111999999999998</v>
      </c>
      <c r="M2126" s="6">
        <v>0.23749999999999999</v>
      </c>
      <c r="N2126" s="6">
        <v>4.2110000000000003</v>
      </c>
      <c r="O2126" s="6">
        <v>1</v>
      </c>
      <c r="P2126" s="5">
        <v>20.993670000000002</v>
      </c>
      <c r="Q2126" s="4" t="s">
        <v>1394</v>
      </c>
    </row>
    <row r="2127" spans="1:17" x14ac:dyDescent="0.3">
      <c r="A2127" s="2" t="s">
        <v>1389</v>
      </c>
      <c r="B2127" s="3">
        <v>156660</v>
      </c>
      <c r="C2127" s="3">
        <v>897255</v>
      </c>
      <c r="D2127" s="4" t="s">
        <v>81</v>
      </c>
      <c r="E2127" s="4" t="s">
        <v>734</v>
      </c>
      <c r="F2127" s="4" t="s">
        <v>87</v>
      </c>
      <c r="G2127" s="4" t="s">
        <v>93</v>
      </c>
      <c r="H2127" s="5">
        <v>748.61</v>
      </c>
      <c r="I2127" s="4" t="s">
        <v>21</v>
      </c>
      <c r="J2127" s="5">
        <f t="shared" si="33"/>
        <v>-3381.7708140000004</v>
      </c>
      <c r="K2127" s="4" t="s">
        <v>35</v>
      </c>
      <c r="L2127" s="6">
        <v>4.5174000000000003</v>
      </c>
      <c r="M2127" s="6">
        <v>0.22140000000000001</v>
      </c>
      <c r="N2127" s="6">
        <v>4.5058999999999996</v>
      </c>
      <c r="O2127" s="6">
        <v>1</v>
      </c>
      <c r="P2127" s="5">
        <v>-8.6282010000000007</v>
      </c>
      <c r="Q2127" s="4" t="s">
        <v>1393</v>
      </c>
    </row>
    <row r="2128" spans="1:17" x14ac:dyDescent="0.3">
      <c r="A2128" s="2" t="s">
        <v>1389</v>
      </c>
      <c r="B2128" s="3">
        <v>156661</v>
      </c>
      <c r="C2128" s="3">
        <v>897256</v>
      </c>
      <c r="D2128" s="4" t="s">
        <v>81</v>
      </c>
      <c r="E2128" s="4" t="s">
        <v>734</v>
      </c>
      <c r="F2128" s="4" t="s">
        <v>83</v>
      </c>
      <c r="G2128" s="4" t="s">
        <v>34</v>
      </c>
      <c r="H2128" s="5">
        <v>-21741.93</v>
      </c>
      <c r="I2128" s="4" t="s">
        <v>21</v>
      </c>
      <c r="J2128" s="5">
        <f t="shared" si="33"/>
        <v>78620.993073000005</v>
      </c>
      <c r="K2128" s="4" t="s">
        <v>35</v>
      </c>
      <c r="L2128" s="6">
        <v>3.6160999999999999</v>
      </c>
      <c r="M2128" s="6">
        <v>0.27650000000000002</v>
      </c>
      <c r="N2128" s="6">
        <v>3.6139999999999999</v>
      </c>
      <c r="O2128" s="6">
        <v>1</v>
      </c>
      <c r="P2128" s="5">
        <v>46.09498</v>
      </c>
      <c r="Q2128" s="4" t="s">
        <v>1393</v>
      </c>
    </row>
    <row r="2129" spans="1:17" x14ac:dyDescent="0.3">
      <c r="A2129" s="2" t="s">
        <v>1389</v>
      </c>
      <c r="B2129" s="3">
        <v>156662</v>
      </c>
      <c r="C2129" s="3">
        <v>897257</v>
      </c>
      <c r="D2129" s="4" t="s">
        <v>81</v>
      </c>
      <c r="E2129" s="4" t="s">
        <v>734</v>
      </c>
      <c r="F2129" s="4" t="s">
        <v>83</v>
      </c>
      <c r="G2129" s="4" t="s">
        <v>91</v>
      </c>
      <c r="H2129" s="5">
        <v>-1361.82</v>
      </c>
      <c r="I2129" s="4" t="s">
        <v>21</v>
      </c>
      <c r="J2129" s="5">
        <f t="shared" si="33"/>
        <v>6615.721559999999</v>
      </c>
      <c r="K2129" s="4" t="s">
        <v>35</v>
      </c>
      <c r="L2129" s="6">
        <v>4.8579999999999997</v>
      </c>
      <c r="M2129" s="6">
        <v>0.20580000000000001</v>
      </c>
      <c r="N2129" s="6">
        <v>4.8631000000000002</v>
      </c>
      <c r="O2129" s="6">
        <v>1</v>
      </c>
      <c r="P2129" s="5">
        <v>-6.9468420000000002</v>
      </c>
      <c r="Q2129" s="4" t="s">
        <v>1393</v>
      </c>
    </row>
    <row r="2130" spans="1:17" x14ac:dyDescent="0.3">
      <c r="A2130" s="2" t="s">
        <v>1389</v>
      </c>
      <c r="B2130" s="3">
        <v>156663</v>
      </c>
      <c r="C2130" s="3">
        <v>897258</v>
      </c>
      <c r="D2130" s="4" t="s">
        <v>81</v>
      </c>
      <c r="E2130" s="4" t="s">
        <v>734</v>
      </c>
      <c r="F2130" s="4" t="s">
        <v>83</v>
      </c>
      <c r="G2130" s="4" t="s">
        <v>20</v>
      </c>
      <c r="H2130" s="5">
        <v>-10874.12</v>
      </c>
      <c r="I2130" s="4" t="s">
        <v>21</v>
      </c>
      <c r="J2130" s="5">
        <f t="shared" si="33"/>
        <v>45806.143087999997</v>
      </c>
      <c r="K2130" s="4" t="s">
        <v>35</v>
      </c>
      <c r="L2130" s="6">
        <v>4.2123999999999997</v>
      </c>
      <c r="M2130" s="6">
        <v>0.2374</v>
      </c>
      <c r="N2130" s="6">
        <v>4.2110000000000003</v>
      </c>
      <c r="O2130" s="6">
        <v>1</v>
      </c>
      <c r="P2130" s="5">
        <v>15.44068</v>
      </c>
      <c r="Q2130" s="4" t="s">
        <v>1393</v>
      </c>
    </row>
    <row r="2131" spans="1:17" x14ac:dyDescent="0.3">
      <c r="A2131" s="2" t="s">
        <v>1389</v>
      </c>
      <c r="B2131" s="3">
        <v>156664</v>
      </c>
      <c r="C2131" s="3">
        <v>897263</v>
      </c>
      <c r="D2131" s="4" t="s">
        <v>81</v>
      </c>
      <c r="E2131" s="4" t="s">
        <v>735</v>
      </c>
      <c r="F2131" s="4" t="s">
        <v>87</v>
      </c>
      <c r="G2131" s="4" t="s">
        <v>91</v>
      </c>
      <c r="H2131" s="5">
        <v>54205.25</v>
      </c>
      <c r="I2131" s="4" t="s">
        <v>21</v>
      </c>
      <c r="J2131" s="5">
        <f t="shared" si="33"/>
        <v>-263388.73027499998</v>
      </c>
      <c r="K2131" s="4" t="s">
        <v>22</v>
      </c>
      <c r="L2131" s="6">
        <v>4.8590999999999998</v>
      </c>
      <c r="M2131" s="6">
        <v>0.20580000000000001</v>
      </c>
      <c r="N2131" s="6">
        <v>4.8579999999999997</v>
      </c>
      <c r="O2131" s="6">
        <v>1</v>
      </c>
      <c r="P2131" s="5">
        <v>-59.625500000000002</v>
      </c>
      <c r="Q2131" s="4" t="s">
        <v>1394</v>
      </c>
    </row>
    <row r="2132" spans="1:17" x14ac:dyDescent="0.3">
      <c r="A2132" s="2" t="s">
        <v>1389</v>
      </c>
      <c r="B2132" s="3">
        <v>156665</v>
      </c>
      <c r="C2132" s="3">
        <v>897264</v>
      </c>
      <c r="D2132" s="4" t="s">
        <v>81</v>
      </c>
      <c r="E2132" s="4" t="s">
        <v>735</v>
      </c>
      <c r="F2132" s="4" t="s">
        <v>83</v>
      </c>
      <c r="G2132" s="4" t="s">
        <v>20</v>
      </c>
      <c r="H2132" s="5">
        <v>-66044.89</v>
      </c>
      <c r="I2132" s="4" t="s">
        <v>21</v>
      </c>
      <c r="J2132" s="5">
        <f t="shared" si="33"/>
        <v>278187.68116900005</v>
      </c>
      <c r="K2132" s="4" t="s">
        <v>22</v>
      </c>
      <c r="L2132" s="6">
        <v>4.2121000000000004</v>
      </c>
      <c r="M2132" s="6">
        <v>0.2374</v>
      </c>
      <c r="N2132" s="6">
        <v>4.2068000000000003</v>
      </c>
      <c r="O2132" s="6">
        <v>1</v>
      </c>
      <c r="P2132" s="5">
        <v>350.03674799999999</v>
      </c>
      <c r="Q2132" s="4" t="s">
        <v>1394</v>
      </c>
    </row>
    <row r="2133" spans="1:17" x14ac:dyDescent="0.3">
      <c r="A2133" s="2" t="s">
        <v>1389</v>
      </c>
      <c r="B2133" s="3">
        <v>156666</v>
      </c>
      <c r="C2133" s="3">
        <v>897265</v>
      </c>
      <c r="D2133" s="4" t="s">
        <v>81</v>
      </c>
      <c r="E2133" s="4" t="s">
        <v>735</v>
      </c>
      <c r="F2133" s="4" t="s">
        <v>87</v>
      </c>
      <c r="G2133" s="4" t="s">
        <v>93</v>
      </c>
      <c r="H2133" s="5">
        <v>146.93</v>
      </c>
      <c r="I2133" s="4" t="s">
        <v>21</v>
      </c>
      <c r="J2133" s="5">
        <f t="shared" si="33"/>
        <v>-664.03544199999999</v>
      </c>
      <c r="K2133" s="4" t="s">
        <v>22</v>
      </c>
      <c r="L2133" s="6">
        <v>4.5194000000000001</v>
      </c>
      <c r="M2133" s="6">
        <v>0.2213</v>
      </c>
      <c r="N2133" s="6">
        <v>4.5164</v>
      </c>
      <c r="O2133" s="6">
        <v>1</v>
      </c>
      <c r="P2133" s="5">
        <v>-0.44534800000000002</v>
      </c>
      <c r="Q2133" s="4" t="s">
        <v>1394</v>
      </c>
    </row>
    <row r="2134" spans="1:17" x14ac:dyDescent="0.3">
      <c r="A2134" s="2" t="s">
        <v>1389</v>
      </c>
      <c r="B2134" s="3">
        <v>156667</v>
      </c>
      <c r="C2134" s="3">
        <v>897266</v>
      </c>
      <c r="D2134" s="4" t="s">
        <v>81</v>
      </c>
      <c r="E2134" s="4" t="s">
        <v>734</v>
      </c>
      <c r="F2134" s="4" t="s">
        <v>83</v>
      </c>
      <c r="G2134" s="4" t="s">
        <v>34</v>
      </c>
      <c r="H2134" s="5">
        <v>-76517.7</v>
      </c>
      <c r="I2134" s="4" t="s">
        <v>21</v>
      </c>
      <c r="J2134" s="5">
        <f t="shared" si="33"/>
        <v>276779.82444</v>
      </c>
      <c r="K2134" s="4" t="s">
        <v>22</v>
      </c>
      <c r="L2134" s="6">
        <v>3.6172</v>
      </c>
      <c r="M2134" s="6">
        <v>0.27650000000000002</v>
      </c>
      <c r="N2134" s="6">
        <v>3.6153</v>
      </c>
      <c r="O2134" s="6">
        <v>1</v>
      </c>
      <c r="P2134" s="5">
        <v>146.90919</v>
      </c>
      <c r="Q2134" s="4" t="s">
        <v>1393</v>
      </c>
    </row>
    <row r="2135" spans="1:17" x14ac:dyDescent="0.3">
      <c r="A2135" s="2" t="s">
        <v>1389</v>
      </c>
      <c r="B2135" s="3">
        <v>156668</v>
      </c>
      <c r="C2135" s="3">
        <v>897305</v>
      </c>
      <c r="D2135" s="4" t="s">
        <v>81</v>
      </c>
      <c r="E2135" s="4" t="s">
        <v>730</v>
      </c>
      <c r="F2135" s="4" t="s">
        <v>83</v>
      </c>
      <c r="G2135" s="4" t="s">
        <v>20</v>
      </c>
      <c r="H2135" s="5">
        <v>-41386.660000000003</v>
      </c>
      <c r="I2135" s="4" t="s">
        <v>21</v>
      </c>
      <c r="J2135" s="5">
        <f t="shared" si="33"/>
        <v>174270.94792800001</v>
      </c>
      <c r="K2135" s="4" t="s">
        <v>22</v>
      </c>
      <c r="L2135" s="6">
        <v>4.2107999999999999</v>
      </c>
      <c r="M2135" s="6">
        <v>0.23749999999999999</v>
      </c>
      <c r="N2135" s="6">
        <v>4.2068000000000003</v>
      </c>
      <c r="O2135" s="6">
        <v>1</v>
      </c>
      <c r="P2135" s="5">
        <v>163.888712</v>
      </c>
      <c r="Q2135" s="4" t="s">
        <v>1396</v>
      </c>
    </row>
    <row r="2136" spans="1:17" x14ac:dyDescent="0.3">
      <c r="A2136" s="2" t="s">
        <v>1389</v>
      </c>
      <c r="B2136" s="3">
        <v>156669</v>
      </c>
      <c r="C2136" s="3">
        <v>897306</v>
      </c>
      <c r="D2136" s="4" t="s">
        <v>81</v>
      </c>
      <c r="E2136" s="4" t="s">
        <v>730</v>
      </c>
      <c r="F2136" s="4" t="s">
        <v>83</v>
      </c>
      <c r="G2136" s="4" t="s">
        <v>93</v>
      </c>
      <c r="H2136" s="5">
        <v>-151.96</v>
      </c>
      <c r="I2136" s="4" t="s">
        <v>21</v>
      </c>
      <c r="J2136" s="5">
        <f t="shared" si="33"/>
        <v>685.67391200000009</v>
      </c>
      <c r="K2136" s="4" t="s">
        <v>22</v>
      </c>
      <c r="L2136" s="6">
        <v>4.5122</v>
      </c>
      <c r="M2136" s="6">
        <v>0.22159999999999999</v>
      </c>
      <c r="N2136" s="6">
        <v>4.5164</v>
      </c>
      <c r="O2136" s="6">
        <v>1</v>
      </c>
      <c r="P2136" s="5">
        <v>-0.64214400000000005</v>
      </c>
      <c r="Q2136" s="4" t="s">
        <v>1396</v>
      </c>
    </row>
    <row r="2137" spans="1:17" x14ac:dyDescent="0.3">
      <c r="A2137" s="2" t="s">
        <v>1389</v>
      </c>
      <c r="B2137" s="3">
        <v>156670</v>
      </c>
      <c r="C2137" s="3">
        <v>897307</v>
      </c>
      <c r="D2137" s="4" t="s">
        <v>81</v>
      </c>
      <c r="E2137" s="4" t="s">
        <v>735</v>
      </c>
      <c r="F2137" s="4" t="s">
        <v>83</v>
      </c>
      <c r="G2137" s="4" t="s">
        <v>91</v>
      </c>
      <c r="H2137" s="5">
        <v>-790</v>
      </c>
      <c r="I2137" s="4" t="s">
        <v>21</v>
      </c>
      <c r="J2137" s="5">
        <f t="shared" si="33"/>
        <v>3839.163</v>
      </c>
      <c r="K2137" s="4" t="s">
        <v>22</v>
      </c>
      <c r="L2137" s="6">
        <v>4.8597000000000001</v>
      </c>
      <c r="M2137" s="6">
        <v>0.20580000000000001</v>
      </c>
      <c r="N2137" s="6">
        <v>4.8579999999999997</v>
      </c>
      <c r="O2137" s="6">
        <v>1</v>
      </c>
      <c r="P2137" s="5">
        <v>1.34</v>
      </c>
      <c r="Q2137" s="4" t="s">
        <v>1394</v>
      </c>
    </row>
    <row r="2138" spans="1:17" x14ac:dyDescent="0.3">
      <c r="A2138" s="2" t="s">
        <v>1389</v>
      </c>
      <c r="B2138" s="3">
        <v>156671</v>
      </c>
      <c r="C2138" s="3">
        <v>897308</v>
      </c>
      <c r="D2138" s="4" t="s">
        <v>81</v>
      </c>
      <c r="E2138" s="4" t="s">
        <v>730</v>
      </c>
      <c r="F2138" s="4" t="s">
        <v>83</v>
      </c>
      <c r="G2138" s="4" t="s">
        <v>34</v>
      </c>
      <c r="H2138" s="5">
        <v>-51701.09</v>
      </c>
      <c r="I2138" s="4" t="s">
        <v>21</v>
      </c>
      <c r="J2138" s="5">
        <f t="shared" si="33"/>
        <v>186951.14144000001</v>
      </c>
      <c r="K2138" s="4" t="s">
        <v>22</v>
      </c>
      <c r="L2138" s="6">
        <v>3.6160000000000001</v>
      </c>
      <c r="M2138" s="6">
        <v>0.27650000000000002</v>
      </c>
      <c r="N2138" s="6">
        <v>3.6153</v>
      </c>
      <c r="O2138" s="6">
        <v>1</v>
      </c>
      <c r="P2138" s="5">
        <v>36.189323000000002</v>
      </c>
      <c r="Q2138" s="4" t="s">
        <v>1396</v>
      </c>
    </row>
    <row r="2139" spans="1:17" x14ac:dyDescent="0.3">
      <c r="A2139" s="2" t="s">
        <v>1389</v>
      </c>
      <c r="B2139" s="3">
        <v>156672</v>
      </c>
      <c r="C2139" s="3">
        <v>216888</v>
      </c>
      <c r="D2139" s="4" t="s">
        <v>17</v>
      </c>
      <c r="E2139" s="4" t="s">
        <v>734</v>
      </c>
      <c r="F2139" s="4" t="s">
        <v>19</v>
      </c>
      <c r="G2139" s="4" t="s">
        <v>20</v>
      </c>
      <c r="H2139" s="5">
        <v>201827.37</v>
      </c>
      <c r="I2139" s="4" t="s">
        <v>21</v>
      </c>
      <c r="J2139" s="5">
        <f t="shared" si="33"/>
        <v>-849995.96875500004</v>
      </c>
      <c r="K2139" s="4" t="s">
        <v>37</v>
      </c>
      <c r="L2139" s="6">
        <v>4.2115</v>
      </c>
      <c r="M2139" s="6">
        <v>0.2374</v>
      </c>
      <c r="N2139" s="6">
        <v>4.2115999999999998</v>
      </c>
      <c r="O2139" s="6">
        <v>1</v>
      </c>
      <c r="P2139" s="5">
        <v>20.182736999937333</v>
      </c>
      <c r="Q2139" s="4" t="s">
        <v>1393</v>
      </c>
    </row>
    <row r="2140" spans="1:17" x14ac:dyDescent="0.3">
      <c r="A2140" s="2" t="s">
        <v>1389</v>
      </c>
      <c r="B2140" s="3">
        <v>156673</v>
      </c>
      <c r="C2140" s="3">
        <v>897317</v>
      </c>
      <c r="D2140" s="4" t="s">
        <v>81</v>
      </c>
      <c r="E2140" s="4" t="s">
        <v>734</v>
      </c>
      <c r="F2140" s="4" t="s">
        <v>83</v>
      </c>
      <c r="G2140" s="4" t="s">
        <v>20</v>
      </c>
      <c r="H2140" s="5">
        <v>-118711.15</v>
      </c>
      <c r="I2140" s="4" t="s">
        <v>21</v>
      </c>
      <c r="J2140" s="5">
        <f t="shared" si="33"/>
        <v>500177.55940999999</v>
      </c>
      <c r="K2140" s="4" t="s">
        <v>22</v>
      </c>
      <c r="L2140" s="6">
        <v>4.2134</v>
      </c>
      <c r="M2140" s="6">
        <v>0.23730000000000001</v>
      </c>
      <c r="N2140" s="6">
        <v>4.2068000000000003</v>
      </c>
      <c r="O2140" s="6">
        <v>1</v>
      </c>
      <c r="P2140" s="5">
        <v>778.74418000000003</v>
      </c>
      <c r="Q2140" s="4" t="s">
        <v>1393</v>
      </c>
    </row>
    <row r="2141" spans="1:17" x14ac:dyDescent="0.3">
      <c r="A2141" s="2" t="s">
        <v>1389</v>
      </c>
      <c r="B2141" s="3">
        <v>156674</v>
      </c>
      <c r="C2141" s="3">
        <v>216891</v>
      </c>
      <c r="D2141" s="4" t="s">
        <v>17</v>
      </c>
      <c r="E2141" s="4" t="s">
        <v>735</v>
      </c>
      <c r="F2141" s="4" t="s">
        <v>32</v>
      </c>
      <c r="G2141" s="4" t="s">
        <v>20</v>
      </c>
      <c r="H2141" s="5">
        <v>-25000</v>
      </c>
      <c r="I2141" s="4" t="s">
        <v>21</v>
      </c>
      <c r="J2141" s="5">
        <f t="shared" si="33"/>
        <v>105297.5</v>
      </c>
      <c r="K2141" s="4" t="s">
        <v>37</v>
      </c>
      <c r="L2141" s="6">
        <v>4.2119</v>
      </c>
      <c r="M2141" s="6">
        <v>0.2374</v>
      </c>
      <c r="N2141" s="6">
        <v>4.2115999999999998</v>
      </c>
      <c r="O2141" s="6">
        <v>1</v>
      </c>
      <c r="P2141" s="5">
        <v>-5.5</v>
      </c>
      <c r="Q2141" s="4" t="s">
        <v>1394</v>
      </c>
    </row>
    <row r="2142" spans="1:17" x14ac:dyDescent="0.3">
      <c r="A2142" s="2" t="s">
        <v>1389</v>
      </c>
      <c r="B2142" s="3">
        <v>156675</v>
      </c>
      <c r="C2142" s="3">
        <v>897325</v>
      </c>
      <c r="D2142" s="4" t="s">
        <v>81</v>
      </c>
      <c r="E2142" s="4" t="s">
        <v>734</v>
      </c>
      <c r="F2142" s="4" t="s">
        <v>83</v>
      </c>
      <c r="G2142" s="4" t="s">
        <v>20</v>
      </c>
      <c r="H2142" s="5">
        <v>-500000</v>
      </c>
      <c r="I2142" s="4" t="s">
        <v>21</v>
      </c>
      <c r="J2142" s="5">
        <f t="shared" si="33"/>
        <v>2106150</v>
      </c>
      <c r="K2142" s="4" t="s">
        <v>22</v>
      </c>
      <c r="L2142" s="6">
        <v>4.2122999999999999</v>
      </c>
      <c r="M2142" s="6">
        <v>0.2374</v>
      </c>
      <c r="N2142" s="6">
        <v>4.2068000000000003</v>
      </c>
      <c r="O2142" s="6">
        <v>1</v>
      </c>
      <c r="P2142" s="5">
        <v>2750</v>
      </c>
      <c r="Q2142" s="4" t="s">
        <v>1393</v>
      </c>
    </row>
    <row r="2143" spans="1:17" x14ac:dyDescent="0.3">
      <c r="A2143" s="2" t="s">
        <v>1389</v>
      </c>
      <c r="B2143" s="3">
        <v>156676</v>
      </c>
      <c r="C2143" s="3">
        <v>897329</v>
      </c>
      <c r="D2143" s="4" t="s">
        <v>81</v>
      </c>
      <c r="E2143" s="4" t="s">
        <v>743</v>
      </c>
      <c r="F2143" s="4" t="s">
        <v>83</v>
      </c>
      <c r="G2143" s="4" t="s">
        <v>34</v>
      </c>
      <c r="H2143" s="5">
        <v>-23898.59</v>
      </c>
      <c r="I2143" s="4" t="s">
        <v>21</v>
      </c>
      <c r="J2143" s="5">
        <f t="shared" si="33"/>
        <v>86407.742004</v>
      </c>
      <c r="K2143" s="4" t="s">
        <v>22</v>
      </c>
      <c r="L2143" s="6">
        <v>3.6156000000000001</v>
      </c>
      <c r="M2143" s="6">
        <v>0.27660000000000001</v>
      </c>
      <c r="N2143" s="6">
        <v>3.6153</v>
      </c>
      <c r="O2143" s="6">
        <v>1</v>
      </c>
      <c r="P2143" s="5">
        <v>8.1275729999999999</v>
      </c>
      <c r="Q2143" s="4" t="s">
        <v>1395</v>
      </c>
    </row>
    <row r="2144" spans="1:17" x14ac:dyDescent="0.3">
      <c r="A2144" s="2" t="s">
        <v>1389</v>
      </c>
      <c r="B2144" s="3">
        <v>156677</v>
      </c>
      <c r="C2144" s="3">
        <v>897330</v>
      </c>
      <c r="D2144" s="4" t="s">
        <v>81</v>
      </c>
      <c r="E2144" s="4" t="s">
        <v>735</v>
      </c>
      <c r="F2144" s="4" t="s">
        <v>83</v>
      </c>
      <c r="G2144" s="4" t="s">
        <v>91</v>
      </c>
      <c r="H2144" s="5">
        <v>-7943.67</v>
      </c>
      <c r="I2144" s="4" t="s">
        <v>21</v>
      </c>
      <c r="J2144" s="5">
        <f t="shared" si="33"/>
        <v>38621.329173000006</v>
      </c>
      <c r="K2144" s="4" t="s">
        <v>22</v>
      </c>
      <c r="L2144" s="6">
        <v>4.8619000000000003</v>
      </c>
      <c r="M2144" s="6">
        <v>0.20569999999999999</v>
      </c>
      <c r="N2144" s="6">
        <v>4.8579999999999997</v>
      </c>
      <c r="O2144" s="6">
        <v>1</v>
      </c>
      <c r="P2144" s="5">
        <v>30.98114</v>
      </c>
      <c r="Q2144" s="4" t="s">
        <v>1394</v>
      </c>
    </row>
    <row r="2145" spans="1:17" x14ac:dyDescent="0.3">
      <c r="A2145" s="2" t="s">
        <v>1389</v>
      </c>
      <c r="B2145" s="3">
        <v>156678</v>
      </c>
      <c r="C2145" s="3">
        <v>897331</v>
      </c>
      <c r="D2145" s="4" t="s">
        <v>81</v>
      </c>
      <c r="E2145" s="4" t="s">
        <v>743</v>
      </c>
      <c r="F2145" s="4" t="s">
        <v>83</v>
      </c>
      <c r="G2145" s="4" t="s">
        <v>93</v>
      </c>
      <c r="H2145" s="5">
        <v>-12449.2</v>
      </c>
      <c r="I2145" s="4" t="s">
        <v>21</v>
      </c>
      <c r="J2145" s="5">
        <f t="shared" si="33"/>
        <v>56211.872759999998</v>
      </c>
      <c r="K2145" s="4" t="s">
        <v>22</v>
      </c>
      <c r="L2145" s="6">
        <v>4.5152999999999999</v>
      </c>
      <c r="M2145" s="6">
        <v>0.2215</v>
      </c>
      <c r="N2145" s="6">
        <v>4.5164</v>
      </c>
      <c r="O2145" s="6">
        <v>1</v>
      </c>
      <c r="P2145" s="5">
        <v>-13.566879999999999</v>
      </c>
      <c r="Q2145" s="4" t="s">
        <v>1395</v>
      </c>
    </row>
    <row r="2146" spans="1:17" x14ac:dyDescent="0.3">
      <c r="A2146" s="2" t="s">
        <v>1389</v>
      </c>
      <c r="B2146" s="3">
        <v>156679</v>
      </c>
      <c r="C2146" s="3">
        <v>897332</v>
      </c>
      <c r="D2146" s="4" t="s">
        <v>81</v>
      </c>
      <c r="E2146" s="4" t="s">
        <v>734</v>
      </c>
      <c r="F2146" s="4" t="s">
        <v>83</v>
      </c>
      <c r="G2146" s="4" t="s">
        <v>20</v>
      </c>
      <c r="H2146" s="5">
        <v>-22248.799999999999</v>
      </c>
      <c r="I2146" s="4" t="s">
        <v>21</v>
      </c>
      <c r="J2146" s="5">
        <f t="shared" si="33"/>
        <v>93709.720719999998</v>
      </c>
      <c r="K2146" s="4" t="s">
        <v>22</v>
      </c>
      <c r="L2146" s="6">
        <v>4.2119</v>
      </c>
      <c r="M2146" s="6">
        <v>0.2374</v>
      </c>
      <c r="N2146" s="6">
        <v>4.2068000000000003</v>
      </c>
      <c r="O2146" s="6">
        <v>1</v>
      </c>
      <c r="P2146" s="5">
        <v>114.35816</v>
      </c>
      <c r="Q2146" s="4" t="s">
        <v>1393</v>
      </c>
    </row>
    <row r="2147" spans="1:17" x14ac:dyDescent="0.3">
      <c r="A2147" s="2" t="s">
        <v>1389</v>
      </c>
      <c r="B2147" s="3">
        <v>156680</v>
      </c>
      <c r="C2147" s="3">
        <v>216892</v>
      </c>
      <c r="D2147" s="4" t="s">
        <v>17</v>
      </c>
      <c r="E2147" s="4" t="s">
        <v>743</v>
      </c>
      <c r="F2147" s="4" t="s">
        <v>19</v>
      </c>
      <c r="G2147" s="4" t="s">
        <v>34</v>
      </c>
      <c r="H2147" s="5">
        <v>33205</v>
      </c>
      <c r="I2147" s="4" t="s">
        <v>21</v>
      </c>
      <c r="J2147" s="5">
        <f t="shared" si="33"/>
        <v>-120059.31849999999</v>
      </c>
      <c r="K2147" s="4" t="s">
        <v>37</v>
      </c>
      <c r="L2147" s="6">
        <v>3.6156999999999999</v>
      </c>
      <c r="M2147" s="6">
        <v>0.27660000000000001</v>
      </c>
      <c r="N2147" s="6">
        <v>3.6082999999999998</v>
      </c>
      <c r="O2147" s="6">
        <v>1</v>
      </c>
      <c r="P2147" s="5">
        <v>-245.71700000000419</v>
      </c>
      <c r="Q2147" s="4" t="s">
        <v>1395</v>
      </c>
    </row>
    <row r="2148" spans="1:17" x14ac:dyDescent="0.3">
      <c r="A2148" s="2" t="s">
        <v>1389</v>
      </c>
      <c r="B2148" s="3">
        <v>156681</v>
      </c>
      <c r="C2148" s="3">
        <v>216894</v>
      </c>
      <c r="D2148" s="4" t="s">
        <v>17</v>
      </c>
      <c r="E2148" s="4" t="s">
        <v>739</v>
      </c>
      <c r="F2148" s="4" t="s">
        <v>19</v>
      </c>
      <c r="G2148" s="4" t="s">
        <v>34</v>
      </c>
      <c r="H2148" s="5">
        <v>50000</v>
      </c>
      <c r="I2148" s="4" t="s">
        <v>21</v>
      </c>
      <c r="J2148" s="5">
        <f t="shared" si="33"/>
        <v>-180785</v>
      </c>
      <c r="K2148" s="4" t="s">
        <v>37</v>
      </c>
      <c r="L2148" s="6">
        <v>3.6156999999999999</v>
      </c>
      <c r="M2148" s="6">
        <v>0.27660000000000001</v>
      </c>
      <c r="N2148" s="6">
        <v>3.6082999999999998</v>
      </c>
      <c r="O2148" s="6">
        <v>1</v>
      </c>
      <c r="P2148" s="5">
        <v>-370</v>
      </c>
      <c r="Q2148" s="4" t="s">
        <v>1391</v>
      </c>
    </row>
    <row r="2149" spans="1:17" x14ac:dyDescent="0.3">
      <c r="A2149" s="2" t="s">
        <v>1389</v>
      </c>
      <c r="B2149" s="3">
        <v>156682</v>
      </c>
      <c r="C2149" s="3">
        <v>216895</v>
      </c>
      <c r="D2149" s="4" t="s">
        <v>17</v>
      </c>
      <c r="E2149" s="4" t="s">
        <v>950</v>
      </c>
      <c r="F2149" s="4" t="s">
        <v>32</v>
      </c>
      <c r="G2149" s="4" t="s">
        <v>34</v>
      </c>
      <c r="H2149" s="5">
        <v>-50000</v>
      </c>
      <c r="I2149" s="4" t="s">
        <v>21</v>
      </c>
      <c r="J2149" s="5">
        <f t="shared" si="33"/>
        <v>181040</v>
      </c>
      <c r="K2149" s="4" t="s">
        <v>37</v>
      </c>
      <c r="L2149" s="6">
        <v>3.6208</v>
      </c>
      <c r="M2149" s="6">
        <v>0.2762</v>
      </c>
      <c r="N2149" s="6">
        <v>3.6082999999999998</v>
      </c>
      <c r="O2149" s="6">
        <v>1</v>
      </c>
      <c r="P2149" s="5">
        <v>625</v>
      </c>
      <c r="Q2149" s="4" t="s">
        <v>1390</v>
      </c>
    </row>
    <row r="2150" spans="1:17" x14ac:dyDescent="0.3">
      <c r="A2150" s="2" t="s">
        <v>1389</v>
      </c>
      <c r="B2150" s="3">
        <v>156683</v>
      </c>
      <c r="C2150" s="3">
        <v>216897</v>
      </c>
      <c r="D2150" s="4" t="s">
        <v>17</v>
      </c>
      <c r="E2150" s="4" t="s">
        <v>739</v>
      </c>
      <c r="F2150" s="4" t="s">
        <v>32</v>
      </c>
      <c r="G2150" s="4" t="s">
        <v>20</v>
      </c>
      <c r="H2150" s="5">
        <v>-14400</v>
      </c>
      <c r="I2150" s="4" t="s">
        <v>21</v>
      </c>
      <c r="J2150" s="5">
        <f t="shared" si="33"/>
        <v>60654.240000000005</v>
      </c>
      <c r="K2150" s="4" t="s">
        <v>37</v>
      </c>
      <c r="L2150" s="6">
        <v>4.2121000000000004</v>
      </c>
      <c r="M2150" s="6">
        <v>0.2374</v>
      </c>
      <c r="N2150" s="6">
        <v>4.2115999999999998</v>
      </c>
      <c r="O2150" s="6">
        <v>1</v>
      </c>
      <c r="P2150" s="5">
        <v>0.45</v>
      </c>
      <c r="Q2150" s="4" t="s">
        <v>1391</v>
      </c>
    </row>
    <row r="2151" spans="1:17" x14ac:dyDescent="0.3">
      <c r="A2151" s="2" t="s">
        <v>1389</v>
      </c>
      <c r="B2151" s="3">
        <v>156684</v>
      </c>
      <c r="C2151" s="3">
        <v>216899</v>
      </c>
      <c r="D2151" s="4" t="s">
        <v>17</v>
      </c>
      <c r="E2151" s="4" t="s">
        <v>743</v>
      </c>
      <c r="F2151" s="4" t="s">
        <v>19</v>
      </c>
      <c r="G2151" s="4" t="s">
        <v>20</v>
      </c>
      <c r="H2151" s="5">
        <v>20840</v>
      </c>
      <c r="I2151" s="4" t="s">
        <v>21</v>
      </c>
      <c r="J2151" s="5">
        <f t="shared" si="33"/>
        <v>-87790.584000000003</v>
      </c>
      <c r="K2151" s="4" t="s">
        <v>37</v>
      </c>
      <c r="L2151" s="6">
        <v>4.2126000000000001</v>
      </c>
      <c r="M2151" s="6">
        <v>0.2374</v>
      </c>
      <c r="N2151" s="6">
        <v>4.2115999999999998</v>
      </c>
      <c r="O2151" s="6">
        <v>1</v>
      </c>
      <c r="P2151" s="5">
        <v>-20.840000000011059</v>
      </c>
      <c r="Q2151" s="4" t="s">
        <v>1395</v>
      </c>
    </row>
    <row r="2152" spans="1:17" x14ac:dyDescent="0.3">
      <c r="A2152" s="2" t="s">
        <v>1389</v>
      </c>
      <c r="B2152" s="3">
        <v>156685</v>
      </c>
      <c r="C2152" s="3">
        <v>216900</v>
      </c>
      <c r="D2152" s="4" t="s">
        <v>17</v>
      </c>
      <c r="E2152" s="4" t="s">
        <v>739</v>
      </c>
      <c r="F2152" s="4" t="s">
        <v>32</v>
      </c>
      <c r="G2152" s="4" t="s">
        <v>20</v>
      </c>
      <c r="H2152" s="5">
        <v>-60000</v>
      </c>
      <c r="I2152" s="4" t="s">
        <v>21</v>
      </c>
      <c r="J2152" s="5">
        <f t="shared" si="33"/>
        <v>252714</v>
      </c>
      <c r="K2152" s="4" t="s">
        <v>37</v>
      </c>
      <c r="L2152" s="6">
        <v>4.2119</v>
      </c>
      <c r="M2152" s="6">
        <v>0.2374</v>
      </c>
      <c r="N2152" s="6">
        <v>4.2115999999999998</v>
      </c>
      <c r="O2152" s="6">
        <v>1</v>
      </c>
      <c r="P2152" s="5">
        <v>-12.6</v>
      </c>
      <c r="Q2152" s="4" t="s">
        <v>1391</v>
      </c>
    </row>
    <row r="2153" spans="1:17" x14ac:dyDescent="0.3">
      <c r="A2153" s="2" t="s">
        <v>1389</v>
      </c>
      <c r="B2153" s="3">
        <v>156686</v>
      </c>
      <c r="C2153" s="3">
        <v>216902</v>
      </c>
      <c r="D2153" s="4" t="s">
        <v>17</v>
      </c>
      <c r="E2153" s="4" t="s">
        <v>730</v>
      </c>
      <c r="F2153" s="4" t="s">
        <v>19</v>
      </c>
      <c r="G2153" s="4" t="s">
        <v>20</v>
      </c>
      <c r="H2153" s="5">
        <v>1225</v>
      </c>
      <c r="I2153" s="4" t="s">
        <v>21</v>
      </c>
      <c r="J2153" s="5">
        <f t="shared" si="33"/>
        <v>-5160.1899999999996</v>
      </c>
      <c r="K2153" s="4" t="s">
        <v>37</v>
      </c>
      <c r="L2153" s="6">
        <v>4.2123999999999997</v>
      </c>
      <c r="M2153" s="6">
        <v>0.2374</v>
      </c>
      <c r="N2153" s="6">
        <v>4.2115999999999998</v>
      </c>
      <c r="O2153" s="6">
        <v>1</v>
      </c>
      <c r="P2153" s="5">
        <v>-0.97999999999956344</v>
      </c>
      <c r="Q2153" s="4" t="s">
        <v>1396</v>
      </c>
    </row>
    <row r="2154" spans="1:17" x14ac:dyDescent="0.3">
      <c r="A2154" s="2" t="s">
        <v>1389</v>
      </c>
      <c r="B2154" s="3">
        <v>156689</v>
      </c>
      <c r="C2154" s="3">
        <v>216913</v>
      </c>
      <c r="D2154" s="4" t="s">
        <v>17</v>
      </c>
      <c r="E2154" s="4" t="s">
        <v>1254</v>
      </c>
      <c r="F2154" s="4" t="s">
        <v>19</v>
      </c>
      <c r="G2154" s="4" t="s">
        <v>20</v>
      </c>
      <c r="H2154" s="5">
        <v>17500</v>
      </c>
      <c r="I2154" s="4" t="s">
        <v>21</v>
      </c>
      <c r="J2154" s="5">
        <f t="shared" si="33"/>
        <v>-73508.75</v>
      </c>
      <c r="K2154" s="4" t="s">
        <v>37</v>
      </c>
      <c r="L2154" s="6">
        <v>4.2004999999999999</v>
      </c>
      <c r="M2154" s="6">
        <v>0.23810000000000001</v>
      </c>
      <c r="N2154" s="6">
        <v>4.2115999999999998</v>
      </c>
      <c r="O2154" s="6">
        <v>1</v>
      </c>
      <c r="P2154" s="5">
        <v>194.25</v>
      </c>
      <c r="Q2154" s="4" t="s">
        <v>1390</v>
      </c>
    </row>
    <row r="2155" spans="1:17" x14ac:dyDescent="0.3">
      <c r="A2155" s="2" t="s">
        <v>1389</v>
      </c>
      <c r="B2155" s="3">
        <v>156690</v>
      </c>
      <c r="C2155" s="3">
        <v>897450</v>
      </c>
      <c r="D2155" s="4" t="s">
        <v>81</v>
      </c>
      <c r="E2155" s="4" t="s">
        <v>730</v>
      </c>
      <c r="F2155" s="4" t="s">
        <v>87</v>
      </c>
      <c r="G2155" s="4" t="s">
        <v>20</v>
      </c>
      <c r="H2155" s="5">
        <v>500000</v>
      </c>
      <c r="I2155" s="4" t="s">
        <v>21</v>
      </c>
      <c r="J2155" s="5">
        <f t="shared" si="33"/>
        <v>-2106650</v>
      </c>
      <c r="K2155" s="4" t="s">
        <v>22</v>
      </c>
      <c r="L2155" s="6">
        <v>4.2133000000000003</v>
      </c>
      <c r="M2155" s="6">
        <v>0.23730000000000001</v>
      </c>
      <c r="N2155" s="6">
        <v>4.2068000000000003</v>
      </c>
      <c r="O2155" s="6">
        <v>1</v>
      </c>
      <c r="P2155" s="5">
        <v>-3260</v>
      </c>
      <c r="Q2155" s="4" t="s">
        <v>1396</v>
      </c>
    </row>
    <row r="2156" spans="1:17" x14ac:dyDescent="0.3">
      <c r="A2156" s="2" t="s">
        <v>1389</v>
      </c>
      <c r="B2156" s="3">
        <v>156692</v>
      </c>
      <c r="C2156" s="3">
        <v>216934</v>
      </c>
      <c r="D2156" s="4" t="s">
        <v>17</v>
      </c>
      <c r="E2156" s="4" t="s">
        <v>1199</v>
      </c>
      <c r="F2156" s="4" t="s">
        <v>32</v>
      </c>
      <c r="G2156" s="4" t="s">
        <v>20</v>
      </c>
      <c r="H2156" s="5">
        <v>-100000</v>
      </c>
      <c r="I2156" s="4" t="s">
        <v>34</v>
      </c>
      <c r="J2156" s="5">
        <f t="shared" si="33"/>
        <v>116460.00000000001</v>
      </c>
      <c r="K2156" s="4" t="s">
        <v>37</v>
      </c>
      <c r="L2156" s="6">
        <v>1.1646000000000001</v>
      </c>
      <c r="M2156" s="6">
        <v>0.85870000000000002</v>
      </c>
      <c r="N2156" s="6">
        <v>4.2115999999999998</v>
      </c>
      <c r="O2156" s="6">
        <v>3.6082999999999998</v>
      </c>
      <c r="P2156" s="5">
        <v>-973.46500000000003</v>
      </c>
      <c r="Q2156" s="4" t="s">
        <v>1390</v>
      </c>
    </row>
    <row r="2157" spans="1:17" x14ac:dyDescent="0.3">
      <c r="A2157" s="2" t="s">
        <v>1389</v>
      </c>
      <c r="B2157" s="3">
        <v>156693</v>
      </c>
      <c r="C2157" s="3">
        <v>897472</v>
      </c>
      <c r="D2157" s="4" t="s">
        <v>81</v>
      </c>
      <c r="E2157" s="4" t="s">
        <v>735</v>
      </c>
      <c r="F2157" s="4" t="s">
        <v>83</v>
      </c>
      <c r="G2157" s="4" t="s">
        <v>20</v>
      </c>
      <c r="H2157" s="5">
        <v>-500000</v>
      </c>
      <c r="I2157" s="4" t="s">
        <v>21</v>
      </c>
      <c r="J2157" s="5">
        <f t="shared" si="33"/>
        <v>2105250</v>
      </c>
      <c r="K2157" s="4" t="s">
        <v>22</v>
      </c>
      <c r="L2157" s="6">
        <v>4.2104999999999997</v>
      </c>
      <c r="M2157" s="6">
        <v>0.23749999999999999</v>
      </c>
      <c r="N2157" s="6">
        <v>4.2068000000000003</v>
      </c>
      <c r="O2157" s="6">
        <v>1</v>
      </c>
      <c r="P2157" s="5">
        <v>1850</v>
      </c>
      <c r="Q2157" s="4" t="s">
        <v>1394</v>
      </c>
    </row>
    <row r="2158" spans="1:17" x14ac:dyDescent="0.3">
      <c r="A2158" s="2" t="s">
        <v>1389</v>
      </c>
      <c r="B2158" s="3">
        <v>156694</v>
      </c>
      <c r="C2158" s="3">
        <v>216938</v>
      </c>
      <c r="D2158" s="4" t="s">
        <v>17</v>
      </c>
      <c r="E2158" s="4" t="s">
        <v>1180</v>
      </c>
      <c r="F2158" s="4" t="s">
        <v>19</v>
      </c>
      <c r="G2158" s="4" t="s">
        <v>20</v>
      </c>
      <c r="H2158" s="5">
        <v>35611.870000000003</v>
      </c>
      <c r="I2158" s="4" t="s">
        <v>21</v>
      </c>
      <c r="J2158" s="5">
        <f t="shared" si="33"/>
        <v>-149747.91335000002</v>
      </c>
      <c r="K2158" s="4" t="s">
        <v>37</v>
      </c>
      <c r="L2158" s="6">
        <v>4.2050000000000001</v>
      </c>
      <c r="M2158" s="6">
        <v>0.23780000000000001</v>
      </c>
      <c r="N2158" s="6">
        <v>4.2115999999999998</v>
      </c>
      <c r="O2158" s="6">
        <v>1</v>
      </c>
      <c r="P2158" s="5">
        <v>235.03834199998528</v>
      </c>
      <c r="Q2158" s="4" t="s">
        <v>1390</v>
      </c>
    </row>
    <row r="2159" spans="1:17" x14ac:dyDescent="0.3">
      <c r="A2159" s="2" t="s">
        <v>1389</v>
      </c>
      <c r="B2159" s="3">
        <v>156696</v>
      </c>
      <c r="C2159" s="3">
        <v>216941</v>
      </c>
      <c r="D2159" s="4" t="s">
        <v>17</v>
      </c>
      <c r="E2159" s="4" t="s">
        <v>1387</v>
      </c>
      <c r="F2159" s="4" t="s">
        <v>32</v>
      </c>
      <c r="G2159" s="4" t="s">
        <v>93</v>
      </c>
      <c r="H2159" s="5">
        <v>-2224.6</v>
      </c>
      <c r="I2159" s="4" t="s">
        <v>21</v>
      </c>
      <c r="J2159" s="5">
        <f t="shared" si="33"/>
        <v>10115.2562</v>
      </c>
      <c r="K2159" s="4" t="s">
        <v>37</v>
      </c>
      <c r="L2159" s="6">
        <v>4.5469999999999997</v>
      </c>
      <c r="M2159" s="6">
        <v>0.21990000000000001</v>
      </c>
      <c r="N2159" s="6">
        <v>4.5235000000000003</v>
      </c>
      <c r="O2159" s="6">
        <v>1</v>
      </c>
      <c r="P2159" s="5">
        <v>-25.568100000000001</v>
      </c>
      <c r="Q2159" s="4" t="s">
        <v>1390</v>
      </c>
    </row>
    <row r="2160" spans="1:17" x14ac:dyDescent="0.3">
      <c r="A2160" s="2" t="s">
        <v>1389</v>
      </c>
      <c r="B2160" s="3">
        <v>156697</v>
      </c>
      <c r="C2160" s="3">
        <v>216942</v>
      </c>
      <c r="D2160" s="4" t="s">
        <v>17</v>
      </c>
      <c r="E2160" s="4" t="s">
        <v>1154</v>
      </c>
      <c r="F2160" s="4" t="s">
        <v>32</v>
      </c>
      <c r="G2160" s="4" t="s">
        <v>20</v>
      </c>
      <c r="H2160" s="5">
        <v>-3684.88</v>
      </c>
      <c r="I2160" s="4" t="s">
        <v>21</v>
      </c>
      <c r="J2160" s="5">
        <f t="shared" si="33"/>
        <v>15521.820024000001</v>
      </c>
      <c r="K2160" s="4" t="s">
        <v>37</v>
      </c>
      <c r="L2160" s="6">
        <v>4.2122999999999999</v>
      </c>
      <c r="M2160" s="6">
        <v>0.2374</v>
      </c>
      <c r="N2160" s="6">
        <v>4.2115999999999998</v>
      </c>
      <c r="O2160" s="6">
        <v>1</v>
      </c>
      <c r="P2160" s="5">
        <v>1.1093919999999999</v>
      </c>
      <c r="Q2160" s="4" t="s">
        <v>1390</v>
      </c>
    </row>
    <row r="2161" spans="1:17" x14ac:dyDescent="0.3">
      <c r="A2161" s="2" t="s">
        <v>1389</v>
      </c>
      <c r="B2161" s="3">
        <v>156699</v>
      </c>
      <c r="C2161" s="3">
        <v>897506</v>
      </c>
      <c r="D2161" s="4" t="s">
        <v>81</v>
      </c>
      <c r="E2161" s="4" t="s">
        <v>735</v>
      </c>
      <c r="F2161" s="4" t="s">
        <v>83</v>
      </c>
      <c r="G2161" s="4" t="s">
        <v>34</v>
      </c>
      <c r="H2161" s="5">
        <v>-1000000</v>
      </c>
      <c r="I2161" s="4" t="s">
        <v>21</v>
      </c>
      <c r="J2161" s="5">
        <f t="shared" si="33"/>
        <v>3615400</v>
      </c>
      <c r="K2161" s="4" t="s">
        <v>22</v>
      </c>
      <c r="L2161" s="6">
        <v>3.6154000000000002</v>
      </c>
      <c r="M2161" s="6">
        <v>0.27660000000000001</v>
      </c>
      <c r="N2161" s="6">
        <v>3.6153</v>
      </c>
      <c r="O2161" s="6">
        <v>1</v>
      </c>
      <c r="P2161" s="5">
        <v>100</v>
      </c>
      <c r="Q2161" s="4" t="s">
        <v>1394</v>
      </c>
    </row>
    <row r="2162" spans="1:17" x14ac:dyDescent="0.3">
      <c r="A2162" s="2" t="s">
        <v>1389</v>
      </c>
      <c r="B2162" s="3">
        <v>156700</v>
      </c>
      <c r="C2162" s="3">
        <v>897507</v>
      </c>
      <c r="D2162" s="4" t="s">
        <v>81</v>
      </c>
      <c r="E2162" s="4" t="s">
        <v>725</v>
      </c>
      <c r="F2162" s="4" t="s">
        <v>83</v>
      </c>
      <c r="G2162" s="4" t="s">
        <v>34</v>
      </c>
      <c r="H2162" s="5">
        <v>-1000000</v>
      </c>
      <c r="I2162" s="4" t="s">
        <v>21</v>
      </c>
      <c r="J2162" s="5">
        <f t="shared" si="33"/>
        <v>3615700</v>
      </c>
      <c r="K2162" s="4" t="s">
        <v>22</v>
      </c>
      <c r="L2162" s="6">
        <v>3.6156999999999999</v>
      </c>
      <c r="M2162" s="6">
        <v>0.27660000000000001</v>
      </c>
      <c r="N2162" s="6">
        <v>3.6153</v>
      </c>
      <c r="O2162" s="6">
        <v>1</v>
      </c>
      <c r="P2162" s="5">
        <v>400</v>
      </c>
      <c r="Q2162" s="4" t="s">
        <v>1392</v>
      </c>
    </row>
    <row r="2163" spans="1:17" x14ac:dyDescent="0.3">
      <c r="A2163" s="2" t="s">
        <v>1389</v>
      </c>
      <c r="B2163" s="3">
        <v>156701</v>
      </c>
      <c r="C2163" s="3">
        <v>897514</v>
      </c>
      <c r="D2163" s="4" t="s">
        <v>81</v>
      </c>
      <c r="E2163" s="4" t="s">
        <v>1288</v>
      </c>
      <c r="F2163" s="4" t="s">
        <v>87</v>
      </c>
      <c r="G2163" s="4" t="s">
        <v>34</v>
      </c>
      <c r="H2163" s="5">
        <v>2000000</v>
      </c>
      <c r="I2163" s="4" t="s">
        <v>21</v>
      </c>
      <c r="J2163" s="5">
        <f t="shared" si="33"/>
        <v>-7229000</v>
      </c>
      <c r="K2163" s="4" t="s">
        <v>22</v>
      </c>
      <c r="L2163" s="6">
        <v>3.6145</v>
      </c>
      <c r="M2163" s="6">
        <v>0.2767</v>
      </c>
      <c r="N2163" s="6">
        <v>3.6153</v>
      </c>
      <c r="O2163" s="6">
        <v>1</v>
      </c>
      <c r="P2163" s="5">
        <v>1600</v>
      </c>
      <c r="Q2163" s="4" t="s">
        <v>1390</v>
      </c>
    </row>
    <row r="2164" spans="1:17" x14ac:dyDescent="0.3">
      <c r="A2164" s="2" t="s">
        <v>1389</v>
      </c>
      <c r="B2164" s="3">
        <v>156702</v>
      </c>
      <c r="C2164" s="3">
        <v>897521</v>
      </c>
      <c r="D2164" s="4" t="s">
        <v>81</v>
      </c>
      <c r="E2164" s="4" t="s">
        <v>735</v>
      </c>
      <c r="F2164" s="4" t="s">
        <v>83</v>
      </c>
      <c r="G2164" s="4" t="s">
        <v>20</v>
      </c>
      <c r="H2164" s="5">
        <v>-500000</v>
      </c>
      <c r="I2164" s="4" t="s">
        <v>21</v>
      </c>
      <c r="J2164" s="5">
        <f t="shared" si="33"/>
        <v>2105200</v>
      </c>
      <c r="K2164" s="4" t="s">
        <v>22</v>
      </c>
      <c r="L2164" s="6">
        <v>4.2103999999999999</v>
      </c>
      <c r="M2164" s="6">
        <v>0.23749999999999999</v>
      </c>
      <c r="N2164" s="6">
        <v>4.2068000000000003</v>
      </c>
      <c r="O2164" s="6">
        <v>1</v>
      </c>
      <c r="P2164" s="5">
        <v>1800</v>
      </c>
      <c r="Q2164" s="4" t="s">
        <v>1394</v>
      </c>
    </row>
    <row r="2165" spans="1:17" x14ac:dyDescent="0.3">
      <c r="A2165" s="2" t="s">
        <v>1389</v>
      </c>
      <c r="B2165" s="3">
        <v>156704</v>
      </c>
      <c r="C2165" s="3">
        <v>216952</v>
      </c>
      <c r="D2165" s="4" t="s">
        <v>17</v>
      </c>
      <c r="E2165" s="4" t="s">
        <v>1281</v>
      </c>
      <c r="F2165" s="4" t="s">
        <v>19</v>
      </c>
      <c r="G2165" s="4" t="s">
        <v>20</v>
      </c>
      <c r="H2165" s="5">
        <v>9000</v>
      </c>
      <c r="I2165" s="4" t="s">
        <v>21</v>
      </c>
      <c r="J2165" s="5">
        <f t="shared" si="33"/>
        <v>-37350</v>
      </c>
      <c r="K2165" s="4" t="s">
        <v>37</v>
      </c>
      <c r="L2165" s="6">
        <v>4.1500000000000004</v>
      </c>
      <c r="M2165" s="6">
        <v>0.24099999999999999</v>
      </c>
      <c r="N2165" s="6">
        <v>4.2115999999999998</v>
      </c>
      <c r="O2165" s="6">
        <v>1</v>
      </c>
      <c r="P2165" s="5">
        <v>554.40000000000146</v>
      </c>
      <c r="Q2165" s="4" t="s">
        <v>1390</v>
      </c>
    </row>
    <row r="2166" spans="1:17" x14ac:dyDescent="0.3">
      <c r="A2166" s="2" t="s">
        <v>1389</v>
      </c>
      <c r="B2166" s="3">
        <v>156705</v>
      </c>
      <c r="C2166" s="3">
        <v>897532</v>
      </c>
      <c r="D2166" s="4" t="s">
        <v>81</v>
      </c>
      <c r="E2166" s="4" t="s">
        <v>733</v>
      </c>
      <c r="F2166" s="4" t="s">
        <v>83</v>
      </c>
      <c r="G2166" s="4" t="s">
        <v>20</v>
      </c>
      <c r="H2166" s="5">
        <v>-1000000</v>
      </c>
      <c r="I2166" s="4" t="s">
        <v>21</v>
      </c>
      <c r="J2166" s="5">
        <f t="shared" si="33"/>
        <v>4210300</v>
      </c>
      <c r="K2166" s="4" t="s">
        <v>22</v>
      </c>
      <c r="L2166" s="6">
        <v>4.2103000000000002</v>
      </c>
      <c r="M2166" s="6">
        <v>0.23749999999999999</v>
      </c>
      <c r="N2166" s="6">
        <v>4.2068000000000003</v>
      </c>
      <c r="O2166" s="6">
        <v>1</v>
      </c>
      <c r="P2166" s="5">
        <v>3460</v>
      </c>
      <c r="Q2166" s="4" t="s">
        <v>1391</v>
      </c>
    </row>
    <row r="2167" spans="1:17" x14ac:dyDescent="0.3">
      <c r="A2167" s="2" t="s">
        <v>1389</v>
      </c>
      <c r="B2167" s="3">
        <v>156706</v>
      </c>
      <c r="C2167" s="3">
        <v>216954</v>
      </c>
      <c r="D2167" s="4" t="s">
        <v>17</v>
      </c>
      <c r="E2167" s="4" t="s">
        <v>1154</v>
      </c>
      <c r="F2167" s="4" t="s">
        <v>32</v>
      </c>
      <c r="G2167" s="4" t="s">
        <v>20</v>
      </c>
      <c r="H2167" s="5">
        <v>-35000</v>
      </c>
      <c r="I2167" s="4" t="s">
        <v>21</v>
      </c>
      <c r="J2167" s="5">
        <f t="shared" si="33"/>
        <v>147406</v>
      </c>
      <c r="K2167" s="4" t="s">
        <v>37</v>
      </c>
      <c r="L2167" s="6">
        <v>4.2115999999999998</v>
      </c>
      <c r="M2167" s="6">
        <v>0.2374</v>
      </c>
      <c r="N2167" s="6">
        <v>4.2115999999999998</v>
      </c>
      <c r="O2167" s="6">
        <v>1</v>
      </c>
      <c r="P2167" s="5">
        <v>-14</v>
      </c>
      <c r="Q2167" s="4" t="s">
        <v>1390</v>
      </c>
    </row>
    <row r="2168" spans="1:17" x14ac:dyDescent="0.3">
      <c r="A2168" s="2" t="s">
        <v>1389</v>
      </c>
      <c r="B2168" s="3">
        <v>156707</v>
      </c>
      <c r="C2168" s="3">
        <v>897542</v>
      </c>
      <c r="D2168" s="4" t="s">
        <v>81</v>
      </c>
      <c r="E2168" s="4" t="s">
        <v>725</v>
      </c>
      <c r="F2168" s="4" t="s">
        <v>83</v>
      </c>
      <c r="G2168" s="4" t="s">
        <v>20</v>
      </c>
      <c r="H2168" s="5">
        <v>-1000000</v>
      </c>
      <c r="I2168" s="4" t="s">
        <v>21</v>
      </c>
      <c r="J2168" s="5">
        <f t="shared" si="33"/>
        <v>4209200</v>
      </c>
      <c r="K2168" s="4" t="s">
        <v>22</v>
      </c>
      <c r="L2168" s="6">
        <v>4.2092000000000001</v>
      </c>
      <c r="M2168" s="6">
        <v>0.23760000000000001</v>
      </c>
      <c r="N2168" s="6">
        <v>4.2068000000000003</v>
      </c>
      <c r="O2168" s="6">
        <v>1</v>
      </c>
      <c r="P2168" s="5">
        <v>2350</v>
      </c>
      <c r="Q2168" s="4" t="s">
        <v>1392</v>
      </c>
    </row>
    <row r="2169" spans="1:17" x14ac:dyDescent="0.3">
      <c r="A2169" s="2" t="s">
        <v>1389</v>
      </c>
      <c r="B2169" s="3">
        <v>156709</v>
      </c>
      <c r="C2169" s="3">
        <v>216955</v>
      </c>
      <c r="D2169" s="4" t="s">
        <v>17</v>
      </c>
      <c r="E2169" s="4" t="s">
        <v>1224</v>
      </c>
      <c r="F2169" s="4" t="s">
        <v>32</v>
      </c>
      <c r="G2169" s="4" t="s">
        <v>20</v>
      </c>
      <c r="H2169" s="5">
        <v>-10000</v>
      </c>
      <c r="I2169" s="4" t="s">
        <v>21</v>
      </c>
      <c r="J2169" s="5">
        <f t="shared" si="33"/>
        <v>42128</v>
      </c>
      <c r="K2169" s="4" t="s">
        <v>37</v>
      </c>
      <c r="L2169" s="6">
        <v>4.2127999999999997</v>
      </c>
      <c r="M2169" s="6">
        <v>0.2374</v>
      </c>
      <c r="N2169" s="6">
        <v>4.2115999999999998</v>
      </c>
      <c r="O2169" s="6">
        <v>1</v>
      </c>
      <c r="P2169" s="5">
        <v>8</v>
      </c>
      <c r="Q2169" s="4" t="s">
        <v>1390</v>
      </c>
    </row>
    <row r="2170" spans="1:17" x14ac:dyDescent="0.3">
      <c r="A2170" s="2" t="s">
        <v>1389</v>
      </c>
      <c r="B2170" s="3">
        <v>156710</v>
      </c>
      <c r="C2170" s="3">
        <v>216957</v>
      </c>
      <c r="D2170" s="4" t="s">
        <v>17</v>
      </c>
      <c r="E2170" s="4" t="s">
        <v>1224</v>
      </c>
      <c r="F2170" s="4" t="s">
        <v>32</v>
      </c>
      <c r="G2170" s="4" t="s">
        <v>20</v>
      </c>
      <c r="H2170" s="5">
        <v>-10000</v>
      </c>
      <c r="I2170" s="4" t="s">
        <v>21</v>
      </c>
      <c r="J2170" s="5">
        <f t="shared" si="33"/>
        <v>42128</v>
      </c>
      <c r="K2170" s="4" t="s">
        <v>37</v>
      </c>
      <c r="L2170" s="6">
        <v>4.2127999999999997</v>
      </c>
      <c r="M2170" s="6">
        <v>0.2374</v>
      </c>
      <c r="N2170" s="6">
        <v>4.2115999999999998</v>
      </c>
      <c r="O2170" s="6">
        <v>1</v>
      </c>
      <c r="P2170" s="5">
        <v>8</v>
      </c>
      <c r="Q2170" s="4" t="s">
        <v>1390</v>
      </c>
    </row>
    <row r="2171" spans="1:17" x14ac:dyDescent="0.3">
      <c r="A2171" s="2" t="s">
        <v>1389</v>
      </c>
      <c r="B2171" s="3">
        <v>156711</v>
      </c>
      <c r="C2171" s="3">
        <v>216958</v>
      </c>
      <c r="D2171" s="4" t="s">
        <v>17</v>
      </c>
      <c r="E2171" s="4" t="s">
        <v>1224</v>
      </c>
      <c r="F2171" s="4" t="s">
        <v>32</v>
      </c>
      <c r="G2171" s="4" t="s">
        <v>20</v>
      </c>
      <c r="H2171" s="5">
        <v>-10000</v>
      </c>
      <c r="I2171" s="4" t="s">
        <v>21</v>
      </c>
      <c r="J2171" s="5">
        <f t="shared" si="33"/>
        <v>42128</v>
      </c>
      <c r="K2171" s="4" t="s">
        <v>37</v>
      </c>
      <c r="L2171" s="6">
        <v>4.2127999999999997</v>
      </c>
      <c r="M2171" s="6">
        <v>0.2374</v>
      </c>
      <c r="N2171" s="6">
        <v>4.2115999999999998</v>
      </c>
      <c r="O2171" s="6">
        <v>1</v>
      </c>
      <c r="P2171" s="5">
        <v>8</v>
      </c>
      <c r="Q2171" s="4" t="s">
        <v>1390</v>
      </c>
    </row>
    <row r="2172" spans="1:17" x14ac:dyDescent="0.3">
      <c r="A2172" s="2" t="s">
        <v>1389</v>
      </c>
      <c r="B2172" s="3">
        <v>156712</v>
      </c>
      <c r="C2172" s="3">
        <v>216959</v>
      </c>
      <c r="D2172" s="4" t="s">
        <v>17</v>
      </c>
      <c r="E2172" s="4" t="s">
        <v>1154</v>
      </c>
      <c r="F2172" s="4" t="s">
        <v>32</v>
      </c>
      <c r="G2172" s="4" t="s">
        <v>20</v>
      </c>
      <c r="H2172" s="5">
        <v>-137000</v>
      </c>
      <c r="I2172" s="4" t="s">
        <v>21</v>
      </c>
      <c r="J2172" s="5">
        <f t="shared" si="33"/>
        <v>576948.1</v>
      </c>
      <c r="K2172" s="4" t="s">
        <v>37</v>
      </c>
      <c r="L2172" s="6">
        <v>4.2112999999999996</v>
      </c>
      <c r="M2172" s="6">
        <v>0.23749999999999999</v>
      </c>
      <c r="N2172" s="6">
        <v>4.2115999999999998</v>
      </c>
      <c r="O2172" s="6">
        <v>1</v>
      </c>
      <c r="P2172" s="5">
        <v>-95.9</v>
      </c>
      <c r="Q2172" s="4" t="s">
        <v>1390</v>
      </c>
    </row>
    <row r="2173" spans="1:17" x14ac:dyDescent="0.3">
      <c r="A2173" s="2" t="s">
        <v>1389</v>
      </c>
      <c r="B2173" s="3">
        <v>156713</v>
      </c>
      <c r="C2173" s="3">
        <v>216960</v>
      </c>
      <c r="D2173" s="4" t="s">
        <v>17</v>
      </c>
      <c r="E2173" s="4" t="s">
        <v>1224</v>
      </c>
      <c r="F2173" s="4" t="s">
        <v>32</v>
      </c>
      <c r="G2173" s="4" t="s">
        <v>20</v>
      </c>
      <c r="H2173" s="5">
        <v>-10000</v>
      </c>
      <c r="I2173" s="4" t="s">
        <v>21</v>
      </c>
      <c r="J2173" s="5">
        <f t="shared" si="33"/>
        <v>42128</v>
      </c>
      <c r="K2173" s="4" t="s">
        <v>37</v>
      </c>
      <c r="L2173" s="6">
        <v>4.2127999999999997</v>
      </c>
      <c r="M2173" s="6">
        <v>0.2374</v>
      </c>
      <c r="N2173" s="6">
        <v>4.2115999999999998</v>
      </c>
      <c r="O2173" s="6">
        <v>1</v>
      </c>
      <c r="P2173" s="5">
        <v>8</v>
      </c>
      <c r="Q2173" s="4" t="s">
        <v>1390</v>
      </c>
    </row>
    <row r="2174" spans="1:17" x14ac:dyDescent="0.3">
      <c r="A2174" s="2" t="s">
        <v>1389</v>
      </c>
      <c r="B2174" s="3">
        <v>156715</v>
      </c>
      <c r="C2174" s="3">
        <v>897564</v>
      </c>
      <c r="D2174" s="4" t="s">
        <v>81</v>
      </c>
      <c r="E2174" s="4" t="s">
        <v>730</v>
      </c>
      <c r="F2174" s="4" t="s">
        <v>87</v>
      </c>
      <c r="G2174" s="4" t="s">
        <v>20</v>
      </c>
      <c r="H2174" s="5">
        <v>100000</v>
      </c>
      <c r="I2174" s="4" t="s">
        <v>74</v>
      </c>
      <c r="J2174" s="5">
        <f t="shared" si="33"/>
        <v>-1175700</v>
      </c>
      <c r="K2174" s="4" t="s">
        <v>22</v>
      </c>
      <c r="L2174" s="6">
        <v>11.757</v>
      </c>
      <c r="M2174" s="6">
        <v>8.5099999999999995E-2</v>
      </c>
      <c r="N2174" s="6">
        <v>4.2068000000000003</v>
      </c>
      <c r="O2174" s="6">
        <v>0.35880000000000001</v>
      </c>
      <c r="P2174" s="5">
        <v>-1161.1600000000001</v>
      </c>
      <c r="Q2174" s="4" t="s">
        <v>1396</v>
      </c>
    </row>
    <row r="2175" spans="1:17" x14ac:dyDescent="0.3">
      <c r="A2175" s="2" t="s">
        <v>1389</v>
      </c>
      <c r="B2175" s="3">
        <v>156716</v>
      </c>
      <c r="C2175" s="3">
        <v>216961</v>
      </c>
      <c r="D2175" s="4" t="s">
        <v>17</v>
      </c>
      <c r="E2175" s="4" t="s">
        <v>1156</v>
      </c>
      <c r="F2175" s="4" t="s">
        <v>19</v>
      </c>
      <c r="G2175" s="4" t="s">
        <v>20</v>
      </c>
      <c r="H2175" s="5">
        <v>10000</v>
      </c>
      <c r="I2175" s="4" t="s">
        <v>21</v>
      </c>
      <c r="J2175" s="5">
        <f t="shared" si="33"/>
        <v>-42060.000000000007</v>
      </c>
      <c r="K2175" s="4" t="s">
        <v>37</v>
      </c>
      <c r="L2175" s="6">
        <v>4.2060000000000004</v>
      </c>
      <c r="M2175" s="6">
        <v>0.23780000000000001</v>
      </c>
      <c r="N2175" s="6">
        <v>4.2115999999999998</v>
      </c>
      <c r="O2175" s="6">
        <v>1</v>
      </c>
      <c r="P2175" s="5">
        <v>55.999999999992724</v>
      </c>
      <c r="Q2175" s="4" t="s">
        <v>1390</v>
      </c>
    </row>
    <row r="2176" spans="1:17" x14ac:dyDescent="0.3">
      <c r="A2176" s="2" t="s">
        <v>1389</v>
      </c>
      <c r="B2176" s="3">
        <v>156717</v>
      </c>
      <c r="C2176" s="3">
        <v>216965</v>
      </c>
      <c r="D2176" s="4" t="s">
        <v>17</v>
      </c>
      <c r="E2176" s="4" t="s">
        <v>1070</v>
      </c>
      <c r="F2176" s="4" t="s">
        <v>32</v>
      </c>
      <c r="G2176" s="4" t="s">
        <v>34</v>
      </c>
      <c r="H2176" s="5">
        <v>-50000</v>
      </c>
      <c r="I2176" s="4" t="s">
        <v>21</v>
      </c>
      <c r="J2176" s="5">
        <f t="shared" si="33"/>
        <v>180875</v>
      </c>
      <c r="K2176" s="4" t="s">
        <v>37</v>
      </c>
      <c r="L2176" s="6">
        <v>3.6175000000000002</v>
      </c>
      <c r="M2176" s="6">
        <v>0.27639999999999998</v>
      </c>
      <c r="N2176" s="6">
        <v>3.6082999999999998</v>
      </c>
      <c r="O2176" s="6">
        <v>1</v>
      </c>
      <c r="P2176" s="5">
        <v>460</v>
      </c>
      <c r="Q2176" s="4" t="s">
        <v>1390</v>
      </c>
    </row>
    <row r="2177" spans="1:17" x14ac:dyDescent="0.3">
      <c r="A2177" s="2" t="s">
        <v>1389</v>
      </c>
      <c r="B2177" s="3">
        <v>156719</v>
      </c>
      <c r="C2177" s="3">
        <v>216966</v>
      </c>
      <c r="D2177" s="4" t="s">
        <v>17</v>
      </c>
      <c r="E2177" s="4" t="s">
        <v>1138</v>
      </c>
      <c r="F2177" s="4" t="s">
        <v>19</v>
      </c>
      <c r="G2177" s="4" t="s">
        <v>20</v>
      </c>
      <c r="H2177" s="5">
        <v>23000</v>
      </c>
      <c r="I2177" s="4" t="s">
        <v>34</v>
      </c>
      <c r="J2177" s="5">
        <f t="shared" si="33"/>
        <v>-26762.799999999999</v>
      </c>
      <c r="K2177" s="4" t="s">
        <v>37</v>
      </c>
      <c r="L2177" s="6">
        <v>1.1636</v>
      </c>
      <c r="M2177" s="6">
        <v>0.85940000000000005</v>
      </c>
      <c r="N2177" s="6">
        <v>4.2115999999999998</v>
      </c>
      <c r="O2177" s="6">
        <v>3.6082999999999998</v>
      </c>
      <c r="P2177" s="5">
        <v>298.58875999999873</v>
      </c>
      <c r="Q2177" s="4" t="s">
        <v>1390</v>
      </c>
    </row>
    <row r="2178" spans="1:17" x14ac:dyDescent="0.3">
      <c r="A2178" s="2" t="s">
        <v>1389</v>
      </c>
      <c r="B2178" s="3">
        <v>156720</v>
      </c>
      <c r="C2178" s="3">
        <v>897584</v>
      </c>
      <c r="D2178" s="4" t="s">
        <v>81</v>
      </c>
      <c r="E2178" s="4" t="s">
        <v>732</v>
      </c>
      <c r="F2178" s="4" t="s">
        <v>87</v>
      </c>
      <c r="G2178" s="4" t="s">
        <v>20</v>
      </c>
      <c r="H2178" s="5">
        <v>1000000</v>
      </c>
      <c r="I2178" s="4" t="s">
        <v>21</v>
      </c>
      <c r="J2178" s="5">
        <f t="shared" si="33"/>
        <v>-4209300</v>
      </c>
      <c r="K2178" s="4" t="s">
        <v>22</v>
      </c>
      <c r="L2178" s="6">
        <v>4.2092999999999998</v>
      </c>
      <c r="M2178" s="6">
        <v>0.23760000000000001</v>
      </c>
      <c r="N2178" s="6">
        <v>4.2068000000000003</v>
      </c>
      <c r="O2178" s="6">
        <v>1</v>
      </c>
      <c r="P2178" s="5">
        <v>-2500</v>
      </c>
      <c r="Q2178" s="4" t="s">
        <v>1394</v>
      </c>
    </row>
    <row r="2179" spans="1:17" x14ac:dyDescent="0.3">
      <c r="A2179" s="2" t="s">
        <v>1389</v>
      </c>
      <c r="B2179" s="3">
        <v>156721</v>
      </c>
      <c r="C2179" s="3">
        <v>897588</v>
      </c>
      <c r="D2179" s="4" t="s">
        <v>81</v>
      </c>
      <c r="E2179" s="4" t="s">
        <v>734</v>
      </c>
      <c r="F2179" s="4" t="s">
        <v>87</v>
      </c>
      <c r="G2179" s="4" t="s">
        <v>20</v>
      </c>
      <c r="H2179" s="5">
        <v>500000</v>
      </c>
      <c r="I2179" s="4" t="s">
        <v>21</v>
      </c>
      <c r="J2179" s="5">
        <f t="shared" si="33"/>
        <v>-2104800</v>
      </c>
      <c r="K2179" s="4" t="s">
        <v>22</v>
      </c>
      <c r="L2179" s="6">
        <v>4.2096</v>
      </c>
      <c r="M2179" s="6">
        <v>0.23760000000000001</v>
      </c>
      <c r="N2179" s="6">
        <v>4.2068000000000003</v>
      </c>
      <c r="O2179" s="6">
        <v>1</v>
      </c>
      <c r="P2179" s="5">
        <v>-1400</v>
      </c>
      <c r="Q2179" s="4" t="s">
        <v>1393</v>
      </c>
    </row>
    <row r="2180" spans="1:17" x14ac:dyDescent="0.3">
      <c r="A2180" s="2" t="s">
        <v>1389</v>
      </c>
      <c r="B2180" s="3">
        <v>156722</v>
      </c>
      <c r="C2180" s="3">
        <v>897589</v>
      </c>
      <c r="D2180" s="4" t="s">
        <v>81</v>
      </c>
      <c r="E2180" s="4" t="s">
        <v>734</v>
      </c>
      <c r="F2180" s="4" t="s">
        <v>87</v>
      </c>
      <c r="G2180" s="4" t="s">
        <v>20</v>
      </c>
      <c r="H2180" s="5">
        <v>500000</v>
      </c>
      <c r="I2180" s="4" t="s">
        <v>21</v>
      </c>
      <c r="J2180" s="5">
        <f t="shared" ref="J2180:J2243" si="34">-H2180*L2180</f>
        <v>-2104950</v>
      </c>
      <c r="K2180" s="4" t="s">
        <v>22</v>
      </c>
      <c r="L2180" s="6">
        <v>4.2099000000000002</v>
      </c>
      <c r="M2180" s="6">
        <v>0.23749999999999999</v>
      </c>
      <c r="N2180" s="6">
        <v>4.2068000000000003</v>
      </c>
      <c r="O2180" s="6">
        <v>1</v>
      </c>
      <c r="P2180" s="5">
        <v>-1550</v>
      </c>
      <c r="Q2180" s="4" t="s">
        <v>1393</v>
      </c>
    </row>
    <row r="2181" spans="1:17" x14ac:dyDescent="0.3">
      <c r="A2181" s="2" t="s">
        <v>1389</v>
      </c>
      <c r="B2181" s="3">
        <v>156723</v>
      </c>
      <c r="C2181" s="3">
        <v>216968</v>
      </c>
      <c r="D2181" s="4" t="s">
        <v>17</v>
      </c>
      <c r="E2181" s="4" t="s">
        <v>751</v>
      </c>
      <c r="F2181" s="4" t="s">
        <v>32</v>
      </c>
      <c r="G2181" s="4" t="s">
        <v>20</v>
      </c>
      <c r="H2181" s="5">
        <v>-2000000</v>
      </c>
      <c r="I2181" s="4" t="s">
        <v>21</v>
      </c>
      <c r="J2181" s="5">
        <f t="shared" si="34"/>
        <v>8422200</v>
      </c>
      <c r="K2181" s="4" t="s">
        <v>37</v>
      </c>
      <c r="L2181" s="6">
        <v>4.2111000000000001</v>
      </c>
      <c r="M2181" s="6">
        <v>0.23749999999999999</v>
      </c>
      <c r="N2181" s="6">
        <v>4.2115999999999998</v>
      </c>
      <c r="O2181" s="6">
        <v>1</v>
      </c>
      <c r="P2181" s="5">
        <v>-1800</v>
      </c>
      <c r="Q2181" s="4" t="s">
        <v>1390</v>
      </c>
    </row>
    <row r="2182" spans="1:17" x14ac:dyDescent="0.3">
      <c r="A2182" s="2" t="s">
        <v>1389</v>
      </c>
      <c r="B2182" s="3">
        <v>156724</v>
      </c>
      <c r="C2182" s="3">
        <v>897596</v>
      </c>
      <c r="D2182" s="4" t="s">
        <v>81</v>
      </c>
      <c r="E2182" s="4" t="s">
        <v>730</v>
      </c>
      <c r="F2182" s="4" t="s">
        <v>83</v>
      </c>
      <c r="G2182" s="4" t="s">
        <v>20</v>
      </c>
      <c r="H2182" s="5">
        <v>-500000</v>
      </c>
      <c r="I2182" s="4" t="s">
        <v>21</v>
      </c>
      <c r="J2182" s="5">
        <f t="shared" si="34"/>
        <v>2104600</v>
      </c>
      <c r="K2182" s="4" t="s">
        <v>22</v>
      </c>
      <c r="L2182" s="6">
        <v>4.2092000000000001</v>
      </c>
      <c r="M2182" s="6">
        <v>0.23760000000000001</v>
      </c>
      <c r="N2182" s="6">
        <v>4.2068000000000003</v>
      </c>
      <c r="O2182" s="6">
        <v>1</v>
      </c>
      <c r="P2182" s="5">
        <v>1225</v>
      </c>
      <c r="Q2182" s="4" t="s">
        <v>1396</v>
      </c>
    </row>
    <row r="2183" spans="1:17" x14ac:dyDescent="0.3">
      <c r="A2183" s="2" t="s">
        <v>1389</v>
      </c>
      <c r="B2183" s="3">
        <v>156725</v>
      </c>
      <c r="C2183" s="3">
        <v>216971</v>
      </c>
      <c r="D2183" s="4" t="s">
        <v>17</v>
      </c>
      <c r="E2183" s="4" t="s">
        <v>1224</v>
      </c>
      <c r="F2183" s="4" t="s">
        <v>32</v>
      </c>
      <c r="G2183" s="4" t="s">
        <v>20</v>
      </c>
      <c r="H2183" s="5">
        <v>-10000</v>
      </c>
      <c r="I2183" s="4" t="s">
        <v>21</v>
      </c>
      <c r="J2183" s="5">
        <f t="shared" si="34"/>
        <v>42120</v>
      </c>
      <c r="K2183" s="4" t="s">
        <v>37</v>
      </c>
      <c r="L2183" s="6">
        <v>4.2119999999999997</v>
      </c>
      <c r="M2183" s="6">
        <v>0.2374</v>
      </c>
      <c r="N2183" s="6">
        <v>4.2115999999999998</v>
      </c>
      <c r="O2183" s="6">
        <v>1</v>
      </c>
      <c r="P2183" s="5">
        <v>0</v>
      </c>
      <c r="Q2183" s="4" t="s">
        <v>1390</v>
      </c>
    </row>
    <row r="2184" spans="1:17" x14ac:dyDescent="0.3">
      <c r="A2184" s="2" t="s">
        <v>1389</v>
      </c>
      <c r="B2184" s="3">
        <v>156726</v>
      </c>
      <c r="C2184" s="3">
        <v>216972</v>
      </c>
      <c r="D2184" s="4" t="s">
        <v>17</v>
      </c>
      <c r="E2184" s="4" t="s">
        <v>1224</v>
      </c>
      <c r="F2184" s="4" t="s">
        <v>32</v>
      </c>
      <c r="G2184" s="4" t="s">
        <v>20</v>
      </c>
      <c r="H2184" s="5">
        <v>-10000</v>
      </c>
      <c r="I2184" s="4" t="s">
        <v>21</v>
      </c>
      <c r="J2184" s="5">
        <f t="shared" si="34"/>
        <v>42120</v>
      </c>
      <c r="K2184" s="4" t="s">
        <v>37</v>
      </c>
      <c r="L2184" s="6">
        <v>4.2119999999999997</v>
      </c>
      <c r="M2184" s="6">
        <v>0.2374</v>
      </c>
      <c r="N2184" s="6">
        <v>4.2115999999999998</v>
      </c>
      <c r="O2184" s="6">
        <v>1</v>
      </c>
      <c r="P2184" s="5">
        <v>0</v>
      </c>
      <c r="Q2184" s="4" t="s">
        <v>1390</v>
      </c>
    </row>
    <row r="2185" spans="1:17" x14ac:dyDescent="0.3">
      <c r="A2185" s="2" t="s">
        <v>1389</v>
      </c>
      <c r="B2185" s="3">
        <v>156727</v>
      </c>
      <c r="C2185" s="3">
        <v>216973</v>
      </c>
      <c r="D2185" s="4" t="s">
        <v>17</v>
      </c>
      <c r="E2185" s="4" t="s">
        <v>1326</v>
      </c>
      <c r="F2185" s="4" t="s">
        <v>19</v>
      </c>
      <c r="G2185" s="4" t="s">
        <v>20</v>
      </c>
      <c r="H2185" s="5">
        <v>10000</v>
      </c>
      <c r="I2185" s="4" t="s">
        <v>21</v>
      </c>
      <c r="J2185" s="5">
        <f t="shared" si="34"/>
        <v>-41800</v>
      </c>
      <c r="K2185" s="4" t="s">
        <v>37</v>
      </c>
      <c r="L2185" s="6">
        <v>4.18</v>
      </c>
      <c r="M2185" s="6">
        <v>0.2392</v>
      </c>
      <c r="N2185" s="6">
        <v>4.2115999999999998</v>
      </c>
      <c r="O2185" s="6">
        <v>1</v>
      </c>
      <c r="P2185" s="5">
        <v>316</v>
      </c>
      <c r="Q2185" s="4" t="s">
        <v>1390</v>
      </c>
    </row>
    <row r="2186" spans="1:17" x14ac:dyDescent="0.3">
      <c r="A2186" s="2" t="s">
        <v>1389</v>
      </c>
      <c r="B2186" s="3">
        <v>156728</v>
      </c>
      <c r="C2186" s="3">
        <v>216978</v>
      </c>
      <c r="D2186" s="4" t="s">
        <v>17</v>
      </c>
      <c r="E2186" s="4" t="s">
        <v>1004</v>
      </c>
      <c r="F2186" s="4" t="s">
        <v>32</v>
      </c>
      <c r="G2186" s="4" t="s">
        <v>20</v>
      </c>
      <c r="H2186" s="5">
        <v>-1000</v>
      </c>
      <c r="I2186" s="4" t="s">
        <v>34</v>
      </c>
      <c r="J2186" s="5">
        <f t="shared" si="34"/>
        <v>1189.1000000000001</v>
      </c>
      <c r="K2186" s="4" t="s">
        <v>37</v>
      </c>
      <c r="L2186" s="6">
        <v>1.1891</v>
      </c>
      <c r="M2186" s="6">
        <v>0.84099999999999997</v>
      </c>
      <c r="N2186" s="6">
        <v>4.2115999999999998</v>
      </c>
      <c r="O2186" s="6">
        <v>3.6082999999999998</v>
      </c>
      <c r="P2186" s="5">
        <v>78.668700000000001</v>
      </c>
      <c r="Q2186" s="4" t="s">
        <v>1390</v>
      </c>
    </row>
    <row r="2187" spans="1:17" x14ac:dyDescent="0.3">
      <c r="A2187" s="2" t="s">
        <v>1389</v>
      </c>
      <c r="B2187" s="3">
        <v>156730</v>
      </c>
      <c r="C2187" s="3">
        <v>216983</v>
      </c>
      <c r="D2187" s="4" t="s">
        <v>17</v>
      </c>
      <c r="E2187" s="4" t="s">
        <v>819</v>
      </c>
      <c r="F2187" s="4" t="s">
        <v>32</v>
      </c>
      <c r="G2187" s="4" t="s">
        <v>20</v>
      </c>
      <c r="H2187" s="5">
        <v>-55000</v>
      </c>
      <c r="I2187" s="4" t="s">
        <v>21</v>
      </c>
      <c r="J2187" s="5">
        <f t="shared" si="34"/>
        <v>231770.00000000003</v>
      </c>
      <c r="K2187" s="4" t="s">
        <v>37</v>
      </c>
      <c r="L2187" s="6">
        <v>4.2140000000000004</v>
      </c>
      <c r="M2187" s="6">
        <v>0.23730000000000001</v>
      </c>
      <c r="N2187" s="6">
        <v>4.2115999999999998</v>
      </c>
      <c r="O2187" s="6">
        <v>1</v>
      </c>
      <c r="P2187" s="5">
        <v>132</v>
      </c>
      <c r="Q2187" s="4" t="s">
        <v>1390</v>
      </c>
    </row>
    <row r="2188" spans="1:17" x14ac:dyDescent="0.3">
      <c r="A2188" s="2" t="s">
        <v>1389</v>
      </c>
      <c r="B2188" s="3">
        <v>156732</v>
      </c>
      <c r="C2188" s="3">
        <v>216991</v>
      </c>
      <c r="D2188" s="4" t="s">
        <v>17</v>
      </c>
      <c r="E2188" s="4" t="s">
        <v>1230</v>
      </c>
      <c r="F2188" s="4" t="s">
        <v>32</v>
      </c>
      <c r="G2188" s="4" t="s">
        <v>20</v>
      </c>
      <c r="H2188" s="5">
        <v>-25000</v>
      </c>
      <c r="I2188" s="4" t="s">
        <v>21</v>
      </c>
      <c r="J2188" s="5">
        <f t="shared" si="34"/>
        <v>105550.00000000001</v>
      </c>
      <c r="K2188" s="4" t="s">
        <v>37</v>
      </c>
      <c r="L2188" s="6">
        <v>4.2220000000000004</v>
      </c>
      <c r="M2188" s="6">
        <v>0.2369</v>
      </c>
      <c r="N2188" s="6">
        <v>4.2115999999999998</v>
      </c>
      <c r="O2188" s="6">
        <v>1</v>
      </c>
      <c r="P2188" s="5">
        <v>260</v>
      </c>
      <c r="Q2188" s="4" t="s">
        <v>1390</v>
      </c>
    </row>
    <row r="2189" spans="1:17" x14ac:dyDescent="0.3">
      <c r="A2189" s="2" t="s">
        <v>1389</v>
      </c>
      <c r="B2189" s="3">
        <v>156733</v>
      </c>
      <c r="C2189" s="3">
        <v>216993</v>
      </c>
      <c r="D2189" s="4" t="s">
        <v>17</v>
      </c>
      <c r="E2189" s="4" t="s">
        <v>1339</v>
      </c>
      <c r="F2189" s="4" t="s">
        <v>19</v>
      </c>
      <c r="G2189" s="4" t="s">
        <v>20</v>
      </c>
      <c r="H2189" s="5">
        <v>10000</v>
      </c>
      <c r="I2189" s="4" t="s">
        <v>21</v>
      </c>
      <c r="J2189" s="5">
        <f t="shared" si="34"/>
        <v>-41887.999999999993</v>
      </c>
      <c r="K2189" s="4" t="s">
        <v>37</v>
      </c>
      <c r="L2189" s="6">
        <v>4.1887999999999996</v>
      </c>
      <c r="M2189" s="6">
        <v>0.2387</v>
      </c>
      <c r="N2189" s="6">
        <v>4.2115999999999998</v>
      </c>
      <c r="O2189" s="6">
        <v>1</v>
      </c>
      <c r="P2189" s="5">
        <v>228.00000000000728</v>
      </c>
      <c r="Q2189" s="4" t="s">
        <v>1390</v>
      </c>
    </row>
    <row r="2190" spans="1:17" x14ac:dyDescent="0.3">
      <c r="A2190" s="2" t="s">
        <v>1389</v>
      </c>
      <c r="B2190" s="3">
        <v>156734</v>
      </c>
      <c r="C2190" s="3">
        <v>216994</v>
      </c>
      <c r="D2190" s="4" t="s">
        <v>17</v>
      </c>
      <c r="E2190" s="4" t="s">
        <v>921</v>
      </c>
      <c r="F2190" s="4" t="s">
        <v>19</v>
      </c>
      <c r="G2190" s="4" t="s">
        <v>20</v>
      </c>
      <c r="H2190" s="5">
        <v>80000</v>
      </c>
      <c r="I2190" s="4" t="s">
        <v>21</v>
      </c>
      <c r="J2190" s="5">
        <f t="shared" si="34"/>
        <v>-336400</v>
      </c>
      <c r="K2190" s="4" t="s">
        <v>37</v>
      </c>
      <c r="L2190" s="6">
        <v>4.2050000000000001</v>
      </c>
      <c r="M2190" s="6">
        <v>0.23780000000000001</v>
      </c>
      <c r="N2190" s="6">
        <v>4.2115999999999998</v>
      </c>
      <c r="O2190" s="6">
        <v>1</v>
      </c>
      <c r="P2190" s="5">
        <v>528</v>
      </c>
      <c r="Q2190" s="4" t="s">
        <v>1390</v>
      </c>
    </row>
    <row r="2191" spans="1:17" x14ac:dyDescent="0.3">
      <c r="A2191" s="2" t="s">
        <v>1389</v>
      </c>
      <c r="B2191" s="3">
        <v>156736</v>
      </c>
      <c r="C2191" s="3">
        <v>897685</v>
      </c>
      <c r="D2191" s="4" t="s">
        <v>81</v>
      </c>
      <c r="E2191" s="4" t="s">
        <v>732</v>
      </c>
      <c r="F2191" s="4" t="s">
        <v>87</v>
      </c>
      <c r="G2191" s="4" t="s">
        <v>20</v>
      </c>
      <c r="H2191" s="5">
        <v>3000000</v>
      </c>
      <c r="I2191" s="4" t="s">
        <v>21</v>
      </c>
      <c r="J2191" s="5">
        <f t="shared" si="34"/>
        <v>-12638700.000000002</v>
      </c>
      <c r="K2191" s="4" t="s">
        <v>22</v>
      </c>
      <c r="L2191" s="6">
        <v>4.2129000000000003</v>
      </c>
      <c r="M2191" s="6">
        <v>0.2374</v>
      </c>
      <c r="N2191" s="6">
        <v>4.2068000000000003</v>
      </c>
      <c r="O2191" s="6">
        <v>1</v>
      </c>
      <c r="P2191" s="5">
        <v>-18300</v>
      </c>
      <c r="Q2191" s="4" t="s">
        <v>1394</v>
      </c>
    </row>
    <row r="2192" spans="1:17" x14ac:dyDescent="0.3">
      <c r="A2192" s="2" t="s">
        <v>1389</v>
      </c>
      <c r="B2192" s="3">
        <v>156737</v>
      </c>
      <c r="C2192" s="3">
        <v>897686</v>
      </c>
      <c r="D2192" s="4" t="s">
        <v>81</v>
      </c>
      <c r="E2192" s="4" t="s">
        <v>735</v>
      </c>
      <c r="F2192" s="4" t="s">
        <v>87</v>
      </c>
      <c r="G2192" s="4" t="s">
        <v>20</v>
      </c>
      <c r="H2192" s="5">
        <v>500000</v>
      </c>
      <c r="I2192" s="4" t="s">
        <v>21</v>
      </c>
      <c r="J2192" s="5">
        <f t="shared" si="34"/>
        <v>-2106400</v>
      </c>
      <c r="K2192" s="4" t="s">
        <v>22</v>
      </c>
      <c r="L2192" s="6">
        <v>4.2127999999999997</v>
      </c>
      <c r="M2192" s="6">
        <v>0.2374</v>
      </c>
      <c r="N2192" s="6">
        <v>4.2068000000000003</v>
      </c>
      <c r="O2192" s="6">
        <v>1</v>
      </c>
      <c r="P2192" s="5">
        <v>-3000</v>
      </c>
      <c r="Q2192" s="4" t="s">
        <v>1394</v>
      </c>
    </row>
    <row r="2193" spans="1:17" x14ac:dyDescent="0.3">
      <c r="A2193" s="2" t="s">
        <v>1389</v>
      </c>
      <c r="B2193" s="3">
        <v>156739</v>
      </c>
      <c r="C2193" s="3">
        <v>217004</v>
      </c>
      <c r="D2193" s="4" t="s">
        <v>17</v>
      </c>
      <c r="E2193" s="4" t="s">
        <v>966</v>
      </c>
      <c r="F2193" s="4" t="s">
        <v>32</v>
      </c>
      <c r="G2193" s="4" t="s">
        <v>20</v>
      </c>
      <c r="H2193" s="5">
        <v>-2500</v>
      </c>
      <c r="I2193" s="4" t="s">
        <v>21</v>
      </c>
      <c r="J2193" s="5">
        <f t="shared" si="34"/>
        <v>10570</v>
      </c>
      <c r="K2193" s="4" t="s">
        <v>37</v>
      </c>
      <c r="L2193" s="6">
        <v>4.2279999999999998</v>
      </c>
      <c r="M2193" s="6">
        <v>0.23649999999999999</v>
      </c>
      <c r="N2193" s="6">
        <v>4.2115999999999998</v>
      </c>
      <c r="O2193" s="6">
        <v>1</v>
      </c>
      <c r="P2193" s="5">
        <v>41</v>
      </c>
      <c r="Q2193" s="4" t="s">
        <v>1390</v>
      </c>
    </row>
    <row r="2194" spans="1:17" x14ac:dyDescent="0.3">
      <c r="A2194" s="2" t="s">
        <v>1389</v>
      </c>
      <c r="B2194" s="3">
        <v>156740</v>
      </c>
      <c r="C2194" s="3">
        <v>217005</v>
      </c>
      <c r="D2194" s="4" t="s">
        <v>17</v>
      </c>
      <c r="E2194" s="4" t="s">
        <v>1050</v>
      </c>
      <c r="F2194" s="4" t="s">
        <v>32</v>
      </c>
      <c r="G2194" s="4" t="s">
        <v>34</v>
      </c>
      <c r="H2194" s="5">
        <v>-3000</v>
      </c>
      <c r="I2194" s="4" t="s">
        <v>21</v>
      </c>
      <c r="J2194" s="5">
        <f t="shared" si="34"/>
        <v>10851.300000000001</v>
      </c>
      <c r="K2194" s="4" t="s">
        <v>37</v>
      </c>
      <c r="L2194" s="6">
        <v>3.6171000000000002</v>
      </c>
      <c r="M2194" s="6">
        <v>0.27650000000000002</v>
      </c>
      <c r="N2194" s="6">
        <v>3.6082999999999998</v>
      </c>
      <c r="O2194" s="6">
        <v>1</v>
      </c>
      <c r="P2194" s="5">
        <v>26.4</v>
      </c>
      <c r="Q2194" s="4" t="s">
        <v>1390</v>
      </c>
    </row>
    <row r="2195" spans="1:17" x14ac:dyDescent="0.3">
      <c r="A2195" s="2" t="s">
        <v>1389</v>
      </c>
      <c r="B2195" s="3">
        <v>156741</v>
      </c>
      <c r="C2195" s="3">
        <v>217007</v>
      </c>
      <c r="D2195" s="4" t="s">
        <v>17</v>
      </c>
      <c r="E2195" s="4" t="s">
        <v>810</v>
      </c>
      <c r="F2195" s="4" t="s">
        <v>19</v>
      </c>
      <c r="G2195" s="4" t="s">
        <v>20</v>
      </c>
      <c r="H2195" s="5">
        <v>50000</v>
      </c>
      <c r="I2195" s="4" t="s">
        <v>21</v>
      </c>
      <c r="J2195" s="5">
        <f t="shared" si="34"/>
        <v>-210120</v>
      </c>
      <c r="K2195" s="4" t="s">
        <v>37</v>
      </c>
      <c r="L2195" s="6">
        <v>4.2023999999999999</v>
      </c>
      <c r="M2195" s="6">
        <v>0.23799999999999999</v>
      </c>
      <c r="N2195" s="6">
        <v>4.2115999999999998</v>
      </c>
      <c r="O2195" s="6">
        <v>1</v>
      </c>
      <c r="P2195" s="5">
        <v>460</v>
      </c>
      <c r="Q2195" s="4" t="s">
        <v>1390</v>
      </c>
    </row>
    <row r="2196" spans="1:17" x14ac:dyDescent="0.3">
      <c r="A2196" s="2" t="s">
        <v>1389</v>
      </c>
      <c r="B2196" s="3">
        <v>156742</v>
      </c>
      <c r="C2196" s="3">
        <v>217009</v>
      </c>
      <c r="D2196" s="4" t="s">
        <v>17</v>
      </c>
      <c r="E2196" s="4" t="s">
        <v>1328</v>
      </c>
      <c r="F2196" s="4" t="s">
        <v>19</v>
      </c>
      <c r="G2196" s="4" t="s">
        <v>20</v>
      </c>
      <c r="H2196" s="5">
        <v>300000</v>
      </c>
      <c r="I2196" s="4" t="s">
        <v>21</v>
      </c>
      <c r="J2196" s="5">
        <f t="shared" si="34"/>
        <v>-1262850</v>
      </c>
      <c r="K2196" s="4" t="s">
        <v>37</v>
      </c>
      <c r="L2196" s="6">
        <v>4.2095000000000002</v>
      </c>
      <c r="M2196" s="6">
        <v>0.23760000000000001</v>
      </c>
      <c r="N2196" s="6">
        <v>4.2115999999999998</v>
      </c>
      <c r="O2196" s="6">
        <v>1</v>
      </c>
      <c r="P2196" s="5">
        <v>630</v>
      </c>
      <c r="Q2196" s="4" t="s">
        <v>1390</v>
      </c>
    </row>
    <row r="2197" spans="1:17" x14ac:dyDescent="0.3">
      <c r="A2197" s="2" t="s">
        <v>1389</v>
      </c>
      <c r="B2197" s="3">
        <v>156743</v>
      </c>
      <c r="C2197" s="3">
        <v>897752</v>
      </c>
      <c r="D2197" s="4" t="s">
        <v>81</v>
      </c>
      <c r="E2197" s="4" t="s">
        <v>725</v>
      </c>
      <c r="F2197" s="4" t="s">
        <v>87</v>
      </c>
      <c r="G2197" s="4" t="s">
        <v>20</v>
      </c>
      <c r="H2197" s="5">
        <v>1000000</v>
      </c>
      <c r="I2197" s="4" t="s">
        <v>21</v>
      </c>
      <c r="J2197" s="5">
        <f t="shared" si="34"/>
        <v>-4212500</v>
      </c>
      <c r="K2197" s="4" t="s">
        <v>22</v>
      </c>
      <c r="L2197" s="6">
        <v>4.2125000000000004</v>
      </c>
      <c r="M2197" s="6">
        <v>0.2374</v>
      </c>
      <c r="N2197" s="6">
        <v>4.2068000000000003</v>
      </c>
      <c r="O2197" s="6">
        <v>1</v>
      </c>
      <c r="P2197" s="5">
        <v>-5720</v>
      </c>
      <c r="Q2197" s="4" t="s">
        <v>1392</v>
      </c>
    </row>
    <row r="2198" spans="1:17" x14ac:dyDescent="0.3">
      <c r="A2198" s="2" t="s">
        <v>1389</v>
      </c>
      <c r="B2198" s="3">
        <v>156744</v>
      </c>
      <c r="C2198" s="3">
        <v>897753</v>
      </c>
      <c r="D2198" s="4" t="s">
        <v>81</v>
      </c>
      <c r="E2198" s="4" t="s">
        <v>730</v>
      </c>
      <c r="F2198" s="4" t="s">
        <v>87</v>
      </c>
      <c r="G2198" s="4" t="s">
        <v>20</v>
      </c>
      <c r="H2198" s="5">
        <v>1000000</v>
      </c>
      <c r="I2198" s="4" t="s">
        <v>21</v>
      </c>
      <c r="J2198" s="5">
        <f t="shared" si="34"/>
        <v>-4212500</v>
      </c>
      <c r="K2198" s="4" t="s">
        <v>22</v>
      </c>
      <c r="L2198" s="6">
        <v>4.2125000000000004</v>
      </c>
      <c r="M2198" s="6">
        <v>0.2374</v>
      </c>
      <c r="N2198" s="6">
        <v>4.2068000000000003</v>
      </c>
      <c r="O2198" s="6">
        <v>1</v>
      </c>
      <c r="P2198" s="5">
        <v>-5710</v>
      </c>
      <c r="Q2198" s="4" t="s">
        <v>1396</v>
      </c>
    </row>
    <row r="2199" spans="1:17" x14ac:dyDescent="0.3">
      <c r="A2199" s="2" t="s">
        <v>1389</v>
      </c>
      <c r="B2199" s="3">
        <v>156745</v>
      </c>
      <c r="C2199" s="3">
        <v>897754</v>
      </c>
      <c r="D2199" s="4" t="s">
        <v>81</v>
      </c>
      <c r="E2199" s="4" t="s">
        <v>735</v>
      </c>
      <c r="F2199" s="4" t="s">
        <v>87</v>
      </c>
      <c r="G2199" s="4" t="s">
        <v>20</v>
      </c>
      <c r="H2199" s="5">
        <v>500000</v>
      </c>
      <c r="I2199" s="4" t="s">
        <v>21</v>
      </c>
      <c r="J2199" s="5">
        <f t="shared" si="34"/>
        <v>-2106300</v>
      </c>
      <c r="K2199" s="4" t="s">
        <v>22</v>
      </c>
      <c r="L2199" s="6">
        <v>4.2126000000000001</v>
      </c>
      <c r="M2199" s="6">
        <v>0.2374</v>
      </c>
      <c r="N2199" s="6">
        <v>4.2068000000000003</v>
      </c>
      <c r="O2199" s="6">
        <v>1</v>
      </c>
      <c r="P2199" s="5">
        <v>-2900</v>
      </c>
      <c r="Q2199" s="4" t="s">
        <v>1394</v>
      </c>
    </row>
    <row r="2200" spans="1:17" x14ac:dyDescent="0.3">
      <c r="A2200" s="2" t="s">
        <v>1389</v>
      </c>
      <c r="B2200" s="3">
        <v>156746</v>
      </c>
      <c r="C2200" s="3">
        <v>897755</v>
      </c>
      <c r="D2200" s="4" t="s">
        <v>81</v>
      </c>
      <c r="E2200" s="4" t="s">
        <v>732</v>
      </c>
      <c r="F2200" s="4" t="s">
        <v>87</v>
      </c>
      <c r="G2200" s="4" t="s">
        <v>20</v>
      </c>
      <c r="H2200" s="5">
        <v>1000000</v>
      </c>
      <c r="I2200" s="4" t="s">
        <v>21</v>
      </c>
      <c r="J2200" s="5">
        <f t="shared" si="34"/>
        <v>-4212600</v>
      </c>
      <c r="K2200" s="4" t="s">
        <v>22</v>
      </c>
      <c r="L2200" s="6">
        <v>4.2126000000000001</v>
      </c>
      <c r="M2200" s="6">
        <v>0.2374</v>
      </c>
      <c r="N2200" s="6">
        <v>4.2068000000000003</v>
      </c>
      <c r="O2200" s="6">
        <v>1</v>
      </c>
      <c r="P2200" s="5">
        <v>-5800</v>
      </c>
      <c r="Q2200" s="4" t="s">
        <v>1394</v>
      </c>
    </row>
    <row r="2201" spans="1:17" x14ac:dyDescent="0.3">
      <c r="A2201" s="2" t="s">
        <v>1389</v>
      </c>
      <c r="B2201" s="3">
        <v>156747</v>
      </c>
      <c r="C2201" s="3">
        <v>897759</v>
      </c>
      <c r="D2201" s="4" t="s">
        <v>81</v>
      </c>
      <c r="E2201" s="4" t="s">
        <v>730</v>
      </c>
      <c r="F2201" s="4" t="s">
        <v>87</v>
      </c>
      <c r="G2201" s="4" t="s">
        <v>20</v>
      </c>
      <c r="H2201" s="5">
        <v>500000</v>
      </c>
      <c r="I2201" s="4" t="s">
        <v>21</v>
      </c>
      <c r="J2201" s="5">
        <f t="shared" si="34"/>
        <v>-2106250</v>
      </c>
      <c r="K2201" s="4" t="s">
        <v>22</v>
      </c>
      <c r="L2201" s="6">
        <v>4.2125000000000004</v>
      </c>
      <c r="M2201" s="6">
        <v>0.2374</v>
      </c>
      <c r="N2201" s="6">
        <v>4.2068000000000003</v>
      </c>
      <c r="O2201" s="6">
        <v>1</v>
      </c>
      <c r="P2201" s="5">
        <v>-2855</v>
      </c>
      <c r="Q2201" s="4" t="s">
        <v>1396</v>
      </c>
    </row>
    <row r="2202" spans="1:17" x14ac:dyDescent="0.3">
      <c r="A2202" s="2" t="s">
        <v>1389</v>
      </c>
      <c r="B2202" s="3">
        <v>156748</v>
      </c>
      <c r="C2202" s="3">
        <v>217024</v>
      </c>
      <c r="D2202" s="4" t="s">
        <v>17</v>
      </c>
      <c r="E2202" s="4" t="s">
        <v>872</v>
      </c>
      <c r="F2202" s="4" t="s">
        <v>32</v>
      </c>
      <c r="G2202" s="4" t="s">
        <v>20</v>
      </c>
      <c r="H2202" s="5">
        <v>-3000</v>
      </c>
      <c r="I2202" s="4" t="s">
        <v>21</v>
      </c>
      <c r="J2202" s="5">
        <f t="shared" si="34"/>
        <v>12678</v>
      </c>
      <c r="K2202" s="4" t="s">
        <v>37</v>
      </c>
      <c r="L2202" s="6">
        <v>4.226</v>
      </c>
      <c r="M2202" s="6">
        <v>0.2366</v>
      </c>
      <c r="N2202" s="6">
        <v>4.2115999999999998</v>
      </c>
      <c r="O2202" s="6">
        <v>1</v>
      </c>
      <c r="P2202" s="5">
        <v>43.2</v>
      </c>
      <c r="Q2202" s="4" t="s">
        <v>1390</v>
      </c>
    </row>
    <row r="2203" spans="1:17" x14ac:dyDescent="0.3">
      <c r="A2203" s="2" t="s">
        <v>1389</v>
      </c>
      <c r="B2203" s="3">
        <v>156753</v>
      </c>
      <c r="C2203" s="3">
        <v>217030</v>
      </c>
      <c r="D2203" s="4" t="s">
        <v>17</v>
      </c>
      <c r="E2203" s="4" t="s">
        <v>1372</v>
      </c>
      <c r="F2203" s="4" t="s">
        <v>19</v>
      </c>
      <c r="G2203" s="4" t="s">
        <v>20</v>
      </c>
      <c r="H2203" s="5">
        <v>24980</v>
      </c>
      <c r="I2203" s="4" t="s">
        <v>21</v>
      </c>
      <c r="J2203" s="5">
        <f t="shared" si="34"/>
        <v>-105013.42200000001</v>
      </c>
      <c r="K2203" s="4" t="s">
        <v>37</v>
      </c>
      <c r="L2203" s="6">
        <v>4.2039</v>
      </c>
      <c r="M2203" s="6">
        <v>0.2379</v>
      </c>
      <c r="N2203" s="6">
        <v>4.2115999999999998</v>
      </c>
      <c r="O2203" s="6">
        <v>1</v>
      </c>
      <c r="P2203" s="5">
        <v>192.34599999999045</v>
      </c>
      <c r="Q2203" s="4" t="s">
        <v>1390</v>
      </c>
    </row>
    <row r="2204" spans="1:17" x14ac:dyDescent="0.3">
      <c r="A2204" s="2" t="s">
        <v>1389</v>
      </c>
      <c r="B2204" s="3">
        <v>156757</v>
      </c>
      <c r="C2204" s="3">
        <v>217034</v>
      </c>
      <c r="D2204" s="4" t="s">
        <v>17</v>
      </c>
      <c r="E2204" s="4" t="s">
        <v>1372</v>
      </c>
      <c r="F2204" s="4" t="s">
        <v>32</v>
      </c>
      <c r="G2204" s="4" t="s">
        <v>20</v>
      </c>
      <c r="H2204" s="5">
        <v>-26360</v>
      </c>
      <c r="I2204" s="4" t="s">
        <v>21</v>
      </c>
      <c r="J2204" s="5">
        <f t="shared" si="34"/>
        <v>111236.564</v>
      </c>
      <c r="K2204" s="4" t="s">
        <v>37</v>
      </c>
      <c r="L2204" s="6">
        <v>4.2199</v>
      </c>
      <c r="M2204" s="6">
        <v>0.23699999999999999</v>
      </c>
      <c r="N2204" s="6">
        <v>4.2115999999999998</v>
      </c>
      <c r="O2204" s="6">
        <v>1</v>
      </c>
      <c r="P2204" s="5">
        <v>208.244</v>
      </c>
      <c r="Q2204" s="4" t="s">
        <v>1390</v>
      </c>
    </row>
    <row r="2205" spans="1:17" x14ac:dyDescent="0.3">
      <c r="A2205" s="2" t="s">
        <v>1389</v>
      </c>
      <c r="B2205" s="3">
        <v>156759</v>
      </c>
      <c r="C2205" s="3">
        <v>217038</v>
      </c>
      <c r="D2205" s="4" t="s">
        <v>17</v>
      </c>
      <c r="E2205" s="4" t="s">
        <v>865</v>
      </c>
      <c r="F2205" s="4" t="s">
        <v>19</v>
      </c>
      <c r="G2205" s="4" t="s">
        <v>20</v>
      </c>
      <c r="H2205" s="5">
        <v>500000</v>
      </c>
      <c r="I2205" s="4" t="s">
        <v>21</v>
      </c>
      <c r="J2205" s="5">
        <f t="shared" si="34"/>
        <v>-2091000.0000000002</v>
      </c>
      <c r="K2205" s="4" t="s">
        <v>37</v>
      </c>
      <c r="L2205" s="6">
        <v>4.1820000000000004</v>
      </c>
      <c r="M2205" s="6">
        <v>0.23910000000000001</v>
      </c>
      <c r="N2205" s="6">
        <v>4.2115999999999998</v>
      </c>
      <c r="O2205" s="6">
        <v>1</v>
      </c>
      <c r="P2205" s="5">
        <v>14799.999999999767</v>
      </c>
      <c r="Q2205" s="4" t="s">
        <v>1390</v>
      </c>
    </row>
    <row r="2206" spans="1:17" x14ac:dyDescent="0.3">
      <c r="A2206" s="2" t="s">
        <v>1389</v>
      </c>
      <c r="B2206" s="3">
        <v>156760</v>
      </c>
      <c r="C2206" s="3">
        <v>217041</v>
      </c>
      <c r="D2206" s="4" t="s">
        <v>17</v>
      </c>
      <c r="E2206" s="4" t="s">
        <v>1042</v>
      </c>
      <c r="F2206" s="4" t="s">
        <v>19</v>
      </c>
      <c r="G2206" s="4" t="s">
        <v>20</v>
      </c>
      <c r="H2206" s="5">
        <v>293926.59999999998</v>
      </c>
      <c r="I2206" s="4" t="s">
        <v>21</v>
      </c>
      <c r="J2206" s="5">
        <f t="shared" si="34"/>
        <v>-1236225.8869399999</v>
      </c>
      <c r="K2206" s="4" t="s">
        <v>37</v>
      </c>
      <c r="L2206" s="6">
        <v>4.2058999999999997</v>
      </c>
      <c r="M2206" s="6">
        <v>0.23780000000000001</v>
      </c>
      <c r="N2206" s="6">
        <v>4.2115999999999998</v>
      </c>
      <c r="O2206" s="6">
        <v>1</v>
      </c>
      <c r="P2206" s="5">
        <v>1675.3816199998837</v>
      </c>
      <c r="Q2206" s="4" t="s">
        <v>1390</v>
      </c>
    </row>
    <row r="2207" spans="1:17" x14ac:dyDescent="0.3">
      <c r="A2207" s="2" t="s">
        <v>1389</v>
      </c>
      <c r="B2207" s="3">
        <v>156761</v>
      </c>
      <c r="C2207" s="3">
        <v>217042</v>
      </c>
      <c r="D2207" s="4" t="s">
        <v>17</v>
      </c>
      <c r="E2207" s="4" t="s">
        <v>1213</v>
      </c>
      <c r="F2207" s="4" t="s">
        <v>19</v>
      </c>
      <c r="G2207" s="4" t="s">
        <v>20</v>
      </c>
      <c r="H2207" s="5">
        <v>200000</v>
      </c>
      <c r="I2207" s="4" t="s">
        <v>21</v>
      </c>
      <c r="J2207" s="5">
        <f t="shared" si="34"/>
        <v>-842000</v>
      </c>
      <c r="K2207" s="4" t="s">
        <v>37</v>
      </c>
      <c r="L2207" s="6">
        <v>4.21</v>
      </c>
      <c r="M2207" s="6">
        <v>0.23749999999999999</v>
      </c>
      <c r="N2207" s="6">
        <v>4.2115999999999998</v>
      </c>
      <c r="O2207" s="6">
        <v>1</v>
      </c>
      <c r="P2207" s="5">
        <v>320</v>
      </c>
      <c r="Q2207" s="4" t="s">
        <v>1390</v>
      </c>
    </row>
    <row r="2208" spans="1:17" x14ac:dyDescent="0.3">
      <c r="A2208" s="2" t="s">
        <v>1389</v>
      </c>
      <c r="B2208" s="3">
        <v>156762</v>
      </c>
      <c r="C2208" s="3">
        <v>217043</v>
      </c>
      <c r="D2208" s="4" t="s">
        <v>17</v>
      </c>
      <c r="E2208" s="4" t="s">
        <v>925</v>
      </c>
      <c r="F2208" s="4" t="s">
        <v>19</v>
      </c>
      <c r="G2208" s="4" t="s">
        <v>20</v>
      </c>
      <c r="H2208" s="5">
        <v>60000</v>
      </c>
      <c r="I2208" s="4" t="s">
        <v>34</v>
      </c>
      <c r="J2208" s="5">
        <f t="shared" si="34"/>
        <v>-69840</v>
      </c>
      <c r="K2208" s="4" t="s">
        <v>37</v>
      </c>
      <c r="L2208" s="6">
        <v>1.1639999999999999</v>
      </c>
      <c r="M2208" s="6">
        <v>0.85909999999999997</v>
      </c>
      <c r="N2208" s="6">
        <v>4.2115999999999998</v>
      </c>
      <c r="O2208" s="6">
        <v>3.6082999999999998</v>
      </c>
      <c r="P2208" s="5">
        <v>692.32800000000861</v>
      </c>
      <c r="Q2208" s="4" t="s">
        <v>1390</v>
      </c>
    </row>
    <row r="2209" spans="1:17" x14ac:dyDescent="0.3">
      <c r="A2209" s="2" t="s">
        <v>1389</v>
      </c>
      <c r="B2209" s="3">
        <v>156763</v>
      </c>
      <c r="C2209" s="3">
        <v>217044</v>
      </c>
      <c r="D2209" s="4" t="s">
        <v>17</v>
      </c>
      <c r="E2209" s="4" t="s">
        <v>1310</v>
      </c>
      <c r="F2209" s="4" t="s">
        <v>32</v>
      </c>
      <c r="G2209" s="4" t="s">
        <v>34</v>
      </c>
      <c r="H2209" s="5">
        <v>-50000</v>
      </c>
      <c r="I2209" s="4" t="s">
        <v>21</v>
      </c>
      <c r="J2209" s="5">
        <f t="shared" si="34"/>
        <v>181450</v>
      </c>
      <c r="K2209" s="4" t="s">
        <v>37</v>
      </c>
      <c r="L2209" s="6">
        <v>3.629</v>
      </c>
      <c r="M2209" s="6">
        <v>0.27560000000000001</v>
      </c>
      <c r="N2209" s="6">
        <v>3.6082999999999998</v>
      </c>
      <c r="O2209" s="6">
        <v>1</v>
      </c>
      <c r="P2209" s="5">
        <v>1035</v>
      </c>
      <c r="Q2209" s="4" t="s">
        <v>1390</v>
      </c>
    </row>
    <row r="2210" spans="1:17" x14ac:dyDescent="0.3">
      <c r="A2210" s="2" t="s">
        <v>1389</v>
      </c>
      <c r="B2210" s="3">
        <v>156764</v>
      </c>
      <c r="C2210" s="3">
        <v>217046</v>
      </c>
      <c r="D2210" s="4" t="s">
        <v>17</v>
      </c>
      <c r="E2210" s="4" t="s">
        <v>1310</v>
      </c>
      <c r="F2210" s="4" t="s">
        <v>32</v>
      </c>
      <c r="G2210" s="4" t="s">
        <v>91</v>
      </c>
      <c r="H2210" s="5">
        <v>-50000</v>
      </c>
      <c r="I2210" s="4" t="s">
        <v>21</v>
      </c>
      <c r="J2210" s="5">
        <f t="shared" si="34"/>
        <v>243850</v>
      </c>
      <c r="K2210" s="4" t="s">
        <v>37</v>
      </c>
      <c r="L2210" s="6">
        <v>4.8769999999999998</v>
      </c>
      <c r="M2210" s="6">
        <v>0.20499999999999999</v>
      </c>
      <c r="N2210" s="6">
        <v>4.8643999999999998</v>
      </c>
      <c r="O2210" s="6">
        <v>1</v>
      </c>
      <c r="P2210" s="5">
        <v>630</v>
      </c>
      <c r="Q2210" s="4" t="s">
        <v>1390</v>
      </c>
    </row>
    <row r="2211" spans="1:17" x14ac:dyDescent="0.3">
      <c r="A2211" s="2" t="s">
        <v>1389</v>
      </c>
      <c r="B2211" s="3">
        <v>156765</v>
      </c>
      <c r="C2211" s="3">
        <v>217047</v>
      </c>
      <c r="D2211" s="4" t="s">
        <v>17</v>
      </c>
      <c r="E2211" s="4" t="s">
        <v>1180</v>
      </c>
      <c r="F2211" s="4" t="s">
        <v>19</v>
      </c>
      <c r="G2211" s="4" t="s">
        <v>91</v>
      </c>
      <c r="H2211" s="5">
        <v>20527.759999999998</v>
      </c>
      <c r="I2211" s="4" t="s">
        <v>21</v>
      </c>
      <c r="J2211" s="5">
        <f t="shared" si="34"/>
        <v>-99662.274799999999</v>
      </c>
      <c r="K2211" s="4" t="s">
        <v>37</v>
      </c>
      <c r="L2211" s="6">
        <v>4.8550000000000004</v>
      </c>
      <c r="M2211" s="6">
        <v>0.20599999999999999</v>
      </c>
      <c r="N2211" s="6">
        <v>4.8643999999999998</v>
      </c>
      <c r="O2211" s="6">
        <v>1</v>
      </c>
      <c r="P2211" s="5">
        <v>192.96094399999129</v>
      </c>
      <c r="Q2211" s="4" t="s">
        <v>1390</v>
      </c>
    </row>
    <row r="2212" spans="1:17" x14ac:dyDescent="0.3">
      <c r="A2212" s="2" t="s">
        <v>1389</v>
      </c>
      <c r="B2212" s="3">
        <v>156766</v>
      </c>
      <c r="C2212" s="3">
        <v>217048</v>
      </c>
      <c r="D2212" s="4" t="s">
        <v>17</v>
      </c>
      <c r="E2212" s="4" t="s">
        <v>997</v>
      </c>
      <c r="F2212" s="4" t="s">
        <v>19</v>
      </c>
      <c r="G2212" s="4" t="s">
        <v>20</v>
      </c>
      <c r="H2212" s="5">
        <v>10000</v>
      </c>
      <c r="I2212" s="4" t="s">
        <v>21</v>
      </c>
      <c r="J2212" s="5">
        <f t="shared" si="34"/>
        <v>-42080</v>
      </c>
      <c r="K2212" s="4" t="s">
        <v>35</v>
      </c>
      <c r="L2212" s="6">
        <v>4.2080000000000002</v>
      </c>
      <c r="M2212" s="6">
        <v>0.23760000000000001</v>
      </c>
      <c r="N2212" s="6">
        <v>4.2110000000000003</v>
      </c>
      <c r="O2212" s="6">
        <v>1</v>
      </c>
      <c r="P2212" s="5">
        <v>30</v>
      </c>
      <c r="Q2212" s="4" t="s">
        <v>1390</v>
      </c>
    </row>
    <row r="2213" spans="1:17" x14ac:dyDescent="0.3">
      <c r="A2213" s="2" t="s">
        <v>1389</v>
      </c>
      <c r="B2213" s="3">
        <v>156767</v>
      </c>
      <c r="C2213" s="3">
        <v>897860</v>
      </c>
      <c r="D2213" s="4" t="s">
        <v>81</v>
      </c>
      <c r="E2213" s="4" t="s">
        <v>735</v>
      </c>
      <c r="F2213" s="4" t="s">
        <v>83</v>
      </c>
      <c r="G2213" s="4" t="s">
        <v>20</v>
      </c>
      <c r="H2213" s="5">
        <v>-500000</v>
      </c>
      <c r="I2213" s="4" t="s">
        <v>21</v>
      </c>
      <c r="J2213" s="5">
        <f t="shared" si="34"/>
        <v>2106650</v>
      </c>
      <c r="K2213" s="4" t="s">
        <v>22</v>
      </c>
      <c r="L2213" s="6">
        <v>4.2133000000000003</v>
      </c>
      <c r="M2213" s="6">
        <v>0.23730000000000001</v>
      </c>
      <c r="N2213" s="6">
        <v>4.2068000000000003</v>
      </c>
      <c r="O2213" s="6">
        <v>1</v>
      </c>
      <c r="P2213" s="5">
        <v>3250</v>
      </c>
      <c r="Q2213" s="4" t="s">
        <v>1394</v>
      </c>
    </row>
    <row r="2214" spans="1:17" x14ac:dyDescent="0.3">
      <c r="A2214" s="2" t="s">
        <v>1389</v>
      </c>
      <c r="B2214" s="3">
        <v>156768</v>
      </c>
      <c r="C2214" s="3">
        <v>217052</v>
      </c>
      <c r="D2214" s="4" t="s">
        <v>17</v>
      </c>
      <c r="E2214" s="4" t="s">
        <v>1119</v>
      </c>
      <c r="F2214" s="4" t="s">
        <v>32</v>
      </c>
      <c r="G2214" s="4" t="s">
        <v>74</v>
      </c>
      <c r="H2214" s="5">
        <v>-190000</v>
      </c>
      <c r="I2214" s="4" t="s">
        <v>21</v>
      </c>
      <c r="J2214" s="5">
        <f t="shared" si="34"/>
        <v>69730</v>
      </c>
      <c r="K2214" s="4" t="s">
        <v>37</v>
      </c>
      <c r="L2214" s="6">
        <v>0.36699999999999999</v>
      </c>
      <c r="M2214" s="6">
        <v>2.7248000000000001</v>
      </c>
      <c r="N2214" s="6">
        <v>0.35809999999999997</v>
      </c>
      <c r="O2214" s="6">
        <v>1</v>
      </c>
      <c r="P2214" s="5">
        <v>1691</v>
      </c>
      <c r="Q2214" s="4" t="s">
        <v>1390</v>
      </c>
    </row>
    <row r="2215" spans="1:17" x14ac:dyDescent="0.3">
      <c r="A2215" s="2" t="s">
        <v>1389</v>
      </c>
      <c r="B2215" s="3">
        <v>156769</v>
      </c>
      <c r="C2215" s="3">
        <v>217054</v>
      </c>
      <c r="D2215" s="4" t="s">
        <v>17</v>
      </c>
      <c r="E2215" s="4" t="s">
        <v>982</v>
      </c>
      <c r="F2215" s="4" t="s">
        <v>19</v>
      </c>
      <c r="G2215" s="4" t="s">
        <v>20</v>
      </c>
      <c r="H2215" s="5">
        <v>50000</v>
      </c>
      <c r="I2215" s="4" t="s">
        <v>21</v>
      </c>
      <c r="J2215" s="5">
        <f t="shared" si="34"/>
        <v>-209425.00000000003</v>
      </c>
      <c r="K2215" s="4" t="s">
        <v>37</v>
      </c>
      <c r="L2215" s="6">
        <v>4.1885000000000003</v>
      </c>
      <c r="M2215" s="6">
        <v>0.2387</v>
      </c>
      <c r="N2215" s="6">
        <v>4.2115999999999998</v>
      </c>
      <c r="O2215" s="6">
        <v>1</v>
      </c>
      <c r="P2215" s="5">
        <v>1154.9999999999709</v>
      </c>
      <c r="Q2215" s="4" t="s">
        <v>1390</v>
      </c>
    </row>
    <row r="2216" spans="1:17" x14ac:dyDescent="0.3">
      <c r="A2216" s="2" t="s">
        <v>1389</v>
      </c>
      <c r="B2216" s="3">
        <v>156770</v>
      </c>
      <c r="C2216" s="3">
        <v>217055</v>
      </c>
      <c r="D2216" s="4" t="s">
        <v>17</v>
      </c>
      <c r="E2216" s="4" t="s">
        <v>1119</v>
      </c>
      <c r="F2216" s="4" t="s">
        <v>32</v>
      </c>
      <c r="G2216" s="4" t="s">
        <v>84</v>
      </c>
      <c r="H2216" s="5">
        <v>-15000</v>
      </c>
      <c r="I2216" s="4" t="s">
        <v>21</v>
      </c>
      <c r="J2216" s="5">
        <f t="shared" si="34"/>
        <v>6015</v>
      </c>
      <c r="K2216" s="4" t="s">
        <v>37</v>
      </c>
      <c r="L2216" s="6">
        <v>0.40100000000000002</v>
      </c>
      <c r="M2216" s="6">
        <v>2.4937999999999998</v>
      </c>
      <c r="N2216" s="6">
        <v>0.39319999999999999</v>
      </c>
      <c r="O2216" s="6">
        <v>1</v>
      </c>
      <c r="P2216" s="5">
        <v>117</v>
      </c>
      <c r="Q2216" s="4" t="s">
        <v>1390</v>
      </c>
    </row>
    <row r="2217" spans="1:17" x14ac:dyDescent="0.3">
      <c r="A2217" s="2" t="s">
        <v>1389</v>
      </c>
      <c r="B2217" s="3">
        <v>156771</v>
      </c>
      <c r="C2217" s="3">
        <v>217058</v>
      </c>
      <c r="D2217" s="4" t="s">
        <v>17</v>
      </c>
      <c r="E2217" s="4" t="s">
        <v>1337</v>
      </c>
      <c r="F2217" s="4" t="s">
        <v>19</v>
      </c>
      <c r="G2217" s="4" t="s">
        <v>20</v>
      </c>
      <c r="H2217" s="5">
        <v>200000</v>
      </c>
      <c r="I2217" s="4" t="s">
        <v>21</v>
      </c>
      <c r="J2217" s="5">
        <f t="shared" si="34"/>
        <v>-841000</v>
      </c>
      <c r="K2217" s="4" t="s">
        <v>37</v>
      </c>
      <c r="L2217" s="6">
        <v>4.2050000000000001</v>
      </c>
      <c r="M2217" s="6">
        <v>0.23780000000000001</v>
      </c>
      <c r="N2217" s="6">
        <v>4.2115999999999998</v>
      </c>
      <c r="O2217" s="6">
        <v>1</v>
      </c>
      <c r="P2217" s="5">
        <v>1320</v>
      </c>
      <c r="Q2217" s="4" t="s">
        <v>1390</v>
      </c>
    </row>
    <row r="2218" spans="1:17" x14ac:dyDescent="0.3">
      <c r="A2218" s="2" t="s">
        <v>1389</v>
      </c>
      <c r="B2218" s="3">
        <v>156772</v>
      </c>
      <c r="C2218" s="3">
        <v>897904</v>
      </c>
      <c r="D2218" s="4" t="s">
        <v>81</v>
      </c>
      <c r="E2218" s="4" t="s">
        <v>1155</v>
      </c>
      <c r="F2218" s="4" t="s">
        <v>87</v>
      </c>
      <c r="G2218" s="4" t="s">
        <v>74</v>
      </c>
      <c r="H2218" s="5">
        <v>2000000</v>
      </c>
      <c r="I2218" s="4" t="s">
        <v>21</v>
      </c>
      <c r="J2218" s="5">
        <f t="shared" si="34"/>
        <v>-717600</v>
      </c>
      <c r="K2218" s="4" t="s">
        <v>22</v>
      </c>
      <c r="L2218" s="6">
        <v>0.35880000000000001</v>
      </c>
      <c r="M2218" s="6">
        <v>2.7871000000000001</v>
      </c>
      <c r="N2218" s="6">
        <v>0.35880000000000001</v>
      </c>
      <c r="O2218" s="6">
        <v>1</v>
      </c>
      <c r="P2218" s="5">
        <v>0</v>
      </c>
      <c r="Q2218" s="4" t="s">
        <v>1390</v>
      </c>
    </row>
    <row r="2219" spans="1:17" x14ac:dyDescent="0.3">
      <c r="A2219" s="2" t="s">
        <v>1389</v>
      </c>
      <c r="B2219" s="3">
        <v>156773</v>
      </c>
      <c r="C2219" s="3">
        <v>897914</v>
      </c>
      <c r="D2219" s="4" t="s">
        <v>81</v>
      </c>
      <c r="E2219" s="4" t="s">
        <v>742</v>
      </c>
      <c r="F2219" s="4" t="s">
        <v>87</v>
      </c>
      <c r="G2219" s="4" t="s">
        <v>20</v>
      </c>
      <c r="H2219" s="5">
        <v>100000</v>
      </c>
      <c r="I2219" s="4" t="s">
        <v>74</v>
      </c>
      <c r="J2219" s="5">
        <f t="shared" si="34"/>
        <v>-1173130</v>
      </c>
      <c r="K2219" s="4" t="s">
        <v>22</v>
      </c>
      <c r="L2219" s="6">
        <v>11.731299999999999</v>
      </c>
      <c r="M2219" s="6">
        <v>8.5199999999999998E-2</v>
      </c>
      <c r="N2219" s="6">
        <v>4.2068000000000003</v>
      </c>
      <c r="O2219" s="6">
        <v>0.35880000000000001</v>
      </c>
      <c r="P2219" s="5">
        <v>-239.04400000000001</v>
      </c>
      <c r="Q2219" s="4" t="s">
        <v>1396</v>
      </c>
    </row>
    <row r="2220" spans="1:17" x14ac:dyDescent="0.3">
      <c r="A2220" s="2" t="s">
        <v>1389</v>
      </c>
      <c r="B2220" s="3">
        <v>156774</v>
      </c>
      <c r="C2220" s="3">
        <v>897919</v>
      </c>
      <c r="D2220" s="4" t="s">
        <v>81</v>
      </c>
      <c r="E2220" s="4" t="s">
        <v>735</v>
      </c>
      <c r="F2220" s="4" t="s">
        <v>83</v>
      </c>
      <c r="G2220" s="4" t="s">
        <v>20</v>
      </c>
      <c r="H2220" s="5">
        <v>-500000</v>
      </c>
      <c r="I2220" s="4" t="s">
        <v>21</v>
      </c>
      <c r="J2220" s="5">
        <f t="shared" si="34"/>
        <v>2107200</v>
      </c>
      <c r="K2220" s="4" t="s">
        <v>22</v>
      </c>
      <c r="L2220" s="6">
        <v>4.2144000000000004</v>
      </c>
      <c r="M2220" s="6">
        <v>0.23730000000000001</v>
      </c>
      <c r="N2220" s="6">
        <v>4.2068000000000003</v>
      </c>
      <c r="O2220" s="6">
        <v>1</v>
      </c>
      <c r="P2220" s="5">
        <v>3800</v>
      </c>
      <c r="Q2220" s="4" t="s">
        <v>1394</v>
      </c>
    </row>
    <row r="2221" spans="1:17" x14ac:dyDescent="0.3">
      <c r="A2221" s="2" t="s">
        <v>1389</v>
      </c>
      <c r="B2221" s="3">
        <v>156775</v>
      </c>
      <c r="C2221" s="3">
        <v>897923</v>
      </c>
      <c r="D2221" s="4" t="s">
        <v>81</v>
      </c>
      <c r="E2221" s="4" t="s">
        <v>734</v>
      </c>
      <c r="F2221" s="4" t="s">
        <v>87</v>
      </c>
      <c r="G2221" s="4" t="s">
        <v>20</v>
      </c>
      <c r="H2221" s="5">
        <v>100000</v>
      </c>
      <c r="I2221" s="4" t="s">
        <v>91</v>
      </c>
      <c r="J2221" s="5">
        <f t="shared" si="34"/>
        <v>-86630</v>
      </c>
      <c r="K2221" s="4" t="s">
        <v>22</v>
      </c>
      <c r="L2221" s="6">
        <v>0.86629999999999996</v>
      </c>
      <c r="M2221" s="6">
        <v>1.1543000000000001</v>
      </c>
      <c r="N2221" s="6">
        <v>4.2068000000000003</v>
      </c>
      <c r="O2221" s="6">
        <v>4.8579999999999997</v>
      </c>
      <c r="P2221" s="5">
        <v>-192.83</v>
      </c>
      <c r="Q2221" s="4" t="s">
        <v>1393</v>
      </c>
    </row>
    <row r="2222" spans="1:17" x14ac:dyDescent="0.3">
      <c r="A2222" s="2" t="s">
        <v>1389</v>
      </c>
      <c r="B2222" s="3">
        <v>156776</v>
      </c>
      <c r="C2222" s="3">
        <v>897939</v>
      </c>
      <c r="D2222" s="4" t="s">
        <v>81</v>
      </c>
      <c r="E2222" s="4" t="s">
        <v>742</v>
      </c>
      <c r="F2222" s="4" t="s">
        <v>83</v>
      </c>
      <c r="G2222" s="4" t="s">
        <v>20</v>
      </c>
      <c r="H2222" s="5">
        <v>-500000</v>
      </c>
      <c r="I2222" s="4" t="s">
        <v>21</v>
      </c>
      <c r="J2222" s="5">
        <f t="shared" si="34"/>
        <v>2107800</v>
      </c>
      <c r="K2222" s="4" t="s">
        <v>22</v>
      </c>
      <c r="L2222" s="6">
        <v>4.2156000000000002</v>
      </c>
      <c r="M2222" s="6">
        <v>0.23719999999999999</v>
      </c>
      <c r="N2222" s="6">
        <v>4.2068000000000003</v>
      </c>
      <c r="O2222" s="6">
        <v>1</v>
      </c>
      <c r="P2222" s="5">
        <v>4385</v>
      </c>
      <c r="Q2222" s="4" t="s">
        <v>1396</v>
      </c>
    </row>
    <row r="2223" spans="1:17" x14ac:dyDescent="0.3">
      <c r="A2223" s="2" t="s">
        <v>1389</v>
      </c>
      <c r="B2223" s="3">
        <v>156777</v>
      </c>
      <c r="C2223" s="3">
        <v>217070</v>
      </c>
      <c r="D2223" s="4" t="s">
        <v>17</v>
      </c>
      <c r="E2223" s="4" t="s">
        <v>974</v>
      </c>
      <c r="F2223" s="4" t="s">
        <v>32</v>
      </c>
      <c r="G2223" s="4" t="s">
        <v>91</v>
      </c>
      <c r="H2223" s="5">
        <v>-11000</v>
      </c>
      <c r="I2223" s="4" t="s">
        <v>21</v>
      </c>
      <c r="J2223" s="5">
        <f t="shared" si="34"/>
        <v>53702</v>
      </c>
      <c r="K2223" s="4" t="s">
        <v>37</v>
      </c>
      <c r="L2223" s="6">
        <v>4.8819999999999997</v>
      </c>
      <c r="M2223" s="6">
        <v>0.20480000000000001</v>
      </c>
      <c r="N2223" s="6">
        <v>4.8643999999999998</v>
      </c>
      <c r="O2223" s="6">
        <v>1</v>
      </c>
      <c r="P2223" s="5">
        <v>193.6</v>
      </c>
      <c r="Q2223" s="4" t="s">
        <v>1390</v>
      </c>
    </row>
    <row r="2224" spans="1:17" x14ac:dyDescent="0.3">
      <c r="A2224" s="2" t="s">
        <v>1389</v>
      </c>
      <c r="B2224" s="3">
        <v>156778</v>
      </c>
      <c r="C2224" s="3">
        <v>897950</v>
      </c>
      <c r="D2224" s="4" t="s">
        <v>81</v>
      </c>
      <c r="E2224" s="4" t="s">
        <v>1155</v>
      </c>
      <c r="F2224" s="4" t="s">
        <v>83</v>
      </c>
      <c r="G2224" s="4" t="s">
        <v>20</v>
      </c>
      <c r="H2224" s="5">
        <v>-100000</v>
      </c>
      <c r="I2224" s="4" t="s">
        <v>74</v>
      </c>
      <c r="J2224" s="5">
        <f t="shared" si="34"/>
        <v>1173740</v>
      </c>
      <c r="K2224" s="4" t="s">
        <v>22</v>
      </c>
      <c r="L2224" s="6">
        <v>11.737399999999999</v>
      </c>
      <c r="M2224" s="6">
        <v>8.5199999999999998E-2</v>
      </c>
      <c r="N2224" s="6">
        <v>4.2068000000000003</v>
      </c>
      <c r="O2224" s="6">
        <v>0.35880000000000001</v>
      </c>
      <c r="P2224" s="5">
        <v>457.91199999999998</v>
      </c>
      <c r="Q2224" s="4" t="s">
        <v>1390</v>
      </c>
    </row>
    <row r="2225" spans="1:17" x14ac:dyDescent="0.3">
      <c r="A2225" s="2" t="s">
        <v>1389</v>
      </c>
      <c r="B2225" s="3">
        <v>156781</v>
      </c>
      <c r="C2225" s="3">
        <v>897967</v>
      </c>
      <c r="D2225" s="4" t="s">
        <v>81</v>
      </c>
      <c r="E2225" s="4" t="s">
        <v>730</v>
      </c>
      <c r="F2225" s="4" t="s">
        <v>87</v>
      </c>
      <c r="G2225" s="4" t="s">
        <v>20</v>
      </c>
      <c r="H2225" s="5">
        <v>100000</v>
      </c>
      <c r="I2225" s="4" t="s">
        <v>74</v>
      </c>
      <c r="J2225" s="5">
        <f t="shared" si="34"/>
        <v>-1173400</v>
      </c>
      <c r="K2225" s="4" t="s">
        <v>22</v>
      </c>
      <c r="L2225" s="6">
        <v>11.734</v>
      </c>
      <c r="M2225" s="6">
        <v>8.5199999999999998E-2</v>
      </c>
      <c r="N2225" s="6">
        <v>4.2068000000000003</v>
      </c>
      <c r="O2225" s="6">
        <v>0.35880000000000001</v>
      </c>
      <c r="P2225" s="5">
        <v>-336.99639999999999</v>
      </c>
      <c r="Q2225" s="4" t="s">
        <v>1396</v>
      </c>
    </row>
    <row r="2226" spans="1:17" x14ac:dyDescent="0.3">
      <c r="A2226" s="2" t="s">
        <v>1389</v>
      </c>
      <c r="B2226" s="3">
        <v>156790</v>
      </c>
      <c r="C2226" s="3">
        <v>217076</v>
      </c>
      <c r="D2226" s="4" t="s">
        <v>17</v>
      </c>
      <c r="E2226" s="4" t="s">
        <v>841</v>
      </c>
      <c r="F2226" s="4" t="s">
        <v>32</v>
      </c>
      <c r="G2226" s="4" t="s">
        <v>20</v>
      </c>
      <c r="H2226" s="5">
        <v>-12000</v>
      </c>
      <c r="I2226" s="4" t="s">
        <v>21</v>
      </c>
      <c r="J2226" s="5">
        <f t="shared" si="34"/>
        <v>50640</v>
      </c>
      <c r="K2226" s="4" t="s">
        <v>37</v>
      </c>
      <c r="L2226" s="6">
        <v>4.22</v>
      </c>
      <c r="M2226" s="6">
        <v>0.23699999999999999</v>
      </c>
      <c r="N2226" s="6">
        <v>4.2115999999999998</v>
      </c>
      <c r="O2226" s="6">
        <v>1</v>
      </c>
      <c r="P2226" s="5">
        <v>100.8</v>
      </c>
      <c r="Q2226" s="4" t="s">
        <v>1390</v>
      </c>
    </row>
    <row r="2227" spans="1:17" x14ac:dyDescent="0.3">
      <c r="A2227" s="2" t="s">
        <v>1389</v>
      </c>
      <c r="B2227" s="3">
        <v>156792</v>
      </c>
      <c r="C2227" s="3">
        <v>897975</v>
      </c>
      <c r="D2227" s="4" t="s">
        <v>81</v>
      </c>
      <c r="E2227" s="4" t="s">
        <v>1155</v>
      </c>
      <c r="F2227" s="4" t="s">
        <v>83</v>
      </c>
      <c r="G2227" s="4" t="s">
        <v>20</v>
      </c>
      <c r="H2227" s="5">
        <v>-100000</v>
      </c>
      <c r="I2227" s="4" t="s">
        <v>74</v>
      </c>
      <c r="J2227" s="5">
        <f t="shared" si="34"/>
        <v>1173200</v>
      </c>
      <c r="K2227" s="4" t="s">
        <v>22</v>
      </c>
      <c r="L2227" s="6">
        <v>11.731999999999999</v>
      </c>
      <c r="M2227" s="6">
        <v>8.5199999999999998E-2</v>
      </c>
      <c r="N2227" s="6">
        <v>4.2068000000000003</v>
      </c>
      <c r="O2227" s="6">
        <v>0.35880000000000001</v>
      </c>
      <c r="P2227" s="5">
        <v>264.16000000000003</v>
      </c>
      <c r="Q2227" s="4" t="s">
        <v>1390</v>
      </c>
    </row>
    <row r="2228" spans="1:17" x14ac:dyDescent="0.3">
      <c r="A2228" s="2" t="s">
        <v>1389</v>
      </c>
      <c r="B2228" s="3">
        <v>156793</v>
      </c>
      <c r="C2228" s="3">
        <v>897977</v>
      </c>
      <c r="D2228" s="4" t="s">
        <v>81</v>
      </c>
      <c r="E2228" s="4" t="s">
        <v>1155</v>
      </c>
      <c r="F2228" s="4" t="s">
        <v>87</v>
      </c>
      <c r="G2228" s="4" t="s">
        <v>74</v>
      </c>
      <c r="H2228" s="5">
        <v>2000000</v>
      </c>
      <c r="I2228" s="4" t="s">
        <v>21</v>
      </c>
      <c r="J2228" s="5">
        <f t="shared" si="34"/>
        <v>-718600</v>
      </c>
      <c r="K2228" s="4" t="s">
        <v>22</v>
      </c>
      <c r="L2228" s="6">
        <v>0.35930000000000001</v>
      </c>
      <c r="M2228" s="6">
        <v>2.7831999999999999</v>
      </c>
      <c r="N2228" s="6">
        <v>0.35880000000000001</v>
      </c>
      <c r="O2228" s="6">
        <v>1</v>
      </c>
      <c r="P2228" s="5">
        <v>-1000</v>
      </c>
      <c r="Q2228" s="4" t="s">
        <v>1390</v>
      </c>
    </row>
    <row r="2229" spans="1:17" x14ac:dyDescent="0.3">
      <c r="A2229" s="2" t="s">
        <v>1389</v>
      </c>
      <c r="B2229" s="3">
        <v>156795</v>
      </c>
      <c r="C2229" s="3">
        <v>897982</v>
      </c>
      <c r="D2229" s="4" t="s">
        <v>81</v>
      </c>
      <c r="E2229" s="4" t="s">
        <v>730</v>
      </c>
      <c r="F2229" s="4" t="s">
        <v>87</v>
      </c>
      <c r="G2229" s="4" t="s">
        <v>20</v>
      </c>
      <c r="H2229" s="5">
        <v>300000</v>
      </c>
      <c r="I2229" s="4" t="s">
        <v>74</v>
      </c>
      <c r="J2229" s="5">
        <f t="shared" si="34"/>
        <v>-3518100</v>
      </c>
      <c r="K2229" s="4" t="s">
        <v>22</v>
      </c>
      <c r="L2229" s="6">
        <v>11.727</v>
      </c>
      <c r="M2229" s="6">
        <v>8.5300000000000001E-2</v>
      </c>
      <c r="N2229" s="6">
        <v>4.2068000000000003</v>
      </c>
      <c r="O2229" s="6">
        <v>0.35880000000000001</v>
      </c>
      <c r="P2229" s="5">
        <v>-254.28</v>
      </c>
      <c r="Q2229" s="4" t="s">
        <v>1396</v>
      </c>
    </row>
    <row r="2230" spans="1:17" x14ac:dyDescent="0.3">
      <c r="A2230" s="2" t="s">
        <v>1389</v>
      </c>
      <c r="B2230" s="3">
        <v>156796</v>
      </c>
      <c r="C2230" s="3">
        <v>897984</v>
      </c>
      <c r="D2230" s="4" t="s">
        <v>81</v>
      </c>
      <c r="E2230" s="4" t="s">
        <v>734</v>
      </c>
      <c r="F2230" s="4" t="s">
        <v>83</v>
      </c>
      <c r="G2230" s="4" t="s">
        <v>20</v>
      </c>
      <c r="H2230" s="5">
        <v>-500000</v>
      </c>
      <c r="I2230" s="4" t="s">
        <v>21</v>
      </c>
      <c r="J2230" s="5">
        <f t="shared" si="34"/>
        <v>2108450</v>
      </c>
      <c r="K2230" s="4" t="s">
        <v>22</v>
      </c>
      <c r="L2230" s="6">
        <v>4.2168999999999999</v>
      </c>
      <c r="M2230" s="6">
        <v>0.23710000000000001</v>
      </c>
      <c r="N2230" s="6">
        <v>4.2068000000000003</v>
      </c>
      <c r="O2230" s="6">
        <v>1</v>
      </c>
      <c r="P2230" s="5">
        <v>5050</v>
      </c>
      <c r="Q2230" s="4" t="s">
        <v>1393</v>
      </c>
    </row>
    <row r="2231" spans="1:17" x14ac:dyDescent="0.3">
      <c r="A2231" s="2" t="s">
        <v>1389</v>
      </c>
      <c r="B2231" s="3">
        <v>156799</v>
      </c>
      <c r="C2231" s="3">
        <v>897985</v>
      </c>
      <c r="D2231" s="4" t="s">
        <v>81</v>
      </c>
      <c r="E2231" s="4" t="s">
        <v>742</v>
      </c>
      <c r="F2231" s="4" t="s">
        <v>83</v>
      </c>
      <c r="G2231" s="4" t="s">
        <v>20</v>
      </c>
      <c r="H2231" s="5">
        <v>-1000000</v>
      </c>
      <c r="I2231" s="4" t="s">
        <v>21</v>
      </c>
      <c r="J2231" s="5">
        <f t="shared" si="34"/>
        <v>4215400</v>
      </c>
      <c r="K2231" s="4" t="s">
        <v>22</v>
      </c>
      <c r="L2231" s="6">
        <v>4.2153999999999998</v>
      </c>
      <c r="M2231" s="6">
        <v>0.23719999999999999</v>
      </c>
      <c r="N2231" s="6">
        <v>4.2068000000000003</v>
      </c>
      <c r="O2231" s="6">
        <v>1</v>
      </c>
      <c r="P2231" s="5">
        <v>8600</v>
      </c>
      <c r="Q2231" s="4" t="s">
        <v>1396</v>
      </c>
    </row>
    <row r="2232" spans="1:17" x14ac:dyDescent="0.3">
      <c r="A2232" s="2" t="s">
        <v>1389</v>
      </c>
      <c r="B2232" s="3">
        <v>156800</v>
      </c>
      <c r="C2232" s="3">
        <v>217078</v>
      </c>
      <c r="D2232" s="4" t="s">
        <v>17</v>
      </c>
      <c r="E2232" s="4" t="s">
        <v>1258</v>
      </c>
      <c r="F2232" s="4" t="s">
        <v>19</v>
      </c>
      <c r="G2232" s="4" t="s">
        <v>20</v>
      </c>
      <c r="H2232" s="5">
        <v>1000000</v>
      </c>
      <c r="I2232" s="4" t="s">
        <v>21</v>
      </c>
      <c r="J2232" s="5">
        <f t="shared" si="34"/>
        <v>-4210000</v>
      </c>
      <c r="K2232" s="4" t="s">
        <v>37</v>
      </c>
      <c r="L2232" s="6">
        <v>4.21</v>
      </c>
      <c r="M2232" s="6">
        <v>0.23749999999999999</v>
      </c>
      <c r="N2232" s="6">
        <v>4.2115999999999998</v>
      </c>
      <c r="O2232" s="6">
        <v>1</v>
      </c>
      <c r="P2232" s="5">
        <v>1600</v>
      </c>
      <c r="Q2232" s="4" t="s">
        <v>1390</v>
      </c>
    </row>
    <row r="2233" spans="1:17" x14ac:dyDescent="0.3">
      <c r="A2233" s="2" t="s">
        <v>1389</v>
      </c>
      <c r="B2233" s="3">
        <v>156802</v>
      </c>
      <c r="C2233" s="3">
        <v>897989</v>
      </c>
      <c r="D2233" s="4" t="s">
        <v>81</v>
      </c>
      <c r="E2233" s="4" t="s">
        <v>734</v>
      </c>
      <c r="F2233" s="4" t="s">
        <v>83</v>
      </c>
      <c r="G2233" s="4" t="s">
        <v>20</v>
      </c>
      <c r="H2233" s="5">
        <v>-500000</v>
      </c>
      <c r="I2233" s="4" t="s">
        <v>21</v>
      </c>
      <c r="J2233" s="5">
        <f t="shared" si="34"/>
        <v>2107600</v>
      </c>
      <c r="K2233" s="4" t="s">
        <v>22</v>
      </c>
      <c r="L2233" s="6">
        <v>4.2152000000000003</v>
      </c>
      <c r="M2233" s="6">
        <v>0.23719999999999999</v>
      </c>
      <c r="N2233" s="6">
        <v>4.2068000000000003</v>
      </c>
      <c r="O2233" s="6">
        <v>1</v>
      </c>
      <c r="P2233" s="5">
        <v>4200</v>
      </c>
      <c r="Q2233" s="4" t="s">
        <v>1393</v>
      </c>
    </row>
    <row r="2234" spans="1:17" x14ac:dyDescent="0.3">
      <c r="A2234" s="2" t="s">
        <v>1389</v>
      </c>
      <c r="B2234" s="3">
        <v>156803</v>
      </c>
      <c r="C2234" s="3">
        <v>217079</v>
      </c>
      <c r="D2234" s="4" t="s">
        <v>17</v>
      </c>
      <c r="E2234" s="4" t="s">
        <v>820</v>
      </c>
      <c r="F2234" s="4" t="s">
        <v>19</v>
      </c>
      <c r="G2234" s="4" t="s">
        <v>20</v>
      </c>
      <c r="H2234" s="5">
        <v>500000</v>
      </c>
      <c r="I2234" s="4" t="s">
        <v>21</v>
      </c>
      <c r="J2234" s="5">
        <f t="shared" si="34"/>
        <v>-2057500</v>
      </c>
      <c r="K2234" s="4" t="s">
        <v>37</v>
      </c>
      <c r="L2234" s="6">
        <v>4.1150000000000002</v>
      </c>
      <c r="M2234" s="6">
        <v>0.24299999999999999</v>
      </c>
      <c r="N2234" s="6">
        <v>4.2115999999999998</v>
      </c>
      <c r="O2234" s="6">
        <v>1</v>
      </c>
      <c r="P2234" s="5">
        <v>48300</v>
      </c>
      <c r="Q2234" s="4" t="s">
        <v>1390</v>
      </c>
    </row>
    <row r="2235" spans="1:17" x14ac:dyDescent="0.3">
      <c r="A2235" s="2" t="s">
        <v>1389</v>
      </c>
      <c r="B2235" s="3">
        <v>156804</v>
      </c>
      <c r="C2235" s="3">
        <v>898002</v>
      </c>
      <c r="D2235" s="4" t="s">
        <v>81</v>
      </c>
      <c r="E2235" s="4" t="s">
        <v>735</v>
      </c>
      <c r="F2235" s="4" t="s">
        <v>83</v>
      </c>
      <c r="G2235" s="4" t="s">
        <v>20</v>
      </c>
      <c r="H2235" s="5">
        <v>-500000</v>
      </c>
      <c r="I2235" s="4" t="s">
        <v>21</v>
      </c>
      <c r="J2235" s="5">
        <f t="shared" si="34"/>
        <v>2107500</v>
      </c>
      <c r="K2235" s="4" t="s">
        <v>22</v>
      </c>
      <c r="L2235" s="6">
        <v>4.2149999999999999</v>
      </c>
      <c r="M2235" s="6">
        <v>0.23719999999999999</v>
      </c>
      <c r="N2235" s="6">
        <v>4.2068000000000003</v>
      </c>
      <c r="O2235" s="6">
        <v>1</v>
      </c>
      <c r="P2235" s="5">
        <v>4100</v>
      </c>
      <c r="Q2235" s="4" t="s">
        <v>1394</v>
      </c>
    </row>
    <row r="2236" spans="1:17" x14ac:dyDescent="0.3">
      <c r="A2236" s="2" t="s">
        <v>1389</v>
      </c>
      <c r="B2236" s="3">
        <v>156805</v>
      </c>
      <c r="C2236" s="3">
        <v>217083</v>
      </c>
      <c r="D2236" s="4" t="s">
        <v>17</v>
      </c>
      <c r="E2236" s="4" t="s">
        <v>987</v>
      </c>
      <c r="F2236" s="4" t="s">
        <v>19</v>
      </c>
      <c r="G2236" s="4" t="s">
        <v>20</v>
      </c>
      <c r="H2236" s="5">
        <v>5000</v>
      </c>
      <c r="I2236" s="4" t="s">
        <v>21</v>
      </c>
      <c r="J2236" s="5">
        <f t="shared" si="34"/>
        <v>-21058.500000000004</v>
      </c>
      <c r="K2236" s="4" t="s">
        <v>37</v>
      </c>
      <c r="L2236" s="6">
        <v>4.2117000000000004</v>
      </c>
      <c r="M2236" s="6">
        <v>0.2374</v>
      </c>
      <c r="N2236" s="6">
        <v>4.2115999999999998</v>
      </c>
      <c r="O2236" s="6">
        <v>1</v>
      </c>
      <c r="P2236" s="5">
        <v>-0.50000000000363798</v>
      </c>
      <c r="Q2236" s="4" t="s">
        <v>1390</v>
      </c>
    </row>
    <row r="2237" spans="1:17" x14ac:dyDescent="0.3">
      <c r="A2237" s="2" t="s">
        <v>1389</v>
      </c>
      <c r="B2237" s="3">
        <v>156806</v>
      </c>
      <c r="C2237" s="3">
        <v>898012</v>
      </c>
      <c r="D2237" s="4" t="s">
        <v>81</v>
      </c>
      <c r="E2237" s="4" t="s">
        <v>1166</v>
      </c>
      <c r="F2237" s="4" t="s">
        <v>87</v>
      </c>
      <c r="G2237" s="4" t="s">
        <v>20</v>
      </c>
      <c r="H2237" s="5">
        <v>10000</v>
      </c>
      <c r="I2237" s="4" t="s">
        <v>21</v>
      </c>
      <c r="J2237" s="5">
        <f t="shared" si="34"/>
        <v>-42073</v>
      </c>
      <c r="K2237" s="4" t="s">
        <v>22</v>
      </c>
      <c r="L2237" s="6">
        <v>4.2073</v>
      </c>
      <c r="M2237" s="6">
        <v>0.23769999999999999</v>
      </c>
      <c r="N2237" s="6">
        <v>4.2068000000000003</v>
      </c>
      <c r="O2237" s="6">
        <v>1</v>
      </c>
      <c r="P2237" s="5">
        <v>-5</v>
      </c>
      <c r="Q2237" s="4" t="s">
        <v>1390</v>
      </c>
    </row>
    <row r="2238" spans="1:17" x14ac:dyDescent="0.3">
      <c r="A2238" s="2" t="s">
        <v>1389</v>
      </c>
      <c r="B2238" s="3">
        <v>156807</v>
      </c>
      <c r="C2238" s="3">
        <v>217087</v>
      </c>
      <c r="D2238" s="4" t="s">
        <v>17</v>
      </c>
      <c r="E2238" s="4" t="s">
        <v>987</v>
      </c>
      <c r="F2238" s="4" t="s">
        <v>19</v>
      </c>
      <c r="G2238" s="4" t="s">
        <v>20</v>
      </c>
      <c r="H2238" s="5">
        <v>5000</v>
      </c>
      <c r="I2238" s="4" t="s">
        <v>21</v>
      </c>
      <c r="J2238" s="5">
        <f t="shared" si="34"/>
        <v>-21061.5</v>
      </c>
      <c r="K2238" s="4" t="s">
        <v>37</v>
      </c>
      <c r="L2238" s="6">
        <v>4.2122999999999999</v>
      </c>
      <c r="M2238" s="6">
        <v>0.2374</v>
      </c>
      <c r="N2238" s="6">
        <v>4.2115999999999998</v>
      </c>
      <c r="O2238" s="6">
        <v>1</v>
      </c>
      <c r="P2238" s="5">
        <v>-3.5</v>
      </c>
      <c r="Q2238" s="4" t="s">
        <v>1390</v>
      </c>
    </row>
    <row r="2239" spans="1:17" x14ac:dyDescent="0.3">
      <c r="A2239" s="2" t="s">
        <v>1389</v>
      </c>
      <c r="B2239" s="3">
        <v>156809</v>
      </c>
      <c r="C2239" s="3">
        <v>217089</v>
      </c>
      <c r="D2239" s="4" t="s">
        <v>17</v>
      </c>
      <c r="E2239" s="4" t="s">
        <v>987</v>
      </c>
      <c r="F2239" s="4" t="s">
        <v>19</v>
      </c>
      <c r="G2239" s="4" t="s">
        <v>20</v>
      </c>
      <c r="H2239" s="5">
        <v>2000</v>
      </c>
      <c r="I2239" s="4" t="s">
        <v>21</v>
      </c>
      <c r="J2239" s="5">
        <f t="shared" si="34"/>
        <v>-8424.6</v>
      </c>
      <c r="K2239" s="4" t="s">
        <v>37</v>
      </c>
      <c r="L2239" s="6">
        <v>4.2122999999999999</v>
      </c>
      <c r="M2239" s="6">
        <v>0.2374</v>
      </c>
      <c r="N2239" s="6">
        <v>4.2115999999999998</v>
      </c>
      <c r="O2239" s="6">
        <v>1</v>
      </c>
      <c r="P2239" s="5">
        <v>-1.4000000000014552</v>
      </c>
      <c r="Q2239" s="4" t="s">
        <v>1390</v>
      </c>
    </row>
    <row r="2240" spans="1:17" x14ac:dyDescent="0.3">
      <c r="A2240" s="2" t="s">
        <v>1389</v>
      </c>
      <c r="B2240" s="3">
        <v>156811</v>
      </c>
      <c r="C2240" s="3">
        <v>898038</v>
      </c>
      <c r="D2240" s="4" t="s">
        <v>81</v>
      </c>
      <c r="E2240" s="4" t="s">
        <v>725</v>
      </c>
      <c r="F2240" s="4" t="s">
        <v>83</v>
      </c>
      <c r="G2240" s="4" t="s">
        <v>20</v>
      </c>
      <c r="H2240" s="5">
        <v>-1000000</v>
      </c>
      <c r="I2240" s="4" t="s">
        <v>21</v>
      </c>
      <c r="J2240" s="5">
        <f t="shared" si="34"/>
        <v>4216900</v>
      </c>
      <c r="K2240" s="4" t="s">
        <v>22</v>
      </c>
      <c r="L2240" s="6">
        <v>4.2168999999999999</v>
      </c>
      <c r="M2240" s="6">
        <v>0.23710000000000001</v>
      </c>
      <c r="N2240" s="6">
        <v>4.2068000000000003</v>
      </c>
      <c r="O2240" s="6">
        <v>1</v>
      </c>
      <c r="P2240" s="5">
        <v>10110</v>
      </c>
      <c r="Q2240" s="4" t="s">
        <v>1392</v>
      </c>
    </row>
    <row r="2241" spans="1:17" x14ac:dyDescent="0.3">
      <c r="A2241" s="2" t="s">
        <v>1389</v>
      </c>
      <c r="B2241" s="3">
        <v>156812</v>
      </c>
      <c r="C2241" s="3">
        <v>898039</v>
      </c>
      <c r="D2241" s="4" t="s">
        <v>81</v>
      </c>
      <c r="E2241" s="4" t="s">
        <v>735</v>
      </c>
      <c r="F2241" s="4" t="s">
        <v>83</v>
      </c>
      <c r="G2241" s="4" t="s">
        <v>20</v>
      </c>
      <c r="H2241" s="5">
        <v>-1000000</v>
      </c>
      <c r="I2241" s="4" t="s">
        <v>21</v>
      </c>
      <c r="J2241" s="5">
        <f t="shared" si="34"/>
        <v>4218000</v>
      </c>
      <c r="K2241" s="4" t="s">
        <v>22</v>
      </c>
      <c r="L2241" s="6">
        <v>4.218</v>
      </c>
      <c r="M2241" s="6">
        <v>0.23710000000000001</v>
      </c>
      <c r="N2241" s="6">
        <v>4.2068000000000003</v>
      </c>
      <c r="O2241" s="6">
        <v>1</v>
      </c>
      <c r="P2241" s="5">
        <v>11200</v>
      </c>
      <c r="Q2241" s="4" t="s">
        <v>1394</v>
      </c>
    </row>
    <row r="2242" spans="1:17" x14ac:dyDescent="0.3">
      <c r="A2242" s="2" t="s">
        <v>1389</v>
      </c>
      <c r="B2242" s="3">
        <v>156813</v>
      </c>
      <c r="C2242" s="3">
        <v>217093</v>
      </c>
      <c r="D2242" s="4" t="s">
        <v>17</v>
      </c>
      <c r="E2242" s="4" t="s">
        <v>1277</v>
      </c>
      <c r="F2242" s="4" t="s">
        <v>19</v>
      </c>
      <c r="G2242" s="4" t="s">
        <v>20</v>
      </c>
      <c r="H2242" s="5">
        <v>30000</v>
      </c>
      <c r="I2242" s="4" t="s">
        <v>21</v>
      </c>
      <c r="J2242" s="5">
        <f t="shared" si="34"/>
        <v>-126462</v>
      </c>
      <c r="K2242" s="4" t="s">
        <v>37</v>
      </c>
      <c r="L2242" s="6">
        <v>4.2153999999999998</v>
      </c>
      <c r="M2242" s="6">
        <v>0.23719999999999999</v>
      </c>
      <c r="N2242" s="6">
        <v>4.2115999999999998</v>
      </c>
      <c r="O2242" s="6">
        <v>1</v>
      </c>
      <c r="P2242" s="5">
        <v>-114</v>
      </c>
      <c r="Q2242" s="4" t="s">
        <v>1390</v>
      </c>
    </row>
    <row r="2243" spans="1:17" x14ac:dyDescent="0.3">
      <c r="A2243" s="2" t="s">
        <v>1389</v>
      </c>
      <c r="B2243" s="3">
        <v>156815</v>
      </c>
      <c r="C2243" s="3">
        <v>898043</v>
      </c>
      <c r="D2243" s="4" t="s">
        <v>81</v>
      </c>
      <c r="E2243" s="4" t="s">
        <v>735</v>
      </c>
      <c r="F2243" s="4" t="s">
        <v>83</v>
      </c>
      <c r="G2243" s="4" t="s">
        <v>20</v>
      </c>
      <c r="H2243" s="5">
        <v>-500000</v>
      </c>
      <c r="I2243" s="4" t="s">
        <v>21</v>
      </c>
      <c r="J2243" s="5">
        <f t="shared" si="34"/>
        <v>2108600</v>
      </c>
      <c r="K2243" s="4" t="s">
        <v>22</v>
      </c>
      <c r="L2243" s="6">
        <v>4.2172000000000001</v>
      </c>
      <c r="M2243" s="6">
        <v>0.23710000000000001</v>
      </c>
      <c r="N2243" s="6">
        <v>4.2068000000000003</v>
      </c>
      <c r="O2243" s="6">
        <v>1</v>
      </c>
      <c r="P2243" s="5">
        <v>5200</v>
      </c>
      <c r="Q2243" s="4" t="s">
        <v>1394</v>
      </c>
    </row>
    <row r="2244" spans="1:17" x14ac:dyDescent="0.3">
      <c r="A2244" s="2" t="s">
        <v>1389</v>
      </c>
      <c r="B2244" s="3">
        <v>156816</v>
      </c>
      <c r="C2244" s="3">
        <v>898044</v>
      </c>
      <c r="D2244" s="4" t="s">
        <v>81</v>
      </c>
      <c r="E2244" s="4" t="s">
        <v>1077</v>
      </c>
      <c r="F2244" s="4" t="s">
        <v>87</v>
      </c>
      <c r="G2244" s="4" t="s">
        <v>20</v>
      </c>
      <c r="H2244" s="5">
        <v>25000</v>
      </c>
      <c r="I2244" s="4" t="s">
        <v>21</v>
      </c>
      <c r="J2244" s="5">
        <f t="shared" ref="J2244:J2307" si="35">-H2244*L2244</f>
        <v>-105372.5</v>
      </c>
      <c r="K2244" s="4" t="s">
        <v>22</v>
      </c>
      <c r="L2244" s="6">
        <v>4.2149000000000001</v>
      </c>
      <c r="M2244" s="6">
        <v>0.23730000000000001</v>
      </c>
      <c r="N2244" s="6">
        <v>4.2068000000000003</v>
      </c>
      <c r="O2244" s="6">
        <v>1</v>
      </c>
      <c r="P2244" s="5">
        <v>-202.5</v>
      </c>
      <c r="Q2244" s="4" t="s">
        <v>1390</v>
      </c>
    </row>
    <row r="2245" spans="1:17" x14ac:dyDescent="0.3">
      <c r="A2245" s="2" t="s">
        <v>1389</v>
      </c>
      <c r="B2245" s="3">
        <v>156817</v>
      </c>
      <c r="C2245" s="3">
        <v>898045</v>
      </c>
      <c r="D2245" s="4" t="s">
        <v>81</v>
      </c>
      <c r="E2245" s="4" t="s">
        <v>1077</v>
      </c>
      <c r="F2245" s="4" t="s">
        <v>87</v>
      </c>
      <c r="G2245" s="4" t="s">
        <v>20</v>
      </c>
      <c r="H2245" s="5">
        <v>25000</v>
      </c>
      <c r="I2245" s="4" t="s">
        <v>21</v>
      </c>
      <c r="J2245" s="5">
        <f t="shared" si="35"/>
        <v>-105387.49999999999</v>
      </c>
      <c r="K2245" s="4" t="s">
        <v>22</v>
      </c>
      <c r="L2245" s="6">
        <v>4.2154999999999996</v>
      </c>
      <c r="M2245" s="6">
        <v>0.23719999999999999</v>
      </c>
      <c r="N2245" s="6">
        <v>4.2068000000000003</v>
      </c>
      <c r="O2245" s="6">
        <v>1</v>
      </c>
      <c r="P2245" s="5">
        <v>-217.5</v>
      </c>
      <c r="Q2245" s="4" t="s">
        <v>1390</v>
      </c>
    </row>
    <row r="2246" spans="1:17" x14ac:dyDescent="0.3">
      <c r="A2246" s="2" t="s">
        <v>1389</v>
      </c>
      <c r="B2246" s="3">
        <v>156818</v>
      </c>
      <c r="C2246" s="3">
        <v>898052</v>
      </c>
      <c r="D2246" s="4" t="s">
        <v>81</v>
      </c>
      <c r="E2246" s="4" t="s">
        <v>1077</v>
      </c>
      <c r="F2246" s="4" t="s">
        <v>87</v>
      </c>
      <c r="G2246" s="4" t="s">
        <v>20</v>
      </c>
      <c r="H2246" s="5">
        <v>25000</v>
      </c>
      <c r="I2246" s="4" t="s">
        <v>21</v>
      </c>
      <c r="J2246" s="5">
        <f t="shared" si="35"/>
        <v>-105377.49999999999</v>
      </c>
      <c r="K2246" s="4" t="s">
        <v>22</v>
      </c>
      <c r="L2246" s="6">
        <v>4.2150999999999996</v>
      </c>
      <c r="M2246" s="6">
        <v>0.23719999999999999</v>
      </c>
      <c r="N2246" s="6">
        <v>4.2068000000000003</v>
      </c>
      <c r="O2246" s="6">
        <v>1</v>
      </c>
      <c r="P2246" s="5">
        <v>-207.5</v>
      </c>
      <c r="Q2246" s="4" t="s">
        <v>1390</v>
      </c>
    </row>
    <row r="2247" spans="1:17" x14ac:dyDescent="0.3">
      <c r="A2247" s="2" t="s">
        <v>1389</v>
      </c>
      <c r="B2247" s="3">
        <v>156819</v>
      </c>
      <c r="C2247" s="3">
        <v>217096</v>
      </c>
      <c r="D2247" s="4" t="s">
        <v>17</v>
      </c>
      <c r="E2247" s="4" t="s">
        <v>1077</v>
      </c>
      <c r="F2247" s="4" t="s">
        <v>19</v>
      </c>
      <c r="G2247" s="4" t="s">
        <v>20</v>
      </c>
      <c r="H2247" s="5">
        <v>25000</v>
      </c>
      <c r="I2247" s="4" t="s">
        <v>21</v>
      </c>
      <c r="J2247" s="5">
        <f t="shared" si="35"/>
        <v>-105410</v>
      </c>
      <c r="K2247" s="4" t="s">
        <v>35</v>
      </c>
      <c r="L2247" s="6">
        <v>4.2164000000000001</v>
      </c>
      <c r="M2247" s="6">
        <v>0.23719999999999999</v>
      </c>
      <c r="N2247" s="6">
        <v>4.2110000000000003</v>
      </c>
      <c r="O2247" s="6">
        <v>1</v>
      </c>
      <c r="P2247" s="5">
        <v>-134.99999999998545</v>
      </c>
      <c r="Q2247" s="4" t="s">
        <v>1390</v>
      </c>
    </row>
    <row r="2248" spans="1:17" x14ac:dyDescent="0.3">
      <c r="A2248" s="2" t="s">
        <v>1389</v>
      </c>
      <c r="B2248" s="3">
        <v>156820</v>
      </c>
      <c r="C2248" s="3">
        <v>217097</v>
      </c>
      <c r="D2248" s="4" t="s">
        <v>17</v>
      </c>
      <c r="E2248" s="4" t="s">
        <v>1077</v>
      </c>
      <c r="F2248" s="4" t="s">
        <v>19</v>
      </c>
      <c r="G2248" s="4" t="s">
        <v>20</v>
      </c>
      <c r="H2248" s="5">
        <v>25000</v>
      </c>
      <c r="I2248" s="4" t="s">
        <v>21</v>
      </c>
      <c r="J2248" s="5">
        <f t="shared" si="35"/>
        <v>-105407.50000000001</v>
      </c>
      <c r="K2248" s="4" t="s">
        <v>35</v>
      </c>
      <c r="L2248" s="6">
        <v>4.2163000000000004</v>
      </c>
      <c r="M2248" s="6">
        <v>0.23719999999999999</v>
      </c>
      <c r="N2248" s="6">
        <v>4.2110000000000003</v>
      </c>
      <c r="O2248" s="6">
        <v>1</v>
      </c>
      <c r="P2248" s="5">
        <v>-132.5</v>
      </c>
      <c r="Q2248" s="4" t="s">
        <v>1390</v>
      </c>
    </row>
    <row r="2249" spans="1:17" x14ac:dyDescent="0.3">
      <c r="A2249" s="2" t="s">
        <v>1389</v>
      </c>
      <c r="B2249" s="3">
        <v>156821</v>
      </c>
      <c r="C2249" s="3">
        <v>898059</v>
      </c>
      <c r="D2249" s="4" t="s">
        <v>81</v>
      </c>
      <c r="E2249" s="4" t="s">
        <v>1077</v>
      </c>
      <c r="F2249" s="4" t="s">
        <v>87</v>
      </c>
      <c r="G2249" s="4" t="s">
        <v>20</v>
      </c>
      <c r="H2249" s="5">
        <v>25000</v>
      </c>
      <c r="I2249" s="4" t="s">
        <v>21</v>
      </c>
      <c r="J2249" s="5">
        <f t="shared" si="35"/>
        <v>-105410</v>
      </c>
      <c r="K2249" s="4" t="s">
        <v>22</v>
      </c>
      <c r="L2249" s="6">
        <v>4.2164000000000001</v>
      </c>
      <c r="M2249" s="6">
        <v>0.23719999999999999</v>
      </c>
      <c r="N2249" s="6">
        <v>4.2068000000000003</v>
      </c>
      <c r="O2249" s="6">
        <v>1</v>
      </c>
      <c r="P2249" s="5">
        <v>-240</v>
      </c>
      <c r="Q2249" s="4" t="s">
        <v>1390</v>
      </c>
    </row>
    <row r="2250" spans="1:17" x14ac:dyDescent="0.3">
      <c r="A2250" s="2" t="s">
        <v>1389</v>
      </c>
      <c r="B2250" s="3">
        <v>156822</v>
      </c>
      <c r="C2250" s="3">
        <v>898082</v>
      </c>
      <c r="D2250" s="4" t="s">
        <v>81</v>
      </c>
      <c r="E2250" s="4" t="s">
        <v>733</v>
      </c>
      <c r="F2250" s="4" t="s">
        <v>83</v>
      </c>
      <c r="G2250" s="4" t="s">
        <v>20</v>
      </c>
      <c r="H2250" s="5">
        <v>-1000000</v>
      </c>
      <c r="I2250" s="4" t="s">
        <v>21</v>
      </c>
      <c r="J2250" s="5">
        <f t="shared" si="35"/>
        <v>4218700</v>
      </c>
      <c r="K2250" s="4" t="s">
        <v>22</v>
      </c>
      <c r="L2250" s="6">
        <v>4.2187000000000001</v>
      </c>
      <c r="M2250" s="6">
        <v>0.23699999999999999</v>
      </c>
      <c r="N2250" s="6">
        <v>4.2068000000000003</v>
      </c>
      <c r="O2250" s="6">
        <v>1</v>
      </c>
      <c r="P2250" s="5">
        <v>11930</v>
      </c>
      <c r="Q2250" s="4" t="s">
        <v>1391</v>
      </c>
    </row>
    <row r="2251" spans="1:17" x14ac:dyDescent="0.3">
      <c r="A2251" s="2" t="s">
        <v>1389</v>
      </c>
      <c r="B2251" s="3">
        <v>156823</v>
      </c>
      <c r="C2251" s="3">
        <v>217105</v>
      </c>
      <c r="D2251" s="4" t="s">
        <v>17</v>
      </c>
      <c r="E2251" s="4" t="s">
        <v>1099</v>
      </c>
      <c r="F2251" s="4" t="s">
        <v>19</v>
      </c>
      <c r="G2251" s="4" t="s">
        <v>20</v>
      </c>
      <c r="H2251" s="5">
        <v>24500</v>
      </c>
      <c r="I2251" s="4" t="s">
        <v>21</v>
      </c>
      <c r="J2251" s="5">
        <f t="shared" si="35"/>
        <v>-103059.25</v>
      </c>
      <c r="K2251" s="4" t="s">
        <v>37</v>
      </c>
      <c r="L2251" s="6">
        <v>4.2065000000000001</v>
      </c>
      <c r="M2251" s="6">
        <v>0.23769999999999999</v>
      </c>
      <c r="N2251" s="6">
        <v>4.2115999999999998</v>
      </c>
      <c r="O2251" s="6">
        <v>1</v>
      </c>
      <c r="P2251" s="5">
        <v>124.94999999999709</v>
      </c>
      <c r="Q2251" s="4" t="s">
        <v>1390</v>
      </c>
    </row>
    <row r="2252" spans="1:17" x14ac:dyDescent="0.3">
      <c r="A2252" s="2" t="s">
        <v>1389</v>
      </c>
      <c r="B2252" s="3">
        <v>156825</v>
      </c>
      <c r="C2252" s="3">
        <v>217108</v>
      </c>
      <c r="D2252" s="4" t="s">
        <v>17</v>
      </c>
      <c r="E2252" s="4" t="s">
        <v>1113</v>
      </c>
      <c r="F2252" s="4" t="s">
        <v>19</v>
      </c>
      <c r="G2252" s="4" t="s">
        <v>20</v>
      </c>
      <c r="H2252" s="5">
        <v>40000</v>
      </c>
      <c r="I2252" s="4" t="s">
        <v>21</v>
      </c>
      <c r="J2252" s="5">
        <f t="shared" si="35"/>
        <v>-168280</v>
      </c>
      <c r="K2252" s="4" t="s">
        <v>37</v>
      </c>
      <c r="L2252" s="6">
        <v>4.2069999999999999</v>
      </c>
      <c r="M2252" s="6">
        <v>0.23769999999999999</v>
      </c>
      <c r="N2252" s="6">
        <v>4.2115999999999998</v>
      </c>
      <c r="O2252" s="6">
        <v>1</v>
      </c>
      <c r="P2252" s="5">
        <v>184</v>
      </c>
      <c r="Q2252" s="4" t="s">
        <v>1390</v>
      </c>
    </row>
    <row r="2253" spans="1:17" x14ac:dyDescent="0.3">
      <c r="A2253" s="2" t="s">
        <v>1389</v>
      </c>
      <c r="B2253" s="3">
        <v>156826</v>
      </c>
      <c r="C2253" s="3">
        <v>217109</v>
      </c>
      <c r="D2253" s="4" t="s">
        <v>17</v>
      </c>
      <c r="E2253" s="4" t="s">
        <v>901</v>
      </c>
      <c r="F2253" s="4" t="s">
        <v>19</v>
      </c>
      <c r="G2253" s="4" t="s">
        <v>20</v>
      </c>
      <c r="H2253" s="5">
        <v>25000</v>
      </c>
      <c r="I2253" s="4" t="s">
        <v>21</v>
      </c>
      <c r="J2253" s="5">
        <f t="shared" si="35"/>
        <v>-105137.5</v>
      </c>
      <c r="K2253" s="4" t="s">
        <v>37</v>
      </c>
      <c r="L2253" s="6">
        <v>4.2054999999999998</v>
      </c>
      <c r="M2253" s="6">
        <v>0.23780000000000001</v>
      </c>
      <c r="N2253" s="6">
        <v>4.2115999999999998</v>
      </c>
      <c r="O2253" s="6">
        <v>1</v>
      </c>
      <c r="P2253" s="5">
        <v>152.5</v>
      </c>
      <c r="Q2253" s="4" t="s">
        <v>1390</v>
      </c>
    </row>
    <row r="2254" spans="1:17" x14ac:dyDescent="0.3">
      <c r="A2254" s="2" t="s">
        <v>1389</v>
      </c>
      <c r="B2254" s="3">
        <v>156827</v>
      </c>
      <c r="C2254" s="3">
        <v>898105</v>
      </c>
      <c r="D2254" s="4" t="s">
        <v>81</v>
      </c>
      <c r="E2254" s="4" t="s">
        <v>734</v>
      </c>
      <c r="F2254" s="4" t="s">
        <v>83</v>
      </c>
      <c r="G2254" s="4" t="s">
        <v>20</v>
      </c>
      <c r="H2254" s="5">
        <v>-500000</v>
      </c>
      <c r="I2254" s="4" t="s">
        <v>21</v>
      </c>
      <c r="J2254" s="5">
        <f t="shared" si="35"/>
        <v>2109250</v>
      </c>
      <c r="K2254" s="4" t="s">
        <v>22</v>
      </c>
      <c r="L2254" s="6">
        <v>4.2184999999999997</v>
      </c>
      <c r="M2254" s="6">
        <v>0.23710000000000001</v>
      </c>
      <c r="N2254" s="6">
        <v>4.2068000000000003</v>
      </c>
      <c r="O2254" s="6">
        <v>1</v>
      </c>
      <c r="P2254" s="5">
        <v>5850</v>
      </c>
      <c r="Q2254" s="4" t="s">
        <v>1393</v>
      </c>
    </row>
    <row r="2255" spans="1:17" x14ac:dyDescent="0.3">
      <c r="A2255" s="2" t="s">
        <v>1389</v>
      </c>
      <c r="B2255" s="3">
        <v>156828</v>
      </c>
      <c r="C2255" s="3">
        <v>217112</v>
      </c>
      <c r="D2255" s="4" t="s">
        <v>17</v>
      </c>
      <c r="E2255" s="4" t="s">
        <v>927</v>
      </c>
      <c r="F2255" s="4" t="s">
        <v>19</v>
      </c>
      <c r="G2255" s="4" t="s">
        <v>20</v>
      </c>
      <c r="H2255" s="5">
        <v>10000</v>
      </c>
      <c r="I2255" s="4" t="s">
        <v>21</v>
      </c>
      <c r="J2255" s="5">
        <f t="shared" si="35"/>
        <v>-42165</v>
      </c>
      <c r="K2255" s="4" t="s">
        <v>37</v>
      </c>
      <c r="L2255" s="6">
        <v>4.2164999999999999</v>
      </c>
      <c r="M2255" s="6">
        <v>0.23719999999999999</v>
      </c>
      <c r="N2255" s="6">
        <v>4.2115999999999998</v>
      </c>
      <c r="O2255" s="6">
        <v>1</v>
      </c>
      <c r="P2255" s="5">
        <v>-49</v>
      </c>
      <c r="Q2255" s="4" t="s">
        <v>1390</v>
      </c>
    </row>
    <row r="2256" spans="1:17" x14ac:dyDescent="0.3">
      <c r="A2256" s="2" t="s">
        <v>1389</v>
      </c>
      <c r="B2256" s="3">
        <v>156829</v>
      </c>
      <c r="C2256" s="3">
        <v>898111</v>
      </c>
      <c r="D2256" s="4" t="s">
        <v>81</v>
      </c>
      <c r="E2256" s="4" t="s">
        <v>742</v>
      </c>
      <c r="F2256" s="4" t="s">
        <v>83</v>
      </c>
      <c r="G2256" s="4" t="s">
        <v>20</v>
      </c>
      <c r="H2256" s="5">
        <v>-500000</v>
      </c>
      <c r="I2256" s="4" t="s">
        <v>21</v>
      </c>
      <c r="J2256" s="5">
        <f t="shared" si="35"/>
        <v>2109200</v>
      </c>
      <c r="K2256" s="4" t="s">
        <v>22</v>
      </c>
      <c r="L2256" s="6">
        <v>4.2183999999999999</v>
      </c>
      <c r="M2256" s="6">
        <v>0.23710000000000001</v>
      </c>
      <c r="N2256" s="6">
        <v>4.2068000000000003</v>
      </c>
      <c r="O2256" s="6">
        <v>1</v>
      </c>
      <c r="P2256" s="5">
        <v>5800</v>
      </c>
      <c r="Q2256" s="4" t="s">
        <v>1396</v>
      </c>
    </row>
    <row r="2257" spans="1:17" x14ac:dyDescent="0.3">
      <c r="A2257" s="2" t="s">
        <v>1389</v>
      </c>
      <c r="B2257" s="3">
        <v>156830</v>
      </c>
      <c r="C2257" s="3">
        <v>217113</v>
      </c>
      <c r="D2257" s="4" t="s">
        <v>17</v>
      </c>
      <c r="E2257" s="4" t="s">
        <v>908</v>
      </c>
      <c r="F2257" s="4" t="s">
        <v>19</v>
      </c>
      <c r="G2257" s="4" t="s">
        <v>20</v>
      </c>
      <c r="H2257" s="5">
        <v>150000</v>
      </c>
      <c r="I2257" s="4" t="s">
        <v>21</v>
      </c>
      <c r="J2257" s="5">
        <f t="shared" si="35"/>
        <v>-632475</v>
      </c>
      <c r="K2257" s="4" t="s">
        <v>37</v>
      </c>
      <c r="L2257" s="6">
        <v>4.2164999999999999</v>
      </c>
      <c r="M2257" s="6">
        <v>0.23719999999999999</v>
      </c>
      <c r="N2257" s="6">
        <v>4.2115999999999998</v>
      </c>
      <c r="O2257" s="6">
        <v>1</v>
      </c>
      <c r="P2257" s="5">
        <v>-735</v>
      </c>
      <c r="Q2257" s="4" t="s">
        <v>1390</v>
      </c>
    </row>
    <row r="2258" spans="1:17" x14ac:dyDescent="0.3">
      <c r="A2258" s="2" t="s">
        <v>1389</v>
      </c>
      <c r="B2258" s="3">
        <v>156831</v>
      </c>
      <c r="C2258" s="3">
        <v>217114</v>
      </c>
      <c r="D2258" s="4" t="s">
        <v>17</v>
      </c>
      <c r="E2258" s="4" t="s">
        <v>910</v>
      </c>
      <c r="F2258" s="4" t="s">
        <v>19</v>
      </c>
      <c r="G2258" s="4" t="s">
        <v>20</v>
      </c>
      <c r="H2258" s="5">
        <v>200000</v>
      </c>
      <c r="I2258" s="4" t="s">
        <v>21</v>
      </c>
      <c r="J2258" s="5">
        <f t="shared" si="35"/>
        <v>-843300</v>
      </c>
      <c r="K2258" s="4" t="s">
        <v>37</v>
      </c>
      <c r="L2258" s="6">
        <v>4.2164999999999999</v>
      </c>
      <c r="M2258" s="6">
        <v>0.23719999999999999</v>
      </c>
      <c r="N2258" s="6">
        <v>4.2115999999999998</v>
      </c>
      <c r="O2258" s="6">
        <v>1</v>
      </c>
      <c r="P2258" s="5">
        <v>-980</v>
      </c>
      <c r="Q2258" s="4" t="s">
        <v>1390</v>
      </c>
    </row>
    <row r="2259" spans="1:17" x14ac:dyDescent="0.3">
      <c r="A2259" s="2" t="s">
        <v>1389</v>
      </c>
      <c r="B2259" s="3">
        <v>156833</v>
      </c>
      <c r="C2259" s="3">
        <v>217115</v>
      </c>
      <c r="D2259" s="4" t="s">
        <v>17</v>
      </c>
      <c r="E2259" s="4" t="s">
        <v>1290</v>
      </c>
      <c r="F2259" s="4" t="s">
        <v>19</v>
      </c>
      <c r="G2259" s="4" t="s">
        <v>20</v>
      </c>
      <c r="H2259" s="5">
        <v>50000</v>
      </c>
      <c r="I2259" s="4" t="s">
        <v>21</v>
      </c>
      <c r="J2259" s="5">
        <f t="shared" si="35"/>
        <v>-210825</v>
      </c>
      <c r="K2259" s="4" t="s">
        <v>37</v>
      </c>
      <c r="L2259" s="6">
        <v>4.2164999999999999</v>
      </c>
      <c r="M2259" s="6">
        <v>0.23719999999999999</v>
      </c>
      <c r="N2259" s="6">
        <v>4.2115999999999998</v>
      </c>
      <c r="O2259" s="6">
        <v>1</v>
      </c>
      <c r="P2259" s="5">
        <v>-245</v>
      </c>
      <c r="Q2259" s="4" t="s">
        <v>1390</v>
      </c>
    </row>
    <row r="2260" spans="1:17" x14ac:dyDescent="0.3">
      <c r="A2260" s="2" t="s">
        <v>1389</v>
      </c>
      <c r="B2260" s="3">
        <v>156834</v>
      </c>
      <c r="C2260" s="3">
        <v>898130</v>
      </c>
      <c r="D2260" s="4" t="s">
        <v>81</v>
      </c>
      <c r="E2260" s="4" t="s">
        <v>735</v>
      </c>
      <c r="F2260" s="4" t="s">
        <v>83</v>
      </c>
      <c r="G2260" s="4" t="s">
        <v>20</v>
      </c>
      <c r="H2260" s="5">
        <v>-1000000</v>
      </c>
      <c r="I2260" s="4" t="s">
        <v>21</v>
      </c>
      <c r="J2260" s="5">
        <f t="shared" si="35"/>
        <v>4217500</v>
      </c>
      <c r="K2260" s="4" t="s">
        <v>22</v>
      </c>
      <c r="L2260" s="6">
        <v>4.2175000000000002</v>
      </c>
      <c r="M2260" s="6">
        <v>0.23710000000000001</v>
      </c>
      <c r="N2260" s="6">
        <v>4.2068000000000003</v>
      </c>
      <c r="O2260" s="6">
        <v>1</v>
      </c>
      <c r="P2260" s="5">
        <v>10700</v>
      </c>
      <c r="Q2260" s="4" t="s">
        <v>1394</v>
      </c>
    </row>
    <row r="2261" spans="1:17" x14ac:dyDescent="0.3">
      <c r="A2261" s="2" t="s">
        <v>1389</v>
      </c>
      <c r="B2261" s="3">
        <v>156835</v>
      </c>
      <c r="C2261" s="3">
        <v>898131</v>
      </c>
      <c r="D2261" s="4" t="s">
        <v>81</v>
      </c>
      <c r="E2261" s="4" t="s">
        <v>919</v>
      </c>
      <c r="F2261" s="4" t="s">
        <v>87</v>
      </c>
      <c r="G2261" s="4" t="s">
        <v>20</v>
      </c>
      <c r="H2261" s="5">
        <v>689000</v>
      </c>
      <c r="I2261" s="4" t="s">
        <v>21</v>
      </c>
      <c r="J2261" s="5">
        <f t="shared" si="35"/>
        <v>-2904755.1</v>
      </c>
      <c r="K2261" s="4" t="s">
        <v>22</v>
      </c>
      <c r="L2261" s="6">
        <v>4.2159000000000004</v>
      </c>
      <c r="M2261" s="6">
        <v>0.23719999999999999</v>
      </c>
      <c r="N2261" s="6">
        <v>4.2068000000000003</v>
      </c>
      <c r="O2261" s="6">
        <v>1</v>
      </c>
      <c r="P2261" s="5">
        <v>-6269.9</v>
      </c>
      <c r="Q2261" s="4" t="s">
        <v>1390</v>
      </c>
    </row>
    <row r="2262" spans="1:17" x14ac:dyDescent="0.3">
      <c r="A2262" s="2" t="s">
        <v>1389</v>
      </c>
      <c r="B2262" s="3">
        <v>156836</v>
      </c>
      <c r="C2262" s="3">
        <v>217119</v>
      </c>
      <c r="D2262" s="4" t="s">
        <v>17</v>
      </c>
      <c r="E2262" s="4" t="s">
        <v>1341</v>
      </c>
      <c r="F2262" s="4" t="s">
        <v>32</v>
      </c>
      <c r="G2262" s="4" t="s">
        <v>21</v>
      </c>
      <c r="H2262" s="5">
        <v>-3390000</v>
      </c>
      <c r="I2262" s="4" t="s">
        <v>20</v>
      </c>
      <c r="J2262" s="5">
        <f t="shared" si="35"/>
        <v>14268171</v>
      </c>
      <c r="K2262" s="4" t="s">
        <v>37</v>
      </c>
      <c r="L2262" s="6">
        <v>4.2088999999999999</v>
      </c>
      <c r="M2262" s="6">
        <v>0.23760000000000001</v>
      </c>
      <c r="N2262" s="6">
        <v>1</v>
      </c>
      <c r="O2262" s="6">
        <v>4.2115999999999998</v>
      </c>
      <c r="P2262" s="5">
        <v>2255.2887839999999</v>
      </c>
      <c r="Q2262" s="4" t="s">
        <v>1390</v>
      </c>
    </row>
    <row r="2263" spans="1:17" x14ac:dyDescent="0.3">
      <c r="A2263" s="2" t="s">
        <v>1389</v>
      </c>
      <c r="B2263" s="3">
        <v>156837</v>
      </c>
      <c r="C2263" s="3">
        <v>898136</v>
      </c>
      <c r="D2263" s="4" t="s">
        <v>81</v>
      </c>
      <c r="E2263" s="4" t="s">
        <v>725</v>
      </c>
      <c r="F2263" s="4" t="s">
        <v>83</v>
      </c>
      <c r="G2263" s="4" t="s">
        <v>20</v>
      </c>
      <c r="H2263" s="5">
        <v>-500000</v>
      </c>
      <c r="I2263" s="4" t="s">
        <v>21</v>
      </c>
      <c r="J2263" s="5">
        <f t="shared" si="35"/>
        <v>2108850</v>
      </c>
      <c r="K2263" s="4" t="s">
        <v>22</v>
      </c>
      <c r="L2263" s="6">
        <v>4.2176999999999998</v>
      </c>
      <c r="M2263" s="6">
        <v>0.23710000000000001</v>
      </c>
      <c r="N2263" s="6">
        <v>4.2068000000000003</v>
      </c>
      <c r="O2263" s="6">
        <v>1</v>
      </c>
      <c r="P2263" s="5">
        <v>5470</v>
      </c>
      <c r="Q2263" s="4" t="s">
        <v>1392</v>
      </c>
    </row>
    <row r="2264" spans="1:17" x14ac:dyDescent="0.3">
      <c r="A2264" s="2" t="s">
        <v>1389</v>
      </c>
      <c r="B2264" s="3">
        <v>156838</v>
      </c>
      <c r="C2264" s="3">
        <v>898143</v>
      </c>
      <c r="D2264" s="4" t="s">
        <v>81</v>
      </c>
      <c r="E2264" s="4" t="s">
        <v>733</v>
      </c>
      <c r="F2264" s="4" t="s">
        <v>87</v>
      </c>
      <c r="G2264" s="4" t="s">
        <v>20</v>
      </c>
      <c r="H2264" s="5">
        <v>1000000</v>
      </c>
      <c r="I2264" s="4" t="s">
        <v>21</v>
      </c>
      <c r="J2264" s="5">
        <f t="shared" si="35"/>
        <v>-4217800</v>
      </c>
      <c r="K2264" s="4" t="s">
        <v>22</v>
      </c>
      <c r="L2264" s="6">
        <v>4.2178000000000004</v>
      </c>
      <c r="M2264" s="6">
        <v>0.23710000000000001</v>
      </c>
      <c r="N2264" s="6">
        <v>4.2068000000000003</v>
      </c>
      <c r="O2264" s="6">
        <v>1</v>
      </c>
      <c r="P2264" s="5">
        <v>-10960</v>
      </c>
      <c r="Q2264" s="4" t="s">
        <v>1391</v>
      </c>
    </row>
    <row r="2265" spans="1:17" x14ac:dyDescent="0.3">
      <c r="A2265" s="2" t="s">
        <v>1389</v>
      </c>
      <c r="B2265" s="3">
        <v>156839</v>
      </c>
      <c r="C2265" s="3">
        <v>217122</v>
      </c>
      <c r="D2265" s="4" t="s">
        <v>17</v>
      </c>
      <c r="E2265" s="4" t="s">
        <v>1133</v>
      </c>
      <c r="F2265" s="4" t="s">
        <v>19</v>
      </c>
      <c r="G2265" s="4" t="s">
        <v>20</v>
      </c>
      <c r="H2265" s="5">
        <v>30000</v>
      </c>
      <c r="I2265" s="4" t="s">
        <v>21</v>
      </c>
      <c r="J2265" s="5">
        <f t="shared" si="35"/>
        <v>-126300</v>
      </c>
      <c r="K2265" s="4" t="s">
        <v>37</v>
      </c>
      <c r="L2265" s="6">
        <v>4.21</v>
      </c>
      <c r="M2265" s="6">
        <v>0.23749999999999999</v>
      </c>
      <c r="N2265" s="6">
        <v>4.2115999999999998</v>
      </c>
      <c r="O2265" s="6">
        <v>1</v>
      </c>
      <c r="P2265" s="5">
        <v>48</v>
      </c>
      <c r="Q2265" s="4" t="s">
        <v>1390</v>
      </c>
    </row>
    <row r="2266" spans="1:17" x14ac:dyDescent="0.3">
      <c r="A2266" s="2" t="s">
        <v>1389</v>
      </c>
      <c r="B2266" s="3">
        <v>156840</v>
      </c>
      <c r="C2266" s="3">
        <v>217124</v>
      </c>
      <c r="D2266" s="4" t="s">
        <v>17</v>
      </c>
      <c r="E2266" s="4" t="s">
        <v>1146</v>
      </c>
      <c r="F2266" s="4" t="s">
        <v>19</v>
      </c>
      <c r="G2266" s="4" t="s">
        <v>20</v>
      </c>
      <c r="H2266" s="5">
        <v>80000</v>
      </c>
      <c r="I2266" s="4" t="s">
        <v>21</v>
      </c>
      <c r="J2266" s="5">
        <f t="shared" si="35"/>
        <v>-336960</v>
      </c>
      <c r="K2266" s="4" t="s">
        <v>37</v>
      </c>
      <c r="L2266" s="6">
        <v>4.2119999999999997</v>
      </c>
      <c r="M2266" s="6">
        <v>0.2374</v>
      </c>
      <c r="N2266" s="6">
        <v>4.2115999999999998</v>
      </c>
      <c r="O2266" s="6">
        <v>1</v>
      </c>
      <c r="P2266" s="5">
        <v>-32</v>
      </c>
      <c r="Q2266" s="4" t="s">
        <v>1390</v>
      </c>
    </row>
    <row r="2267" spans="1:17" x14ac:dyDescent="0.3">
      <c r="A2267" s="2" t="s">
        <v>1389</v>
      </c>
      <c r="B2267" s="3">
        <v>156843</v>
      </c>
      <c r="C2267" s="3">
        <v>898183</v>
      </c>
      <c r="D2267" s="4" t="s">
        <v>81</v>
      </c>
      <c r="E2267" s="4" t="s">
        <v>730</v>
      </c>
      <c r="F2267" s="4" t="s">
        <v>83</v>
      </c>
      <c r="G2267" s="4" t="s">
        <v>20</v>
      </c>
      <c r="H2267" s="5">
        <v>-500000</v>
      </c>
      <c r="I2267" s="4" t="s">
        <v>21</v>
      </c>
      <c r="J2267" s="5">
        <f t="shared" si="35"/>
        <v>2109200</v>
      </c>
      <c r="K2267" s="4" t="s">
        <v>22</v>
      </c>
      <c r="L2267" s="6">
        <v>4.2183999999999999</v>
      </c>
      <c r="M2267" s="6">
        <v>0.23710000000000001</v>
      </c>
      <c r="N2267" s="6">
        <v>4.2068000000000003</v>
      </c>
      <c r="O2267" s="6">
        <v>1</v>
      </c>
      <c r="P2267" s="5">
        <v>5795</v>
      </c>
      <c r="Q2267" s="4" t="s">
        <v>1396</v>
      </c>
    </row>
    <row r="2268" spans="1:17" x14ac:dyDescent="0.3">
      <c r="A2268" s="2" t="s">
        <v>1389</v>
      </c>
      <c r="B2268" s="3">
        <v>156844</v>
      </c>
      <c r="C2268" s="3">
        <v>217138</v>
      </c>
      <c r="D2268" s="4" t="s">
        <v>17</v>
      </c>
      <c r="E2268" s="4" t="s">
        <v>1188</v>
      </c>
      <c r="F2268" s="4" t="s">
        <v>19</v>
      </c>
      <c r="G2268" s="4" t="s">
        <v>20</v>
      </c>
      <c r="H2268" s="5">
        <v>30000</v>
      </c>
      <c r="I2268" s="4" t="s">
        <v>21</v>
      </c>
      <c r="J2268" s="5">
        <f t="shared" si="35"/>
        <v>-126393</v>
      </c>
      <c r="K2268" s="4" t="s">
        <v>37</v>
      </c>
      <c r="L2268" s="6">
        <v>4.2130999999999998</v>
      </c>
      <c r="M2268" s="6">
        <v>0.2374</v>
      </c>
      <c r="N2268" s="6">
        <v>4.2115999999999998</v>
      </c>
      <c r="O2268" s="6">
        <v>1</v>
      </c>
      <c r="P2268" s="5">
        <v>-45</v>
      </c>
      <c r="Q2268" s="4" t="s">
        <v>1390</v>
      </c>
    </row>
    <row r="2269" spans="1:17" x14ac:dyDescent="0.3">
      <c r="A2269" s="2" t="s">
        <v>1389</v>
      </c>
      <c r="B2269" s="3">
        <v>156846</v>
      </c>
      <c r="C2269" s="3">
        <v>217143</v>
      </c>
      <c r="D2269" s="4" t="s">
        <v>17</v>
      </c>
      <c r="E2269" s="4" t="s">
        <v>1265</v>
      </c>
      <c r="F2269" s="4" t="s">
        <v>32</v>
      </c>
      <c r="G2269" s="4" t="s">
        <v>20</v>
      </c>
      <c r="H2269" s="5">
        <v>-100000</v>
      </c>
      <c r="I2269" s="4" t="s">
        <v>21</v>
      </c>
      <c r="J2269" s="5">
        <f t="shared" si="35"/>
        <v>421849.99999999994</v>
      </c>
      <c r="K2269" s="4" t="s">
        <v>37</v>
      </c>
      <c r="L2269" s="6">
        <v>4.2184999999999997</v>
      </c>
      <c r="M2269" s="6">
        <v>0.23710000000000001</v>
      </c>
      <c r="N2269" s="6">
        <v>4.2115999999999998</v>
      </c>
      <c r="O2269" s="6">
        <v>1</v>
      </c>
      <c r="P2269" s="5">
        <v>690</v>
      </c>
      <c r="Q2269" s="4" t="s">
        <v>1390</v>
      </c>
    </row>
    <row r="2270" spans="1:17" x14ac:dyDescent="0.3">
      <c r="A2270" s="2" t="s">
        <v>1389</v>
      </c>
      <c r="B2270" s="3">
        <v>156847</v>
      </c>
      <c r="C2270" s="3">
        <v>217147</v>
      </c>
      <c r="D2270" s="4" t="s">
        <v>17</v>
      </c>
      <c r="E2270" s="4" t="s">
        <v>1265</v>
      </c>
      <c r="F2270" s="4" t="s">
        <v>32</v>
      </c>
      <c r="G2270" s="4" t="s">
        <v>34</v>
      </c>
      <c r="H2270" s="5">
        <v>-20000</v>
      </c>
      <c r="I2270" s="4" t="s">
        <v>21</v>
      </c>
      <c r="J2270" s="5">
        <f t="shared" si="35"/>
        <v>72460</v>
      </c>
      <c r="K2270" s="4" t="s">
        <v>37</v>
      </c>
      <c r="L2270" s="6">
        <v>3.6230000000000002</v>
      </c>
      <c r="M2270" s="6">
        <v>0.27600000000000002</v>
      </c>
      <c r="N2270" s="6">
        <v>3.6082999999999998</v>
      </c>
      <c r="O2270" s="6">
        <v>1</v>
      </c>
      <c r="P2270" s="5">
        <v>294</v>
      </c>
      <c r="Q2270" s="4" t="s">
        <v>1390</v>
      </c>
    </row>
    <row r="2271" spans="1:17" x14ac:dyDescent="0.3">
      <c r="A2271" s="2" t="s">
        <v>1389</v>
      </c>
      <c r="B2271" s="3">
        <v>156848</v>
      </c>
      <c r="C2271" s="3">
        <v>217151</v>
      </c>
      <c r="D2271" s="4" t="s">
        <v>17</v>
      </c>
      <c r="E2271" s="4" t="s">
        <v>1261</v>
      </c>
      <c r="F2271" s="4" t="s">
        <v>19</v>
      </c>
      <c r="G2271" s="4" t="s">
        <v>20</v>
      </c>
      <c r="H2271" s="5">
        <v>17000</v>
      </c>
      <c r="I2271" s="4" t="s">
        <v>21</v>
      </c>
      <c r="J2271" s="5">
        <f t="shared" si="35"/>
        <v>-71417</v>
      </c>
      <c r="K2271" s="4" t="s">
        <v>37</v>
      </c>
      <c r="L2271" s="6">
        <v>4.2009999999999996</v>
      </c>
      <c r="M2271" s="6">
        <v>0.23799999999999999</v>
      </c>
      <c r="N2271" s="6">
        <v>4.2115999999999998</v>
      </c>
      <c r="O2271" s="6">
        <v>1</v>
      </c>
      <c r="P2271" s="5">
        <v>180.19999999999709</v>
      </c>
      <c r="Q2271" s="4" t="s">
        <v>1390</v>
      </c>
    </row>
    <row r="2272" spans="1:17" x14ac:dyDescent="0.3">
      <c r="A2272" s="2" t="s">
        <v>1389</v>
      </c>
      <c r="B2272" s="3">
        <v>156849</v>
      </c>
      <c r="C2272" s="3">
        <v>898239</v>
      </c>
      <c r="D2272" s="4" t="s">
        <v>81</v>
      </c>
      <c r="E2272" s="4" t="s">
        <v>735</v>
      </c>
      <c r="F2272" s="4" t="s">
        <v>83</v>
      </c>
      <c r="G2272" s="4" t="s">
        <v>20</v>
      </c>
      <c r="H2272" s="5">
        <v>-500000</v>
      </c>
      <c r="I2272" s="4" t="s">
        <v>21</v>
      </c>
      <c r="J2272" s="5">
        <f t="shared" si="35"/>
        <v>2106350</v>
      </c>
      <c r="K2272" s="4" t="s">
        <v>22</v>
      </c>
      <c r="L2272" s="6">
        <v>4.2126999999999999</v>
      </c>
      <c r="M2272" s="6">
        <v>0.2374</v>
      </c>
      <c r="N2272" s="6">
        <v>4.2068000000000003</v>
      </c>
      <c r="O2272" s="6">
        <v>1</v>
      </c>
      <c r="P2272" s="5">
        <v>2950</v>
      </c>
      <c r="Q2272" s="4" t="s">
        <v>1394</v>
      </c>
    </row>
    <row r="2273" spans="1:17" x14ac:dyDescent="0.3">
      <c r="A2273" s="2" t="s">
        <v>1389</v>
      </c>
      <c r="B2273" s="3">
        <v>156850</v>
      </c>
      <c r="C2273" s="3">
        <v>217153</v>
      </c>
      <c r="D2273" s="4" t="s">
        <v>17</v>
      </c>
      <c r="E2273" s="4" t="s">
        <v>1033</v>
      </c>
      <c r="F2273" s="4" t="s">
        <v>19</v>
      </c>
      <c r="G2273" s="4" t="s">
        <v>20</v>
      </c>
      <c r="H2273" s="5">
        <v>80000</v>
      </c>
      <c r="I2273" s="4" t="s">
        <v>21</v>
      </c>
      <c r="J2273" s="5">
        <f t="shared" si="35"/>
        <v>-336840</v>
      </c>
      <c r="K2273" s="4" t="s">
        <v>37</v>
      </c>
      <c r="L2273" s="6">
        <v>4.2104999999999997</v>
      </c>
      <c r="M2273" s="6">
        <v>0.23749999999999999</v>
      </c>
      <c r="N2273" s="6">
        <v>4.2115999999999998</v>
      </c>
      <c r="O2273" s="6">
        <v>1</v>
      </c>
      <c r="P2273" s="5">
        <v>88</v>
      </c>
      <c r="Q2273" s="4" t="s">
        <v>1390</v>
      </c>
    </row>
    <row r="2274" spans="1:17" x14ac:dyDescent="0.3">
      <c r="A2274" s="2" t="s">
        <v>1389</v>
      </c>
      <c r="B2274" s="3">
        <v>156851</v>
      </c>
      <c r="C2274" s="3">
        <v>217154</v>
      </c>
      <c r="D2274" s="4" t="s">
        <v>17</v>
      </c>
      <c r="E2274" s="4" t="s">
        <v>1096</v>
      </c>
      <c r="F2274" s="4" t="s">
        <v>19</v>
      </c>
      <c r="G2274" s="4" t="s">
        <v>20</v>
      </c>
      <c r="H2274" s="5">
        <v>10000</v>
      </c>
      <c r="I2274" s="4" t="s">
        <v>21</v>
      </c>
      <c r="J2274" s="5">
        <f t="shared" si="35"/>
        <v>-42086</v>
      </c>
      <c r="K2274" s="4" t="s">
        <v>37</v>
      </c>
      <c r="L2274" s="6">
        <v>4.2085999999999997</v>
      </c>
      <c r="M2274" s="6">
        <v>0.23760000000000001</v>
      </c>
      <c r="N2274" s="6">
        <v>4.2115999999999998</v>
      </c>
      <c r="O2274" s="6">
        <v>1</v>
      </c>
      <c r="P2274" s="5">
        <v>30</v>
      </c>
      <c r="Q2274" s="4" t="s">
        <v>1390</v>
      </c>
    </row>
    <row r="2275" spans="1:17" x14ac:dyDescent="0.3">
      <c r="A2275" s="2" t="s">
        <v>1389</v>
      </c>
      <c r="B2275" s="3">
        <v>156861</v>
      </c>
      <c r="C2275" s="3">
        <v>898343</v>
      </c>
      <c r="D2275" s="4" t="s">
        <v>81</v>
      </c>
      <c r="E2275" s="4" t="s">
        <v>735</v>
      </c>
      <c r="F2275" s="4" t="s">
        <v>83</v>
      </c>
      <c r="G2275" s="4" t="s">
        <v>34</v>
      </c>
      <c r="H2275" s="5">
        <v>-500000</v>
      </c>
      <c r="I2275" s="4" t="s">
        <v>21</v>
      </c>
      <c r="J2275" s="5">
        <f t="shared" si="35"/>
        <v>1806450</v>
      </c>
      <c r="K2275" s="4" t="s">
        <v>22</v>
      </c>
      <c r="L2275" s="6">
        <v>3.6128999999999998</v>
      </c>
      <c r="M2275" s="6">
        <v>0.27679999999999999</v>
      </c>
      <c r="N2275" s="6">
        <v>3.6153</v>
      </c>
      <c r="O2275" s="6">
        <v>1</v>
      </c>
      <c r="P2275" s="5">
        <v>-1200</v>
      </c>
      <c r="Q2275" s="4" t="s">
        <v>1394</v>
      </c>
    </row>
    <row r="2276" spans="1:17" x14ac:dyDescent="0.3">
      <c r="A2276" s="2" t="s">
        <v>1389</v>
      </c>
      <c r="B2276" s="3">
        <v>156862</v>
      </c>
      <c r="C2276" s="3">
        <v>898355</v>
      </c>
      <c r="D2276" s="4" t="s">
        <v>81</v>
      </c>
      <c r="E2276" s="4" t="s">
        <v>736</v>
      </c>
      <c r="F2276" s="4" t="s">
        <v>87</v>
      </c>
      <c r="G2276" s="4" t="s">
        <v>84</v>
      </c>
      <c r="H2276" s="5">
        <v>1090000</v>
      </c>
      <c r="I2276" s="4" t="s">
        <v>21</v>
      </c>
      <c r="J2276" s="5">
        <f t="shared" si="35"/>
        <v>-428479</v>
      </c>
      <c r="K2276" s="4" t="s">
        <v>22</v>
      </c>
      <c r="L2276" s="6">
        <v>0.3931</v>
      </c>
      <c r="M2276" s="6">
        <v>2.5438999999999998</v>
      </c>
      <c r="N2276" s="6">
        <v>0.39379999999999998</v>
      </c>
      <c r="O2276" s="6">
        <v>1</v>
      </c>
      <c r="P2276" s="5">
        <v>763</v>
      </c>
      <c r="Q2276" s="4" t="s">
        <v>1390</v>
      </c>
    </row>
    <row r="2277" spans="1:17" x14ac:dyDescent="0.3">
      <c r="A2277" s="2" t="s">
        <v>1389</v>
      </c>
      <c r="B2277" s="3">
        <v>156863</v>
      </c>
      <c r="C2277" s="3">
        <v>898359</v>
      </c>
      <c r="D2277" s="4" t="s">
        <v>81</v>
      </c>
      <c r="E2277" s="4" t="s">
        <v>736</v>
      </c>
      <c r="F2277" s="4" t="s">
        <v>87</v>
      </c>
      <c r="G2277" s="4" t="s">
        <v>74</v>
      </c>
      <c r="H2277" s="5">
        <v>350000</v>
      </c>
      <c r="I2277" s="4" t="s">
        <v>21</v>
      </c>
      <c r="J2277" s="5">
        <f t="shared" si="35"/>
        <v>-125755</v>
      </c>
      <c r="K2277" s="4" t="s">
        <v>22</v>
      </c>
      <c r="L2277" s="6">
        <v>0.35930000000000001</v>
      </c>
      <c r="M2277" s="6">
        <v>2.7831999999999999</v>
      </c>
      <c r="N2277" s="6">
        <v>0.35880000000000001</v>
      </c>
      <c r="O2277" s="6">
        <v>1</v>
      </c>
      <c r="P2277" s="5">
        <v>-175</v>
      </c>
      <c r="Q2277" s="4" t="s">
        <v>1390</v>
      </c>
    </row>
    <row r="2278" spans="1:17" x14ac:dyDescent="0.3">
      <c r="A2278" s="2" t="s">
        <v>1389</v>
      </c>
      <c r="B2278" s="3">
        <v>156865</v>
      </c>
      <c r="C2278" s="3">
        <v>898370</v>
      </c>
      <c r="D2278" s="4" t="s">
        <v>81</v>
      </c>
      <c r="E2278" s="4" t="s">
        <v>730</v>
      </c>
      <c r="F2278" s="4" t="s">
        <v>87</v>
      </c>
      <c r="G2278" s="4" t="s">
        <v>20</v>
      </c>
      <c r="H2278" s="5">
        <v>100000</v>
      </c>
      <c r="I2278" s="4" t="s">
        <v>84</v>
      </c>
      <c r="J2278" s="5">
        <f t="shared" si="35"/>
        <v>-1071310</v>
      </c>
      <c r="K2278" s="4" t="s">
        <v>22</v>
      </c>
      <c r="L2278" s="6">
        <v>10.713100000000001</v>
      </c>
      <c r="M2278" s="6">
        <v>9.3299999999999994E-2</v>
      </c>
      <c r="N2278" s="6">
        <v>4.2068000000000003</v>
      </c>
      <c r="O2278" s="6">
        <v>0.39379999999999998</v>
      </c>
      <c r="P2278" s="5">
        <v>-1203.4531999999999</v>
      </c>
      <c r="Q2278" s="4" t="s">
        <v>1396</v>
      </c>
    </row>
    <row r="2279" spans="1:17" x14ac:dyDescent="0.3">
      <c r="A2279" s="2" t="s">
        <v>1389</v>
      </c>
      <c r="B2279" s="3">
        <v>156866</v>
      </c>
      <c r="C2279" s="3">
        <v>898388</v>
      </c>
      <c r="D2279" s="4" t="s">
        <v>81</v>
      </c>
      <c r="E2279" s="4" t="s">
        <v>734</v>
      </c>
      <c r="F2279" s="4" t="s">
        <v>87</v>
      </c>
      <c r="G2279" s="4" t="s">
        <v>20</v>
      </c>
      <c r="H2279" s="5">
        <v>500000</v>
      </c>
      <c r="I2279" s="4" t="s">
        <v>21</v>
      </c>
      <c r="J2279" s="5">
        <f t="shared" si="35"/>
        <v>-2105800</v>
      </c>
      <c r="K2279" s="4" t="s">
        <v>22</v>
      </c>
      <c r="L2279" s="6">
        <v>4.2115999999999998</v>
      </c>
      <c r="M2279" s="6">
        <v>0.2374</v>
      </c>
      <c r="N2279" s="6">
        <v>4.2068000000000003</v>
      </c>
      <c r="O2279" s="6">
        <v>1</v>
      </c>
      <c r="P2279" s="5">
        <v>-2400</v>
      </c>
      <c r="Q2279" s="4" t="s">
        <v>1393</v>
      </c>
    </row>
    <row r="2280" spans="1:17" x14ac:dyDescent="0.3">
      <c r="A2280" s="2" t="s">
        <v>1389</v>
      </c>
      <c r="B2280" s="3">
        <v>156867</v>
      </c>
      <c r="C2280" s="3">
        <v>217179</v>
      </c>
      <c r="D2280" s="4" t="s">
        <v>17</v>
      </c>
      <c r="E2280" s="4" t="s">
        <v>1163</v>
      </c>
      <c r="F2280" s="4" t="s">
        <v>32</v>
      </c>
      <c r="G2280" s="4" t="s">
        <v>20</v>
      </c>
      <c r="H2280" s="5">
        <v>-25000</v>
      </c>
      <c r="I2280" s="4" t="s">
        <v>21</v>
      </c>
      <c r="J2280" s="5">
        <f t="shared" si="35"/>
        <v>105325</v>
      </c>
      <c r="K2280" s="4" t="s">
        <v>37</v>
      </c>
      <c r="L2280" s="6">
        <v>4.2130000000000001</v>
      </c>
      <c r="M2280" s="6">
        <v>0.2374</v>
      </c>
      <c r="N2280" s="6">
        <v>4.2115999999999998</v>
      </c>
      <c r="O2280" s="6">
        <v>1</v>
      </c>
      <c r="P2280" s="5">
        <v>35</v>
      </c>
      <c r="Q2280" s="4" t="s">
        <v>1390</v>
      </c>
    </row>
    <row r="2281" spans="1:17" x14ac:dyDescent="0.3">
      <c r="A2281" s="2" t="s">
        <v>1389</v>
      </c>
      <c r="B2281" s="3">
        <v>156868</v>
      </c>
      <c r="C2281" s="3">
        <v>898411</v>
      </c>
      <c r="D2281" s="4" t="s">
        <v>81</v>
      </c>
      <c r="E2281" s="4" t="s">
        <v>734</v>
      </c>
      <c r="F2281" s="4" t="s">
        <v>87</v>
      </c>
      <c r="G2281" s="4" t="s">
        <v>91</v>
      </c>
      <c r="H2281" s="5">
        <v>100000</v>
      </c>
      <c r="I2281" s="4" t="s">
        <v>21</v>
      </c>
      <c r="J2281" s="5">
        <f t="shared" si="35"/>
        <v>-486250</v>
      </c>
      <c r="K2281" s="4" t="s">
        <v>22</v>
      </c>
      <c r="L2281" s="6">
        <v>4.8624999999999998</v>
      </c>
      <c r="M2281" s="6">
        <v>0.20569999999999999</v>
      </c>
      <c r="N2281" s="6">
        <v>4.8579999999999997</v>
      </c>
      <c r="O2281" s="6">
        <v>1</v>
      </c>
      <c r="P2281" s="5">
        <v>-450</v>
      </c>
      <c r="Q2281" s="4" t="s">
        <v>1393</v>
      </c>
    </row>
    <row r="2282" spans="1:17" x14ac:dyDescent="0.3">
      <c r="A2282" s="2" t="s">
        <v>1389</v>
      </c>
      <c r="B2282" s="3">
        <v>156870</v>
      </c>
      <c r="C2282" s="3">
        <v>217184</v>
      </c>
      <c r="D2282" s="4" t="s">
        <v>17</v>
      </c>
      <c r="E2282" s="4" t="s">
        <v>1299</v>
      </c>
      <c r="F2282" s="4" t="s">
        <v>19</v>
      </c>
      <c r="G2282" s="4" t="s">
        <v>34</v>
      </c>
      <c r="H2282" s="5">
        <v>20000</v>
      </c>
      <c r="I2282" s="4" t="s">
        <v>21</v>
      </c>
      <c r="J2282" s="5">
        <f t="shared" si="35"/>
        <v>-72004</v>
      </c>
      <c r="K2282" s="4" t="s">
        <v>37</v>
      </c>
      <c r="L2282" s="6">
        <v>3.6002000000000001</v>
      </c>
      <c r="M2282" s="6">
        <v>0.27779999999999999</v>
      </c>
      <c r="N2282" s="6">
        <v>3.6082999999999998</v>
      </c>
      <c r="O2282" s="6">
        <v>1</v>
      </c>
      <c r="P2282" s="5">
        <v>162</v>
      </c>
      <c r="Q2282" s="4" t="s">
        <v>1390</v>
      </c>
    </row>
    <row r="2283" spans="1:17" x14ac:dyDescent="0.3">
      <c r="A2283" s="2" t="s">
        <v>1389</v>
      </c>
      <c r="B2283" s="3">
        <v>156871</v>
      </c>
      <c r="C2283" s="3">
        <v>898454</v>
      </c>
      <c r="D2283" s="4" t="s">
        <v>81</v>
      </c>
      <c r="E2283" s="4" t="s">
        <v>1037</v>
      </c>
      <c r="F2283" s="4" t="s">
        <v>87</v>
      </c>
      <c r="G2283" s="4" t="s">
        <v>91</v>
      </c>
      <c r="H2283" s="5">
        <v>11450</v>
      </c>
      <c r="I2283" s="4" t="s">
        <v>21</v>
      </c>
      <c r="J2283" s="5">
        <f t="shared" si="35"/>
        <v>-55367.62</v>
      </c>
      <c r="K2283" s="4" t="s">
        <v>22</v>
      </c>
      <c r="L2283" s="6">
        <v>4.8356000000000003</v>
      </c>
      <c r="M2283" s="6">
        <v>0.20680000000000001</v>
      </c>
      <c r="N2283" s="6">
        <v>4.8579999999999997</v>
      </c>
      <c r="O2283" s="6">
        <v>1</v>
      </c>
      <c r="P2283" s="5">
        <v>256.48</v>
      </c>
      <c r="Q2283" s="4" t="s">
        <v>1390</v>
      </c>
    </row>
    <row r="2284" spans="1:17" x14ac:dyDescent="0.3">
      <c r="A2284" s="2" t="s">
        <v>1389</v>
      </c>
      <c r="B2284" s="3">
        <v>156872</v>
      </c>
      <c r="C2284" s="3">
        <v>898461</v>
      </c>
      <c r="D2284" s="4" t="s">
        <v>81</v>
      </c>
      <c r="E2284" s="4" t="s">
        <v>732</v>
      </c>
      <c r="F2284" s="4" t="s">
        <v>83</v>
      </c>
      <c r="G2284" s="4" t="s">
        <v>20</v>
      </c>
      <c r="H2284" s="5">
        <v>-500000</v>
      </c>
      <c r="I2284" s="4" t="s">
        <v>21</v>
      </c>
      <c r="J2284" s="5">
        <f t="shared" si="35"/>
        <v>2105100</v>
      </c>
      <c r="K2284" s="4" t="s">
        <v>22</v>
      </c>
      <c r="L2284" s="6">
        <v>4.2102000000000004</v>
      </c>
      <c r="M2284" s="6">
        <v>0.23749999999999999</v>
      </c>
      <c r="N2284" s="6">
        <v>4.2068000000000003</v>
      </c>
      <c r="O2284" s="6">
        <v>1</v>
      </c>
      <c r="P2284" s="5">
        <v>1700</v>
      </c>
      <c r="Q2284" s="4" t="s">
        <v>1394</v>
      </c>
    </row>
    <row r="2285" spans="1:17" x14ac:dyDescent="0.3">
      <c r="A2285" s="2" t="s">
        <v>1389</v>
      </c>
      <c r="B2285" s="3">
        <v>156873</v>
      </c>
      <c r="C2285" s="3">
        <v>217187</v>
      </c>
      <c r="D2285" s="4" t="s">
        <v>17</v>
      </c>
      <c r="E2285" s="4" t="s">
        <v>1316</v>
      </c>
      <c r="F2285" s="4" t="s">
        <v>32</v>
      </c>
      <c r="G2285" s="4" t="s">
        <v>20</v>
      </c>
      <c r="H2285" s="5">
        <v>-100000</v>
      </c>
      <c r="I2285" s="4" t="s">
        <v>21</v>
      </c>
      <c r="J2285" s="5">
        <f t="shared" si="35"/>
        <v>421140</v>
      </c>
      <c r="K2285" s="4" t="s">
        <v>37</v>
      </c>
      <c r="L2285" s="6">
        <v>4.2114000000000003</v>
      </c>
      <c r="M2285" s="6">
        <v>0.23749999999999999</v>
      </c>
      <c r="N2285" s="6">
        <v>4.2115999999999998</v>
      </c>
      <c r="O2285" s="6">
        <v>1</v>
      </c>
      <c r="P2285" s="5">
        <v>-60</v>
      </c>
      <c r="Q2285" s="4" t="s">
        <v>1390</v>
      </c>
    </row>
    <row r="2286" spans="1:17" x14ac:dyDescent="0.3">
      <c r="A2286" s="2" t="s">
        <v>1389</v>
      </c>
      <c r="B2286" s="3">
        <v>156875</v>
      </c>
      <c r="C2286" s="3">
        <v>217189</v>
      </c>
      <c r="D2286" s="4" t="s">
        <v>17</v>
      </c>
      <c r="E2286" s="4" t="s">
        <v>1134</v>
      </c>
      <c r="F2286" s="4" t="s">
        <v>32</v>
      </c>
      <c r="G2286" s="4" t="s">
        <v>20</v>
      </c>
      <c r="H2286" s="5">
        <v>-90000</v>
      </c>
      <c r="I2286" s="4" t="s">
        <v>21</v>
      </c>
      <c r="J2286" s="5">
        <f t="shared" si="35"/>
        <v>378990</v>
      </c>
      <c r="K2286" s="4" t="s">
        <v>37</v>
      </c>
      <c r="L2286" s="6">
        <v>4.2110000000000003</v>
      </c>
      <c r="M2286" s="6">
        <v>0.23749999999999999</v>
      </c>
      <c r="N2286" s="6">
        <v>4.2115999999999998</v>
      </c>
      <c r="O2286" s="6">
        <v>1</v>
      </c>
      <c r="P2286" s="5">
        <v>-54</v>
      </c>
      <c r="Q2286" s="4" t="s">
        <v>1390</v>
      </c>
    </row>
    <row r="2287" spans="1:17" x14ac:dyDescent="0.3">
      <c r="A2287" s="2" t="s">
        <v>1389</v>
      </c>
      <c r="B2287" s="3">
        <v>156877</v>
      </c>
      <c r="C2287" s="3">
        <v>898474</v>
      </c>
      <c r="D2287" s="4" t="s">
        <v>81</v>
      </c>
      <c r="E2287" s="4" t="s">
        <v>1155</v>
      </c>
      <c r="F2287" s="4" t="s">
        <v>83</v>
      </c>
      <c r="G2287" s="4" t="s">
        <v>20</v>
      </c>
      <c r="H2287" s="5">
        <v>-100000</v>
      </c>
      <c r="I2287" s="4" t="s">
        <v>74</v>
      </c>
      <c r="J2287" s="5">
        <f t="shared" si="35"/>
        <v>1171740</v>
      </c>
      <c r="K2287" s="4" t="s">
        <v>22</v>
      </c>
      <c r="L2287" s="6">
        <v>11.7174</v>
      </c>
      <c r="M2287" s="6">
        <v>8.5300000000000001E-2</v>
      </c>
      <c r="N2287" s="6">
        <v>4.2068000000000003</v>
      </c>
      <c r="O2287" s="6">
        <v>0.35880000000000001</v>
      </c>
      <c r="P2287" s="5">
        <v>-259.68799999999999</v>
      </c>
      <c r="Q2287" s="4" t="s">
        <v>1390</v>
      </c>
    </row>
    <row r="2288" spans="1:17" x14ac:dyDescent="0.3">
      <c r="A2288" s="2" t="s">
        <v>1389</v>
      </c>
      <c r="B2288" s="3">
        <v>156879</v>
      </c>
      <c r="C2288" s="3">
        <v>898476</v>
      </c>
      <c r="D2288" s="4" t="s">
        <v>81</v>
      </c>
      <c r="E2288" s="4" t="s">
        <v>730</v>
      </c>
      <c r="F2288" s="4" t="s">
        <v>87</v>
      </c>
      <c r="G2288" s="4" t="s">
        <v>34</v>
      </c>
      <c r="H2288" s="5">
        <v>200000</v>
      </c>
      <c r="I2288" s="4" t="s">
        <v>74</v>
      </c>
      <c r="J2288" s="5">
        <f t="shared" si="35"/>
        <v>-2009860</v>
      </c>
      <c r="K2288" s="4" t="s">
        <v>22</v>
      </c>
      <c r="L2288" s="6">
        <v>10.049300000000001</v>
      </c>
      <c r="M2288" s="6">
        <v>9.9500000000000005E-2</v>
      </c>
      <c r="N2288" s="6">
        <v>3.6153</v>
      </c>
      <c r="O2288" s="6">
        <v>0.35880000000000001</v>
      </c>
      <c r="P2288" s="5">
        <v>1921.5144</v>
      </c>
      <c r="Q2288" s="4" t="s">
        <v>1396</v>
      </c>
    </row>
    <row r="2289" spans="1:17" x14ac:dyDescent="0.3">
      <c r="A2289" s="2" t="s">
        <v>1389</v>
      </c>
      <c r="B2289" s="3">
        <v>156880</v>
      </c>
      <c r="C2289" s="3">
        <v>217192</v>
      </c>
      <c r="D2289" s="4" t="s">
        <v>17</v>
      </c>
      <c r="E2289" s="4" t="s">
        <v>1138</v>
      </c>
      <c r="F2289" s="4" t="s">
        <v>19</v>
      </c>
      <c r="G2289" s="4" t="s">
        <v>20</v>
      </c>
      <c r="H2289" s="5">
        <v>105344</v>
      </c>
      <c r="I2289" s="4" t="s">
        <v>34</v>
      </c>
      <c r="J2289" s="5">
        <f t="shared" si="35"/>
        <v>-122662.55360000001</v>
      </c>
      <c r="K2289" s="4" t="s">
        <v>37</v>
      </c>
      <c r="L2289" s="6">
        <v>1.1644000000000001</v>
      </c>
      <c r="M2289" s="6">
        <v>0.85880000000000001</v>
      </c>
      <c r="N2289" s="6">
        <v>4.2115999999999998</v>
      </c>
      <c r="O2289" s="6">
        <v>3.6082999999999998</v>
      </c>
      <c r="P2289" s="5">
        <v>1063.4982451199903</v>
      </c>
      <c r="Q2289" s="4" t="s">
        <v>1390</v>
      </c>
    </row>
    <row r="2290" spans="1:17" x14ac:dyDescent="0.3">
      <c r="A2290" s="2" t="s">
        <v>1389</v>
      </c>
      <c r="B2290" s="3">
        <v>156882</v>
      </c>
      <c r="C2290" s="3">
        <v>217195</v>
      </c>
      <c r="D2290" s="4" t="s">
        <v>17</v>
      </c>
      <c r="E2290" s="4" t="s">
        <v>783</v>
      </c>
      <c r="F2290" s="4" t="s">
        <v>19</v>
      </c>
      <c r="G2290" s="4" t="s">
        <v>34</v>
      </c>
      <c r="H2290" s="5">
        <v>350000</v>
      </c>
      <c r="I2290" s="4" t="s">
        <v>21</v>
      </c>
      <c r="J2290" s="5">
        <f t="shared" si="35"/>
        <v>-1264270</v>
      </c>
      <c r="K2290" s="4" t="s">
        <v>27</v>
      </c>
      <c r="L2290" s="6">
        <v>3.6122000000000001</v>
      </c>
      <c r="M2290" s="6">
        <v>0.27679999999999999</v>
      </c>
      <c r="N2290" s="6">
        <v>3.5188999999999999</v>
      </c>
      <c r="O2290" s="6">
        <v>1</v>
      </c>
      <c r="P2290" s="5">
        <v>-32655</v>
      </c>
      <c r="Q2290" s="4" t="s">
        <v>1390</v>
      </c>
    </row>
    <row r="2291" spans="1:17" x14ac:dyDescent="0.3">
      <c r="A2291" s="2" t="s">
        <v>1389</v>
      </c>
      <c r="B2291" s="3">
        <v>156884</v>
      </c>
      <c r="C2291" s="3">
        <v>898513</v>
      </c>
      <c r="D2291" s="4" t="s">
        <v>81</v>
      </c>
      <c r="E2291" s="4" t="s">
        <v>735</v>
      </c>
      <c r="F2291" s="4" t="s">
        <v>83</v>
      </c>
      <c r="G2291" s="4" t="s">
        <v>20</v>
      </c>
      <c r="H2291" s="5">
        <v>-1000000</v>
      </c>
      <c r="I2291" s="4" t="s">
        <v>21</v>
      </c>
      <c r="J2291" s="5">
        <f t="shared" si="35"/>
        <v>4209900</v>
      </c>
      <c r="K2291" s="4" t="s">
        <v>22</v>
      </c>
      <c r="L2291" s="6">
        <v>4.2099000000000002</v>
      </c>
      <c r="M2291" s="6">
        <v>0.23749999999999999</v>
      </c>
      <c r="N2291" s="6">
        <v>4.2068000000000003</v>
      </c>
      <c r="O2291" s="6">
        <v>1</v>
      </c>
      <c r="P2291" s="5">
        <v>3100</v>
      </c>
      <c r="Q2291" s="4" t="s">
        <v>1394</v>
      </c>
    </row>
    <row r="2292" spans="1:17" x14ac:dyDescent="0.3">
      <c r="A2292" s="2" t="s">
        <v>1389</v>
      </c>
      <c r="B2292" s="3">
        <v>156885</v>
      </c>
      <c r="C2292" s="3">
        <v>898514</v>
      </c>
      <c r="D2292" s="4" t="s">
        <v>81</v>
      </c>
      <c r="E2292" s="4" t="s">
        <v>734</v>
      </c>
      <c r="F2292" s="4" t="s">
        <v>83</v>
      </c>
      <c r="G2292" s="4" t="s">
        <v>20</v>
      </c>
      <c r="H2292" s="5">
        <v>-500000</v>
      </c>
      <c r="I2292" s="4" t="s">
        <v>21</v>
      </c>
      <c r="J2292" s="5">
        <f t="shared" si="35"/>
        <v>2104850</v>
      </c>
      <c r="K2292" s="4" t="s">
        <v>22</v>
      </c>
      <c r="L2292" s="6">
        <v>4.2096999999999998</v>
      </c>
      <c r="M2292" s="6">
        <v>0.23749999999999999</v>
      </c>
      <c r="N2292" s="6">
        <v>4.2068000000000003</v>
      </c>
      <c r="O2292" s="6">
        <v>1</v>
      </c>
      <c r="P2292" s="5">
        <v>1450</v>
      </c>
      <c r="Q2292" s="4" t="s">
        <v>1393</v>
      </c>
    </row>
    <row r="2293" spans="1:17" x14ac:dyDescent="0.3">
      <c r="A2293" s="2" t="s">
        <v>1389</v>
      </c>
      <c r="B2293" s="3">
        <v>156886</v>
      </c>
      <c r="C2293" s="3">
        <v>217196</v>
      </c>
      <c r="D2293" s="4" t="s">
        <v>17</v>
      </c>
      <c r="E2293" s="4" t="s">
        <v>783</v>
      </c>
      <c r="F2293" s="4" t="s">
        <v>19</v>
      </c>
      <c r="G2293" s="4" t="s">
        <v>80</v>
      </c>
      <c r="H2293" s="5">
        <v>11000000</v>
      </c>
      <c r="I2293" s="4" t="s">
        <v>21</v>
      </c>
      <c r="J2293" s="5">
        <f t="shared" si="35"/>
        <v>-5698000</v>
      </c>
      <c r="K2293" s="4" t="s">
        <v>27</v>
      </c>
      <c r="L2293" s="6">
        <v>0.51800000000000002</v>
      </c>
      <c r="M2293" s="6">
        <v>1.9305000000000001</v>
      </c>
      <c r="N2293" s="6">
        <v>0.50660000000000005</v>
      </c>
      <c r="O2293" s="6">
        <v>1</v>
      </c>
      <c r="P2293" s="5">
        <v>-125399.99999999907</v>
      </c>
      <c r="Q2293" s="4" t="s">
        <v>1390</v>
      </c>
    </row>
    <row r="2294" spans="1:17" x14ac:dyDescent="0.3">
      <c r="A2294" s="2" t="s">
        <v>1389</v>
      </c>
      <c r="B2294" s="3">
        <v>156887</v>
      </c>
      <c r="C2294" s="3">
        <v>898516</v>
      </c>
      <c r="D2294" s="4" t="s">
        <v>81</v>
      </c>
      <c r="E2294" s="4" t="s">
        <v>734</v>
      </c>
      <c r="F2294" s="4" t="s">
        <v>87</v>
      </c>
      <c r="G2294" s="4" t="s">
        <v>20</v>
      </c>
      <c r="H2294" s="5">
        <v>1300000</v>
      </c>
      <c r="I2294" s="4" t="s">
        <v>80</v>
      </c>
      <c r="J2294" s="5">
        <f t="shared" si="35"/>
        <v>-10558730</v>
      </c>
      <c r="K2294" s="4" t="s">
        <v>22</v>
      </c>
      <c r="L2294" s="6">
        <v>8.1220999999999997</v>
      </c>
      <c r="M2294" s="6">
        <v>0.1231</v>
      </c>
      <c r="N2294" s="6">
        <v>4.2068000000000003</v>
      </c>
      <c r="O2294" s="6">
        <v>0.51880000000000004</v>
      </c>
      <c r="P2294" s="5">
        <v>-9035.8683999999994</v>
      </c>
      <c r="Q2294" s="4" t="s">
        <v>1393</v>
      </c>
    </row>
    <row r="2295" spans="1:17" x14ac:dyDescent="0.3">
      <c r="A2295" s="2" t="s">
        <v>1389</v>
      </c>
      <c r="B2295" s="3">
        <v>156889</v>
      </c>
      <c r="C2295" s="3">
        <v>898525</v>
      </c>
      <c r="D2295" s="4" t="s">
        <v>81</v>
      </c>
      <c r="E2295" s="4" t="s">
        <v>735</v>
      </c>
      <c r="F2295" s="4" t="s">
        <v>83</v>
      </c>
      <c r="G2295" s="4" t="s">
        <v>34</v>
      </c>
      <c r="H2295" s="5">
        <v>-500000</v>
      </c>
      <c r="I2295" s="4" t="s">
        <v>21</v>
      </c>
      <c r="J2295" s="5">
        <f t="shared" si="35"/>
        <v>1805750</v>
      </c>
      <c r="K2295" s="4" t="s">
        <v>22</v>
      </c>
      <c r="L2295" s="6">
        <v>3.6114999999999999</v>
      </c>
      <c r="M2295" s="6">
        <v>0.27689999999999998</v>
      </c>
      <c r="N2295" s="6">
        <v>3.6153</v>
      </c>
      <c r="O2295" s="6">
        <v>1</v>
      </c>
      <c r="P2295" s="5">
        <v>-1900</v>
      </c>
      <c r="Q2295" s="4" t="s">
        <v>1394</v>
      </c>
    </row>
    <row r="2296" spans="1:17" x14ac:dyDescent="0.3">
      <c r="A2296" s="2" t="s">
        <v>1389</v>
      </c>
      <c r="B2296" s="3">
        <v>156892</v>
      </c>
      <c r="C2296" s="3">
        <v>898526</v>
      </c>
      <c r="D2296" s="4" t="s">
        <v>81</v>
      </c>
      <c r="E2296" s="4" t="s">
        <v>742</v>
      </c>
      <c r="F2296" s="4" t="s">
        <v>87</v>
      </c>
      <c r="G2296" s="4" t="s">
        <v>20</v>
      </c>
      <c r="H2296" s="5">
        <v>500000</v>
      </c>
      <c r="I2296" s="4" t="s">
        <v>21</v>
      </c>
      <c r="J2296" s="5">
        <f t="shared" si="35"/>
        <v>-2104900</v>
      </c>
      <c r="K2296" s="4" t="s">
        <v>22</v>
      </c>
      <c r="L2296" s="6">
        <v>4.2098000000000004</v>
      </c>
      <c r="M2296" s="6">
        <v>0.23749999999999999</v>
      </c>
      <c r="N2296" s="6">
        <v>4.2068000000000003</v>
      </c>
      <c r="O2296" s="6">
        <v>1</v>
      </c>
      <c r="P2296" s="5">
        <v>-1515</v>
      </c>
      <c r="Q2296" s="4" t="s">
        <v>1396</v>
      </c>
    </row>
    <row r="2297" spans="1:17" x14ac:dyDescent="0.3">
      <c r="A2297" s="2" t="s">
        <v>1389</v>
      </c>
      <c r="B2297" s="3">
        <v>156893</v>
      </c>
      <c r="C2297" s="3">
        <v>898543</v>
      </c>
      <c r="D2297" s="4" t="s">
        <v>81</v>
      </c>
      <c r="E2297" s="4" t="s">
        <v>735</v>
      </c>
      <c r="F2297" s="4" t="s">
        <v>87</v>
      </c>
      <c r="G2297" s="4" t="s">
        <v>34</v>
      </c>
      <c r="H2297" s="5">
        <v>9283.2900000000009</v>
      </c>
      <c r="I2297" s="4" t="s">
        <v>21</v>
      </c>
      <c r="J2297" s="5">
        <f t="shared" si="35"/>
        <v>-33555.380034000002</v>
      </c>
      <c r="K2297" s="4" t="s">
        <v>22</v>
      </c>
      <c r="L2297" s="6">
        <v>3.6145999999999998</v>
      </c>
      <c r="M2297" s="6">
        <v>0.2767</v>
      </c>
      <c r="N2297" s="6">
        <v>3.6153</v>
      </c>
      <c r="O2297" s="6">
        <v>1</v>
      </c>
      <c r="P2297" s="5">
        <v>6.4983370000000003</v>
      </c>
      <c r="Q2297" s="4" t="s">
        <v>1394</v>
      </c>
    </row>
    <row r="2298" spans="1:17" x14ac:dyDescent="0.3">
      <c r="A2298" s="2" t="s">
        <v>1389</v>
      </c>
      <c r="B2298" s="3">
        <v>156894</v>
      </c>
      <c r="C2298" s="3">
        <v>898544</v>
      </c>
      <c r="D2298" s="4" t="s">
        <v>81</v>
      </c>
      <c r="E2298" s="4" t="s">
        <v>739</v>
      </c>
      <c r="F2298" s="4" t="s">
        <v>83</v>
      </c>
      <c r="G2298" s="4" t="s">
        <v>20</v>
      </c>
      <c r="H2298" s="5">
        <v>-75504.31</v>
      </c>
      <c r="I2298" s="4" t="s">
        <v>21</v>
      </c>
      <c r="J2298" s="5">
        <f t="shared" si="35"/>
        <v>318039.25458200002</v>
      </c>
      <c r="K2298" s="4" t="s">
        <v>22</v>
      </c>
      <c r="L2298" s="6">
        <v>4.2122000000000002</v>
      </c>
      <c r="M2298" s="6">
        <v>0.2374</v>
      </c>
      <c r="N2298" s="6">
        <v>4.2068000000000003</v>
      </c>
      <c r="O2298" s="6">
        <v>1</v>
      </c>
      <c r="P2298" s="5">
        <v>405.45869199999999</v>
      </c>
      <c r="Q2298" s="4" t="s">
        <v>1391</v>
      </c>
    </row>
    <row r="2299" spans="1:17" x14ac:dyDescent="0.3">
      <c r="A2299" s="2" t="s">
        <v>1389</v>
      </c>
      <c r="B2299" s="3">
        <v>156895</v>
      </c>
      <c r="C2299" s="3">
        <v>898545</v>
      </c>
      <c r="D2299" s="4" t="s">
        <v>81</v>
      </c>
      <c r="E2299" s="4" t="s">
        <v>735</v>
      </c>
      <c r="F2299" s="4" t="s">
        <v>87</v>
      </c>
      <c r="G2299" s="4" t="s">
        <v>93</v>
      </c>
      <c r="H2299" s="5">
        <v>5901.58</v>
      </c>
      <c r="I2299" s="4" t="s">
        <v>21</v>
      </c>
      <c r="J2299" s="5">
        <f t="shared" si="35"/>
        <v>-26707.010132000003</v>
      </c>
      <c r="K2299" s="4" t="s">
        <v>22</v>
      </c>
      <c r="L2299" s="6">
        <v>4.5254000000000003</v>
      </c>
      <c r="M2299" s="6">
        <v>0.221</v>
      </c>
      <c r="N2299" s="6">
        <v>4.5164</v>
      </c>
      <c r="O2299" s="6">
        <v>1</v>
      </c>
      <c r="P2299" s="5">
        <v>-53.114088000000002</v>
      </c>
      <c r="Q2299" s="4" t="s">
        <v>1394</v>
      </c>
    </row>
    <row r="2300" spans="1:17" x14ac:dyDescent="0.3">
      <c r="A2300" s="2" t="s">
        <v>1389</v>
      </c>
      <c r="B2300" s="3">
        <v>156896</v>
      </c>
      <c r="C2300" s="3">
        <v>898546</v>
      </c>
      <c r="D2300" s="4" t="s">
        <v>81</v>
      </c>
      <c r="E2300" s="4" t="s">
        <v>739</v>
      </c>
      <c r="F2300" s="4" t="s">
        <v>83</v>
      </c>
      <c r="G2300" s="4" t="s">
        <v>91</v>
      </c>
      <c r="H2300" s="5">
        <v>-969.74</v>
      </c>
      <c r="I2300" s="4" t="s">
        <v>21</v>
      </c>
      <c r="J2300" s="5">
        <f t="shared" si="35"/>
        <v>4711.5787639999999</v>
      </c>
      <c r="K2300" s="4" t="s">
        <v>22</v>
      </c>
      <c r="L2300" s="6">
        <v>4.8586</v>
      </c>
      <c r="M2300" s="6">
        <v>0.20580000000000001</v>
      </c>
      <c r="N2300" s="6">
        <v>4.8579999999999997</v>
      </c>
      <c r="O2300" s="6">
        <v>1</v>
      </c>
      <c r="P2300" s="5">
        <v>0.60307999999999995</v>
      </c>
      <c r="Q2300" s="4" t="s">
        <v>1391</v>
      </c>
    </row>
    <row r="2301" spans="1:17" x14ac:dyDescent="0.3">
      <c r="A2301" s="2" t="s">
        <v>1389</v>
      </c>
      <c r="B2301" s="3">
        <v>156897</v>
      </c>
      <c r="C2301" s="3">
        <v>898551</v>
      </c>
      <c r="D2301" s="4" t="s">
        <v>81</v>
      </c>
      <c r="E2301" s="4" t="s">
        <v>734</v>
      </c>
      <c r="F2301" s="4" t="s">
        <v>83</v>
      </c>
      <c r="G2301" s="4" t="s">
        <v>20</v>
      </c>
      <c r="H2301" s="5">
        <v>-100949.81</v>
      </c>
      <c r="I2301" s="4" t="s">
        <v>21</v>
      </c>
      <c r="J2301" s="5">
        <f t="shared" si="35"/>
        <v>425402.49934000004</v>
      </c>
      <c r="K2301" s="4" t="s">
        <v>22</v>
      </c>
      <c r="L2301" s="6">
        <v>4.2140000000000004</v>
      </c>
      <c r="M2301" s="6">
        <v>0.23730000000000001</v>
      </c>
      <c r="N2301" s="6">
        <v>4.2068000000000003</v>
      </c>
      <c r="O2301" s="6">
        <v>1</v>
      </c>
      <c r="P2301" s="5">
        <v>729.86929199999997</v>
      </c>
      <c r="Q2301" s="4" t="s">
        <v>1393</v>
      </c>
    </row>
    <row r="2302" spans="1:17" x14ac:dyDescent="0.3">
      <c r="A2302" s="2" t="s">
        <v>1389</v>
      </c>
      <c r="B2302" s="3">
        <v>156898</v>
      </c>
      <c r="C2302" s="3">
        <v>898553</v>
      </c>
      <c r="D2302" s="4" t="s">
        <v>81</v>
      </c>
      <c r="E2302" s="4" t="s">
        <v>734</v>
      </c>
      <c r="F2302" s="4" t="s">
        <v>83</v>
      </c>
      <c r="G2302" s="4" t="s">
        <v>20</v>
      </c>
      <c r="H2302" s="5">
        <v>-108397.66</v>
      </c>
      <c r="I2302" s="4" t="s">
        <v>21</v>
      </c>
      <c r="J2302" s="5">
        <f t="shared" si="35"/>
        <v>456646.82228199998</v>
      </c>
      <c r="K2302" s="4" t="s">
        <v>22</v>
      </c>
      <c r="L2302" s="6">
        <v>4.2126999999999999</v>
      </c>
      <c r="M2302" s="6">
        <v>0.2374</v>
      </c>
      <c r="N2302" s="6">
        <v>4.2068000000000003</v>
      </c>
      <c r="O2302" s="6">
        <v>1</v>
      </c>
      <c r="P2302" s="5">
        <v>638.46391200000005</v>
      </c>
      <c r="Q2302" s="4" t="s">
        <v>1393</v>
      </c>
    </row>
    <row r="2303" spans="1:17" x14ac:dyDescent="0.3">
      <c r="A2303" s="2" t="s">
        <v>1389</v>
      </c>
      <c r="B2303" s="3">
        <v>156899</v>
      </c>
      <c r="C2303" s="3">
        <v>217200</v>
      </c>
      <c r="D2303" s="4" t="s">
        <v>17</v>
      </c>
      <c r="E2303" s="4" t="s">
        <v>734</v>
      </c>
      <c r="F2303" s="4" t="s">
        <v>32</v>
      </c>
      <c r="G2303" s="4" t="s">
        <v>20</v>
      </c>
      <c r="H2303" s="5">
        <v>-2260</v>
      </c>
      <c r="I2303" s="4" t="s">
        <v>21</v>
      </c>
      <c r="J2303" s="5">
        <f t="shared" si="35"/>
        <v>9519.3460000000014</v>
      </c>
      <c r="K2303" s="4" t="s">
        <v>35</v>
      </c>
      <c r="L2303" s="6">
        <v>4.2121000000000004</v>
      </c>
      <c r="M2303" s="6">
        <v>0.2374</v>
      </c>
      <c r="N2303" s="6">
        <v>4.2110000000000003</v>
      </c>
      <c r="O2303" s="6">
        <v>1</v>
      </c>
      <c r="P2303" s="5">
        <v>1.9</v>
      </c>
      <c r="Q2303" s="4" t="s">
        <v>1393</v>
      </c>
    </row>
    <row r="2304" spans="1:17" x14ac:dyDescent="0.3">
      <c r="A2304" s="2" t="s">
        <v>1389</v>
      </c>
      <c r="B2304" s="3">
        <v>156900</v>
      </c>
      <c r="C2304" s="3">
        <v>217201</v>
      </c>
      <c r="D2304" s="4" t="s">
        <v>17</v>
      </c>
      <c r="E2304" s="4" t="s">
        <v>992</v>
      </c>
      <c r="F2304" s="4" t="s">
        <v>19</v>
      </c>
      <c r="G2304" s="4" t="s">
        <v>20</v>
      </c>
      <c r="H2304" s="5">
        <v>2260</v>
      </c>
      <c r="I2304" s="4" t="s">
        <v>21</v>
      </c>
      <c r="J2304" s="5">
        <f t="shared" si="35"/>
        <v>-9462.6200000000008</v>
      </c>
      <c r="K2304" s="4" t="s">
        <v>35</v>
      </c>
      <c r="L2304" s="6">
        <v>4.1870000000000003</v>
      </c>
      <c r="M2304" s="6">
        <v>0.23880000000000001</v>
      </c>
      <c r="N2304" s="6">
        <v>4.2110000000000003</v>
      </c>
      <c r="O2304" s="6">
        <v>1</v>
      </c>
      <c r="P2304" s="5">
        <v>54.239999999999782</v>
      </c>
      <c r="Q2304" s="4" t="s">
        <v>1390</v>
      </c>
    </row>
    <row r="2305" spans="1:17" x14ac:dyDescent="0.3">
      <c r="A2305" s="2" t="s">
        <v>1389</v>
      </c>
      <c r="B2305" s="3">
        <v>156901</v>
      </c>
      <c r="C2305" s="3">
        <v>898559</v>
      </c>
      <c r="D2305" s="4" t="s">
        <v>81</v>
      </c>
      <c r="E2305" s="4" t="s">
        <v>735</v>
      </c>
      <c r="F2305" s="4" t="s">
        <v>83</v>
      </c>
      <c r="G2305" s="4" t="s">
        <v>34</v>
      </c>
      <c r="H2305" s="5">
        <v>-62778.83</v>
      </c>
      <c r="I2305" s="4" t="s">
        <v>21</v>
      </c>
      <c r="J2305" s="5">
        <f t="shared" si="35"/>
        <v>227196.58577000003</v>
      </c>
      <c r="K2305" s="4" t="s">
        <v>22</v>
      </c>
      <c r="L2305" s="6">
        <v>3.6190000000000002</v>
      </c>
      <c r="M2305" s="6">
        <v>0.27629999999999999</v>
      </c>
      <c r="N2305" s="6">
        <v>3.6153</v>
      </c>
      <c r="O2305" s="6">
        <v>1</v>
      </c>
      <c r="P2305" s="5">
        <v>232.285901</v>
      </c>
      <c r="Q2305" s="4" t="s">
        <v>1394</v>
      </c>
    </row>
    <row r="2306" spans="1:17" x14ac:dyDescent="0.3">
      <c r="A2306" s="2" t="s">
        <v>1389</v>
      </c>
      <c r="B2306" s="3">
        <v>156902</v>
      </c>
      <c r="C2306" s="3">
        <v>898560</v>
      </c>
      <c r="D2306" s="4" t="s">
        <v>81</v>
      </c>
      <c r="E2306" s="4" t="s">
        <v>734</v>
      </c>
      <c r="F2306" s="4" t="s">
        <v>83</v>
      </c>
      <c r="G2306" s="4" t="s">
        <v>93</v>
      </c>
      <c r="H2306" s="5">
        <v>-42194.03</v>
      </c>
      <c r="I2306" s="4" t="s">
        <v>21</v>
      </c>
      <c r="J2306" s="5">
        <f t="shared" si="35"/>
        <v>190788.745451</v>
      </c>
      <c r="K2306" s="4" t="s">
        <v>22</v>
      </c>
      <c r="L2306" s="6">
        <v>4.5217000000000001</v>
      </c>
      <c r="M2306" s="6">
        <v>0.22120000000000001</v>
      </c>
      <c r="N2306" s="6">
        <v>4.5164</v>
      </c>
      <c r="O2306" s="6">
        <v>1</v>
      </c>
      <c r="P2306" s="5">
        <v>222.362908</v>
      </c>
      <c r="Q2306" s="4" t="s">
        <v>1393</v>
      </c>
    </row>
    <row r="2307" spans="1:17" x14ac:dyDescent="0.3">
      <c r="A2307" s="2" t="s">
        <v>1389</v>
      </c>
      <c r="B2307" s="3">
        <v>156903</v>
      </c>
      <c r="C2307" s="3">
        <v>898561</v>
      </c>
      <c r="D2307" s="4" t="s">
        <v>81</v>
      </c>
      <c r="E2307" s="4" t="s">
        <v>734</v>
      </c>
      <c r="F2307" s="4" t="s">
        <v>83</v>
      </c>
      <c r="G2307" s="4" t="s">
        <v>20</v>
      </c>
      <c r="H2307" s="5">
        <v>-67778.570000000007</v>
      </c>
      <c r="I2307" s="4" t="s">
        <v>21</v>
      </c>
      <c r="J2307" s="5">
        <f t="shared" si="35"/>
        <v>285449.44755500002</v>
      </c>
      <c r="K2307" s="4" t="s">
        <v>22</v>
      </c>
      <c r="L2307" s="6">
        <v>4.2115</v>
      </c>
      <c r="M2307" s="6">
        <v>0.2374</v>
      </c>
      <c r="N2307" s="6">
        <v>4.2068000000000003</v>
      </c>
      <c r="O2307" s="6">
        <v>1</v>
      </c>
      <c r="P2307" s="5">
        <v>317.88172400000002</v>
      </c>
      <c r="Q2307" s="4" t="s">
        <v>1393</v>
      </c>
    </row>
    <row r="2308" spans="1:17" x14ac:dyDescent="0.3">
      <c r="A2308" s="2" t="s">
        <v>1389</v>
      </c>
      <c r="B2308" s="3">
        <v>156904</v>
      </c>
      <c r="C2308" s="3">
        <v>898565</v>
      </c>
      <c r="D2308" s="4" t="s">
        <v>81</v>
      </c>
      <c r="E2308" s="4" t="s">
        <v>735</v>
      </c>
      <c r="F2308" s="4" t="s">
        <v>83</v>
      </c>
      <c r="G2308" s="4" t="s">
        <v>20</v>
      </c>
      <c r="H2308" s="5">
        <v>-10645.26</v>
      </c>
      <c r="I2308" s="4" t="s">
        <v>21</v>
      </c>
      <c r="J2308" s="5">
        <f t="shared" ref="J2308:J2371" si="36">-H2308*L2308</f>
        <v>44809.092918000002</v>
      </c>
      <c r="K2308" s="4" t="s">
        <v>39</v>
      </c>
      <c r="L2308" s="6">
        <v>4.2092999999999998</v>
      </c>
      <c r="M2308" s="6">
        <v>0.23760000000000001</v>
      </c>
      <c r="N2308" s="6">
        <v>4.2230999999999996</v>
      </c>
      <c r="O2308" s="6">
        <v>1</v>
      </c>
      <c r="P2308" s="5">
        <v>-146.90750600000001</v>
      </c>
      <c r="Q2308" s="4" t="s">
        <v>1394</v>
      </c>
    </row>
    <row r="2309" spans="1:17" x14ac:dyDescent="0.3">
      <c r="A2309" s="2" t="s">
        <v>1389</v>
      </c>
      <c r="B2309" s="3">
        <v>156905</v>
      </c>
      <c r="C2309" s="3">
        <v>898566</v>
      </c>
      <c r="D2309" s="4" t="s">
        <v>81</v>
      </c>
      <c r="E2309" s="4" t="s">
        <v>739</v>
      </c>
      <c r="F2309" s="4" t="s">
        <v>87</v>
      </c>
      <c r="G2309" s="4" t="s">
        <v>93</v>
      </c>
      <c r="H2309" s="5">
        <v>5881.81</v>
      </c>
      <c r="I2309" s="4" t="s">
        <v>21</v>
      </c>
      <c r="J2309" s="5">
        <f t="shared" si="36"/>
        <v>-26629.306594000001</v>
      </c>
      <c r="K2309" s="4" t="s">
        <v>39</v>
      </c>
      <c r="L2309" s="6">
        <v>4.5274000000000001</v>
      </c>
      <c r="M2309" s="6">
        <v>0.22090000000000001</v>
      </c>
      <c r="N2309" s="6">
        <v>4.5476000000000001</v>
      </c>
      <c r="O2309" s="6">
        <v>1</v>
      </c>
      <c r="P2309" s="5">
        <v>118.519156</v>
      </c>
      <c r="Q2309" s="4" t="s">
        <v>1391</v>
      </c>
    </row>
    <row r="2310" spans="1:17" x14ac:dyDescent="0.3">
      <c r="A2310" s="2" t="s">
        <v>1389</v>
      </c>
      <c r="B2310" s="3">
        <v>156906</v>
      </c>
      <c r="C2310" s="3">
        <v>898567</v>
      </c>
      <c r="D2310" s="4" t="s">
        <v>81</v>
      </c>
      <c r="E2310" s="4" t="s">
        <v>735</v>
      </c>
      <c r="F2310" s="4" t="s">
        <v>87</v>
      </c>
      <c r="G2310" s="4" t="s">
        <v>34</v>
      </c>
      <c r="H2310" s="5">
        <v>16185.07</v>
      </c>
      <c r="I2310" s="4" t="s">
        <v>21</v>
      </c>
      <c r="J2310" s="5">
        <f t="shared" si="36"/>
        <v>-58559.201766999999</v>
      </c>
      <c r="K2310" s="4" t="s">
        <v>39</v>
      </c>
      <c r="L2310" s="6">
        <v>3.6181000000000001</v>
      </c>
      <c r="M2310" s="6">
        <v>0.27639999999999998</v>
      </c>
      <c r="N2310" s="6">
        <v>3.6345999999999998</v>
      </c>
      <c r="O2310" s="6">
        <v>1</v>
      </c>
      <c r="P2310" s="5">
        <v>267.05542200000002</v>
      </c>
      <c r="Q2310" s="4" t="s">
        <v>1394</v>
      </c>
    </row>
    <row r="2311" spans="1:17" x14ac:dyDescent="0.3">
      <c r="A2311" s="2" t="s">
        <v>1389</v>
      </c>
      <c r="B2311" s="3">
        <v>156907</v>
      </c>
      <c r="C2311" s="3">
        <v>898568</v>
      </c>
      <c r="D2311" s="4" t="s">
        <v>81</v>
      </c>
      <c r="E2311" s="4" t="s">
        <v>743</v>
      </c>
      <c r="F2311" s="4" t="s">
        <v>87</v>
      </c>
      <c r="G2311" s="4" t="s">
        <v>91</v>
      </c>
      <c r="H2311" s="5">
        <v>31533.63</v>
      </c>
      <c r="I2311" s="4" t="s">
        <v>21</v>
      </c>
      <c r="J2311" s="5">
        <f t="shared" si="36"/>
        <v>-153448.95030600001</v>
      </c>
      <c r="K2311" s="4" t="s">
        <v>39</v>
      </c>
      <c r="L2311" s="6">
        <v>4.8662000000000001</v>
      </c>
      <c r="M2311" s="6">
        <v>0.20549999999999999</v>
      </c>
      <c r="N2311" s="6">
        <v>4.8704000000000001</v>
      </c>
      <c r="O2311" s="6">
        <v>1</v>
      </c>
      <c r="P2311" s="5">
        <v>131.49155200000001</v>
      </c>
      <c r="Q2311" s="4" t="s">
        <v>1395</v>
      </c>
    </row>
    <row r="2312" spans="1:17" x14ac:dyDescent="0.3">
      <c r="A2312" s="2" t="s">
        <v>1389</v>
      </c>
      <c r="B2312" s="3">
        <v>156908</v>
      </c>
      <c r="C2312" s="3">
        <v>217202</v>
      </c>
      <c r="D2312" s="4" t="s">
        <v>17</v>
      </c>
      <c r="E2312" s="4" t="s">
        <v>743</v>
      </c>
      <c r="F2312" s="4" t="s">
        <v>19</v>
      </c>
      <c r="G2312" s="4" t="s">
        <v>34</v>
      </c>
      <c r="H2312" s="5">
        <v>15000</v>
      </c>
      <c r="I2312" s="4" t="s">
        <v>21</v>
      </c>
      <c r="J2312" s="5">
        <f t="shared" si="36"/>
        <v>-54250.5</v>
      </c>
      <c r="K2312" s="4" t="s">
        <v>35</v>
      </c>
      <c r="L2312" s="6">
        <v>3.6166999999999998</v>
      </c>
      <c r="M2312" s="6">
        <v>0.27650000000000002</v>
      </c>
      <c r="N2312" s="6">
        <v>3.6139999999999999</v>
      </c>
      <c r="O2312" s="6">
        <v>1</v>
      </c>
      <c r="P2312" s="5">
        <v>-40.5</v>
      </c>
      <c r="Q2312" s="4" t="s">
        <v>1395</v>
      </c>
    </row>
    <row r="2313" spans="1:17" x14ac:dyDescent="0.3">
      <c r="A2313" s="2" t="s">
        <v>1389</v>
      </c>
      <c r="B2313" s="3">
        <v>156909</v>
      </c>
      <c r="C2313" s="3">
        <v>217203</v>
      </c>
      <c r="D2313" s="4" t="s">
        <v>17</v>
      </c>
      <c r="E2313" s="4" t="s">
        <v>743</v>
      </c>
      <c r="F2313" s="4" t="s">
        <v>19</v>
      </c>
      <c r="G2313" s="4" t="s">
        <v>34</v>
      </c>
      <c r="H2313" s="5">
        <v>15000</v>
      </c>
      <c r="I2313" s="4" t="s">
        <v>21</v>
      </c>
      <c r="J2313" s="5">
        <f t="shared" si="36"/>
        <v>-54250.5</v>
      </c>
      <c r="K2313" s="4" t="s">
        <v>35</v>
      </c>
      <c r="L2313" s="6">
        <v>3.6166999999999998</v>
      </c>
      <c r="M2313" s="6">
        <v>0.27650000000000002</v>
      </c>
      <c r="N2313" s="6">
        <v>3.6139999999999999</v>
      </c>
      <c r="O2313" s="6">
        <v>1</v>
      </c>
      <c r="P2313" s="5">
        <v>-40.5</v>
      </c>
      <c r="Q2313" s="4" t="s">
        <v>1395</v>
      </c>
    </row>
    <row r="2314" spans="1:17" x14ac:dyDescent="0.3">
      <c r="A2314" s="2" t="s">
        <v>1389</v>
      </c>
      <c r="B2314" s="3">
        <v>156910</v>
      </c>
      <c r="C2314" s="3">
        <v>898575</v>
      </c>
      <c r="D2314" s="4" t="s">
        <v>81</v>
      </c>
      <c r="E2314" s="4" t="s">
        <v>735</v>
      </c>
      <c r="F2314" s="4" t="s">
        <v>83</v>
      </c>
      <c r="G2314" s="4" t="s">
        <v>91</v>
      </c>
      <c r="H2314" s="5">
        <v>-10455.209999999999</v>
      </c>
      <c r="I2314" s="4" t="s">
        <v>21</v>
      </c>
      <c r="J2314" s="5">
        <f t="shared" si="36"/>
        <v>50801.865389999999</v>
      </c>
      <c r="K2314" s="4" t="s">
        <v>39</v>
      </c>
      <c r="L2314" s="6">
        <v>4.859</v>
      </c>
      <c r="M2314" s="6">
        <v>0.20580000000000001</v>
      </c>
      <c r="N2314" s="6">
        <v>4.8704000000000001</v>
      </c>
      <c r="O2314" s="6">
        <v>1</v>
      </c>
      <c r="P2314" s="5">
        <v>-119.18478399999999</v>
      </c>
      <c r="Q2314" s="4" t="s">
        <v>1394</v>
      </c>
    </row>
    <row r="2315" spans="1:17" x14ac:dyDescent="0.3">
      <c r="A2315" s="2" t="s">
        <v>1389</v>
      </c>
      <c r="B2315" s="3">
        <v>156911</v>
      </c>
      <c r="C2315" s="3">
        <v>898576</v>
      </c>
      <c r="D2315" s="4" t="s">
        <v>81</v>
      </c>
      <c r="E2315" s="4" t="s">
        <v>730</v>
      </c>
      <c r="F2315" s="4" t="s">
        <v>83</v>
      </c>
      <c r="G2315" s="4" t="s">
        <v>20</v>
      </c>
      <c r="H2315" s="5">
        <v>-43619.63</v>
      </c>
      <c r="I2315" s="4" t="s">
        <v>21</v>
      </c>
      <c r="J2315" s="5">
        <f t="shared" si="36"/>
        <v>183704.07174499999</v>
      </c>
      <c r="K2315" s="4" t="s">
        <v>39</v>
      </c>
      <c r="L2315" s="6">
        <v>4.2115</v>
      </c>
      <c r="M2315" s="6">
        <v>0.2374</v>
      </c>
      <c r="N2315" s="6">
        <v>4.2230999999999996</v>
      </c>
      <c r="O2315" s="6">
        <v>1</v>
      </c>
      <c r="P2315" s="5">
        <v>-505.98945300000003</v>
      </c>
      <c r="Q2315" s="4" t="s">
        <v>1396</v>
      </c>
    </row>
    <row r="2316" spans="1:17" x14ac:dyDescent="0.3">
      <c r="A2316" s="2" t="s">
        <v>1389</v>
      </c>
      <c r="B2316" s="3">
        <v>156912</v>
      </c>
      <c r="C2316" s="3">
        <v>898577</v>
      </c>
      <c r="D2316" s="4" t="s">
        <v>81</v>
      </c>
      <c r="E2316" s="4" t="s">
        <v>730</v>
      </c>
      <c r="F2316" s="4" t="s">
        <v>83</v>
      </c>
      <c r="G2316" s="4" t="s">
        <v>34</v>
      </c>
      <c r="H2316" s="5">
        <v>-46123.24</v>
      </c>
      <c r="I2316" s="4" t="s">
        <v>21</v>
      </c>
      <c r="J2316" s="5">
        <f t="shared" si="36"/>
        <v>166966.12880000001</v>
      </c>
      <c r="K2316" s="4" t="s">
        <v>39</v>
      </c>
      <c r="L2316" s="6">
        <v>3.62</v>
      </c>
      <c r="M2316" s="6">
        <v>0.2762</v>
      </c>
      <c r="N2316" s="6">
        <v>3.6345999999999998</v>
      </c>
      <c r="O2316" s="6">
        <v>1</v>
      </c>
      <c r="P2316" s="5">
        <v>-674.31810399999995</v>
      </c>
      <c r="Q2316" s="4" t="s">
        <v>1396</v>
      </c>
    </row>
    <row r="2317" spans="1:17" x14ac:dyDescent="0.3">
      <c r="A2317" s="2" t="s">
        <v>1389</v>
      </c>
      <c r="B2317" s="3">
        <v>156913</v>
      </c>
      <c r="C2317" s="3">
        <v>898578</v>
      </c>
      <c r="D2317" s="4" t="s">
        <v>81</v>
      </c>
      <c r="E2317" s="4" t="s">
        <v>730</v>
      </c>
      <c r="F2317" s="4" t="s">
        <v>83</v>
      </c>
      <c r="G2317" s="4" t="s">
        <v>93</v>
      </c>
      <c r="H2317" s="5">
        <v>-437.61</v>
      </c>
      <c r="I2317" s="4" t="s">
        <v>21</v>
      </c>
      <c r="J2317" s="5">
        <f t="shared" si="36"/>
        <v>1977.1657409999998</v>
      </c>
      <c r="K2317" s="4" t="s">
        <v>39</v>
      </c>
      <c r="L2317" s="6">
        <v>4.5180999999999996</v>
      </c>
      <c r="M2317" s="6">
        <v>0.2213</v>
      </c>
      <c r="N2317" s="6">
        <v>4.5476000000000001</v>
      </c>
      <c r="O2317" s="6">
        <v>1</v>
      </c>
      <c r="P2317" s="5">
        <v>-12.905236</v>
      </c>
      <c r="Q2317" s="4" t="s">
        <v>1396</v>
      </c>
    </row>
    <row r="2318" spans="1:17" x14ac:dyDescent="0.3">
      <c r="A2318" s="2" t="s">
        <v>1389</v>
      </c>
      <c r="B2318" s="3">
        <v>156914</v>
      </c>
      <c r="C2318" s="3">
        <v>898583</v>
      </c>
      <c r="D2318" s="4" t="s">
        <v>81</v>
      </c>
      <c r="E2318" s="4" t="s">
        <v>730</v>
      </c>
      <c r="F2318" s="4" t="s">
        <v>83</v>
      </c>
      <c r="G2318" s="4" t="s">
        <v>20</v>
      </c>
      <c r="H2318" s="5">
        <v>-106498.27</v>
      </c>
      <c r="I2318" s="4" t="s">
        <v>21</v>
      </c>
      <c r="J2318" s="5">
        <f t="shared" si="36"/>
        <v>448506.81427800003</v>
      </c>
      <c r="K2318" s="4" t="s">
        <v>39</v>
      </c>
      <c r="L2318" s="6">
        <v>4.2114000000000003</v>
      </c>
      <c r="M2318" s="6">
        <v>0.23749999999999999</v>
      </c>
      <c r="N2318" s="6">
        <v>4.2230999999999996</v>
      </c>
      <c r="O2318" s="6">
        <v>1</v>
      </c>
      <c r="P2318" s="5">
        <v>-1247.0940370000001</v>
      </c>
      <c r="Q2318" s="4" t="s">
        <v>1396</v>
      </c>
    </row>
    <row r="2319" spans="1:17" x14ac:dyDescent="0.3">
      <c r="A2319" s="2" t="s">
        <v>1389</v>
      </c>
      <c r="B2319" s="3">
        <v>156915</v>
      </c>
      <c r="C2319" s="3">
        <v>217204</v>
      </c>
      <c r="D2319" s="4" t="s">
        <v>17</v>
      </c>
      <c r="E2319" s="4" t="s">
        <v>727</v>
      </c>
      <c r="F2319" s="4" t="s">
        <v>32</v>
      </c>
      <c r="G2319" s="4" t="s">
        <v>20</v>
      </c>
      <c r="H2319" s="5">
        <v>-3200</v>
      </c>
      <c r="I2319" s="4" t="s">
        <v>21</v>
      </c>
      <c r="J2319" s="5">
        <f t="shared" si="36"/>
        <v>13474.88</v>
      </c>
      <c r="K2319" s="4" t="s">
        <v>35</v>
      </c>
      <c r="L2319" s="6">
        <v>4.2108999999999996</v>
      </c>
      <c r="M2319" s="6">
        <v>0.23749999999999999</v>
      </c>
      <c r="N2319" s="6">
        <v>4.2110000000000003</v>
      </c>
      <c r="O2319" s="6">
        <v>1</v>
      </c>
      <c r="P2319" s="5">
        <v>-4.1500000000000004</v>
      </c>
      <c r="Q2319" s="4" t="s">
        <v>1397</v>
      </c>
    </row>
    <row r="2320" spans="1:17" x14ac:dyDescent="0.3">
      <c r="A2320" s="2" t="s">
        <v>1389</v>
      </c>
      <c r="B2320" s="3">
        <v>156916</v>
      </c>
      <c r="C2320" s="3">
        <v>217205</v>
      </c>
      <c r="D2320" s="4" t="s">
        <v>17</v>
      </c>
      <c r="E2320" s="4" t="s">
        <v>727</v>
      </c>
      <c r="F2320" s="4" t="s">
        <v>32</v>
      </c>
      <c r="G2320" s="4" t="s">
        <v>20</v>
      </c>
      <c r="H2320" s="5">
        <v>-10000</v>
      </c>
      <c r="I2320" s="4" t="s">
        <v>21</v>
      </c>
      <c r="J2320" s="5">
        <f t="shared" si="36"/>
        <v>42117.000000000007</v>
      </c>
      <c r="K2320" s="4" t="s">
        <v>35</v>
      </c>
      <c r="L2320" s="6">
        <v>4.2117000000000004</v>
      </c>
      <c r="M2320" s="6">
        <v>0.2374</v>
      </c>
      <c r="N2320" s="6">
        <v>4.2110000000000003</v>
      </c>
      <c r="O2320" s="6">
        <v>1</v>
      </c>
      <c r="P2320" s="5">
        <v>-5.08</v>
      </c>
      <c r="Q2320" s="4" t="s">
        <v>1397</v>
      </c>
    </row>
    <row r="2321" spans="1:17" x14ac:dyDescent="0.3">
      <c r="A2321" s="2" t="s">
        <v>1389</v>
      </c>
      <c r="B2321" s="3">
        <v>156917</v>
      </c>
      <c r="C2321" s="3">
        <v>217206</v>
      </c>
      <c r="D2321" s="4" t="s">
        <v>17</v>
      </c>
      <c r="E2321" s="4" t="s">
        <v>727</v>
      </c>
      <c r="F2321" s="4" t="s">
        <v>32</v>
      </c>
      <c r="G2321" s="4" t="s">
        <v>20</v>
      </c>
      <c r="H2321" s="5">
        <v>-25000</v>
      </c>
      <c r="I2321" s="4" t="s">
        <v>21</v>
      </c>
      <c r="J2321" s="5">
        <f t="shared" si="36"/>
        <v>105260</v>
      </c>
      <c r="K2321" s="4" t="s">
        <v>35</v>
      </c>
      <c r="L2321" s="6">
        <v>4.2103999999999999</v>
      </c>
      <c r="M2321" s="6">
        <v>0.23749999999999999</v>
      </c>
      <c r="N2321" s="6">
        <v>4.2110000000000003</v>
      </c>
      <c r="O2321" s="6">
        <v>1</v>
      </c>
      <c r="P2321" s="5">
        <v>-45.2</v>
      </c>
      <c r="Q2321" s="4" t="s">
        <v>1397</v>
      </c>
    </row>
    <row r="2322" spans="1:17" x14ac:dyDescent="0.3">
      <c r="A2322" s="2" t="s">
        <v>1389</v>
      </c>
      <c r="B2322" s="3">
        <v>156918</v>
      </c>
      <c r="C2322" s="3">
        <v>217207</v>
      </c>
      <c r="D2322" s="4" t="s">
        <v>17</v>
      </c>
      <c r="E2322" s="4" t="s">
        <v>735</v>
      </c>
      <c r="F2322" s="4" t="s">
        <v>19</v>
      </c>
      <c r="G2322" s="4" t="s">
        <v>91</v>
      </c>
      <c r="H2322" s="5">
        <v>3500</v>
      </c>
      <c r="I2322" s="4" t="s">
        <v>21</v>
      </c>
      <c r="J2322" s="5">
        <f t="shared" si="36"/>
        <v>-17014.899999999998</v>
      </c>
      <c r="K2322" s="4" t="s">
        <v>35</v>
      </c>
      <c r="L2322" s="6">
        <v>4.8613999999999997</v>
      </c>
      <c r="M2322" s="6">
        <v>0.20569999999999999</v>
      </c>
      <c r="N2322" s="6">
        <v>4.8631000000000002</v>
      </c>
      <c r="O2322" s="6">
        <v>1</v>
      </c>
      <c r="P2322" s="5">
        <v>5.9500000000043656</v>
      </c>
      <c r="Q2322" s="4" t="s">
        <v>1394</v>
      </c>
    </row>
    <row r="2323" spans="1:17" x14ac:dyDescent="0.3">
      <c r="A2323" s="2" t="s">
        <v>1389</v>
      </c>
      <c r="B2323" s="3">
        <v>156919</v>
      </c>
      <c r="C2323" s="3">
        <v>217208</v>
      </c>
      <c r="D2323" s="4" t="s">
        <v>17</v>
      </c>
      <c r="E2323" s="4" t="s">
        <v>735</v>
      </c>
      <c r="F2323" s="4" t="s">
        <v>19</v>
      </c>
      <c r="G2323" s="4" t="s">
        <v>20</v>
      </c>
      <c r="H2323" s="5">
        <v>9500</v>
      </c>
      <c r="I2323" s="4" t="s">
        <v>21</v>
      </c>
      <c r="J2323" s="5">
        <f t="shared" si="36"/>
        <v>-40008.300000000003</v>
      </c>
      <c r="K2323" s="4" t="s">
        <v>35</v>
      </c>
      <c r="L2323" s="6">
        <v>4.2114000000000003</v>
      </c>
      <c r="M2323" s="6">
        <v>0.23749999999999999</v>
      </c>
      <c r="N2323" s="6">
        <v>4.2110000000000003</v>
      </c>
      <c r="O2323" s="6">
        <v>1</v>
      </c>
      <c r="P2323" s="5">
        <v>-3.8000000000029104</v>
      </c>
      <c r="Q2323" s="4" t="s">
        <v>1394</v>
      </c>
    </row>
    <row r="2324" spans="1:17" x14ac:dyDescent="0.3">
      <c r="A2324" s="2" t="s">
        <v>1389</v>
      </c>
      <c r="B2324" s="3">
        <v>156920</v>
      </c>
      <c r="C2324" s="3">
        <v>217209</v>
      </c>
      <c r="D2324" s="4" t="s">
        <v>17</v>
      </c>
      <c r="E2324" s="4" t="s">
        <v>735</v>
      </c>
      <c r="F2324" s="4" t="s">
        <v>32</v>
      </c>
      <c r="G2324" s="4" t="s">
        <v>20</v>
      </c>
      <c r="H2324" s="5">
        <v>-3285</v>
      </c>
      <c r="I2324" s="4" t="s">
        <v>21</v>
      </c>
      <c r="J2324" s="5">
        <f t="shared" si="36"/>
        <v>13829.193000000001</v>
      </c>
      <c r="K2324" s="4" t="s">
        <v>35</v>
      </c>
      <c r="L2324" s="6">
        <v>4.2098000000000004</v>
      </c>
      <c r="M2324" s="6">
        <v>0.23749999999999999</v>
      </c>
      <c r="N2324" s="6">
        <v>4.2110000000000003</v>
      </c>
      <c r="O2324" s="6">
        <v>1</v>
      </c>
      <c r="P2324" s="5">
        <v>-8.0850000000000009</v>
      </c>
      <c r="Q2324" s="4" t="s">
        <v>1394</v>
      </c>
    </row>
    <row r="2325" spans="1:17" x14ac:dyDescent="0.3">
      <c r="A2325" s="2" t="s">
        <v>1389</v>
      </c>
      <c r="B2325" s="3">
        <v>156921</v>
      </c>
      <c r="C2325" s="3">
        <v>217210</v>
      </c>
      <c r="D2325" s="4" t="s">
        <v>17</v>
      </c>
      <c r="E2325" s="4" t="s">
        <v>735</v>
      </c>
      <c r="F2325" s="4" t="s">
        <v>32</v>
      </c>
      <c r="G2325" s="4" t="s">
        <v>20</v>
      </c>
      <c r="H2325" s="5">
        <v>-4000</v>
      </c>
      <c r="I2325" s="4" t="s">
        <v>21</v>
      </c>
      <c r="J2325" s="5">
        <f t="shared" si="36"/>
        <v>16839.600000000002</v>
      </c>
      <c r="K2325" s="4" t="s">
        <v>35</v>
      </c>
      <c r="L2325" s="6">
        <v>4.2099000000000002</v>
      </c>
      <c r="M2325" s="6">
        <v>0.23749999999999999</v>
      </c>
      <c r="N2325" s="6">
        <v>4.2110000000000003</v>
      </c>
      <c r="O2325" s="6">
        <v>1</v>
      </c>
      <c r="P2325" s="5">
        <v>-9.44</v>
      </c>
      <c r="Q2325" s="4" t="s">
        <v>1394</v>
      </c>
    </row>
    <row r="2326" spans="1:17" x14ac:dyDescent="0.3">
      <c r="A2326" s="2" t="s">
        <v>1389</v>
      </c>
      <c r="B2326" s="3">
        <v>156922</v>
      </c>
      <c r="C2326" s="3">
        <v>898612</v>
      </c>
      <c r="D2326" s="4" t="s">
        <v>81</v>
      </c>
      <c r="E2326" s="4" t="s">
        <v>735</v>
      </c>
      <c r="F2326" s="4" t="s">
        <v>87</v>
      </c>
      <c r="G2326" s="4" t="s">
        <v>34</v>
      </c>
      <c r="H2326" s="5">
        <v>500000</v>
      </c>
      <c r="I2326" s="4" t="s">
        <v>21</v>
      </c>
      <c r="J2326" s="5">
        <f t="shared" si="36"/>
        <v>-1809850</v>
      </c>
      <c r="K2326" s="4" t="s">
        <v>39</v>
      </c>
      <c r="L2326" s="6">
        <v>3.6196999999999999</v>
      </c>
      <c r="M2326" s="6">
        <v>0.27629999999999999</v>
      </c>
      <c r="N2326" s="6">
        <v>3.6345999999999998</v>
      </c>
      <c r="O2326" s="6">
        <v>1</v>
      </c>
      <c r="P2326" s="5">
        <v>7450</v>
      </c>
      <c r="Q2326" s="4" t="s">
        <v>1394</v>
      </c>
    </row>
    <row r="2327" spans="1:17" x14ac:dyDescent="0.3">
      <c r="A2327" s="2" t="s">
        <v>1389</v>
      </c>
      <c r="B2327" s="3">
        <v>156923</v>
      </c>
      <c r="C2327" s="3">
        <v>898617</v>
      </c>
      <c r="D2327" s="4" t="s">
        <v>81</v>
      </c>
      <c r="E2327" s="4" t="s">
        <v>735</v>
      </c>
      <c r="F2327" s="4" t="s">
        <v>87</v>
      </c>
      <c r="G2327" s="4" t="s">
        <v>34</v>
      </c>
      <c r="H2327" s="5">
        <v>500000</v>
      </c>
      <c r="I2327" s="4" t="s">
        <v>21</v>
      </c>
      <c r="J2327" s="5">
        <f t="shared" si="36"/>
        <v>-1809800</v>
      </c>
      <c r="K2327" s="4" t="s">
        <v>39</v>
      </c>
      <c r="L2327" s="6">
        <v>3.6196000000000002</v>
      </c>
      <c r="M2327" s="6">
        <v>0.27629999999999999</v>
      </c>
      <c r="N2327" s="6">
        <v>3.6345999999999998</v>
      </c>
      <c r="O2327" s="6">
        <v>1</v>
      </c>
      <c r="P2327" s="5">
        <v>7500</v>
      </c>
      <c r="Q2327" s="4" t="s">
        <v>1394</v>
      </c>
    </row>
    <row r="2328" spans="1:17" x14ac:dyDescent="0.3">
      <c r="A2328" s="2" t="s">
        <v>1389</v>
      </c>
      <c r="B2328" s="3">
        <v>156924</v>
      </c>
      <c r="C2328" s="3">
        <v>898618</v>
      </c>
      <c r="D2328" s="4" t="s">
        <v>81</v>
      </c>
      <c r="E2328" s="4" t="s">
        <v>734</v>
      </c>
      <c r="F2328" s="4" t="s">
        <v>87</v>
      </c>
      <c r="G2328" s="4" t="s">
        <v>34</v>
      </c>
      <c r="H2328" s="5">
        <v>500000</v>
      </c>
      <c r="I2328" s="4" t="s">
        <v>21</v>
      </c>
      <c r="J2328" s="5">
        <f t="shared" si="36"/>
        <v>-1809750</v>
      </c>
      <c r="K2328" s="4" t="s">
        <v>39</v>
      </c>
      <c r="L2328" s="6">
        <v>3.6194999999999999</v>
      </c>
      <c r="M2328" s="6">
        <v>0.27629999999999999</v>
      </c>
      <c r="N2328" s="6">
        <v>3.6345999999999998</v>
      </c>
      <c r="O2328" s="6">
        <v>1</v>
      </c>
      <c r="P2328" s="5">
        <v>7550</v>
      </c>
      <c r="Q2328" s="4" t="s">
        <v>1393</v>
      </c>
    </row>
    <row r="2329" spans="1:17" x14ac:dyDescent="0.3">
      <c r="A2329" s="2" t="s">
        <v>1389</v>
      </c>
      <c r="B2329" s="3">
        <v>156925</v>
      </c>
      <c r="C2329" s="3">
        <v>217211</v>
      </c>
      <c r="D2329" s="4" t="s">
        <v>17</v>
      </c>
      <c r="E2329" s="4" t="s">
        <v>743</v>
      </c>
      <c r="F2329" s="4" t="s">
        <v>32</v>
      </c>
      <c r="G2329" s="4" t="s">
        <v>20</v>
      </c>
      <c r="H2329" s="5">
        <v>-1500</v>
      </c>
      <c r="I2329" s="4" t="s">
        <v>21</v>
      </c>
      <c r="J2329" s="5">
        <f t="shared" si="36"/>
        <v>6314.7000000000007</v>
      </c>
      <c r="K2329" s="4" t="s">
        <v>35</v>
      </c>
      <c r="L2329" s="6">
        <v>4.2098000000000004</v>
      </c>
      <c r="M2329" s="6">
        <v>0.23749999999999999</v>
      </c>
      <c r="N2329" s="6">
        <v>4.2110000000000003</v>
      </c>
      <c r="O2329" s="6">
        <v>1</v>
      </c>
      <c r="P2329" s="5">
        <v>-3.54</v>
      </c>
      <c r="Q2329" s="4" t="s">
        <v>1395</v>
      </c>
    </row>
    <row r="2330" spans="1:17" x14ac:dyDescent="0.3">
      <c r="A2330" s="2" t="s">
        <v>1389</v>
      </c>
      <c r="B2330" s="3">
        <v>156926</v>
      </c>
      <c r="C2330" s="3">
        <v>217212</v>
      </c>
      <c r="D2330" s="4" t="s">
        <v>17</v>
      </c>
      <c r="E2330" s="4" t="s">
        <v>743</v>
      </c>
      <c r="F2330" s="4" t="s">
        <v>32</v>
      </c>
      <c r="G2330" s="4" t="s">
        <v>20</v>
      </c>
      <c r="H2330" s="5">
        <v>-100000</v>
      </c>
      <c r="I2330" s="4" t="s">
        <v>21</v>
      </c>
      <c r="J2330" s="5">
        <f t="shared" si="36"/>
        <v>420980.00000000006</v>
      </c>
      <c r="K2330" s="4" t="s">
        <v>35</v>
      </c>
      <c r="L2330" s="6">
        <v>4.2098000000000004</v>
      </c>
      <c r="M2330" s="6">
        <v>0.23749999999999999</v>
      </c>
      <c r="N2330" s="6">
        <v>4.2110000000000003</v>
      </c>
      <c r="O2330" s="6">
        <v>1</v>
      </c>
      <c r="P2330" s="5">
        <v>-235.7</v>
      </c>
      <c r="Q2330" s="4" t="s">
        <v>1395</v>
      </c>
    </row>
    <row r="2331" spans="1:17" x14ac:dyDescent="0.3">
      <c r="A2331" s="2" t="s">
        <v>1389</v>
      </c>
      <c r="B2331" s="3">
        <v>156927</v>
      </c>
      <c r="C2331" s="3">
        <v>898627</v>
      </c>
      <c r="D2331" s="4" t="s">
        <v>81</v>
      </c>
      <c r="E2331" s="4" t="s">
        <v>725</v>
      </c>
      <c r="F2331" s="4" t="s">
        <v>87</v>
      </c>
      <c r="G2331" s="4" t="s">
        <v>34</v>
      </c>
      <c r="H2331" s="5">
        <v>500000</v>
      </c>
      <c r="I2331" s="4" t="s">
        <v>21</v>
      </c>
      <c r="J2331" s="5">
        <f t="shared" si="36"/>
        <v>-1809850</v>
      </c>
      <c r="K2331" s="4" t="s">
        <v>39</v>
      </c>
      <c r="L2331" s="6">
        <v>3.6196999999999999</v>
      </c>
      <c r="M2331" s="6">
        <v>0.27629999999999999</v>
      </c>
      <c r="N2331" s="6">
        <v>3.6345999999999998</v>
      </c>
      <c r="O2331" s="6">
        <v>1</v>
      </c>
      <c r="P2331" s="5">
        <v>7465</v>
      </c>
      <c r="Q2331" s="4" t="s">
        <v>1392</v>
      </c>
    </row>
    <row r="2332" spans="1:17" x14ac:dyDescent="0.3">
      <c r="A2332" s="2" t="s">
        <v>1389</v>
      </c>
      <c r="B2332" s="3">
        <v>156928</v>
      </c>
      <c r="C2332" s="3">
        <v>898628</v>
      </c>
      <c r="D2332" s="4" t="s">
        <v>81</v>
      </c>
      <c r="E2332" s="4" t="s">
        <v>730</v>
      </c>
      <c r="F2332" s="4" t="s">
        <v>87</v>
      </c>
      <c r="G2332" s="4" t="s">
        <v>34</v>
      </c>
      <c r="H2332" s="5">
        <v>3891.26</v>
      </c>
      <c r="I2332" s="4" t="s">
        <v>21</v>
      </c>
      <c r="J2332" s="5">
        <f t="shared" si="36"/>
        <v>-14083.637318000001</v>
      </c>
      <c r="K2332" s="4" t="s">
        <v>39</v>
      </c>
      <c r="L2332" s="6">
        <v>3.6193</v>
      </c>
      <c r="M2332" s="6">
        <v>0.27629999999999999</v>
      </c>
      <c r="N2332" s="6">
        <v>3.6345999999999998</v>
      </c>
      <c r="O2332" s="6">
        <v>1</v>
      </c>
      <c r="P2332" s="5">
        <v>59.573596000000002</v>
      </c>
      <c r="Q2332" s="4" t="s">
        <v>1396</v>
      </c>
    </row>
    <row r="2333" spans="1:17" x14ac:dyDescent="0.3">
      <c r="A2333" s="2" t="s">
        <v>1389</v>
      </c>
      <c r="B2333" s="3">
        <v>156929</v>
      </c>
      <c r="C2333" s="3">
        <v>898629</v>
      </c>
      <c r="D2333" s="4" t="s">
        <v>81</v>
      </c>
      <c r="E2333" s="4" t="s">
        <v>735</v>
      </c>
      <c r="F2333" s="4" t="s">
        <v>83</v>
      </c>
      <c r="G2333" s="4" t="s">
        <v>91</v>
      </c>
      <c r="H2333" s="5">
        <v>-6793.87</v>
      </c>
      <c r="I2333" s="4" t="s">
        <v>21</v>
      </c>
      <c r="J2333" s="5">
        <f t="shared" si="36"/>
        <v>33030.437165999996</v>
      </c>
      <c r="K2333" s="4" t="s">
        <v>39</v>
      </c>
      <c r="L2333" s="6">
        <v>4.8617999999999997</v>
      </c>
      <c r="M2333" s="6">
        <v>0.20569999999999999</v>
      </c>
      <c r="N2333" s="6">
        <v>4.8704000000000001</v>
      </c>
      <c r="O2333" s="6">
        <v>1</v>
      </c>
      <c r="P2333" s="5">
        <v>-58.424447999999998</v>
      </c>
      <c r="Q2333" s="4" t="s">
        <v>1394</v>
      </c>
    </row>
    <row r="2334" spans="1:17" x14ac:dyDescent="0.3">
      <c r="A2334" s="2" t="s">
        <v>1389</v>
      </c>
      <c r="B2334" s="3">
        <v>156930</v>
      </c>
      <c r="C2334" s="3">
        <v>898630</v>
      </c>
      <c r="D2334" s="4" t="s">
        <v>81</v>
      </c>
      <c r="E2334" s="4" t="s">
        <v>735</v>
      </c>
      <c r="F2334" s="4" t="s">
        <v>83</v>
      </c>
      <c r="G2334" s="4" t="s">
        <v>93</v>
      </c>
      <c r="H2334" s="5">
        <v>-2164</v>
      </c>
      <c r="I2334" s="4" t="s">
        <v>21</v>
      </c>
      <c r="J2334" s="5">
        <f t="shared" si="36"/>
        <v>9773.9224000000013</v>
      </c>
      <c r="K2334" s="4" t="s">
        <v>39</v>
      </c>
      <c r="L2334" s="6">
        <v>4.5166000000000004</v>
      </c>
      <c r="M2334" s="6">
        <v>0.22140000000000001</v>
      </c>
      <c r="N2334" s="6">
        <v>4.5476000000000001</v>
      </c>
      <c r="O2334" s="6">
        <v>1</v>
      </c>
      <c r="P2334" s="5">
        <v>-67.086399999999998</v>
      </c>
      <c r="Q2334" s="4" t="s">
        <v>1394</v>
      </c>
    </row>
    <row r="2335" spans="1:17" x14ac:dyDescent="0.3">
      <c r="A2335" s="2" t="s">
        <v>1389</v>
      </c>
      <c r="B2335" s="3">
        <v>156931</v>
      </c>
      <c r="C2335" s="3">
        <v>898631</v>
      </c>
      <c r="D2335" s="4" t="s">
        <v>81</v>
      </c>
      <c r="E2335" s="4" t="s">
        <v>735</v>
      </c>
      <c r="F2335" s="4" t="s">
        <v>83</v>
      </c>
      <c r="G2335" s="4" t="s">
        <v>20</v>
      </c>
      <c r="H2335" s="5">
        <v>-9287.68</v>
      </c>
      <c r="I2335" s="4" t="s">
        <v>21</v>
      </c>
      <c r="J2335" s="5">
        <f t="shared" si="36"/>
        <v>39094.631423999999</v>
      </c>
      <c r="K2335" s="4" t="s">
        <v>39</v>
      </c>
      <c r="L2335" s="6">
        <v>4.2092999999999998</v>
      </c>
      <c r="M2335" s="6">
        <v>0.23760000000000001</v>
      </c>
      <c r="N2335" s="6">
        <v>4.2230999999999996</v>
      </c>
      <c r="O2335" s="6">
        <v>1</v>
      </c>
      <c r="P2335" s="5">
        <v>-128.17140800000001</v>
      </c>
      <c r="Q2335" s="4" t="s">
        <v>1394</v>
      </c>
    </row>
    <row r="2336" spans="1:17" x14ac:dyDescent="0.3">
      <c r="A2336" s="2" t="s">
        <v>1389</v>
      </c>
      <c r="B2336" s="3">
        <v>156932</v>
      </c>
      <c r="C2336" s="3">
        <v>217215</v>
      </c>
      <c r="D2336" s="4" t="s">
        <v>17</v>
      </c>
      <c r="E2336" s="4" t="s">
        <v>739</v>
      </c>
      <c r="F2336" s="4" t="s">
        <v>19</v>
      </c>
      <c r="G2336" s="4" t="s">
        <v>20</v>
      </c>
      <c r="H2336" s="5">
        <v>2409</v>
      </c>
      <c r="I2336" s="4" t="s">
        <v>21</v>
      </c>
      <c r="J2336" s="5">
        <f t="shared" si="36"/>
        <v>-10141.649100000001</v>
      </c>
      <c r="K2336" s="4" t="s">
        <v>35</v>
      </c>
      <c r="L2336" s="6">
        <v>4.2099000000000002</v>
      </c>
      <c r="M2336" s="6">
        <v>0.23749999999999999</v>
      </c>
      <c r="N2336" s="6">
        <v>4.2110000000000003</v>
      </c>
      <c r="O2336" s="6">
        <v>1</v>
      </c>
      <c r="P2336" s="5">
        <v>2.6499000000003434</v>
      </c>
      <c r="Q2336" s="4" t="s">
        <v>1391</v>
      </c>
    </row>
    <row r="2337" spans="1:17" x14ac:dyDescent="0.3">
      <c r="A2337" s="2" t="s">
        <v>1389</v>
      </c>
      <c r="B2337" s="3">
        <v>156933</v>
      </c>
      <c r="C2337" s="3">
        <v>217216</v>
      </c>
      <c r="D2337" s="4" t="s">
        <v>17</v>
      </c>
      <c r="E2337" s="4" t="s">
        <v>739</v>
      </c>
      <c r="F2337" s="4" t="s">
        <v>19</v>
      </c>
      <c r="G2337" s="4" t="s">
        <v>20</v>
      </c>
      <c r="H2337" s="5">
        <v>39008.6</v>
      </c>
      <c r="I2337" s="4" t="s">
        <v>21</v>
      </c>
      <c r="J2337" s="5">
        <f t="shared" si="36"/>
        <v>-164222.30514000001</v>
      </c>
      <c r="K2337" s="4" t="s">
        <v>35</v>
      </c>
      <c r="L2337" s="6">
        <v>4.2099000000000002</v>
      </c>
      <c r="M2337" s="6">
        <v>0.23749999999999999</v>
      </c>
      <c r="N2337" s="6">
        <v>4.2110000000000003</v>
      </c>
      <c r="O2337" s="6">
        <v>1</v>
      </c>
      <c r="P2337" s="5">
        <v>42.909459999995306</v>
      </c>
      <c r="Q2337" s="4" t="s">
        <v>1391</v>
      </c>
    </row>
    <row r="2338" spans="1:17" x14ac:dyDescent="0.3">
      <c r="A2338" s="2" t="s">
        <v>1389</v>
      </c>
      <c r="B2338" s="3">
        <v>156934</v>
      </c>
      <c r="C2338" s="3">
        <v>217217</v>
      </c>
      <c r="D2338" s="4" t="s">
        <v>17</v>
      </c>
      <c r="E2338" s="4" t="s">
        <v>739</v>
      </c>
      <c r="F2338" s="4" t="s">
        <v>19</v>
      </c>
      <c r="G2338" s="4" t="s">
        <v>20</v>
      </c>
      <c r="H2338" s="5">
        <v>31885</v>
      </c>
      <c r="I2338" s="4" t="s">
        <v>21</v>
      </c>
      <c r="J2338" s="5">
        <f t="shared" si="36"/>
        <v>-134232.66150000002</v>
      </c>
      <c r="K2338" s="4" t="s">
        <v>35</v>
      </c>
      <c r="L2338" s="6">
        <v>4.2099000000000002</v>
      </c>
      <c r="M2338" s="6">
        <v>0.23749999999999999</v>
      </c>
      <c r="N2338" s="6">
        <v>4.2110000000000003</v>
      </c>
      <c r="O2338" s="6">
        <v>1</v>
      </c>
      <c r="P2338" s="5">
        <v>35.073499999998603</v>
      </c>
      <c r="Q2338" s="4" t="s">
        <v>1391</v>
      </c>
    </row>
    <row r="2339" spans="1:17" x14ac:dyDescent="0.3">
      <c r="A2339" s="2" t="s">
        <v>1389</v>
      </c>
      <c r="B2339" s="3">
        <v>156935</v>
      </c>
      <c r="C2339" s="3">
        <v>217218</v>
      </c>
      <c r="D2339" s="4" t="s">
        <v>17</v>
      </c>
      <c r="E2339" s="4" t="s">
        <v>739</v>
      </c>
      <c r="F2339" s="4" t="s">
        <v>32</v>
      </c>
      <c r="G2339" s="4" t="s">
        <v>20</v>
      </c>
      <c r="H2339" s="5">
        <v>-4500</v>
      </c>
      <c r="I2339" s="4" t="s">
        <v>21</v>
      </c>
      <c r="J2339" s="5">
        <f t="shared" si="36"/>
        <v>18942.3</v>
      </c>
      <c r="K2339" s="4" t="s">
        <v>35</v>
      </c>
      <c r="L2339" s="6">
        <v>4.2093999999999996</v>
      </c>
      <c r="M2339" s="6">
        <v>0.23760000000000001</v>
      </c>
      <c r="N2339" s="6">
        <v>4.2110000000000003</v>
      </c>
      <c r="O2339" s="6">
        <v>1</v>
      </c>
      <c r="P2339" s="5">
        <v>-12.5</v>
      </c>
      <c r="Q2339" s="4" t="s">
        <v>1391</v>
      </c>
    </row>
    <row r="2340" spans="1:17" x14ac:dyDescent="0.3">
      <c r="A2340" s="2" t="s">
        <v>1389</v>
      </c>
      <c r="B2340" s="3">
        <v>156936</v>
      </c>
      <c r="C2340" s="3">
        <v>217219</v>
      </c>
      <c r="D2340" s="4" t="s">
        <v>17</v>
      </c>
      <c r="E2340" s="4" t="s">
        <v>739</v>
      </c>
      <c r="F2340" s="4" t="s">
        <v>32</v>
      </c>
      <c r="G2340" s="4" t="s">
        <v>20</v>
      </c>
      <c r="H2340" s="5">
        <v>-23124.17</v>
      </c>
      <c r="I2340" s="4" t="s">
        <v>21</v>
      </c>
      <c r="J2340" s="5">
        <f t="shared" si="36"/>
        <v>97336.568780999994</v>
      </c>
      <c r="K2340" s="4" t="s">
        <v>35</v>
      </c>
      <c r="L2340" s="6">
        <v>4.2092999999999998</v>
      </c>
      <c r="M2340" s="6">
        <v>0.23760000000000001</v>
      </c>
      <c r="N2340" s="6">
        <v>4.2110000000000003</v>
      </c>
      <c r="O2340" s="6">
        <v>1</v>
      </c>
      <c r="P2340" s="5">
        <v>-66.529870000000003</v>
      </c>
      <c r="Q2340" s="4" t="s">
        <v>1391</v>
      </c>
    </row>
    <row r="2341" spans="1:17" x14ac:dyDescent="0.3">
      <c r="A2341" s="2" t="s">
        <v>1389</v>
      </c>
      <c r="B2341" s="3">
        <v>156937</v>
      </c>
      <c r="C2341" s="3">
        <v>898641</v>
      </c>
      <c r="D2341" s="4" t="s">
        <v>81</v>
      </c>
      <c r="E2341" s="4" t="s">
        <v>742</v>
      </c>
      <c r="F2341" s="4" t="s">
        <v>87</v>
      </c>
      <c r="G2341" s="4" t="s">
        <v>34</v>
      </c>
      <c r="H2341" s="5">
        <v>500000</v>
      </c>
      <c r="I2341" s="4" t="s">
        <v>21</v>
      </c>
      <c r="J2341" s="5">
        <f t="shared" si="36"/>
        <v>-1810000</v>
      </c>
      <c r="K2341" s="4" t="s">
        <v>39</v>
      </c>
      <c r="L2341" s="6">
        <v>3.62</v>
      </c>
      <c r="M2341" s="6">
        <v>0.2762</v>
      </c>
      <c r="N2341" s="6">
        <v>3.6345999999999998</v>
      </c>
      <c r="O2341" s="6">
        <v>1</v>
      </c>
      <c r="P2341" s="5">
        <v>7320</v>
      </c>
      <c r="Q2341" s="4" t="s">
        <v>1396</v>
      </c>
    </row>
    <row r="2342" spans="1:17" x14ac:dyDescent="0.3">
      <c r="A2342" s="2" t="s">
        <v>1389</v>
      </c>
      <c r="B2342" s="3">
        <v>156938</v>
      </c>
      <c r="C2342" s="3">
        <v>217220</v>
      </c>
      <c r="D2342" s="4" t="s">
        <v>17</v>
      </c>
      <c r="E2342" s="4" t="s">
        <v>1248</v>
      </c>
      <c r="F2342" s="4" t="s">
        <v>19</v>
      </c>
      <c r="G2342" s="4" t="s">
        <v>20</v>
      </c>
      <c r="H2342" s="5">
        <v>18000</v>
      </c>
      <c r="I2342" s="4" t="s">
        <v>21</v>
      </c>
      <c r="J2342" s="5">
        <f t="shared" si="36"/>
        <v>-74340</v>
      </c>
      <c r="K2342" s="4" t="s">
        <v>35</v>
      </c>
      <c r="L2342" s="6">
        <v>4.13</v>
      </c>
      <c r="M2342" s="6">
        <v>0.24210000000000001</v>
      </c>
      <c r="N2342" s="6">
        <v>4.2110000000000003</v>
      </c>
      <c r="O2342" s="6">
        <v>1</v>
      </c>
      <c r="P2342" s="5">
        <v>1458</v>
      </c>
      <c r="Q2342" s="4" t="s">
        <v>1390</v>
      </c>
    </row>
    <row r="2343" spans="1:17" x14ac:dyDescent="0.3">
      <c r="A2343" s="2" t="s">
        <v>1389</v>
      </c>
      <c r="B2343" s="3">
        <v>156939</v>
      </c>
      <c r="C2343" s="3">
        <v>217221</v>
      </c>
      <c r="D2343" s="4" t="s">
        <v>17</v>
      </c>
      <c r="E2343" s="4" t="s">
        <v>888</v>
      </c>
      <c r="F2343" s="4" t="s">
        <v>19</v>
      </c>
      <c r="G2343" s="4" t="s">
        <v>20</v>
      </c>
      <c r="H2343" s="5">
        <v>70000</v>
      </c>
      <c r="I2343" s="4" t="s">
        <v>21</v>
      </c>
      <c r="J2343" s="5">
        <f t="shared" si="36"/>
        <v>-291900</v>
      </c>
      <c r="K2343" s="4" t="s">
        <v>35</v>
      </c>
      <c r="L2343" s="6">
        <v>4.17</v>
      </c>
      <c r="M2343" s="6">
        <v>0.23980000000000001</v>
      </c>
      <c r="N2343" s="6">
        <v>4.2110000000000003</v>
      </c>
      <c r="O2343" s="6">
        <v>1</v>
      </c>
      <c r="P2343" s="5">
        <v>2870</v>
      </c>
      <c r="Q2343" s="4" t="s">
        <v>1390</v>
      </c>
    </row>
    <row r="2344" spans="1:17" x14ac:dyDescent="0.3">
      <c r="A2344" s="2" t="s">
        <v>1389</v>
      </c>
      <c r="B2344" s="3">
        <v>156940</v>
      </c>
      <c r="C2344" s="3">
        <v>217222</v>
      </c>
      <c r="D2344" s="4" t="s">
        <v>17</v>
      </c>
      <c r="E2344" s="4" t="s">
        <v>888</v>
      </c>
      <c r="F2344" s="4" t="s">
        <v>19</v>
      </c>
      <c r="G2344" s="4" t="s">
        <v>34</v>
      </c>
      <c r="H2344" s="5">
        <v>15000</v>
      </c>
      <c r="I2344" s="4" t="s">
        <v>21</v>
      </c>
      <c r="J2344" s="5">
        <f t="shared" si="36"/>
        <v>-53775</v>
      </c>
      <c r="K2344" s="4" t="s">
        <v>35</v>
      </c>
      <c r="L2344" s="6">
        <v>3.585</v>
      </c>
      <c r="M2344" s="6">
        <v>0.27889999999999998</v>
      </c>
      <c r="N2344" s="6">
        <v>3.6139999999999999</v>
      </c>
      <c r="O2344" s="6">
        <v>1</v>
      </c>
      <c r="P2344" s="5">
        <v>435</v>
      </c>
      <c r="Q2344" s="4" t="s">
        <v>1390</v>
      </c>
    </row>
    <row r="2345" spans="1:17" x14ac:dyDescent="0.3">
      <c r="A2345" s="2" t="s">
        <v>1389</v>
      </c>
      <c r="B2345" s="3">
        <v>156941</v>
      </c>
      <c r="C2345" s="3">
        <v>217223</v>
      </c>
      <c r="D2345" s="4" t="s">
        <v>17</v>
      </c>
      <c r="E2345" s="4" t="s">
        <v>1199</v>
      </c>
      <c r="F2345" s="4" t="s">
        <v>32</v>
      </c>
      <c r="G2345" s="4" t="s">
        <v>20</v>
      </c>
      <c r="H2345" s="5">
        <v>-200000</v>
      </c>
      <c r="I2345" s="4" t="s">
        <v>34</v>
      </c>
      <c r="J2345" s="5">
        <f t="shared" si="36"/>
        <v>232620</v>
      </c>
      <c r="K2345" s="4" t="s">
        <v>35</v>
      </c>
      <c r="L2345" s="6">
        <v>1.1631</v>
      </c>
      <c r="M2345" s="6">
        <v>0.85980000000000001</v>
      </c>
      <c r="N2345" s="6">
        <v>4.2110000000000003</v>
      </c>
      <c r="O2345" s="6">
        <v>3.6139999999999999</v>
      </c>
      <c r="P2345" s="5">
        <v>-1511.32</v>
      </c>
      <c r="Q2345" s="4" t="s">
        <v>1390</v>
      </c>
    </row>
    <row r="2346" spans="1:17" x14ac:dyDescent="0.3">
      <c r="A2346" s="2" t="s">
        <v>1389</v>
      </c>
      <c r="B2346" s="3">
        <v>157550</v>
      </c>
      <c r="C2346" s="3">
        <v>901970</v>
      </c>
      <c r="D2346" s="4" t="s">
        <v>81</v>
      </c>
      <c r="E2346" s="4" t="s">
        <v>735</v>
      </c>
      <c r="F2346" s="4" t="s">
        <v>83</v>
      </c>
      <c r="G2346" s="4" t="s">
        <v>34</v>
      </c>
      <c r="H2346" s="5">
        <v>-500000</v>
      </c>
      <c r="I2346" s="4" t="s">
        <v>21</v>
      </c>
      <c r="J2346" s="5">
        <f t="shared" si="36"/>
        <v>1819250</v>
      </c>
      <c r="K2346" s="4" t="s">
        <v>50</v>
      </c>
      <c r="L2346" s="6">
        <v>3.6385000000000001</v>
      </c>
      <c r="M2346" s="6">
        <v>0.27479999999999999</v>
      </c>
      <c r="N2346" s="6">
        <v>3.6053999999999999</v>
      </c>
      <c r="O2346" s="6">
        <v>1</v>
      </c>
      <c r="P2346" s="5">
        <v>16550</v>
      </c>
      <c r="Q2346" s="4" t="s">
        <v>1394</v>
      </c>
    </row>
    <row r="2347" spans="1:17" x14ac:dyDescent="0.3">
      <c r="A2347" s="2" t="s">
        <v>1389</v>
      </c>
      <c r="B2347" s="3">
        <v>157551</v>
      </c>
      <c r="C2347" s="3">
        <v>901971</v>
      </c>
      <c r="D2347" s="4" t="s">
        <v>81</v>
      </c>
      <c r="E2347" s="4" t="s">
        <v>725</v>
      </c>
      <c r="F2347" s="4" t="s">
        <v>83</v>
      </c>
      <c r="G2347" s="4" t="s">
        <v>34</v>
      </c>
      <c r="H2347" s="5">
        <v>-500000</v>
      </c>
      <c r="I2347" s="4" t="s">
        <v>21</v>
      </c>
      <c r="J2347" s="5">
        <f t="shared" si="36"/>
        <v>1819300</v>
      </c>
      <c r="K2347" s="4" t="s">
        <v>50</v>
      </c>
      <c r="L2347" s="6">
        <v>3.6385999999999998</v>
      </c>
      <c r="M2347" s="6">
        <v>0.27479999999999999</v>
      </c>
      <c r="N2347" s="6">
        <v>3.6053999999999999</v>
      </c>
      <c r="O2347" s="6">
        <v>1</v>
      </c>
      <c r="P2347" s="5">
        <v>16580</v>
      </c>
      <c r="Q2347" s="4" t="s">
        <v>1392</v>
      </c>
    </row>
    <row r="2348" spans="1:17" x14ac:dyDescent="0.3">
      <c r="A2348" s="2" t="s">
        <v>1389</v>
      </c>
      <c r="B2348" s="3">
        <v>157552</v>
      </c>
      <c r="C2348" s="3">
        <v>901972</v>
      </c>
      <c r="D2348" s="4" t="s">
        <v>81</v>
      </c>
      <c r="E2348" s="4" t="s">
        <v>735</v>
      </c>
      <c r="F2348" s="4" t="s">
        <v>83</v>
      </c>
      <c r="G2348" s="4" t="s">
        <v>34</v>
      </c>
      <c r="H2348" s="5">
        <v>-500000</v>
      </c>
      <c r="I2348" s="4" t="s">
        <v>21</v>
      </c>
      <c r="J2348" s="5">
        <f t="shared" si="36"/>
        <v>1819300</v>
      </c>
      <c r="K2348" s="4" t="s">
        <v>50</v>
      </c>
      <c r="L2348" s="6">
        <v>3.6385999999999998</v>
      </c>
      <c r="M2348" s="6">
        <v>0.27479999999999999</v>
      </c>
      <c r="N2348" s="6">
        <v>3.6053999999999999</v>
      </c>
      <c r="O2348" s="6">
        <v>1</v>
      </c>
      <c r="P2348" s="5">
        <v>16600</v>
      </c>
      <c r="Q2348" s="4" t="s">
        <v>1394</v>
      </c>
    </row>
    <row r="2349" spans="1:17" x14ac:dyDescent="0.3">
      <c r="A2349" s="2" t="s">
        <v>1389</v>
      </c>
      <c r="B2349" s="3">
        <v>157553</v>
      </c>
      <c r="C2349" s="3">
        <v>901973</v>
      </c>
      <c r="D2349" s="4" t="s">
        <v>81</v>
      </c>
      <c r="E2349" s="4" t="s">
        <v>735</v>
      </c>
      <c r="F2349" s="4" t="s">
        <v>83</v>
      </c>
      <c r="G2349" s="4" t="s">
        <v>20</v>
      </c>
      <c r="H2349" s="5">
        <v>-500000</v>
      </c>
      <c r="I2349" s="4" t="s">
        <v>21</v>
      </c>
      <c r="J2349" s="5">
        <f t="shared" si="36"/>
        <v>2114200</v>
      </c>
      <c r="K2349" s="4" t="s">
        <v>50</v>
      </c>
      <c r="L2349" s="6">
        <v>4.2283999999999997</v>
      </c>
      <c r="M2349" s="6">
        <v>0.23649999999999999</v>
      </c>
      <c r="N2349" s="6">
        <v>4.2279</v>
      </c>
      <c r="O2349" s="6">
        <v>1</v>
      </c>
      <c r="P2349" s="5">
        <v>250</v>
      </c>
      <c r="Q2349" s="4" t="s">
        <v>1394</v>
      </c>
    </row>
    <row r="2350" spans="1:17" x14ac:dyDescent="0.3">
      <c r="A2350" s="2" t="s">
        <v>1389</v>
      </c>
      <c r="B2350" s="3">
        <v>157555</v>
      </c>
      <c r="C2350" s="3">
        <v>902008</v>
      </c>
      <c r="D2350" s="4" t="s">
        <v>81</v>
      </c>
      <c r="E2350" s="4" t="s">
        <v>734</v>
      </c>
      <c r="F2350" s="4" t="s">
        <v>87</v>
      </c>
      <c r="G2350" s="4" t="s">
        <v>20</v>
      </c>
      <c r="H2350" s="5">
        <v>500000</v>
      </c>
      <c r="I2350" s="4" t="s">
        <v>34</v>
      </c>
      <c r="J2350" s="5">
        <f t="shared" si="36"/>
        <v>-581150</v>
      </c>
      <c r="K2350" s="4" t="s">
        <v>50</v>
      </c>
      <c r="L2350" s="6">
        <v>1.1623000000000001</v>
      </c>
      <c r="M2350" s="6">
        <v>0.86040000000000005</v>
      </c>
      <c r="N2350" s="6">
        <v>4.2279</v>
      </c>
      <c r="O2350" s="6">
        <v>3.6053999999999999</v>
      </c>
      <c r="P2350" s="5">
        <v>18707.844000000001</v>
      </c>
      <c r="Q2350" s="4" t="s">
        <v>1393</v>
      </c>
    </row>
    <row r="2351" spans="1:17" x14ac:dyDescent="0.3">
      <c r="A2351" s="2" t="s">
        <v>1389</v>
      </c>
      <c r="B2351" s="3">
        <v>157556</v>
      </c>
      <c r="C2351" s="3">
        <v>218078</v>
      </c>
      <c r="D2351" s="4" t="s">
        <v>17</v>
      </c>
      <c r="E2351" s="4" t="s">
        <v>951</v>
      </c>
      <c r="F2351" s="4" t="s">
        <v>32</v>
      </c>
      <c r="G2351" s="4" t="s">
        <v>20</v>
      </c>
      <c r="H2351" s="5">
        <v>-22900</v>
      </c>
      <c r="I2351" s="4" t="s">
        <v>21</v>
      </c>
      <c r="J2351" s="5">
        <f t="shared" si="36"/>
        <v>96869.290000000008</v>
      </c>
      <c r="K2351" s="4" t="s">
        <v>49</v>
      </c>
      <c r="L2351" s="6">
        <v>4.2301000000000002</v>
      </c>
      <c r="M2351" s="6">
        <v>0.2364</v>
      </c>
      <c r="N2351" s="6">
        <v>4.2191999999999998</v>
      </c>
      <c r="O2351" s="6">
        <v>1</v>
      </c>
      <c r="P2351" s="5">
        <v>238.16</v>
      </c>
      <c r="Q2351" s="4" t="s">
        <v>1390</v>
      </c>
    </row>
    <row r="2352" spans="1:17" x14ac:dyDescent="0.3">
      <c r="A2352" s="2" t="s">
        <v>1389</v>
      </c>
      <c r="B2352" s="3">
        <v>157557</v>
      </c>
      <c r="C2352" s="3">
        <v>902018</v>
      </c>
      <c r="D2352" s="4" t="s">
        <v>81</v>
      </c>
      <c r="E2352" s="4" t="s">
        <v>1077</v>
      </c>
      <c r="F2352" s="4" t="s">
        <v>87</v>
      </c>
      <c r="G2352" s="4" t="s">
        <v>20</v>
      </c>
      <c r="H2352" s="5">
        <v>25000</v>
      </c>
      <c r="I2352" s="4" t="s">
        <v>21</v>
      </c>
      <c r="J2352" s="5">
        <f t="shared" si="36"/>
        <v>-105632.5</v>
      </c>
      <c r="K2352" s="4" t="s">
        <v>50</v>
      </c>
      <c r="L2352" s="6">
        <v>4.2252999999999998</v>
      </c>
      <c r="M2352" s="6">
        <v>0.23669999999999999</v>
      </c>
      <c r="N2352" s="6">
        <v>4.2279</v>
      </c>
      <c r="O2352" s="6">
        <v>1</v>
      </c>
      <c r="P2352" s="5">
        <v>65</v>
      </c>
      <c r="Q2352" s="4" t="s">
        <v>1390</v>
      </c>
    </row>
    <row r="2353" spans="1:17" x14ac:dyDescent="0.3">
      <c r="A2353" s="2" t="s">
        <v>1389</v>
      </c>
      <c r="B2353" s="3">
        <v>157558</v>
      </c>
      <c r="C2353" s="3">
        <v>902019</v>
      </c>
      <c r="D2353" s="4" t="s">
        <v>81</v>
      </c>
      <c r="E2353" s="4" t="s">
        <v>725</v>
      </c>
      <c r="F2353" s="4" t="s">
        <v>83</v>
      </c>
      <c r="G2353" s="4" t="s">
        <v>34</v>
      </c>
      <c r="H2353" s="5">
        <v>-500000</v>
      </c>
      <c r="I2353" s="4" t="s">
        <v>21</v>
      </c>
      <c r="J2353" s="5">
        <f t="shared" si="36"/>
        <v>1819000</v>
      </c>
      <c r="K2353" s="4" t="s">
        <v>50</v>
      </c>
      <c r="L2353" s="6">
        <v>3.6379999999999999</v>
      </c>
      <c r="M2353" s="6">
        <v>0.27489999999999998</v>
      </c>
      <c r="N2353" s="6">
        <v>3.6053999999999999</v>
      </c>
      <c r="O2353" s="6">
        <v>1</v>
      </c>
      <c r="P2353" s="5">
        <v>16305</v>
      </c>
      <c r="Q2353" s="4" t="s">
        <v>1392</v>
      </c>
    </row>
    <row r="2354" spans="1:17" x14ac:dyDescent="0.3">
      <c r="A2354" s="2" t="s">
        <v>1389</v>
      </c>
      <c r="B2354" s="3">
        <v>157559</v>
      </c>
      <c r="C2354" s="3">
        <v>902020</v>
      </c>
      <c r="D2354" s="4" t="s">
        <v>81</v>
      </c>
      <c r="E2354" s="4" t="s">
        <v>735</v>
      </c>
      <c r="F2354" s="4" t="s">
        <v>83</v>
      </c>
      <c r="G2354" s="4" t="s">
        <v>34</v>
      </c>
      <c r="H2354" s="5">
        <v>-500000</v>
      </c>
      <c r="I2354" s="4" t="s">
        <v>21</v>
      </c>
      <c r="J2354" s="5">
        <f t="shared" si="36"/>
        <v>1819150</v>
      </c>
      <c r="K2354" s="4" t="s">
        <v>50</v>
      </c>
      <c r="L2354" s="6">
        <v>3.6383000000000001</v>
      </c>
      <c r="M2354" s="6">
        <v>0.27489999999999998</v>
      </c>
      <c r="N2354" s="6">
        <v>3.6053999999999999</v>
      </c>
      <c r="O2354" s="6">
        <v>1</v>
      </c>
      <c r="P2354" s="5">
        <v>16450</v>
      </c>
      <c r="Q2354" s="4" t="s">
        <v>1394</v>
      </c>
    </row>
    <row r="2355" spans="1:17" x14ac:dyDescent="0.3">
      <c r="A2355" s="2" t="s">
        <v>1389</v>
      </c>
      <c r="B2355" s="3">
        <v>157560</v>
      </c>
      <c r="C2355" s="3">
        <v>902021</v>
      </c>
      <c r="D2355" s="4" t="s">
        <v>81</v>
      </c>
      <c r="E2355" s="4" t="s">
        <v>1114</v>
      </c>
      <c r="F2355" s="4" t="s">
        <v>83</v>
      </c>
      <c r="G2355" s="4" t="s">
        <v>20</v>
      </c>
      <c r="H2355" s="5">
        <v>-150000</v>
      </c>
      <c r="I2355" s="4" t="s">
        <v>21</v>
      </c>
      <c r="J2355" s="5">
        <f t="shared" si="36"/>
        <v>634455</v>
      </c>
      <c r="K2355" s="4" t="s">
        <v>50</v>
      </c>
      <c r="L2355" s="6">
        <v>4.2297000000000002</v>
      </c>
      <c r="M2355" s="6">
        <v>0.2364</v>
      </c>
      <c r="N2355" s="6">
        <v>4.2279</v>
      </c>
      <c r="O2355" s="6">
        <v>1</v>
      </c>
      <c r="P2355" s="5">
        <v>270</v>
      </c>
      <c r="Q2355" s="4" t="s">
        <v>1390</v>
      </c>
    </row>
    <row r="2356" spans="1:17" x14ac:dyDescent="0.3">
      <c r="A2356" s="2" t="s">
        <v>1389</v>
      </c>
      <c r="B2356" s="3">
        <v>157562</v>
      </c>
      <c r="C2356" s="3">
        <v>218080</v>
      </c>
      <c r="D2356" s="4" t="s">
        <v>17</v>
      </c>
      <c r="E2356" s="4" t="s">
        <v>1088</v>
      </c>
      <c r="F2356" s="4" t="s">
        <v>19</v>
      </c>
      <c r="G2356" s="4" t="s">
        <v>20</v>
      </c>
      <c r="H2356" s="5">
        <v>200000</v>
      </c>
      <c r="I2356" s="4" t="s">
        <v>21</v>
      </c>
      <c r="J2356" s="5">
        <f t="shared" si="36"/>
        <v>-842000</v>
      </c>
      <c r="K2356" s="4" t="s">
        <v>49</v>
      </c>
      <c r="L2356" s="6">
        <v>4.21</v>
      </c>
      <c r="M2356" s="6">
        <v>0.23749999999999999</v>
      </c>
      <c r="N2356" s="6">
        <v>4.2191999999999998</v>
      </c>
      <c r="O2356" s="6">
        <v>1</v>
      </c>
      <c r="P2356" s="5">
        <v>1840</v>
      </c>
      <c r="Q2356" s="4" t="s">
        <v>1390</v>
      </c>
    </row>
    <row r="2357" spans="1:17" x14ac:dyDescent="0.3">
      <c r="A2357" s="2" t="s">
        <v>1389</v>
      </c>
      <c r="B2357" s="3">
        <v>157563</v>
      </c>
      <c r="C2357" s="3">
        <v>902031</v>
      </c>
      <c r="D2357" s="4" t="s">
        <v>81</v>
      </c>
      <c r="E2357" s="4" t="s">
        <v>735</v>
      </c>
      <c r="F2357" s="4" t="s">
        <v>83</v>
      </c>
      <c r="G2357" s="4" t="s">
        <v>34</v>
      </c>
      <c r="H2357" s="5">
        <v>-500000</v>
      </c>
      <c r="I2357" s="4" t="s">
        <v>21</v>
      </c>
      <c r="J2357" s="5">
        <f t="shared" si="36"/>
        <v>1819200</v>
      </c>
      <c r="K2357" s="4" t="s">
        <v>50</v>
      </c>
      <c r="L2357" s="6">
        <v>3.6383999999999999</v>
      </c>
      <c r="M2357" s="6">
        <v>0.27479999999999999</v>
      </c>
      <c r="N2357" s="6">
        <v>3.6053999999999999</v>
      </c>
      <c r="O2357" s="6">
        <v>1</v>
      </c>
      <c r="P2357" s="5">
        <v>16500</v>
      </c>
      <c r="Q2357" s="4" t="s">
        <v>1394</v>
      </c>
    </row>
    <row r="2358" spans="1:17" x14ac:dyDescent="0.3">
      <c r="A2358" s="2" t="s">
        <v>1389</v>
      </c>
      <c r="B2358" s="3">
        <v>157564</v>
      </c>
      <c r="C2358" s="3">
        <v>218081</v>
      </c>
      <c r="D2358" s="4" t="s">
        <v>17</v>
      </c>
      <c r="E2358" s="4" t="s">
        <v>1386</v>
      </c>
      <c r="F2358" s="4" t="s">
        <v>19</v>
      </c>
      <c r="G2358" s="4" t="s">
        <v>20</v>
      </c>
      <c r="H2358" s="5">
        <v>7033.25</v>
      </c>
      <c r="I2358" s="4" t="s">
        <v>21</v>
      </c>
      <c r="J2358" s="5">
        <f t="shared" si="36"/>
        <v>-28976.99</v>
      </c>
      <c r="K2358" s="4" t="s">
        <v>49</v>
      </c>
      <c r="L2358" s="6">
        <v>4.12</v>
      </c>
      <c r="M2358" s="6">
        <v>0.2427</v>
      </c>
      <c r="N2358" s="6">
        <v>4.2191999999999998</v>
      </c>
      <c r="O2358" s="6">
        <v>1</v>
      </c>
      <c r="P2358" s="5">
        <v>697.69839999999749</v>
      </c>
      <c r="Q2358" s="4" t="s">
        <v>1390</v>
      </c>
    </row>
    <row r="2359" spans="1:17" x14ac:dyDescent="0.3">
      <c r="A2359" s="2" t="s">
        <v>1389</v>
      </c>
      <c r="B2359" s="3">
        <v>157565</v>
      </c>
      <c r="C2359" s="3">
        <v>218085</v>
      </c>
      <c r="D2359" s="4" t="s">
        <v>17</v>
      </c>
      <c r="E2359" s="4" t="s">
        <v>1028</v>
      </c>
      <c r="F2359" s="4" t="s">
        <v>19</v>
      </c>
      <c r="G2359" s="4" t="s">
        <v>20</v>
      </c>
      <c r="H2359" s="5">
        <v>14000</v>
      </c>
      <c r="I2359" s="4" t="s">
        <v>21</v>
      </c>
      <c r="J2359" s="5">
        <f t="shared" si="36"/>
        <v>-59122</v>
      </c>
      <c r="K2359" s="4" t="s">
        <v>49</v>
      </c>
      <c r="L2359" s="6">
        <v>4.2229999999999999</v>
      </c>
      <c r="M2359" s="6">
        <v>0.23680000000000001</v>
      </c>
      <c r="N2359" s="6">
        <v>4.2191999999999998</v>
      </c>
      <c r="O2359" s="6">
        <v>1</v>
      </c>
      <c r="P2359" s="5">
        <v>-53.200000000004366</v>
      </c>
      <c r="Q2359" s="4" t="s">
        <v>1390</v>
      </c>
    </row>
    <row r="2360" spans="1:17" x14ac:dyDescent="0.3">
      <c r="A2360" s="2" t="s">
        <v>1389</v>
      </c>
      <c r="B2360" s="3">
        <v>157566</v>
      </c>
      <c r="C2360" s="3">
        <v>218088</v>
      </c>
      <c r="D2360" s="4" t="s">
        <v>17</v>
      </c>
      <c r="E2360" s="4" t="s">
        <v>1001</v>
      </c>
      <c r="F2360" s="4" t="s">
        <v>32</v>
      </c>
      <c r="G2360" s="4" t="s">
        <v>20</v>
      </c>
      <c r="H2360" s="5">
        <v>-81000</v>
      </c>
      <c r="I2360" s="4" t="s">
        <v>21</v>
      </c>
      <c r="J2360" s="5">
        <f t="shared" si="36"/>
        <v>342403.2</v>
      </c>
      <c r="K2360" s="4" t="s">
        <v>49</v>
      </c>
      <c r="L2360" s="6">
        <v>4.2271999999999998</v>
      </c>
      <c r="M2360" s="6">
        <v>0.2366</v>
      </c>
      <c r="N2360" s="6">
        <v>4.2191999999999998</v>
      </c>
      <c r="O2360" s="6">
        <v>1</v>
      </c>
      <c r="P2360" s="5">
        <v>607.5</v>
      </c>
      <c r="Q2360" s="4" t="s">
        <v>1390</v>
      </c>
    </row>
    <row r="2361" spans="1:17" x14ac:dyDescent="0.3">
      <c r="A2361" s="2" t="s">
        <v>1389</v>
      </c>
      <c r="B2361" s="3">
        <v>157567</v>
      </c>
      <c r="C2361" s="3">
        <v>218090</v>
      </c>
      <c r="D2361" s="4" t="s">
        <v>17</v>
      </c>
      <c r="E2361" s="4" t="s">
        <v>1105</v>
      </c>
      <c r="F2361" s="4" t="s">
        <v>19</v>
      </c>
      <c r="G2361" s="4" t="s">
        <v>20</v>
      </c>
      <c r="H2361" s="5">
        <v>5400</v>
      </c>
      <c r="I2361" s="4" t="s">
        <v>21</v>
      </c>
      <c r="J2361" s="5">
        <f t="shared" si="36"/>
        <v>-22736.699999999997</v>
      </c>
      <c r="K2361" s="4" t="s">
        <v>49</v>
      </c>
      <c r="L2361" s="6">
        <v>4.2104999999999997</v>
      </c>
      <c r="M2361" s="6">
        <v>0.23749999999999999</v>
      </c>
      <c r="N2361" s="6">
        <v>4.2191999999999998</v>
      </c>
      <c r="O2361" s="6">
        <v>1</v>
      </c>
      <c r="P2361" s="5">
        <v>46.980000000003201</v>
      </c>
      <c r="Q2361" s="4" t="s">
        <v>1390</v>
      </c>
    </row>
    <row r="2362" spans="1:17" x14ac:dyDescent="0.3">
      <c r="A2362" s="2" t="s">
        <v>1389</v>
      </c>
      <c r="B2362" s="3">
        <v>157568</v>
      </c>
      <c r="C2362" s="3">
        <v>902072</v>
      </c>
      <c r="D2362" s="4" t="s">
        <v>81</v>
      </c>
      <c r="E2362" s="4" t="s">
        <v>739</v>
      </c>
      <c r="F2362" s="4" t="s">
        <v>87</v>
      </c>
      <c r="G2362" s="4" t="s">
        <v>20</v>
      </c>
      <c r="H2362" s="5">
        <v>100000</v>
      </c>
      <c r="I2362" s="4" t="s">
        <v>91</v>
      </c>
      <c r="J2362" s="5">
        <f t="shared" si="36"/>
        <v>-86750</v>
      </c>
      <c r="K2362" s="4" t="s">
        <v>50</v>
      </c>
      <c r="L2362" s="6">
        <v>0.86750000000000005</v>
      </c>
      <c r="M2362" s="6">
        <v>1.1527000000000001</v>
      </c>
      <c r="N2362" s="6">
        <v>4.2279</v>
      </c>
      <c r="O2362" s="6">
        <v>4.8582999999999998</v>
      </c>
      <c r="P2362" s="5">
        <v>1313.0418</v>
      </c>
      <c r="Q2362" s="4" t="s">
        <v>1391</v>
      </c>
    </row>
    <row r="2363" spans="1:17" x14ac:dyDescent="0.3">
      <c r="A2363" s="2" t="s">
        <v>1389</v>
      </c>
      <c r="B2363" s="3">
        <v>157569</v>
      </c>
      <c r="C2363" s="3">
        <v>218094</v>
      </c>
      <c r="D2363" s="4" t="s">
        <v>17</v>
      </c>
      <c r="E2363" s="4" t="s">
        <v>1123</v>
      </c>
      <c r="F2363" s="4" t="s">
        <v>19</v>
      </c>
      <c r="G2363" s="4" t="s">
        <v>20</v>
      </c>
      <c r="H2363" s="5">
        <v>30000</v>
      </c>
      <c r="I2363" s="4" t="s">
        <v>21</v>
      </c>
      <c r="J2363" s="5">
        <f t="shared" si="36"/>
        <v>-126540</v>
      </c>
      <c r="K2363" s="4" t="s">
        <v>49</v>
      </c>
      <c r="L2363" s="6">
        <v>4.218</v>
      </c>
      <c r="M2363" s="6">
        <v>0.23710000000000001</v>
      </c>
      <c r="N2363" s="6">
        <v>4.2191999999999998</v>
      </c>
      <c r="O2363" s="6">
        <v>1</v>
      </c>
      <c r="P2363" s="5">
        <v>36</v>
      </c>
      <c r="Q2363" s="4" t="s">
        <v>1390</v>
      </c>
    </row>
    <row r="2364" spans="1:17" x14ac:dyDescent="0.3">
      <c r="A2364" s="2" t="s">
        <v>1389</v>
      </c>
      <c r="B2364" s="3">
        <v>157571</v>
      </c>
      <c r="C2364" s="3">
        <v>902118</v>
      </c>
      <c r="D2364" s="4" t="s">
        <v>81</v>
      </c>
      <c r="E2364" s="4" t="s">
        <v>725</v>
      </c>
      <c r="F2364" s="4" t="s">
        <v>83</v>
      </c>
      <c r="G2364" s="4" t="s">
        <v>20</v>
      </c>
      <c r="H2364" s="5">
        <v>-100000</v>
      </c>
      <c r="I2364" s="4" t="s">
        <v>91</v>
      </c>
      <c r="J2364" s="5">
        <f t="shared" si="36"/>
        <v>86710</v>
      </c>
      <c r="K2364" s="4" t="s">
        <v>50</v>
      </c>
      <c r="L2364" s="6">
        <v>0.86709999999999998</v>
      </c>
      <c r="M2364" s="6">
        <v>1.1533</v>
      </c>
      <c r="N2364" s="6">
        <v>4.2279</v>
      </c>
      <c r="O2364" s="6">
        <v>4.8582999999999998</v>
      </c>
      <c r="P2364" s="5">
        <v>-1536.5236</v>
      </c>
      <c r="Q2364" s="4" t="s">
        <v>1392</v>
      </c>
    </row>
    <row r="2365" spans="1:17" x14ac:dyDescent="0.3">
      <c r="A2365" s="2" t="s">
        <v>1389</v>
      </c>
      <c r="B2365" s="3">
        <v>157572</v>
      </c>
      <c r="C2365" s="3">
        <v>902125</v>
      </c>
      <c r="D2365" s="4" t="s">
        <v>81</v>
      </c>
      <c r="E2365" s="4" t="s">
        <v>734</v>
      </c>
      <c r="F2365" s="4" t="s">
        <v>83</v>
      </c>
      <c r="G2365" s="4" t="s">
        <v>20</v>
      </c>
      <c r="H2365" s="5">
        <v>-500000</v>
      </c>
      <c r="I2365" s="4" t="s">
        <v>34</v>
      </c>
      <c r="J2365" s="5">
        <f t="shared" si="36"/>
        <v>581400</v>
      </c>
      <c r="K2365" s="4" t="s">
        <v>50</v>
      </c>
      <c r="L2365" s="6">
        <v>1.1628000000000001</v>
      </c>
      <c r="M2365" s="6">
        <v>0.86</v>
      </c>
      <c r="N2365" s="6">
        <v>4.2279</v>
      </c>
      <c r="O2365" s="6">
        <v>3.6053999999999999</v>
      </c>
      <c r="P2365" s="5">
        <v>-17824.521000000001</v>
      </c>
      <c r="Q2365" s="4" t="s">
        <v>1393</v>
      </c>
    </row>
    <row r="2366" spans="1:17" x14ac:dyDescent="0.3">
      <c r="A2366" s="2" t="s">
        <v>1389</v>
      </c>
      <c r="B2366" s="3">
        <v>157573</v>
      </c>
      <c r="C2366" s="3">
        <v>218107</v>
      </c>
      <c r="D2366" s="4" t="s">
        <v>17</v>
      </c>
      <c r="E2366" s="4" t="s">
        <v>1357</v>
      </c>
      <c r="F2366" s="4" t="s">
        <v>19</v>
      </c>
      <c r="G2366" s="4" t="s">
        <v>20</v>
      </c>
      <c r="H2366" s="5">
        <v>10000</v>
      </c>
      <c r="I2366" s="4" t="s">
        <v>21</v>
      </c>
      <c r="J2366" s="5">
        <f t="shared" si="36"/>
        <v>-41981</v>
      </c>
      <c r="K2366" s="4" t="s">
        <v>49</v>
      </c>
      <c r="L2366" s="6">
        <v>4.1981000000000002</v>
      </c>
      <c r="M2366" s="6">
        <v>0.2382</v>
      </c>
      <c r="N2366" s="6">
        <v>4.2191999999999998</v>
      </c>
      <c r="O2366" s="6">
        <v>1</v>
      </c>
      <c r="P2366" s="5">
        <v>211</v>
      </c>
      <c r="Q2366" s="4" t="s">
        <v>1390</v>
      </c>
    </row>
    <row r="2367" spans="1:17" x14ac:dyDescent="0.3">
      <c r="A2367" s="2" t="s">
        <v>1389</v>
      </c>
      <c r="B2367" s="3">
        <v>157574</v>
      </c>
      <c r="C2367" s="3">
        <v>218109</v>
      </c>
      <c r="D2367" s="4" t="s">
        <v>17</v>
      </c>
      <c r="E2367" s="4" t="s">
        <v>1024</v>
      </c>
      <c r="F2367" s="4" t="s">
        <v>19</v>
      </c>
      <c r="G2367" s="4" t="s">
        <v>20</v>
      </c>
      <c r="H2367" s="5">
        <v>14000</v>
      </c>
      <c r="I2367" s="4" t="s">
        <v>21</v>
      </c>
      <c r="J2367" s="5">
        <f t="shared" si="36"/>
        <v>-59052</v>
      </c>
      <c r="K2367" s="4" t="s">
        <v>49</v>
      </c>
      <c r="L2367" s="6">
        <v>4.218</v>
      </c>
      <c r="M2367" s="6">
        <v>0.23710000000000001</v>
      </c>
      <c r="N2367" s="6">
        <v>4.2191999999999998</v>
      </c>
      <c r="O2367" s="6">
        <v>1</v>
      </c>
      <c r="P2367" s="5">
        <v>16.799999999995634</v>
      </c>
      <c r="Q2367" s="4" t="s">
        <v>1390</v>
      </c>
    </row>
    <row r="2368" spans="1:17" x14ac:dyDescent="0.3">
      <c r="A2368" s="2" t="s">
        <v>1389</v>
      </c>
      <c r="B2368" s="3">
        <v>157575</v>
      </c>
      <c r="C2368" s="3">
        <v>902138</v>
      </c>
      <c r="D2368" s="4" t="s">
        <v>81</v>
      </c>
      <c r="E2368" s="4" t="s">
        <v>734</v>
      </c>
      <c r="F2368" s="4" t="s">
        <v>87</v>
      </c>
      <c r="G2368" s="4" t="s">
        <v>20</v>
      </c>
      <c r="H2368" s="5">
        <v>500000</v>
      </c>
      <c r="I2368" s="4" t="s">
        <v>34</v>
      </c>
      <c r="J2368" s="5">
        <f t="shared" si="36"/>
        <v>-581000</v>
      </c>
      <c r="K2368" s="4" t="s">
        <v>50</v>
      </c>
      <c r="L2368" s="6">
        <v>1.1619999999999999</v>
      </c>
      <c r="M2368" s="6">
        <v>0.86060000000000003</v>
      </c>
      <c r="N2368" s="6">
        <v>4.2279</v>
      </c>
      <c r="O2368" s="6">
        <v>3.6053999999999999</v>
      </c>
      <c r="P2368" s="5">
        <v>19176.545999999998</v>
      </c>
      <c r="Q2368" s="4" t="s">
        <v>1393</v>
      </c>
    </row>
    <row r="2369" spans="1:17" x14ac:dyDescent="0.3">
      <c r="A2369" s="2" t="s">
        <v>1389</v>
      </c>
      <c r="B2369" s="3">
        <v>157595</v>
      </c>
      <c r="C2369" s="3">
        <v>902173</v>
      </c>
      <c r="D2369" s="4" t="s">
        <v>81</v>
      </c>
      <c r="E2369" s="4" t="s">
        <v>739</v>
      </c>
      <c r="F2369" s="4" t="s">
        <v>83</v>
      </c>
      <c r="G2369" s="4" t="s">
        <v>20</v>
      </c>
      <c r="H2369" s="5">
        <v>-100000</v>
      </c>
      <c r="I2369" s="4" t="s">
        <v>91</v>
      </c>
      <c r="J2369" s="5">
        <f t="shared" si="36"/>
        <v>86720</v>
      </c>
      <c r="K2369" s="4" t="s">
        <v>50</v>
      </c>
      <c r="L2369" s="6">
        <v>0.86719999999999997</v>
      </c>
      <c r="M2369" s="6">
        <v>1.1531</v>
      </c>
      <c r="N2369" s="6">
        <v>4.2279</v>
      </c>
      <c r="O2369" s="6">
        <v>4.8582999999999998</v>
      </c>
      <c r="P2369" s="5">
        <v>-1453.9324999999999</v>
      </c>
      <c r="Q2369" s="4" t="s">
        <v>1391</v>
      </c>
    </row>
    <row r="2370" spans="1:17" x14ac:dyDescent="0.3">
      <c r="A2370" s="2" t="s">
        <v>1389</v>
      </c>
      <c r="B2370" s="3">
        <v>157597</v>
      </c>
      <c r="C2370" s="3">
        <v>218123</v>
      </c>
      <c r="D2370" s="4" t="s">
        <v>17</v>
      </c>
      <c r="E2370" s="4" t="s">
        <v>774</v>
      </c>
      <c r="F2370" s="4" t="s">
        <v>32</v>
      </c>
      <c r="G2370" s="4" t="s">
        <v>20</v>
      </c>
      <c r="H2370" s="5">
        <v>-14040</v>
      </c>
      <c r="I2370" s="4" t="s">
        <v>21</v>
      </c>
      <c r="J2370" s="5">
        <f t="shared" si="36"/>
        <v>59340.06</v>
      </c>
      <c r="K2370" s="4" t="s">
        <v>49</v>
      </c>
      <c r="L2370" s="6">
        <v>4.2264999999999997</v>
      </c>
      <c r="M2370" s="6">
        <v>0.2366</v>
      </c>
      <c r="N2370" s="6">
        <v>4.2191999999999998</v>
      </c>
      <c r="O2370" s="6">
        <v>1</v>
      </c>
      <c r="P2370" s="5">
        <v>102.492</v>
      </c>
      <c r="Q2370" s="4" t="s">
        <v>1390</v>
      </c>
    </row>
    <row r="2371" spans="1:17" x14ac:dyDescent="0.3">
      <c r="A2371" s="2" t="s">
        <v>1389</v>
      </c>
      <c r="B2371" s="3">
        <v>157600</v>
      </c>
      <c r="C2371" s="3">
        <v>218125</v>
      </c>
      <c r="D2371" s="4" t="s">
        <v>17</v>
      </c>
      <c r="E2371" s="4" t="s">
        <v>1147</v>
      </c>
      <c r="F2371" s="4" t="s">
        <v>32</v>
      </c>
      <c r="G2371" s="4" t="s">
        <v>34</v>
      </c>
      <c r="H2371" s="5">
        <v>-8500</v>
      </c>
      <c r="I2371" s="4" t="s">
        <v>21</v>
      </c>
      <c r="J2371" s="5">
        <f t="shared" si="36"/>
        <v>31044.55</v>
      </c>
      <c r="K2371" s="4" t="s">
        <v>49</v>
      </c>
      <c r="L2371" s="6">
        <v>3.6522999999999999</v>
      </c>
      <c r="M2371" s="6">
        <v>0.27379999999999999</v>
      </c>
      <c r="N2371" s="6">
        <v>3.6345999999999998</v>
      </c>
      <c r="O2371" s="6">
        <v>1</v>
      </c>
      <c r="P2371" s="5">
        <v>147.9</v>
      </c>
      <c r="Q2371" s="4" t="s">
        <v>1390</v>
      </c>
    </row>
    <row r="2372" spans="1:17" x14ac:dyDescent="0.3">
      <c r="A2372" s="2" t="s">
        <v>1389</v>
      </c>
      <c r="B2372" s="3">
        <v>157602</v>
      </c>
      <c r="C2372" s="3">
        <v>218126</v>
      </c>
      <c r="D2372" s="4" t="s">
        <v>17</v>
      </c>
      <c r="E2372" s="4" t="s">
        <v>1205</v>
      </c>
      <c r="F2372" s="4" t="s">
        <v>32</v>
      </c>
      <c r="G2372" s="4" t="s">
        <v>20</v>
      </c>
      <c r="H2372" s="5">
        <v>-888000</v>
      </c>
      <c r="I2372" s="4" t="s">
        <v>21</v>
      </c>
      <c r="J2372" s="5">
        <f t="shared" ref="J2372:J2435" si="37">-H2372*L2372</f>
        <v>3765120</v>
      </c>
      <c r="K2372" s="4" t="s">
        <v>49</v>
      </c>
      <c r="L2372" s="6">
        <v>4.24</v>
      </c>
      <c r="M2372" s="6">
        <v>0.23580000000000001</v>
      </c>
      <c r="N2372" s="6">
        <v>4.2191999999999998</v>
      </c>
      <c r="O2372" s="6">
        <v>1</v>
      </c>
      <c r="P2372" s="5">
        <v>18026.400000000001</v>
      </c>
      <c r="Q2372" s="4" t="s">
        <v>1390</v>
      </c>
    </row>
    <row r="2373" spans="1:17" x14ac:dyDescent="0.3">
      <c r="A2373" s="2" t="s">
        <v>1389</v>
      </c>
      <c r="B2373" s="3">
        <v>157604</v>
      </c>
      <c r="C2373" s="3">
        <v>902195</v>
      </c>
      <c r="D2373" s="4" t="s">
        <v>81</v>
      </c>
      <c r="E2373" s="4" t="s">
        <v>919</v>
      </c>
      <c r="F2373" s="4" t="s">
        <v>87</v>
      </c>
      <c r="G2373" s="4" t="s">
        <v>20</v>
      </c>
      <c r="H2373" s="5">
        <v>260000</v>
      </c>
      <c r="I2373" s="4" t="s">
        <v>21</v>
      </c>
      <c r="J2373" s="5">
        <f t="shared" si="37"/>
        <v>-1097902</v>
      </c>
      <c r="K2373" s="4" t="s">
        <v>50</v>
      </c>
      <c r="L2373" s="6">
        <v>4.2226999999999997</v>
      </c>
      <c r="M2373" s="6">
        <v>0.23680000000000001</v>
      </c>
      <c r="N2373" s="6">
        <v>4.2279</v>
      </c>
      <c r="O2373" s="6">
        <v>1</v>
      </c>
      <c r="P2373" s="5">
        <v>1352</v>
      </c>
      <c r="Q2373" s="4" t="s">
        <v>1390</v>
      </c>
    </row>
    <row r="2374" spans="1:17" x14ac:dyDescent="0.3">
      <c r="A2374" s="2" t="s">
        <v>1389</v>
      </c>
      <c r="B2374" s="3">
        <v>157607</v>
      </c>
      <c r="C2374" s="3">
        <v>902216</v>
      </c>
      <c r="D2374" s="4" t="s">
        <v>81</v>
      </c>
      <c r="E2374" s="4" t="s">
        <v>734</v>
      </c>
      <c r="F2374" s="4" t="s">
        <v>83</v>
      </c>
      <c r="G2374" s="4" t="s">
        <v>34</v>
      </c>
      <c r="H2374" s="5">
        <v>-350000</v>
      </c>
      <c r="I2374" s="4" t="s">
        <v>104</v>
      </c>
      <c r="J2374" s="5">
        <f t="shared" si="37"/>
        <v>55297900</v>
      </c>
      <c r="K2374" s="4" t="s">
        <v>50</v>
      </c>
      <c r="L2374" s="6">
        <v>157.994</v>
      </c>
      <c r="M2374" s="6">
        <v>6.3E-3</v>
      </c>
      <c r="N2374" s="6">
        <v>3.6053999999999999</v>
      </c>
      <c r="O2374" s="6">
        <v>2.2858E-2</v>
      </c>
      <c r="P2374" s="5">
        <v>2109.3981999999378</v>
      </c>
      <c r="Q2374" s="4" t="s">
        <v>1393</v>
      </c>
    </row>
    <row r="2375" spans="1:17" x14ac:dyDescent="0.3">
      <c r="A2375" s="2" t="s">
        <v>1389</v>
      </c>
      <c r="B2375" s="3">
        <v>157617</v>
      </c>
      <c r="C2375" s="3">
        <v>902227</v>
      </c>
      <c r="D2375" s="4" t="s">
        <v>81</v>
      </c>
      <c r="E2375" s="4" t="s">
        <v>734</v>
      </c>
      <c r="F2375" s="4" t="s">
        <v>83</v>
      </c>
      <c r="G2375" s="4" t="s">
        <v>20</v>
      </c>
      <c r="H2375" s="5">
        <v>-100000</v>
      </c>
      <c r="I2375" s="4" t="s">
        <v>34</v>
      </c>
      <c r="J2375" s="5">
        <f t="shared" si="37"/>
        <v>116260.00000000001</v>
      </c>
      <c r="K2375" s="4" t="s">
        <v>50</v>
      </c>
      <c r="L2375" s="6">
        <v>1.1626000000000001</v>
      </c>
      <c r="M2375" s="6">
        <v>0.86009999999999998</v>
      </c>
      <c r="N2375" s="6">
        <v>4.2279</v>
      </c>
      <c r="O2375" s="6">
        <v>3.6053999999999999</v>
      </c>
      <c r="P2375" s="5">
        <v>-3626.1959999999999</v>
      </c>
      <c r="Q2375" s="4" t="s">
        <v>1393</v>
      </c>
    </row>
    <row r="2376" spans="1:17" x14ac:dyDescent="0.3">
      <c r="A2376" s="2" t="s">
        <v>1389</v>
      </c>
      <c r="B2376" s="3">
        <v>157618</v>
      </c>
      <c r="C2376" s="3">
        <v>218133</v>
      </c>
      <c r="D2376" s="4" t="s">
        <v>17</v>
      </c>
      <c r="E2376" s="4" t="s">
        <v>918</v>
      </c>
      <c r="F2376" s="4" t="s">
        <v>19</v>
      </c>
      <c r="G2376" s="4" t="s">
        <v>20</v>
      </c>
      <c r="H2376" s="5">
        <v>5000</v>
      </c>
      <c r="I2376" s="4" t="s">
        <v>21</v>
      </c>
      <c r="J2376" s="5">
        <f t="shared" si="37"/>
        <v>-21100</v>
      </c>
      <c r="K2376" s="4" t="s">
        <v>49</v>
      </c>
      <c r="L2376" s="6">
        <v>4.22</v>
      </c>
      <c r="M2376" s="6">
        <v>0.23699999999999999</v>
      </c>
      <c r="N2376" s="6">
        <v>4.2191999999999998</v>
      </c>
      <c r="O2376" s="6">
        <v>1</v>
      </c>
      <c r="P2376" s="5">
        <v>-4</v>
      </c>
      <c r="Q2376" s="4" t="s">
        <v>1390</v>
      </c>
    </row>
    <row r="2377" spans="1:17" x14ac:dyDescent="0.3">
      <c r="A2377" s="2" t="s">
        <v>1389</v>
      </c>
      <c r="B2377" s="3">
        <v>157619</v>
      </c>
      <c r="C2377" s="3">
        <v>218134</v>
      </c>
      <c r="D2377" s="4" t="s">
        <v>17</v>
      </c>
      <c r="E2377" s="4" t="s">
        <v>1156</v>
      </c>
      <c r="F2377" s="4" t="s">
        <v>19</v>
      </c>
      <c r="G2377" s="4" t="s">
        <v>20</v>
      </c>
      <c r="H2377" s="5">
        <v>10000</v>
      </c>
      <c r="I2377" s="4" t="s">
        <v>21</v>
      </c>
      <c r="J2377" s="5">
        <f t="shared" si="37"/>
        <v>-42200</v>
      </c>
      <c r="K2377" s="4" t="s">
        <v>49</v>
      </c>
      <c r="L2377" s="6">
        <v>4.22</v>
      </c>
      <c r="M2377" s="6">
        <v>0.23699999999999999</v>
      </c>
      <c r="N2377" s="6">
        <v>4.2191999999999998</v>
      </c>
      <c r="O2377" s="6">
        <v>1</v>
      </c>
      <c r="P2377" s="5">
        <v>-8</v>
      </c>
      <c r="Q2377" s="4" t="s">
        <v>1390</v>
      </c>
    </row>
    <row r="2378" spans="1:17" x14ac:dyDescent="0.3">
      <c r="A2378" s="2" t="s">
        <v>1389</v>
      </c>
      <c r="B2378" s="3">
        <v>157622</v>
      </c>
      <c r="C2378" s="3">
        <v>218135</v>
      </c>
      <c r="D2378" s="4" t="s">
        <v>17</v>
      </c>
      <c r="E2378" s="4" t="s">
        <v>851</v>
      </c>
      <c r="F2378" s="4" t="s">
        <v>19</v>
      </c>
      <c r="G2378" s="4" t="s">
        <v>34</v>
      </c>
      <c r="H2378" s="5">
        <v>10000</v>
      </c>
      <c r="I2378" s="4" t="s">
        <v>21</v>
      </c>
      <c r="J2378" s="5">
        <f t="shared" si="37"/>
        <v>-36213</v>
      </c>
      <c r="K2378" s="4" t="s">
        <v>49</v>
      </c>
      <c r="L2378" s="6">
        <v>3.6213000000000002</v>
      </c>
      <c r="M2378" s="6">
        <v>0.27610000000000001</v>
      </c>
      <c r="N2378" s="6">
        <v>3.6345999999999998</v>
      </c>
      <c r="O2378" s="6">
        <v>1</v>
      </c>
      <c r="P2378" s="5">
        <v>133</v>
      </c>
      <c r="Q2378" s="4" t="s">
        <v>1390</v>
      </c>
    </row>
    <row r="2379" spans="1:17" x14ac:dyDescent="0.3">
      <c r="A2379" s="2" t="s">
        <v>1389</v>
      </c>
      <c r="B2379" s="3">
        <v>157623</v>
      </c>
      <c r="C2379" s="3">
        <v>902237</v>
      </c>
      <c r="D2379" s="4" t="s">
        <v>81</v>
      </c>
      <c r="E2379" s="4" t="s">
        <v>1262</v>
      </c>
      <c r="F2379" s="4" t="s">
        <v>87</v>
      </c>
      <c r="G2379" s="4" t="s">
        <v>20</v>
      </c>
      <c r="H2379" s="5">
        <v>9000</v>
      </c>
      <c r="I2379" s="4" t="s">
        <v>21</v>
      </c>
      <c r="J2379" s="5">
        <f t="shared" si="37"/>
        <v>-37950.300000000003</v>
      </c>
      <c r="K2379" s="4" t="s">
        <v>50</v>
      </c>
      <c r="L2379" s="6">
        <v>4.2167000000000003</v>
      </c>
      <c r="M2379" s="6">
        <v>0.23719999999999999</v>
      </c>
      <c r="N2379" s="6">
        <v>4.2279</v>
      </c>
      <c r="O2379" s="6">
        <v>1</v>
      </c>
      <c r="P2379" s="5">
        <v>100.8</v>
      </c>
      <c r="Q2379" s="4" t="s">
        <v>1390</v>
      </c>
    </row>
    <row r="2380" spans="1:17" x14ac:dyDescent="0.3">
      <c r="A2380" s="2" t="s">
        <v>1389</v>
      </c>
      <c r="B2380" s="3">
        <v>157630</v>
      </c>
      <c r="C2380" s="3">
        <v>218136</v>
      </c>
      <c r="D2380" s="4" t="s">
        <v>17</v>
      </c>
      <c r="E2380" s="4" t="s">
        <v>927</v>
      </c>
      <c r="F2380" s="4" t="s">
        <v>19</v>
      </c>
      <c r="G2380" s="4" t="s">
        <v>20</v>
      </c>
      <c r="H2380" s="5">
        <v>20000</v>
      </c>
      <c r="I2380" s="4" t="s">
        <v>21</v>
      </c>
      <c r="J2380" s="5">
        <f t="shared" si="37"/>
        <v>-84420</v>
      </c>
      <c r="K2380" s="4" t="s">
        <v>49</v>
      </c>
      <c r="L2380" s="6">
        <v>4.2210000000000001</v>
      </c>
      <c r="M2380" s="6">
        <v>0.2369</v>
      </c>
      <c r="N2380" s="6">
        <v>4.2191999999999998</v>
      </c>
      <c r="O2380" s="6">
        <v>1</v>
      </c>
      <c r="P2380" s="5">
        <v>-36</v>
      </c>
      <c r="Q2380" s="4" t="s">
        <v>1390</v>
      </c>
    </row>
    <row r="2381" spans="1:17" x14ac:dyDescent="0.3">
      <c r="A2381" s="2" t="s">
        <v>1389</v>
      </c>
      <c r="B2381" s="3">
        <v>157632</v>
      </c>
      <c r="C2381" s="3">
        <v>218138</v>
      </c>
      <c r="D2381" s="4" t="s">
        <v>17</v>
      </c>
      <c r="E2381" s="4" t="s">
        <v>853</v>
      </c>
      <c r="F2381" s="4" t="s">
        <v>19</v>
      </c>
      <c r="G2381" s="4" t="s">
        <v>20</v>
      </c>
      <c r="H2381" s="5">
        <v>2367.9299999999998</v>
      </c>
      <c r="I2381" s="4" t="s">
        <v>21</v>
      </c>
      <c r="J2381" s="5">
        <f t="shared" si="37"/>
        <v>-9960.6975449999991</v>
      </c>
      <c r="K2381" s="4" t="s">
        <v>49</v>
      </c>
      <c r="L2381" s="6">
        <v>4.2065000000000001</v>
      </c>
      <c r="M2381" s="6">
        <v>0.23769999999999999</v>
      </c>
      <c r="N2381" s="6">
        <v>4.2191999999999998</v>
      </c>
      <c r="O2381" s="6">
        <v>1</v>
      </c>
      <c r="P2381" s="5">
        <v>30.072711000000709</v>
      </c>
      <c r="Q2381" s="4" t="s">
        <v>1390</v>
      </c>
    </row>
    <row r="2382" spans="1:17" x14ac:dyDescent="0.3">
      <c r="A2382" s="2" t="s">
        <v>1389</v>
      </c>
      <c r="B2382" s="3">
        <v>157636</v>
      </c>
      <c r="C2382" s="3">
        <v>218144</v>
      </c>
      <c r="D2382" s="4" t="s">
        <v>17</v>
      </c>
      <c r="E2382" s="4" t="s">
        <v>948</v>
      </c>
      <c r="F2382" s="4" t="s">
        <v>19</v>
      </c>
      <c r="G2382" s="4" t="s">
        <v>34</v>
      </c>
      <c r="H2382" s="5">
        <v>100000</v>
      </c>
      <c r="I2382" s="4" t="s">
        <v>21</v>
      </c>
      <c r="J2382" s="5">
        <f t="shared" si="37"/>
        <v>-362150</v>
      </c>
      <c r="K2382" s="4" t="s">
        <v>49</v>
      </c>
      <c r="L2382" s="6">
        <v>3.6215000000000002</v>
      </c>
      <c r="M2382" s="6">
        <v>0.27610000000000001</v>
      </c>
      <c r="N2382" s="6">
        <v>3.6345999999999998</v>
      </c>
      <c r="O2382" s="6">
        <v>1</v>
      </c>
      <c r="P2382" s="5">
        <v>1310</v>
      </c>
      <c r="Q2382" s="4" t="s">
        <v>1390</v>
      </c>
    </row>
    <row r="2383" spans="1:17" x14ac:dyDescent="0.3">
      <c r="A2383" s="2" t="s">
        <v>1389</v>
      </c>
      <c r="B2383" s="3">
        <v>157638</v>
      </c>
      <c r="C2383" s="3">
        <v>218145</v>
      </c>
      <c r="D2383" s="4" t="s">
        <v>17</v>
      </c>
      <c r="E2383" s="4" t="s">
        <v>1047</v>
      </c>
      <c r="F2383" s="4" t="s">
        <v>32</v>
      </c>
      <c r="G2383" s="4" t="s">
        <v>34</v>
      </c>
      <c r="H2383" s="5">
        <v>-900000</v>
      </c>
      <c r="I2383" s="4" t="s">
        <v>21</v>
      </c>
      <c r="J2383" s="5">
        <f t="shared" si="37"/>
        <v>3275100</v>
      </c>
      <c r="K2383" s="4" t="s">
        <v>49</v>
      </c>
      <c r="L2383" s="6">
        <v>3.6389999999999998</v>
      </c>
      <c r="M2383" s="6">
        <v>0.27479999999999999</v>
      </c>
      <c r="N2383" s="6">
        <v>3.6345999999999998</v>
      </c>
      <c r="O2383" s="6">
        <v>1</v>
      </c>
      <c r="P2383" s="5">
        <v>3960</v>
      </c>
      <c r="Q2383" s="4" t="s">
        <v>1390</v>
      </c>
    </row>
    <row r="2384" spans="1:17" x14ac:dyDescent="0.3">
      <c r="A2384" s="2" t="s">
        <v>1389</v>
      </c>
      <c r="B2384" s="3">
        <v>157653</v>
      </c>
      <c r="C2384" s="3">
        <v>218154</v>
      </c>
      <c r="D2384" s="4" t="s">
        <v>17</v>
      </c>
      <c r="E2384" s="4" t="s">
        <v>805</v>
      </c>
      <c r="F2384" s="4" t="s">
        <v>32</v>
      </c>
      <c r="G2384" s="4" t="s">
        <v>20</v>
      </c>
      <c r="H2384" s="5">
        <v>-10000</v>
      </c>
      <c r="I2384" s="4" t="s">
        <v>21</v>
      </c>
      <c r="J2384" s="5">
        <f t="shared" si="37"/>
        <v>42394.999999999993</v>
      </c>
      <c r="K2384" s="4" t="s">
        <v>49</v>
      </c>
      <c r="L2384" s="6">
        <v>4.2394999999999996</v>
      </c>
      <c r="M2384" s="6">
        <v>0.2359</v>
      </c>
      <c r="N2384" s="6">
        <v>4.2191999999999998</v>
      </c>
      <c r="O2384" s="6">
        <v>1</v>
      </c>
      <c r="P2384" s="5">
        <v>198</v>
      </c>
      <c r="Q2384" s="4" t="s">
        <v>1390</v>
      </c>
    </row>
    <row r="2385" spans="1:17" x14ac:dyDescent="0.3">
      <c r="A2385" s="2" t="s">
        <v>1389</v>
      </c>
      <c r="B2385" s="3">
        <v>157656</v>
      </c>
      <c r="C2385" s="3">
        <v>218160</v>
      </c>
      <c r="D2385" s="4" t="s">
        <v>17</v>
      </c>
      <c r="E2385" s="4" t="s">
        <v>775</v>
      </c>
      <c r="F2385" s="4" t="s">
        <v>19</v>
      </c>
      <c r="G2385" s="4" t="s">
        <v>20</v>
      </c>
      <c r="H2385" s="5">
        <v>286000</v>
      </c>
      <c r="I2385" s="4" t="s">
        <v>21</v>
      </c>
      <c r="J2385" s="5">
        <f t="shared" si="37"/>
        <v>-1204346</v>
      </c>
      <c r="K2385" s="4" t="s">
        <v>49</v>
      </c>
      <c r="L2385" s="6">
        <v>4.2110000000000003</v>
      </c>
      <c r="M2385" s="6">
        <v>0.23749999999999999</v>
      </c>
      <c r="N2385" s="6">
        <v>4.2191999999999998</v>
      </c>
      <c r="O2385" s="6">
        <v>1</v>
      </c>
      <c r="P2385" s="5">
        <v>2345.1999999999534</v>
      </c>
      <c r="Q2385" s="4" t="s">
        <v>1390</v>
      </c>
    </row>
    <row r="2386" spans="1:17" x14ac:dyDescent="0.3">
      <c r="A2386" s="2" t="s">
        <v>1389</v>
      </c>
      <c r="B2386" s="3">
        <v>157659</v>
      </c>
      <c r="C2386" s="3">
        <v>218163</v>
      </c>
      <c r="D2386" s="4" t="s">
        <v>17</v>
      </c>
      <c r="E2386" s="4" t="s">
        <v>1347</v>
      </c>
      <c r="F2386" s="4" t="s">
        <v>19</v>
      </c>
      <c r="G2386" s="4" t="s">
        <v>20</v>
      </c>
      <c r="H2386" s="5">
        <v>711000</v>
      </c>
      <c r="I2386" s="4" t="s">
        <v>21</v>
      </c>
      <c r="J2386" s="5">
        <f t="shared" si="37"/>
        <v>-2995158.6</v>
      </c>
      <c r="K2386" s="4" t="s">
        <v>49</v>
      </c>
      <c r="L2386" s="6">
        <v>4.2126000000000001</v>
      </c>
      <c r="M2386" s="6">
        <v>0.2374</v>
      </c>
      <c r="N2386" s="6">
        <v>4.2191999999999998</v>
      </c>
      <c r="O2386" s="6">
        <v>1</v>
      </c>
      <c r="P2386" s="5">
        <v>4692.5999999996275</v>
      </c>
      <c r="Q2386" s="4" t="s">
        <v>1390</v>
      </c>
    </row>
    <row r="2387" spans="1:17" x14ac:dyDescent="0.3">
      <c r="A2387" s="2" t="s">
        <v>1389</v>
      </c>
      <c r="B2387" s="3">
        <v>157663</v>
      </c>
      <c r="C2387" s="3">
        <v>218165</v>
      </c>
      <c r="D2387" s="4" t="s">
        <v>17</v>
      </c>
      <c r="E2387" s="4" t="s">
        <v>786</v>
      </c>
      <c r="F2387" s="4" t="s">
        <v>32</v>
      </c>
      <c r="G2387" s="4" t="s">
        <v>34</v>
      </c>
      <c r="H2387" s="5">
        <v>-102587.39</v>
      </c>
      <c r="I2387" s="4" t="s">
        <v>21</v>
      </c>
      <c r="J2387" s="5">
        <f t="shared" si="37"/>
        <v>372802.57526000001</v>
      </c>
      <c r="K2387" s="4" t="s">
        <v>49</v>
      </c>
      <c r="L2387" s="6">
        <v>3.6339999999999999</v>
      </c>
      <c r="M2387" s="6">
        <v>0.2752</v>
      </c>
      <c r="N2387" s="6">
        <v>3.6345999999999998</v>
      </c>
      <c r="O2387" s="6">
        <v>1</v>
      </c>
      <c r="P2387" s="5">
        <v>-71.807693999999998</v>
      </c>
      <c r="Q2387" s="4" t="s">
        <v>1390</v>
      </c>
    </row>
    <row r="2388" spans="1:17" x14ac:dyDescent="0.3">
      <c r="A2388" s="2" t="s">
        <v>1389</v>
      </c>
      <c r="B2388" s="3">
        <v>157667</v>
      </c>
      <c r="C2388" s="3">
        <v>902337</v>
      </c>
      <c r="D2388" s="4" t="s">
        <v>81</v>
      </c>
      <c r="E2388" s="4" t="s">
        <v>732</v>
      </c>
      <c r="F2388" s="4" t="s">
        <v>83</v>
      </c>
      <c r="G2388" s="4" t="s">
        <v>20</v>
      </c>
      <c r="H2388" s="5">
        <v>-500000</v>
      </c>
      <c r="I2388" s="4" t="s">
        <v>21</v>
      </c>
      <c r="J2388" s="5">
        <f t="shared" si="37"/>
        <v>2111700</v>
      </c>
      <c r="K2388" s="4" t="s">
        <v>50</v>
      </c>
      <c r="L2388" s="6">
        <v>4.2233999999999998</v>
      </c>
      <c r="M2388" s="6">
        <v>0.23680000000000001</v>
      </c>
      <c r="N2388" s="6">
        <v>4.2279</v>
      </c>
      <c r="O2388" s="6">
        <v>1</v>
      </c>
      <c r="P2388" s="5">
        <v>-2255</v>
      </c>
      <c r="Q2388" s="4" t="s">
        <v>1394</v>
      </c>
    </row>
    <row r="2389" spans="1:17" x14ac:dyDescent="0.3">
      <c r="A2389" s="2" t="s">
        <v>1389</v>
      </c>
      <c r="B2389" s="3">
        <v>157668</v>
      </c>
      <c r="C2389" s="3">
        <v>218170</v>
      </c>
      <c r="D2389" s="4" t="s">
        <v>17</v>
      </c>
      <c r="E2389" s="4" t="s">
        <v>1042</v>
      </c>
      <c r="F2389" s="4" t="s">
        <v>19</v>
      </c>
      <c r="G2389" s="4" t="s">
        <v>20</v>
      </c>
      <c r="H2389" s="5">
        <v>74520</v>
      </c>
      <c r="I2389" s="4" t="s">
        <v>21</v>
      </c>
      <c r="J2389" s="5">
        <f t="shared" si="37"/>
        <v>-314228.484</v>
      </c>
      <c r="K2389" s="4" t="s">
        <v>49</v>
      </c>
      <c r="L2389" s="6">
        <v>4.2167000000000003</v>
      </c>
      <c r="M2389" s="6">
        <v>0.23719999999999999</v>
      </c>
      <c r="N2389" s="6">
        <v>4.2191999999999998</v>
      </c>
      <c r="O2389" s="6">
        <v>1</v>
      </c>
      <c r="P2389" s="5">
        <v>186.29999999998836</v>
      </c>
      <c r="Q2389" s="4" t="s">
        <v>1390</v>
      </c>
    </row>
    <row r="2390" spans="1:17" x14ac:dyDescent="0.3">
      <c r="A2390" s="2" t="s">
        <v>1389</v>
      </c>
      <c r="B2390" s="3">
        <v>157669</v>
      </c>
      <c r="C2390" s="3">
        <v>218171</v>
      </c>
      <c r="D2390" s="4" t="s">
        <v>17</v>
      </c>
      <c r="E2390" s="4" t="s">
        <v>1029</v>
      </c>
      <c r="F2390" s="4" t="s">
        <v>19</v>
      </c>
      <c r="G2390" s="4" t="s">
        <v>20</v>
      </c>
      <c r="H2390" s="5">
        <v>400000</v>
      </c>
      <c r="I2390" s="4" t="s">
        <v>21</v>
      </c>
      <c r="J2390" s="5">
        <f t="shared" si="37"/>
        <v>-1684600</v>
      </c>
      <c r="K2390" s="4" t="s">
        <v>49</v>
      </c>
      <c r="L2390" s="6">
        <v>4.2115</v>
      </c>
      <c r="M2390" s="6">
        <v>0.2374</v>
      </c>
      <c r="N2390" s="6">
        <v>4.2191999999999998</v>
      </c>
      <c r="O2390" s="6">
        <v>1</v>
      </c>
      <c r="P2390" s="5">
        <v>3080</v>
      </c>
      <c r="Q2390" s="4" t="s">
        <v>1390</v>
      </c>
    </row>
    <row r="2391" spans="1:17" x14ac:dyDescent="0.3">
      <c r="A2391" s="2" t="s">
        <v>1389</v>
      </c>
      <c r="B2391" s="3">
        <v>157672</v>
      </c>
      <c r="C2391" s="3">
        <v>902351</v>
      </c>
      <c r="D2391" s="4" t="s">
        <v>81</v>
      </c>
      <c r="E2391" s="4" t="s">
        <v>734</v>
      </c>
      <c r="F2391" s="4" t="s">
        <v>83</v>
      </c>
      <c r="G2391" s="4" t="s">
        <v>20</v>
      </c>
      <c r="H2391" s="5">
        <v>-500000</v>
      </c>
      <c r="I2391" s="4" t="s">
        <v>21</v>
      </c>
      <c r="J2391" s="5">
        <f t="shared" si="37"/>
        <v>2111850</v>
      </c>
      <c r="K2391" s="4" t="s">
        <v>50</v>
      </c>
      <c r="L2391" s="6">
        <v>4.2237</v>
      </c>
      <c r="M2391" s="6">
        <v>0.23680000000000001</v>
      </c>
      <c r="N2391" s="6">
        <v>4.2279</v>
      </c>
      <c r="O2391" s="6">
        <v>1</v>
      </c>
      <c r="P2391" s="5">
        <v>-2100</v>
      </c>
      <c r="Q2391" s="4" t="s">
        <v>1393</v>
      </c>
    </row>
    <row r="2392" spans="1:17" x14ac:dyDescent="0.3">
      <c r="A2392" s="2" t="s">
        <v>1389</v>
      </c>
      <c r="B2392" s="3">
        <v>157674</v>
      </c>
      <c r="C2392" s="3">
        <v>902355</v>
      </c>
      <c r="D2392" s="4" t="s">
        <v>81</v>
      </c>
      <c r="E2392" s="4" t="s">
        <v>742</v>
      </c>
      <c r="F2392" s="4" t="s">
        <v>83</v>
      </c>
      <c r="G2392" s="4" t="s">
        <v>20</v>
      </c>
      <c r="H2392" s="5">
        <v>-500000</v>
      </c>
      <c r="I2392" s="4" t="s">
        <v>21</v>
      </c>
      <c r="J2392" s="5">
        <f t="shared" si="37"/>
        <v>2112050</v>
      </c>
      <c r="K2392" s="4" t="s">
        <v>50</v>
      </c>
      <c r="L2392" s="6">
        <v>4.2241</v>
      </c>
      <c r="M2392" s="6">
        <v>0.23669999999999999</v>
      </c>
      <c r="N2392" s="6">
        <v>4.2279</v>
      </c>
      <c r="O2392" s="6">
        <v>1</v>
      </c>
      <c r="P2392" s="5">
        <v>-1885</v>
      </c>
      <c r="Q2392" s="4" t="s">
        <v>1396</v>
      </c>
    </row>
    <row r="2393" spans="1:17" x14ac:dyDescent="0.3">
      <c r="A2393" s="2" t="s">
        <v>1389</v>
      </c>
      <c r="B2393" s="3">
        <v>157677</v>
      </c>
      <c r="C2393" s="3">
        <v>218173</v>
      </c>
      <c r="D2393" s="4" t="s">
        <v>17</v>
      </c>
      <c r="E2393" s="4" t="s">
        <v>1328</v>
      </c>
      <c r="F2393" s="4" t="s">
        <v>19</v>
      </c>
      <c r="G2393" s="4" t="s">
        <v>20</v>
      </c>
      <c r="H2393" s="5">
        <v>200000</v>
      </c>
      <c r="I2393" s="4" t="s">
        <v>21</v>
      </c>
      <c r="J2393" s="5">
        <f t="shared" si="37"/>
        <v>-844200</v>
      </c>
      <c r="K2393" s="4" t="s">
        <v>49</v>
      </c>
      <c r="L2393" s="6">
        <v>4.2210000000000001</v>
      </c>
      <c r="M2393" s="6">
        <v>0.2369</v>
      </c>
      <c r="N2393" s="6">
        <v>4.2191999999999998</v>
      </c>
      <c r="O2393" s="6">
        <v>1</v>
      </c>
      <c r="P2393" s="5">
        <v>-360</v>
      </c>
      <c r="Q2393" s="4" t="s">
        <v>1390</v>
      </c>
    </row>
    <row r="2394" spans="1:17" x14ac:dyDescent="0.3">
      <c r="A2394" s="2" t="s">
        <v>1389</v>
      </c>
      <c r="B2394" s="3">
        <v>157678</v>
      </c>
      <c r="C2394" s="3">
        <v>218174</v>
      </c>
      <c r="D2394" s="4" t="s">
        <v>17</v>
      </c>
      <c r="E2394" s="4" t="s">
        <v>1143</v>
      </c>
      <c r="F2394" s="4" t="s">
        <v>32</v>
      </c>
      <c r="G2394" s="4" t="s">
        <v>20</v>
      </c>
      <c r="H2394" s="5">
        <v>-100000</v>
      </c>
      <c r="I2394" s="4" t="s">
        <v>21</v>
      </c>
      <c r="J2394" s="5">
        <f t="shared" si="37"/>
        <v>422980</v>
      </c>
      <c r="K2394" s="4" t="s">
        <v>49</v>
      </c>
      <c r="L2394" s="6">
        <v>4.2298</v>
      </c>
      <c r="M2394" s="6">
        <v>0.2364</v>
      </c>
      <c r="N2394" s="6">
        <v>4.2191999999999998</v>
      </c>
      <c r="O2394" s="6">
        <v>1</v>
      </c>
      <c r="P2394" s="5">
        <v>1010</v>
      </c>
      <c r="Q2394" s="4" t="s">
        <v>1390</v>
      </c>
    </row>
    <row r="2395" spans="1:17" x14ac:dyDescent="0.3">
      <c r="A2395" s="2" t="s">
        <v>1389</v>
      </c>
      <c r="B2395" s="3">
        <v>157679</v>
      </c>
      <c r="C2395" s="3">
        <v>218175</v>
      </c>
      <c r="D2395" s="4" t="s">
        <v>17</v>
      </c>
      <c r="E2395" s="4" t="s">
        <v>1139</v>
      </c>
      <c r="F2395" s="4" t="s">
        <v>19</v>
      </c>
      <c r="G2395" s="4" t="s">
        <v>20</v>
      </c>
      <c r="H2395" s="5">
        <v>53000</v>
      </c>
      <c r="I2395" s="4" t="s">
        <v>21</v>
      </c>
      <c r="J2395" s="5">
        <f t="shared" si="37"/>
        <v>-223236</v>
      </c>
      <c r="K2395" s="4" t="s">
        <v>49</v>
      </c>
      <c r="L2395" s="6">
        <v>4.2119999999999997</v>
      </c>
      <c r="M2395" s="6">
        <v>0.2374</v>
      </c>
      <c r="N2395" s="6">
        <v>4.2191999999999998</v>
      </c>
      <c r="O2395" s="6">
        <v>1</v>
      </c>
      <c r="P2395" s="5">
        <v>381.60000000000582</v>
      </c>
      <c r="Q2395" s="4" t="s">
        <v>1390</v>
      </c>
    </row>
    <row r="2396" spans="1:17" x14ac:dyDescent="0.3">
      <c r="A2396" s="2" t="s">
        <v>1389</v>
      </c>
      <c r="B2396" s="3">
        <v>157680</v>
      </c>
      <c r="C2396" s="3">
        <v>218176</v>
      </c>
      <c r="D2396" s="4" t="s">
        <v>17</v>
      </c>
      <c r="E2396" s="4" t="s">
        <v>1139</v>
      </c>
      <c r="F2396" s="4" t="s">
        <v>19</v>
      </c>
      <c r="G2396" s="4" t="s">
        <v>34</v>
      </c>
      <c r="H2396" s="5">
        <v>23000</v>
      </c>
      <c r="I2396" s="4" t="s">
        <v>21</v>
      </c>
      <c r="J2396" s="5">
        <f t="shared" si="37"/>
        <v>-83260</v>
      </c>
      <c r="K2396" s="4" t="s">
        <v>49</v>
      </c>
      <c r="L2396" s="6">
        <v>3.62</v>
      </c>
      <c r="M2396" s="6">
        <v>0.2762</v>
      </c>
      <c r="N2396" s="6">
        <v>3.6345999999999998</v>
      </c>
      <c r="O2396" s="6">
        <v>1</v>
      </c>
      <c r="P2396" s="5">
        <v>335.80000000000291</v>
      </c>
      <c r="Q2396" s="4" t="s">
        <v>1390</v>
      </c>
    </row>
    <row r="2397" spans="1:17" x14ac:dyDescent="0.3">
      <c r="A2397" s="2" t="s">
        <v>1389</v>
      </c>
      <c r="B2397" s="3">
        <v>157681</v>
      </c>
      <c r="C2397" s="3">
        <v>218179</v>
      </c>
      <c r="D2397" s="4" t="s">
        <v>17</v>
      </c>
      <c r="E2397" s="4" t="s">
        <v>1223</v>
      </c>
      <c r="F2397" s="4" t="s">
        <v>32</v>
      </c>
      <c r="G2397" s="4" t="s">
        <v>20</v>
      </c>
      <c r="H2397" s="5">
        <v>-2000</v>
      </c>
      <c r="I2397" s="4" t="s">
        <v>21</v>
      </c>
      <c r="J2397" s="5">
        <f t="shared" si="37"/>
        <v>8472</v>
      </c>
      <c r="K2397" s="4" t="s">
        <v>49</v>
      </c>
      <c r="L2397" s="6">
        <v>4.2359999999999998</v>
      </c>
      <c r="M2397" s="6">
        <v>0.2361</v>
      </c>
      <c r="N2397" s="6">
        <v>4.2191999999999998</v>
      </c>
      <c r="O2397" s="6">
        <v>1</v>
      </c>
      <c r="P2397" s="5">
        <v>33.6</v>
      </c>
      <c r="Q2397" s="4" t="s">
        <v>1390</v>
      </c>
    </row>
    <row r="2398" spans="1:17" x14ac:dyDescent="0.3">
      <c r="A2398" s="2" t="s">
        <v>1389</v>
      </c>
      <c r="B2398" s="3">
        <v>157682</v>
      </c>
      <c r="C2398" s="3">
        <v>218181</v>
      </c>
      <c r="D2398" s="4" t="s">
        <v>17</v>
      </c>
      <c r="E2398" s="4" t="s">
        <v>1202</v>
      </c>
      <c r="F2398" s="4" t="s">
        <v>19</v>
      </c>
      <c r="G2398" s="4" t="s">
        <v>20</v>
      </c>
      <c r="H2398" s="5">
        <v>50000</v>
      </c>
      <c r="I2398" s="4" t="s">
        <v>21</v>
      </c>
      <c r="J2398" s="5">
        <f t="shared" si="37"/>
        <v>-210625.00000000003</v>
      </c>
      <c r="K2398" s="4" t="s">
        <v>49</v>
      </c>
      <c r="L2398" s="6">
        <v>4.2125000000000004</v>
      </c>
      <c r="M2398" s="6">
        <v>0.2374</v>
      </c>
      <c r="N2398" s="6">
        <v>4.2191999999999998</v>
      </c>
      <c r="O2398" s="6">
        <v>1</v>
      </c>
      <c r="P2398" s="5">
        <v>334.9999999999709</v>
      </c>
      <c r="Q2398" s="4" t="s">
        <v>1390</v>
      </c>
    </row>
    <row r="2399" spans="1:17" x14ac:dyDescent="0.3">
      <c r="A2399" s="2" t="s">
        <v>1389</v>
      </c>
      <c r="B2399" s="3">
        <v>157683</v>
      </c>
      <c r="C2399" s="3">
        <v>218182</v>
      </c>
      <c r="D2399" s="4" t="s">
        <v>17</v>
      </c>
      <c r="E2399" s="4" t="s">
        <v>981</v>
      </c>
      <c r="F2399" s="4" t="s">
        <v>19</v>
      </c>
      <c r="G2399" s="4" t="s">
        <v>20</v>
      </c>
      <c r="H2399" s="5">
        <v>100000</v>
      </c>
      <c r="I2399" s="4" t="s">
        <v>21</v>
      </c>
      <c r="J2399" s="5">
        <f t="shared" si="37"/>
        <v>-421800</v>
      </c>
      <c r="K2399" s="4" t="s">
        <v>49</v>
      </c>
      <c r="L2399" s="6">
        <v>4.218</v>
      </c>
      <c r="M2399" s="6">
        <v>0.23710000000000001</v>
      </c>
      <c r="N2399" s="6">
        <v>4.2191999999999998</v>
      </c>
      <c r="O2399" s="6">
        <v>1</v>
      </c>
      <c r="P2399" s="5">
        <v>120</v>
      </c>
      <c r="Q2399" s="4" t="s">
        <v>1390</v>
      </c>
    </row>
    <row r="2400" spans="1:17" x14ac:dyDescent="0.3">
      <c r="A2400" s="2" t="s">
        <v>1389</v>
      </c>
      <c r="B2400" s="3">
        <v>157684</v>
      </c>
      <c r="C2400" s="3">
        <v>902389</v>
      </c>
      <c r="D2400" s="4" t="s">
        <v>81</v>
      </c>
      <c r="E2400" s="4" t="s">
        <v>1296</v>
      </c>
      <c r="F2400" s="4" t="s">
        <v>87</v>
      </c>
      <c r="G2400" s="4" t="s">
        <v>20</v>
      </c>
      <c r="H2400" s="5">
        <v>200000</v>
      </c>
      <c r="I2400" s="4" t="s">
        <v>21</v>
      </c>
      <c r="J2400" s="5">
        <f t="shared" si="37"/>
        <v>-844400.00000000012</v>
      </c>
      <c r="K2400" s="4" t="s">
        <v>50</v>
      </c>
      <c r="L2400" s="6">
        <v>4.2220000000000004</v>
      </c>
      <c r="M2400" s="6">
        <v>0.2369</v>
      </c>
      <c r="N2400" s="6">
        <v>4.2279</v>
      </c>
      <c r="O2400" s="6">
        <v>1</v>
      </c>
      <c r="P2400" s="5">
        <v>1180</v>
      </c>
      <c r="Q2400" s="4" t="s">
        <v>1390</v>
      </c>
    </row>
    <row r="2401" spans="1:17" x14ac:dyDescent="0.3">
      <c r="A2401" s="2" t="s">
        <v>1389</v>
      </c>
      <c r="B2401" s="3">
        <v>157686</v>
      </c>
      <c r="C2401" s="3">
        <v>218186</v>
      </c>
      <c r="D2401" s="4" t="s">
        <v>17</v>
      </c>
      <c r="E2401" s="4" t="s">
        <v>796</v>
      </c>
      <c r="F2401" s="4" t="s">
        <v>19</v>
      </c>
      <c r="G2401" s="4" t="s">
        <v>20</v>
      </c>
      <c r="H2401" s="5">
        <v>150000</v>
      </c>
      <c r="I2401" s="4" t="s">
        <v>34</v>
      </c>
      <c r="J2401" s="5">
        <f t="shared" si="37"/>
        <v>-174150</v>
      </c>
      <c r="K2401" s="4" t="s">
        <v>49</v>
      </c>
      <c r="L2401" s="6">
        <v>1.161</v>
      </c>
      <c r="M2401" s="6">
        <v>0.86129999999999995</v>
      </c>
      <c r="N2401" s="6">
        <v>4.2191999999999998</v>
      </c>
      <c r="O2401" s="6">
        <v>3.6345999999999998</v>
      </c>
      <c r="P2401" s="5">
        <v>-85.589999999967404</v>
      </c>
      <c r="Q2401" s="4" t="s">
        <v>1390</v>
      </c>
    </row>
    <row r="2402" spans="1:17" x14ac:dyDescent="0.3">
      <c r="A2402" s="2" t="s">
        <v>1389</v>
      </c>
      <c r="B2402" s="3">
        <v>157688</v>
      </c>
      <c r="C2402" s="3">
        <v>902408</v>
      </c>
      <c r="D2402" s="4" t="s">
        <v>81</v>
      </c>
      <c r="E2402" s="4" t="s">
        <v>725</v>
      </c>
      <c r="F2402" s="4" t="s">
        <v>83</v>
      </c>
      <c r="G2402" s="4" t="s">
        <v>20</v>
      </c>
      <c r="H2402" s="5">
        <v>-500000</v>
      </c>
      <c r="I2402" s="4" t="s">
        <v>21</v>
      </c>
      <c r="J2402" s="5">
        <f t="shared" si="37"/>
        <v>2112300</v>
      </c>
      <c r="K2402" s="4" t="s">
        <v>50</v>
      </c>
      <c r="L2402" s="6">
        <v>4.2245999999999997</v>
      </c>
      <c r="M2402" s="6">
        <v>0.23669999999999999</v>
      </c>
      <c r="N2402" s="6">
        <v>4.2279</v>
      </c>
      <c r="O2402" s="6">
        <v>1</v>
      </c>
      <c r="P2402" s="5">
        <v>-1660</v>
      </c>
      <c r="Q2402" s="4" t="s">
        <v>1392</v>
      </c>
    </row>
    <row r="2403" spans="1:17" x14ac:dyDescent="0.3">
      <c r="A2403" s="2" t="s">
        <v>1389</v>
      </c>
      <c r="B2403" s="3">
        <v>157689</v>
      </c>
      <c r="C2403" s="3">
        <v>902409</v>
      </c>
      <c r="D2403" s="4" t="s">
        <v>81</v>
      </c>
      <c r="E2403" s="4" t="s">
        <v>742</v>
      </c>
      <c r="F2403" s="4" t="s">
        <v>83</v>
      </c>
      <c r="G2403" s="4" t="s">
        <v>20</v>
      </c>
      <c r="H2403" s="5">
        <v>-500000</v>
      </c>
      <c r="I2403" s="4" t="s">
        <v>21</v>
      </c>
      <c r="J2403" s="5">
        <f t="shared" si="37"/>
        <v>2112700</v>
      </c>
      <c r="K2403" s="4" t="s">
        <v>50</v>
      </c>
      <c r="L2403" s="6">
        <v>4.2253999999999996</v>
      </c>
      <c r="M2403" s="6">
        <v>0.23669999999999999</v>
      </c>
      <c r="N2403" s="6">
        <v>4.2279</v>
      </c>
      <c r="O2403" s="6">
        <v>1</v>
      </c>
      <c r="P2403" s="5">
        <v>-1260</v>
      </c>
      <c r="Q2403" s="4" t="s">
        <v>1396</v>
      </c>
    </row>
    <row r="2404" spans="1:17" x14ac:dyDescent="0.3">
      <c r="A2404" s="2" t="s">
        <v>1389</v>
      </c>
      <c r="B2404" s="3">
        <v>157690</v>
      </c>
      <c r="C2404" s="3">
        <v>218188</v>
      </c>
      <c r="D2404" s="4" t="s">
        <v>17</v>
      </c>
      <c r="E2404" s="4" t="s">
        <v>963</v>
      </c>
      <c r="F2404" s="4" t="s">
        <v>19</v>
      </c>
      <c r="G2404" s="4" t="s">
        <v>20</v>
      </c>
      <c r="H2404" s="5">
        <v>130000</v>
      </c>
      <c r="I2404" s="4" t="s">
        <v>21</v>
      </c>
      <c r="J2404" s="5">
        <f t="shared" si="37"/>
        <v>-545220</v>
      </c>
      <c r="K2404" s="4" t="s">
        <v>49</v>
      </c>
      <c r="L2404" s="6">
        <v>4.194</v>
      </c>
      <c r="M2404" s="6">
        <v>0.2384</v>
      </c>
      <c r="N2404" s="6">
        <v>4.2191999999999998</v>
      </c>
      <c r="O2404" s="6">
        <v>1</v>
      </c>
      <c r="P2404" s="5">
        <v>3276</v>
      </c>
      <c r="Q2404" s="4" t="s">
        <v>1390</v>
      </c>
    </row>
    <row r="2405" spans="1:17" x14ac:dyDescent="0.3">
      <c r="A2405" s="2" t="s">
        <v>1389</v>
      </c>
      <c r="B2405" s="3">
        <v>157692</v>
      </c>
      <c r="C2405" s="3">
        <v>902413</v>
      </c>
      <c r="D2405" s="4" t="s">
        <v>81</v>
      </c>
      <c r="E2405" s="4" t="s">
        <v>742</v>
      </c>
      <c r="F2405" s="4" t="s">
        <v>83</v>
      </c>
      <c r="G2405" s="4" t="s">
        <v>20</v>
      </c>
      <c r="H2405" s="5">
        <v>-500000</v>
      </c>
      <c r="I2405" s="4" t="s">
        <v>21</v>
      </c>
      <c r="J2405" s="5">
        <f t="shared" si="37"/>
        <v>2112950</v>
      </c>
      <c r="K2405" s="4" t="s">
        <v>50</v>
      </c>
      <c r="L2405" s="6">
        <v>4.2259000000000002</v>
      </c>
      <c r="M2405" s="6">
        <v>0.2366</v>
      </c>
      <c r="N2405" s="6">
        <v>4.2279</v>
      </c>
      <c r="O2405" s="6">
        <v>1</v>
      </c>
      <c r="P2405" s="5">
        <v>-1000</v>
      </c>
      <c r="Q2405" s="4" t="s">
        <v>1396</v>
      </c>
    </row>
    <row r="2406" spans="1:17" x14ac:dyDescent="0.3">
      <c r="A2406" s="2" t="s">
        <v>1389</v>
      </c>
      <c r="B2406" s="3">
        <v>157693</v>
      </c>
      <c r="C2406" s="3">
        <v>218189</v>
      </c>
      <c r="D2406" s="4" t="s">
        <v>17</v>
      </c>
      <c r="E2406" s="4" t="s">
        <v>1154</v>
      </c>
      <c r="F2406" s="4" t="s">
        <v>32</v>
      </c>
      <c r="G2406" s="4" t="s">
        <v>20</v>
      </c>
      <c r="H2406" s="5">
        <v>-132000</v>
      </c>
      <c r="I2406" s="4" t="s">
        <v>21</v>
      </c>
      <c r="J2406" s="5">
        <f t="shared" si="37"/>
        <v>558003.6</v>
      </c>
      <c r="K2406" s="4" t="s">
        <v>49</v>
      </c>
      <c r="L2406" s="6">
        <v>4.2272999999999996</v>
      </c>
      <c r="M2406" s="6">
        <v>0.2366</v>
      </c>
      <c r="N2406" s="6">
        <v>4.2191999999999998</v>
      </c>
      <c r="O2406" s="6">
        <v>1</v>
      </c>
      <c r="P2406" s="5">
        <v>1003.2</v>
      </c>
      <c r="Q2406" s="4" t="s">
        <v>1390</v>
      </c>
    </row>
    <row r="2407" spans="1:17" x14ac:dyDescent="0.3">
      <c r="A2407" s="2" t="s">
        <v>1389</v>
      </c>
      <c r="B2407" s="3">
        <v>157696</v>
      </c>
      <c r="C2407" s="3">
        <v>218192</v>
      </c>
      <c r="D2407" s="4" t="s">
        <v>17</v>
      </c>
      <c r="E2407" s="4" t="s">
        <v>918</v>
      </c>
      <c r="F2407" s="4" t="s">
        <v>19</v>
      </c>
      <c r="G2407" s="4" t="s">
        <v>20</v>
      </c>
      <c r="H2407" s="5">
        <v>5000</v>
      </c>
      <c r="I2407" s="4" t="s">
        <v>21</v>
      </c>
      <c r="J2407" s="5">
        <f t="shared" si="37"/>
        <v>-21110.000000000004</v>
      </c>
      <c r="K2407" s="4" t="s">
        <v>39</v>
      </c>
      <c r="L2407" s="6">
        <v>4.2220000000000004</v>
      </c>
      <c r="M2407" s="6">
        <v>0.2369</v>
      </c>
      <c r="N2407" s="6">
        <v>4.2230999999999996</v>
      </c>
      <c r="O2407" s="6">
        <v>1</v>
      </c>
      <c r="P2407" s="5">
        <v>5.499999999992724</v>
      </c>
      <c r="Q2407" s="4" t="s">
        <v>1390</v>
      </c>
    </row>
    <row r="2408" spans="1:17" x14ac:dyDescent="0.3">
      <c r="A2408" s="2" t="s">
        <v>1389</v>
      </c>
      <c r="B2408" s="3">
        <v>157697</v>
      </c>
      <c r="C2408" s="3">
        <v>218194</v>
      </c>
      <c r="D2408" s="4" t="s">
        <v>17</v>
      </c>
      <c r="E2408" s="4" t="s">
        <v>975</v>
      </c>
      <c r="F2408" s="4" t="s">
        <v>19</v>
      </c>
      <c r="G2408" s="4" t="s">
        <v>20</v>
      </c>
      <c r="H2408" s="5">
        <v>7000</v>
      </c>
      <c r="I2408" s="4" t="s">
        <v>21</v>
      </c>
      <c r="J2408" s="5">
        <f t="shared" si="37"/>
        <v>-29491</v>
      </c>
      <c r="K2408" s="4" t="s">
        <v>49</v>
      </c>
      <c r="L2408" s="6">
        <v>4.2130000000000001</v>
      </c>
      <c r="M2408" s="6">
        <v>0.2374</v>
      </c>
      <c r="N2408" s="6">
        <v>4.2191999999999998</v>
      </c>
      <c r="O2408" s="6">
        <v>1</v>
      </c>
      <c r="P2408" s="5">
        <v>43.399999999997817</v>
      </c>
      <c r="Q2408" s="4" t="s">
        <v>1390</v>
      </c>
    </row>
    <row r="2409" spans="1:17" x14ac:dyDescent="0.3">
      <c r="A2409" s="2" t="s">
        <v>1389</v>
      </c>
      <c r="B2409" s="3">
        <v>157698</v>
      </c>
      <c r="C2409" s="3">
        <v>218199</v>
      </c>
      <c r="D2409" s="4" t="s">
        <v>17</v>
      </c>
      <c r="E2409" s="4" t="s">
        <v>826</v>
      </c>
      <c r="F2409" s="4" t="s">
        <v>19</v>
      </c>
      <c r="G2409" s="4" t="s">
        <v>20</v>
      </c>
      <c r="H2409" s="5">
        <v>20000</v>
      </c>
      <c r="I2409" s="4" t="s">
        <v>21</v>
      </c>
      <c r="J2409" s="5">
        <f t="shared" si="37"/>
        <v>-84454</v>
      </c>
      <c r="K2409" s="4" t="s">
        <v>49</v>
      </c>
      <c r="L2409" s="6">
        <v>4.2226999999999997</v>
      </c>
      <c r="M2409" s="6">
        <v>0.23680000000000001</v>
      </c>
      <c r="N2409" s="6">
        <v>4.2191999999999998</v>
      </c>
      <c r="O2409" s="6">
        <v>1</v>
      </c>
      <c r="P2409" s="5">
        <v>-70</v>
      </c>
      <c r="Q2409" s="4" t="s">
        <v>1390</v>
      </c>
    </row>
    <row r="2410" spans="1:17" x14ac:dyDescent="0.3">
      <c r="A2410" s="2" t="s">
        <v>1389</v>
      </c>
      <c r="B2410" s="3">
        <v>157699</v>
      </c>
      <c r="C2410" s="3">
        <v>902449</v>
      </c>
      <c r="D2410" s="4" t="s">
        <v>81</v>
      </c>
      <c r="E2410" s="4" t="s">
        <v>732</v>
      </c>
      <c r="F2410" s="4" t="s">
        <v>83</v>
      </c>
      <c r="G2410" s="4" t="s">
        <v>20</v>
      </c>
      <c r="H2410" s="5">
        <v>-500000</v>
      </c>
      <c r="I2410" s="4" t="s">
        <v>21</v>
      </c>
      <c r="J2410" s="5">
        <f t="shared" si="37"/>
        <v>2112800</v>
      </c>
      <c r="K2410" s="4" t="s">
        <v>50</v>
      </c>
      <c r="L2410" s="6">
        <v>4.2256</v>
      </c>
      <c r="M2410" s="6">
        <v>0.23669999999999999</v>
      </c>
      <c r="N2410" s="6">
        <v>4.2279</v>
      </c>
      <c r="O2410" s="6">
        <v>1</v>
      </c>
      <c r="P2410" s="5">
        <v>-1170</v>
      </c>
      <c r="Q2410" s="4" t="s">
        <v>1394</v>
      </c>
    </row>
    <row r="2411" spans="1:17" x14ac:dyDescent="0.3">
      <c r="A2411" s="2" t="s">
        <v>1389</v>
      </c>
      <c r="B2411" s="3">
        <v>157700</v>
      </c>
      <c r="C2411" s="3">
        <v>902450</v>
      </c>
      <c r="D2411" s="4" t="s">
        <v>81</v>
      </c>
      <c r="E2411" s="4" t="s">
        <v>734</v>
      </c>
      <c r="F2411" s="4" t="s">
        <v>83</v>
      </c>
      <c r="G2411" s="4" t="s">
        <v>20</v>
      </c>
      <c r="H2411" s="5">
        <v>-100000</v>
      </c>
      <c r="I2411" s="4" t="s">
        <v>34</v>
      </c>
      <c r="J2411" s="5">
        <f t="shared" si="37"/>
        <v>116260.00000000001</v>
      </c>
      <c r="K2411" s="4" t="s">
        <v>50</v>
      </c>
      <c r="L2411" s="6">
        <v>1.1626000000000001</v>
      </c>
      <c r="M2411" s="6">
        <v>0.86009999999999998</v>
      </c>
      <c r="N2411" s="6">
        <v>4.2279</v>
      </c>
      <c r="O2411" s="6">
        <v>3.6053999999999999</v>
      </c>
      <c r="P2411" s="5">
        <v>-3626.1959999999999</v>
      </c>
      <c r="Q2411" s="4" t="s">
        <v>1393</v>
      </c>
    </row>
    <row r="2412" spans="1:17" x14ac:dyDescent="0.3">
      <c r="A2412" s="2" t="s">
        <v>1389</v>
      </c>
      <c r="B2412" s="3">
        <v>157701</v>
      </c>
      <c r="C2412" s="3">
        <v>218200</v>
      </c>
      <c r="D2412" s="4" t="s">
        <v>17</v>
      </c>
      <c r="E2412" s="4" t="s">
        <v>1235</v>
      </c>
      <c r="F2412" s="4" t="s">
        <v>32</v>
      </c>
      <c r="G2412" s="4" t="s">
        <v>20</v>
      </c>
      <c r="H2412" s="5">
        <v>-20000</v>
      </c>
      <c r="I2412" s="4" t="s">
        <v>21</v>
      </c>
      <c r="J2412" s="5">
        <f t="shared" si="37"/>
        <v>85269.999999999985</v>
      </c>
      <c r="K2412" s="4" t="s">
        <v>49</v>
      </c>
      <c r="L2412" s="6">
        <v>4.2634999999999996</v>
      </c>
      <c r="M2412" s="6">
        <v>0.23449999999999999</v>
      </c>
      <c r="N2412" s="6">
        <v>4.2191999999999998</v>
      </c>
      <c r="O2412" s="6">
        <v>1</v>
      </c>
      <c r="P2412" s="5">
        <v>886</v>
      </c>
      <c r="Q2412" s="4" t="s">
        <v>1390</v>
      </c>
    </row>
    <row r="2413" spans="1:17" x14ac:dyDescent="0.3">
      <c r="A2413" s="2" t="s">
        <v>1389</v>
      </c>
      <c r="B2413" s="3">
        <v>157702</v>
      </c>
      <c r="C2413" s="3">
        <v>902454</v>
      </c>
      <c r="D2413" s="4" t="s">
        <v>81</v>
      </c>
      <c r="E2413" s="4" t="s">
        <v>725</v>
      </c>
      <c r="F2413" s="4" t="s">
        <v>83</v>
      </c>
      <c r="G2413" s="4" t="s">
        <v>20</v>
      </c>
      <c r="H2413" s="5">
        <v>-500000</v>
      </c>
      <c r="I2413" s="4" t="s">
        <v>21</v>
      </c>
      <c r="J2413" s="5">
        <f t="shared" si="37"/>
        <v>2112850</v>
      </c>
      <c r="K2413" s="4" t="s">
        <v>50</v>
      </c>
      <c r="L2413" s="6">
        <v>4.2256999999999998</v>
      </c>
      <c r="M2413" s="6">
        <v>0.2366</v>
      </c>
      <c r="N2413" s="6">
        <v>4.2279</v>
      </c>
      <c r="O2413" s="6">
        <v>1</v>
      </c>
      <c r="P2413" s="5">
        <v>-1100</v>
      </c>
      <c r="Q2413" s="4" t="s">
        <v>1392</v>
      </c>
    </row>
    <row r="2414" spans="1:17" x14ac:dyDescent="0.3">
      <c r="A2414" s="2" t="s">
        <v>1389</v>
      </c>
      <c r="B2414" s="3">
        <v>157703</v>
      </c>
      <c r="C2414" s="3">
        <v>218203</v>
      </c>
      <c r="D2414" s="4" t="s">
        <v>17</v>
      </c>
      <c r="E2414" s="4" t="s">
        <v>1171</v>
      </c>
      <c r="F2414" s="4" t="s">
        <v>19</v>
      </c>
      <c r="G2414" s="4" t="s">
        <v>20</v>
      </c>
      <c r="H2414" s="5">
        <v>100000</v>
      </c>
      <c r="I2414" s="4" t="s">
        <v>21</v>
      </c>
      <c r="J2414" s="5">
        <f t="shared" si="37"/>
        <v>-421200</v>
      </c>
      <c r="K2414" s="4" t="s">
        <v>49</v>
      </c>
      <c r="L2414" s="6">
        <v>4.2119999999999997</v>
      </c>
      <c r="M2414" s="6">
        <v>0.2374</v>
      </c>
      <c r="N2414" s="6">
        <v>4.2191999999999998</v>
      </c>
      <c r="O2414" s="6">
        <v>1</v>
      </c>
      <c r="P2414" s="5">
        <v>720</v>
      </c>
      <c r="Q2414" s="4" t="s">
        <v>1390</v>
      </c>
    </row>
    <row r="2415" spans="1:17" x14ac:dyDescent="0.3">
      <c r="A2415" s="2" t="s">
        <v>1389</v>
      </c>
      <c r="B2415" s="3">
        <v>157704</v>
      </c>
      <c r="C2415" s="3">
        <v>902468</v>
      </c>
      <c r="D2415" s="4" t="s">
        <v>81</v>
      </c>
      <c r="E2415" s="4" t="s">
        <v>1166</v>
      </c>
      <c r="F2415" s="4" t="s">
        <v>87</v>
      </c>
      <c r="G2415" s="4" t="s">
        <v>20</v>
      </c>
      <c r="H2415" s="5">
        <v>10000</v>
      </c>
      <c r="I2415" s="4" t="s">
        <v>21</v>
      </c>
      <c r="J2415" s="5">
        <f t="shared" si="37"/>
        <v>-42170</v>
      </c>
      <c r="K2415" s="4" t="s">
        <v>50</v>
      </c>
      <c r="L2415" s="6">
        <v>4.2169999999999996</v>
      </c>
      <c r="M2415" s="6">
        <v>0.23710000000000001</v>
      </c>
      <c r="N2415" s="6">
        <v>4.2279</v>
      </c>
      <c r="O2415" s="6">
        <v>1</v>
      </c>
      <c r="P2415" s="5">
        <v>109</v>
      </c>
      <c r="Q2415" s="4" t="s">
        <v>1390</v>
      </c>
    </row>
    <row r="2416" spans="1:17" x14ac:dyDescent="0.3">
      <c r="A2416" s="2" t="s">
        <v>1389</v>
      </c>
      <c r="B2416" s="3">
        <v>157705</v>
      </c>
      <c r="C2416" s="3">
        <v>902475</v>
      </c>
      <c r="D2416" s="4" t="s">
        <v>81</v>
      </c>
      <c r="E2416" s="4" t="s">
        <v>734</v>
      </c>
      <c r="F2416" s="4" t="s">
        <v>83</v>
      </c>
      <c r="G2416" s="4" t="s">
        <v>20</v>
      </c>
      <c r="H2416" s="5">
        <v>-500000</v>
      </c>
      <c r="I2416" s="4" t="s">
        <v>21</v>
      </c>
      <c r="J2416" s="5">
        <f t="shared" si="37"/>
        <v>2112850</v>
      </c>
      <c r="K2416" s="4" t="s">
        <v>50</v>
      </c>
      <c r="L2416" s="6">
        <v>4.2256999999999998</v>
      </c>
      <c r="M2416" s="6">
        <v>0.2366</v>
      </c>
      <c r="N2416" s="6">
        <v>4.2279</v>
      </c>
      <c r="O2416" s="6">
        <v>1</v>
      </c>
      <c r="P2416" s="5">
        <v>-1100</v>
      </c>
      <c r="Q2416" s="4" t="s">
        <v>1393</v>
      </c>
    </row>
    <row r="2417" spans="1:17" x14ac:dyDescent="0.3">
      <c r="A2417" s="2" t="s">
        <v>1389</v>
      </c>
      <c r="B2417" s="3">
        <v>157708</v>
      </c>
      <c r="C2417" s="3">
        <v>218206</v>
      </c>
      <c r="D2417" s="4" t="s">
        <v>17</v>
      </c>
      <c r="E2417" s="4" t="s">
        <v>1341</v>
      </c>
      <c r="F2417" s="4" t="s">
        <v>19</v>
      </c>
      <c r="G2417" s="4" t="s">
        <v>20</v>
      </c>
      <c r="H2417" s="5">
        <v>50000</v>
      </c>
      <c r="I2417" s="4" t="s">
        <v>21</v>
      </c>
      <c r="J2417" s="5">
        <f t="shared" si="37"/>
        <v>-210725</v>
      </c>
      <c r="K2417" s="4" t="s">
        <v>49</v>
      </c>
      <c r="L2417" s="6">
        <v>4.2145000000000001</v>
      </c>
      <c r="M2417" s="6">
        <v>0.23730000000000001</v>
      </c>
      <c r="N2417" s="6">
        <v>4.2191999999999998</v>
      </c>
      <c r="O2417" s="6">
        <v>1</v>
      </c>
      <c r="P2417" s="5">
        <v>235</v>
      </c>
      <c r="Q2417" s="4" t="s">
        <v>1390</v>
      </c>
    </row>
    <row r="2418" spans="1:17" x14ac:dyDescent="0.3">
      <c r="A2418" s="2" t="s">
        <v>1389</v>
      </c>
      <c r="B2418" s="3">
        <v>157709</v>
      </c>
      <c r="C2418" s="3">
        <v>218207</v>
      </c>
      <c r="D2418" s="4" t="s">
        <v>17</v>
      </c>
      <c r="E2418" s="4" t="s">
        <v>1074</v>
      </c>
      <c r="F2418" s="4" t="s">
        <v>19</v>
      </c>
      <c r="G2418" s="4" t="s">
        <v>20</v>
      </c>
      <c r="H2418" s="5">
        <v>30000</v>
      </c>
      <c r="I2418" s="4" t="s">
        <v>21</v>
      </c>
      <c r="J2418" s="5">
        <f t="shared" si="37"/>
        <v>-126357</v>
      </c>
      <c r="K2418" s="4" t="s">
        <v>49</v>
      </c>
      <c r="L2418" s="6">
        <v>4.2119</v>
      </c>
      <c r="M2418" s="6">
        <v>0.2374</v>
      </c>
      <c r="N2418" s="6">
        <v>4.2191999999999998</v>
      </c>
      <c r="O2418" s="6">
        <v>1</v>
      </c>
      <c r="P2418" s="5">
        <v>219</v>
      </c>
      <c r="Q2418" s="4" t="s">
        <v>1390</v>
      </c>
    </row>
    <row r="2419" spans="1:17" x14ac:dyDescent="0.3">
      <c r="A2419" s="2" t="s">
        <v>1389</v>
      </c>
      <c r="B2419" s="3">
        <v>157710</v>
      </c>
      <c r="C2419" s="3">
        <v>218209</v>
      </c>
      <c r="D2419" s="4" t="s">
        <v>17</v>
      </c>
      <c r="E2419" s="4" t="s">
        <v>1003</v>
      </c>
      <c r="F2419" s="4" t="s">
        <v>19</v>
      </c>
      <c r="G2419" s="4" t="s">
        <v>20</v>
      </c>
      <c r="H2419" s="5">
        <v>60000</v>
      </c>
      <c r="I2419" s="4" t="s">
        <v>21</v>
      </c>
      <c r="J2419" s="5">
        <f t="shared" si="37"/>
        <v>-252300</v>
      </c>
      <c r="K2419" s="4" t="s">
        <v>49</v>
      </c>
      <c r="L2419" s="6">
        <v>4.2050000000000001</v>
      </c>
      <c r="M2419" s="6">
        <v>0.23780000000000001</v>
      </c>
      <c r="N2419" s="6">
        <v>4.2191999999999998</v>
      </c>
      <c r="O2419" s="6">
        <v>1</v>
      </c>
      <c r="P2419" s="5">
        <v>852</v>
      </c>
      <c r="Q2419" s="4" t="s">
        <v>1390</v>
      </c>
    </row>
    <row r="2420" spans="1:17" x14ac:dyDescent="0.3">
      <c r="A2420" s="2" t="s">
        <v>1389</v>
      </c>
      <c r="B2420" s="3">
        <v>157711</v>
      </c>
      <c r="C2420" s="3">
        <v>218212</v>
      </c>
      <c r="D2420" s="4" t="s">
        <v>17</v>
      </c>
      <c r="E2420" s="4" t="s">
        <v>1163</v>
      </c>
      <c r="F2420" s="4" t="s">
        <v>32</v>
      </c>
      <c r="G2420" s="4" t="s">
        <v>20</v>
      </c>
      <c r="H2420" s="5">
        <v>-250000</v>
      </c>
      <c r="I2420" s="4" t="s">
        <v>21</v>
      </c>
      <c r="J2420" s="5">
        <f t="shared" si="37"/>
        <v>1056875</v>
      </c>
      <c r="K2420" s="4" t="s">
        <v>49</v>
      </c>
      <c r="L2420" s="6">
        <v>4.2275</v>
      </c>
      <c r="M2420" s="6">
        <v>0.23649999999999999</v>
      </c>
      <c r="N2420" s="6">
        <v>4.2191999999999998</v>
      </c>
      <c r="O2420" s="6">
        <v>1</v>
      </c>
      <c r="P2420" s="5">
        <v>1950</v>
      </c>
      <c r="Q2420" s="4" t="s">
        <v>1390</v>
      </c>
    </row>
    <row r="2421" spans="1:17" x14ac:dyDescent="0.3">
      <c r="A2421" s="2" t="s">
        <v>1389</v>
      </c>
      <c r="B2421" s="3">
        <v>157712</v>
      </c>
      <c r="C2421" s="3">
        <v>902507</v>
      </c>
      <c r="D2421" s="4" t="s">
        <v>81</v>
      </c>
      <c r="E2421" s="4" t="s">
        <v>725</v>
      </c>
      <c r="F2421" s="4" t="s">
        <v>83</v>
      </c>
      <c r="G2421" s="4" t="s">
        <v>20</v>
      </c>
      <c r="H2421" s="5">
        <v>-500000</v>
      </c>
      <c r="I2421" s="4" t="s">
        <v>21</v>
      </c>
      <c r="J2421" s="5">
        <f t="shared" si="37"/>
        <v>2112850</v>
      </c>
      <c r="K2421" s="4" t="s">
        <v>50</v>
      </c>
      <c r="L2421" s="6">
        <v>4.2256999999999998</v>
      </c>
      <c r="M2421" s="6">
        <v>0.2366</v>
      </c>
      <c r="N2421" s="6">
        <v>4.2279</v>
      </c>
      <c r="O2421" s="6">
        <v>1</v>
      </c>
      <c r="P2421" s="5">
        <v>-1090</v>
      </c>
      <c r="Q2421" s="4" t="s">
        <v>1392</v>
      </c>
    </row>
    <row r="2422" spans="1:17" x14ac:dyDescent="0.3">
      <c r="A2422" s="2" t="s">
        <v>1389</v>
      </c>
      <c r="B2422" s="3">
        <v>157713</v>
      </c>
      <c r="C2422" s="3">
        <v>218224</v>
      </c>
      <c r="D2422" s="4" t="s">
        <v>17</v>
      </c>
      <c r="E2422" s="4" t="s">
        <v>848</v>
      </c>
      <c r="F2422" s="4" t="s">
        <v>32</v>
      </c>
      <c r="G2422" s="4" t="s">
        <v>20</v>
      </c>
      <c r="H2422" s="5">
        <v>-200000</v>
      </c>
      <c r="I2422" s="4" t="s">
        <v>21</v>
      </c>
      <c r="J2422" s="5">
        <f t="shared" si="37"/>
        <v>847519.99999999988</v>
      </c>
      <c r="K2422" s="4" t="s">
        <v>49</v>
      </c>
      <c r="L2422" s="6">
        <v>4.2375999999999996</v>
      </c>
      <c r="M2422" s="6">
        <v>0.23599999999999999</v>
      </c>
      <c r="N2422" s="6">
        <v>4.2191999999999998</v>
      </c>
      <c r="O2422" s="6">
        <v>1</v>
      </c>
      <c r="P2422" s="5">
        <v>3520</v>
      </c>
      <c r="Q2422" s="4" t="s">
        <v>1390</v>
      </c>
    </row>
    <row r="2423" spans="1:17" x14ac:dyDescent="0.3">
      <c r="A2423" s="2" t="s">
        <v>1389</v>
      </c>
      <c r="B2423" s="3">
        <v>157714</v>
      </c>
      <c r="C2423" s="3">
        <v>218225</v>
      </c>
      <c r="D2423" s="4" t="s">
        <v>17</v>
      </c>
      <c r="E2423" s="4" t="s">
        <v>848</v>
      </c>
      <c r="F2423" s="4" t="s">
        <v>32</v>
      </c>
      <c r="G2423" s="4" t="s">
        <v>34</v>
      </c>
      <c r="H2423" s="5">
        <v>-150000</v>
      </c>
      <c r="I2423" s="4" t="s">
        <v>21</v>
      </c>
      <c r="J2423" s="5">
        <f t="shared" si="37"/>
        <v>547035</v>
      </c>
      <c r="K2423" s="4" t="s">
        <v>49</v>
      </c>
      <c r="L2423" s="6">
        <v>3.6469</v>
      </c>
      <c r="M2423" s="6">
        <v>0.2742</v>
      </c>
      <c r="N2423" s="6">
        <v>3.6345999999999998</v>
      </c>
      <c r="O2423" s="6">
        <v>1</v>
      </c>
      <c r="P2423" s="5">
        <v>1785</v>
      </c>
      <c r="Q2423" s="4" t="s">
        <v>1390</v>
      </c>
    </row>
    <row r="2424" spans="1:17" x14ac:dyDescent="0.3">
      <c r="A2424" s="2" t="s">
        <v>1389</v>
      </c>
      <c r="B2424" s="3">
        <v>157715</v>
      </c>
      <c r="C2424" s="3">
        <v>902550</v>
      </c>
      <c r="D2424" s="4" t="s">
        <v>81</v>
      </c>
      <c r="E2424" s="4" t="s">
        <v>733</v>
      </c>
      <c r="F2424" s="4" t="s">
        <v>83</v>
      </c>
      <c r="G2424" s="4" t="s">
        <v>20</v>
      </c>
      <c r="H2424" s="5">
        <v>-500000</v>
      </c>
      <c r="I2424" s="4" t="s">
        <v>21</v>
      </c>
      <c r="J2424" s="5">
        <f t="shared" si="37"/>
        <v>2113100</v>
      </c>
      <c r="K2424" s="4" t="s">
        <v>50</v>
      </c>
      <c r="L2424" s="6">
        <v>4.2262000000000004</v>
      </c>
      <c r="M2424" s="6">
        <v>0.2366</v>
      </c>
      <c r="N2424" s="6">
        <v>4.2279</v>
      </c>
      <c r="O2424" s="6">
        <v>1</v>
      </c>
      <c r="P2424" s="5">
        <v>-835</v>
      </c>
      <c r="Q2424" s="4" t="s">
        <v>1391</v>
      </c>
    </row>
    <row r="2425" spans="1:17" x14ac:dyDescent="0.3">
      <c r="A2425" s="2" t="s">
        <v>1389</v>
      </c>
      <c r="B2425" s="3">
        <v>157722</v>
      </c>
      <c r="C2425" s="3">
        <v>218234</v>
      </c>
      <c r="D2425" s="4" t="s">
        <v>17</v>
      </c>
      <c r="E2425" s="4" t="s">
        <v>1197</v>
      </c>
      <c r="F2425" s="4" t="s">
        <v>19</v>
      </c>
      <c r="G2425" s="4" t="s">
        <v>91</v>
      </c>
      <c r="H2425" s="5">
        <v>100000</v>
      </c>
      <c r="I2425" s="4" t="s">
        <v>21</v>
      </c>
      <c r="J2425" s="5">
        <f t="shared" si="37"/>
        <v>-486290</v>
      </c>
      <c r="K2425" s="4" t="s">
        <v>49</v>
      </c>
      <c r="L2425" s="6">
        <v>4.8628999999999998</v>
      </c>
      <c r="M2425" s="6">
        <v>0.2056</v>
      </c>
      <c r="N2425" s="6">
        <v>4.8692000000000002</v>
      </c>
      <c r="O2425" s="6">
        <v>1</v>
      </c>
      <c r="P2425" s="5">
        <v>630</v>
      </c>
      <c r="Q2425" s="4" t="s">
        <v>1390</v>
      </c>
    </row>
    <row r="2426" spans="1:17" x14ac:dyDescent="0.3">
      <c r="A2426" s="2" t="s">
        <v>1389</v>
      </c>
      <c r="B2426" s="3">
        <v>157723</v>
      </c>
      <c r="C2426" s="3">
        <v>218236</v>
      </c>
      <c r="D2426" s="4" t="s">
        <v>17</v>
      </c>
      <c r="E2426" s="4" t="s">
        <v>887</v>
      </c>
      <c r="F2426" s="4" t="s">
        <v>19</v>
      </c>
      <c r="G2426" s="4" t="s">
        <v>20</v>
      </c>
      <c r="H2426" s="5">
        <v>4700</v>
      </c>
      <c r="I2426" s="4" t="s">
        <v>21</v>
      </c>
      <c r="J2426" s="5">
        <f t="shared" si="37"/>
        <v>-19829.300000000003</v>
      </c>
      <c r="K2426" s="4" t="s">
        <v>49</v>
      </c>
      <c r="L2426" s="6">
        <v>4.2190000000000003</v>
      </c>
      <c r="M2426" s="6">
        <v>0.23699999999999999</v>
      </c>
      <c r="N2426" s="6">
        <v>4.2191999999999998</v>
      </c>
      <c r="O2426" s="6">
        <v>1</v>
      </c>
      <c r="P2426" s="5">
        <v>0.93999999999505235</v>
      </c>
      <c r="Q2426" s="4" t="s">
        <v>1390</v>
      </c>
    </row>
    <row r="2427" spans="1:17" x14ac:dyDescent="0.3">
      <c r="A2427" s="2" t="s">
        <v>1389</v>
      </c>
      <c r="B2427" s="3">
        <v>157724</v>
      </c>
      <c r="C2427" s="3">
        <v>218238</v>
      </c>
      <c r="D2427" s="4" t="s">
        <v>17</v>
      </c>
      <c r="E2427" s="4" t="s">
        <v>887</v>
      </c>
      <c r="F2427" s="4" t="s">
        <v>32</v>
      </c>
      <c r="G2427" s="4" t="s">
        <v>34</v>
      </c>
      <c r="H2427" s="5">
        <v>-20000</v>
      </c>
      <c r="I2427" s="4" t="s">
        <v>21</v>
      </c>
      <c r="J2427" s="5">
        <f t="shared" si="37"/>
        <v>72842</v>
      </c>
      <c r="K2427" s="4" t="s">
        <v>49</v>
      </c>
      <c r="L2427" s="6">
        <v>3.6421000000000001</v>
      </c>
      <c r="M2427" s="6">
        <v>0.27460000000000001</v>
      </c>
      <c r="N2427" s="6">
        <v>3.6345999999999998</v>
      </c>
      <c r="O2427" s="6">
        <v>1</v>
      </c>
      <c r="P2427" s="5">
        <v>148</v>
      </c>
      <c r="Q2427" s="4" t="s">
        <v>1390</v>
      </c>
    </row>
    <row r="2428" spans="1:17" x14ac:dyDescent="0.3">
      <c r="A2428" s="2" t="s">
        <v>1389</v>
      </c>
      <c r="B2428" s="3">
        <v>157725</v>
      </c>
      <c r="C2428" s="3">
        <v>218241</v>
      </c>
      <c r="D2428" s="4" t="s">
        <v>17</v>
      </c>
      <c r="E2428" s="4" t="s">
        <v>1079</v>
      </c>
      <c r="F2428" s="4" t="s">
        <v>32</v>
      </c>
      <c r="G2428" s="4" t="s">
        <v>20</v>
      </c>
      <c r="H2428" s="5">
        <v>-395000</v>
      </c>
      <c r="I2428" s="4" t="s">
        <v>21</v>
      </c>
      <c r="J2428" s="5">
        <f t="shared" si="37"/>
        <v>1670455</v>
      </c>
      <c r="K2428" s="4" t="s">
        <v>49</v>
      </c>
      <c r="L2428" s="6">
        <v>4.2290000000000001</v>
      </c>
      <c r="M2428" s="6">
        <v>0.23649999999999999</v>
      </c>
      <c r="N2428" s="6">
        <v>4.2191999999999998</v>
      </c>
      <c r="O2428" s="6">
        <v>1</v>
      </c>
      <c r="P2428" s="5">
        <v>3871</v>
      </c>
      <c r="Q2428" s="4" t="s">
        <v>1390</v>
      </c>
    </row>
    <row r="2429" spans="1:17" x14ac:dyDescent="0.3">
      <c r="A2429" s="2" t="s">
        <v>1389</v>
      </c>
      <c r="B2429" s="3">
        <v>157727</v>
      </c>
      <c r="C2429" s="3">
        <v>218244</v>
      </c>
      <c r="D2429" s="4" t="s">
        <v>17</v>
      </c>
      <c r="E2429" s="4" t="s">
        <v>1300</v>
      </c>
      <c r="F2429" s="4" t="s">
        <v>19</v>
      </c>
      <c r="G2429" s="4" t="s">
        <v>20</v>
      </c>
      <c r="H2429" s="5">
        <v>5000</v>
      </c>
      <c r="I2429" s="4" t="s">
        <v>21</v>
      </c>
      <c r="J2429" s="5">
        <f t="shared" si="37"/>
        <v>-21057</v>
      </c>
      <c r="K2429" s="4" t="s">
        <v>49</v>
      </c>
      <c r="L2429" s="6">
        <v>4.2114000000000003</v>
      </c>
      <c r="M2429" s="6">
        <v>0.23749999999999999</v>
      </c>
      <c r="N2429" s="6">
        <v>4.2191999999999998</v>
      </c>
      <c r="O2429" s="6">
        <v>1</v>
      </c>
      <c r="P2429" s="5">
        <v>39</v>
      </c>
      <c r="Q2429" s="4" t="s">
        <v>1390</v>
      </c>
    </row>
    <row r="2430" spans="1:17" x14ac:dyDescent="0.3">
      <c r="A2430" s="2" t="s">
        <v>1389</v>
      </c>
      <c r="B2430" s="3">
        <v>157728</v>
      </c>
      <c r="C2430" s="3">
        <v>902622</v>
      </c>
      <c r="D2430" s="4" t="s">
        <v>81</v>
      </c>
      <c r="E2430" s="4" t="s">
        <v>733</v>
      </c>
      <c r="F2430" s="4" t="s">
        <v>83</v>
      </c>
      <c r="G2430" s="4" t="s">
        <v>20</v>
      </c>
      <c r="H2430" s="5">
        <v>-500000</v>
      </c>
      <c r="I2430" s="4" t="s">
        <v>21</v>
      </c>
      <c r="J2430" s="5">
        <f t="shared" si="37"/>
        <v>2113250</v>
      </c>
      <c r="K2430" s="4" t="s">
        <v>50</v>
      </c>
      <c r="L2430" s="6">
        <v>4.2264999999999997</v>
      </c>
      <c r="M2430" s="6">
        <v>0.2366</v>
      </c>
      <c r="N2430" s="6">
        <v>4.2279</v>
      </c>
      <c r="O2430" s="6">
        <v>1</v>
      </c>
      <c r="P2430" s="5">
        <v>-720</v>
      </c>
      <c r="Q2430" s="4" t="s">
        <v>1391</v>
      </c>
    </row>
    <row r="2431" spans="1:17" x14ac:dyDescent="0.3">
      <c r="A2431" s="2" t="s">
        <v>1389</v>
      </c>
      <c r="B2431" s="3">
        <v>157729</v>
      </c>
      <c r="C2431" s="3">
        <v>218247</v>
      </c>
      <c r="D2431" s="4" t="s">
        <v>17</v>
      </c>
      <c r="E2431" s="4" t="s">
        <v>951</v>
      </c>
      <c r="F2431" s="4" t="s">
        <v>32</v>
      </c>
      <c r="G2431" s="4" t="s">
        <v>34</v>
      </c>
      <c r="H2431" s="5">
        <v>-48300</v>
      </c>
      <c r="I2431" s="4" t="s">
        <v>21</v>
      </c>
      <c r="J2431" s="5">
        <f t="shared" si="37"/>
        <v>175652.61</v>
      </c>
      <c r="K2431" s="4" t="s">
        <v>49</v>
      </c>
      <c r="L2431" s="6">
        <v>3.6366999999999998</v>
      </c>
      <c r="M2431" s="6">
        <v>0.27500000000000002</v>
      </c>
      <c r="N2431" s="6">
        <v>3.6345999999999998</v>
      </c>
      <c r="O2431" s="6">
        <v>1</v>
      </c>
      <c r="P2431" s="5">
        <v>96.6</v>
      </c>
      <c r="Q2431" s="4" t="s">
        <v>1390</v>
      </c>
    </row>
    <row r="2432" spans="1:17" x14ac:dyDescent="0.3">
      <c r="A2432" s="2" t="s">
        <v>1389</v>
      </c>
      <c r="B2432" s="3">
        <v>157730</v>
      </c>
      <c r="C2432" s="3">
        <v>218248</v>
      </c>
      <c r="D2432" s="4" t="s">
        <v>17</v>
      </c>
      <c r="E2432" s="4" t="s">
        <v>781</v>
      </c>
      <c r="F2432" s="4" t="s">
        <v>19</v>
      </c>
      <c r="G2432" s="4" t="s">
        <v>20</v>
      </c>
      <c r="H2432" s="5">
        <v>15000</v>
      </c>
      <c r="I2432" s="4" t="s">
        <v>21</v>
      </c>
      <c r="J2432" s="5">
        <f t="shared" si="37"/>
        <v>-62550</v>
      </c>
      <c r="K2432" s="4" t="s">
        <v>49</v>
      </c>
      <c r="L2432" s="6">
        <v>4.17</v>
      </c>
      <c r="M2432" s="6">
        <v>0.23980000000000001</v>
      </c>
      <c r="N2432" s="6">
        <v>4.2191999999999998</v>
      </c>
      <c r="O2432" s="6">
        <v>1</v>
      </c>
      <c r="P2432" s="5">
        <v>738</v>
      </c>
      <c r="Q2432" s="4" t="s">
        <v>1390</v>
      </c>
    </row>
    <row r="2433" spans="1:17" x14ac:dyDescent="0.3">
      <c r="A2433" s="2" t="s">
        <v>1389</v>
      </c>
      <c r="B2433" s="3">
        <v>157731</v>
      </c>
      <c r="C2433" s="3">
        <v>218253</v>
      </c>
      <c r="D2433" s="4" t="s">
        <v>17</v>
      </c>
      <c r="E2433" s="4" t="s">
        <v>917</v>
      </c>
      <c r="F2433" s="4" t="s">
        <v>19</v>
      </c>
      <c r="G2433" s="4" t="s">
        <v>20</v>
      </c>
      <c r="H2433" s="5">
        <v>20000</v>
      </c>
      <c r="I2433" s="4" t="s">
        <v>21</v>
      </c>
      <c r="J2433" s="5">
        <f t="shared" si="37"/>
        <v>-84200</v>
      </c>
      <c r="K2433" s="4" t="s">
        <v>49</v>
      </c>
      <c r="L2433" s="6">
        <v>4.21</v>
      </c>
      <c r="M2433" s="6">
        <v>0.23749999999999999</v>
      </c>
      <c r="N2433" s="6">
        <v>4.2191999999999998</v>
      </c>
      <c r="O2433" s="6">
        <v>1</v>
      </c>
      <c r="P2433" s="5">
        <v>184</v>
      </c>
      <c r="Q2433" s="4" t="s">
        <v>1390</v>
      </c>
    </row>
    <row r="2434" spans="1:17" x14ac:dyDescent="0.3">
      <c r="A2434" s="2" t="s">
        <v>1389</v>
      </c>
      <c r="B2434" s="3">
        <v>157732</v>
      </c>
      <c r="C2434" s="3">
        <v>902651</v>
      </c>
      <c r="D2434" s="4" t="s">
        <v>81</v>
      </c>
      <c r="E2434" s="4" t="s">
        <v>740</v>
      </c>
      <c r="F2434" s="4" t="s">
        <v>83</v>
      </c>
      <c r="G2434" s="4" t="s">
        <v>20</v>
      </c>
      <c r="H2434" s="5">
        <v>-100000</v>
      </c>
      <c r="I2434" s="4" t="s">
        <v>21</v>
      </c>
      <c r="J2434" s="5">
        <f t="shared" si="37"/>
        <v>422649.99999999994</v>
      </c>
      <c r="K2434" s="4" t="s">
        <v>50</v>
      </c>
      <c r="L2434" s="6">
        <v>4.2264999999999997</v>
      </c>
      <c r="M2434" s="6">
        <v>0.2366</v>
      </c>
      <c r="N2434" s="6">
        <v>4.2279</v>
      </c>
      <c r="O2434" s="6">
        <v>1</v>
      </c>
      <c r="P2434" s="5">
        <v>-140</v>
      </c>
      <c r="Q2434" s="4" t="s">
        <v>1390</v>
      </c>
    </row>
    <row r="2435" spans="1:17" x14ac:dyDescent="0.3">
      <c r="A2435" s="2" t="s">
        <v>1389</v>
      </c>
      <c r="B2435" s="3">
        <v>157733</v>
      </c>
      <c r="C2435" s="3">
        <v>218256</v>
      </c>
      <c r="D2435" s="4" t="s">
        <v>17</v>
      </c>
      <c r="E2435" s="4" t="s">
        <v>1057</v>
      </c>
      <c r="F2435" s="4" t="s">
        <v>19</v>
      </c>
      <c r="G2435" s="4" t="s">
        <v>20</v>
      </c>
      <c r="H2435" s="5">
        <v>20000</v>
      </c>
      <c r="I2435" s="4" t="s">
        <v>21</v>
      </c>
      <c r="J2435" s="5">
        <f t="shared" si="37"/>
        <v>-84458</v>
      </c>
      <c r="K2435" s="4" t="s">
        <v>49</v>
      </c>
      <c r="L2435" s="6">
        <v>4.2229000000000001</v>
      </c>
      <c r="M2435" s="6">
        <v>0.23680000000000001</v>
      </c>
      <c r="N2435" s="6">
        <v>4.2191999999999998</v>
      </c>
      <c r="O2435" s="6">
        <v>1</v>
      </c>
      <c r="P2435" s="5">
        <v>-74</v>
      </c>
      <c r="Q2435" s="4" t="s">
        <v>1390</v>
      </c>
    </row>
    <row r="2436" spans="1:17" x14ac:dyDescent="0.3">
      <c r="A2436" s="2" t="s">
        <v>1389</v>
      </c>
      <c r="B2436" s="3">
        <v>157734</v>
      </c>
      <c r="C2436" s="3">
        <v>218261</v>
      </c>
      <c r="D2436" s="4" t="s">
        <v>17</v>
      </c>
      <c r="E2436" s="4" t="s">
        <v>1004</v>
      </c>
      <c r="F2436" s="4" t="s">
        <v>32</v>
      </c>
      <c r="G2436" s="4" t="s">
        <v>20</v>
      </c>
      <c r="H2436" s="5">
        <v>-1500</v>
      </c>
      <c r="I2436" s="4" t="s">
        <v>34</v>
      </c>
      <c r="J2436" s="5">
        <f t="shared" ref="J2436:J2499" si="38">-H2436*L2436</f>
        <v>1783.8</v>
      </c>
      <c r="K2436" s="4" t="s">
        <v>49</v>
      </c>
      <c r="L2436" s="6">
        <v>1.1892</v>
      </c>
      <c r="M2436" s="6">
        <v>0.84089999999999998</v>
      </c>
      <c r="N2436" s="6">
        <v>4.2191999999999998</v>
      </c>
      <c r="O2436" s="6">
        <v>3.6345999999999998</v>
      </c>
      <c r="P2436" s="5">
        <v>153.50909999999999</v>
      </c>
      <c r="Q2436" s="4" t="s">
        <v>1390</v>
      </c>
    </row>
    <row r="2437" spans="1:17" x14ac:dyDescent="0.3">
      <c r="A2437" s="2" t="s">
        <v>1389</v>
      </c>
      <c r="B2437" s="3">
        <v>157735</v>
      </c>
      <c r="C2437" s="3">
        <v>218263</v>
      </c>
      <c r="D2437" s="4" t="s">
        <v>17</v>
      </c>
      <c r="E2437" s="4" t="s">
        <v>1005</v>
      </c>
      <c r="F2437" s="4" t="s">
        <v>19</v>
      </c>
      <c r="G2437" s="4" t="s">
        <v>20</v>
      </c>
      <c r="H2437" s="5">
        <v>2486.54</v>
      </c>
      <c r="I2437" s="4" t="s">
        <v>21</v>
      </c>
      <c r="J2437" s="5">
        <f t="shared" si="38"/>
        <v>-10493.1988</v>
      </c>
      <c r="K2437" s="4" t="s">
        <v>49</v>
      </c>
      <c r="L2437" s="6">
        <v>4.22</v>
      </c>
      <c r="M2437" s="6">
        <v>0.23699999999999999</v>
      </c>
      <c r="N2437" s="6">
        <v>4.2191999999999998</v>
      </c>
      <c r="O2437" s="6">
        <v>1</v>
      </c>
      <c r="P2437" s="5">
        <v>-1.9892319999999017</v>
      </c>
      <c r="Q2437" s="4" t="s">
        <v>1390</v>
      </c>
    </row>
    <row r="2438" spans="1:17" x14ac:dyDescent="0.3">
      <c r="A2438" s="2" t="s">
        <v>1389</v>
      </c>
      <c r="B2438" s="3">
        <v>157736</v>
      </c>
      <c r="C2438" s="3">
        <v>218264</v>
      </c>
      <c r="D2438" s="4" t="s">
        <v>17</v>
      </c>
      <c r="E2438" s="4" t="s">
        <v>854</v>
      </c>
      <c r="F2438" s="4" t="s">
        <v>32</v>
      </c>
      <c r="G2438" s="4" t="s">
        <v>20</v>
      </c>
      <c r="H2438" s="5">
        <v>-250000</v>
      </c>
      <c r="I2438" s="4" t="s">
        <v>21</v>
      </c>
      <c r="J2438" s="5">
        <f t="shared" si="38"/>
        <v>1057375</v>
      </c>
      <c r="K2438" s="4" t="s">
        <v>49</v>
      </c>
      <c r="L2438" s="6">
        <v>4.2294999999999998</v>
      </c>
      <c r="M2438" s="6">
        <v>0.2364</v>
      </c>
      <c r="N2438" s="6">
        <v>4.2191999999999998</v>
      </c>
      <c r="O2438" s="6">
        <v>1</v>
      </c>
      <c r="P2438" s="5">
        <v>2575</v>
      </c>
      <c r="Q2438" s="4" t="s">
        <v>1390</v>
      </c>
    </row>
    <row r="2439" spans="1:17" x14ac:dyDescent="0.3">
      <c r="A2439" s="2" t="s">
        <v>1389</v>
      </c>
      <c r="B2439" s="3">
        <v>157737</v>
      </c>
      <c r="C2439" s="3">
        <v>218265</v>
      </c>
      <c r="D2439" s="4" t="s">
        <v>17</v>
      </c>
      <c r="E2439" s="4" t="s">
        <v>1180</v>
      </c>
      <c r="F2439" s="4" t="s">
        <v>19</v>
      </c>
      <c r="G2439" s="4" t="s">
        <v>20</v>
      </c>
      <c r="H2439" s="5">
        <v>16824.16</v>
      </c>
      <c r="I2439" s="4" t="s">
        <v>21</v>
      </c>
      <c r="J2439" s="5">
        <f t="shared" si="38"/>
        <v>-70997.955199999997</v>
      </c>
      <c r="K2439" s="4" t="s">
        <v>49</v>
      </c>
      <c r="L2439" s="6">
        <v>4.22</v>
      </c>
      <c r="M2439" s="6">
        <v>0.23699999999999999</v>
      </c>
      <c r="N2439" s="6">
        <v>4.2191999999999998</v>
      </c>
      <c r="O2439" s="6">
        <v>1</v>
      </c>
      <c r="P2439" s="5">
        <v>-13.459327999997186</v>
      </c>
      <c r="Q2439" s="4" t="s">
        <v>1390</v>
      </c>
    </row>
    <row r="2440" spans="1:17" x14ac:dyDescent="0.3">
      <c r="A2440" s="2" t="s">
        <v>1389</v>
      </c>
      <c r="B2440" s="3">
        <v>157738</v>
      </c>
      <c r="C2440" s="3">
        <v>218266</v>
      </c>
      <c r="D2440" s="4" t="s">
        <v>17</v>
      </c>
      <c r="E2440" s="4" t="s">
        <v>1180</v>
      </c>
      <c r="F2440" s="4" t="s">
        <v>19</v>
      </c>
      <c r="G2440" s="4" t="s">
        <v>91</v>
      </c>
      <c r="H2440" s="5">
        <v>7123.89</v>
      </c>
      <c r="I2440" s="4" t="s">
        <v>21</v>
      </c>
      <c r="J2440" s="5">
        <f t="shared" si="38"/>
        <v>-34657.724850000006</v>
      </c>
      <c r="K2440" s="4" t="s">
        <v>49</v>
      </c>
      <c r="L2440" s="6">
        <v>4.8650000000000002</v>
      </c>
      <c r="M2440" s="6">
        <v>0.20549999999999999</v>
      </c>
      <c r="N2440" s="6">
        <v>4.8692000000000002</v>
      </c>
      <c r="O2440" s="6">
        <v>1</v>
      </c>
      <c r="P2440" s="5">
        <v>29.920337999996264</v>
      </c>
      <c r="Q2440" s="4" t="s">
        <v>1390</v>
      </c>
    </row>
    <row r="2441" spans="1:17" x14ac:dyDescent="0.3">
      <c r="A2441" s="2" t="s">
        <v>1389</v>
      </c>
      <c r="B2441" s="3">
        <v>157739</v>
      </c>
      <c r="C2441" s="3">
        <v>218267</v>
      </c>
      <c r="D2441" s="4" t="s">
        <v>17</v>
      </c>
      <c r="E2441" s="4" t="s">
        <v>803</v>
      </c>
      <c r="F2441" s="4" t="s">
        <v>19</v>
      </c>
      <c r="G2441" s="4" t="s">
        <v>20</v>
      </c>
      <c r="H2441" s="5">
        <v>12037.83</v>
      </c>
      <c r="I2441" s="4" t="s">
        <v>34</v>
      </c>
      <c r="J2441" s="5">
        <f t="shared" si="38"/>
        <v>-13877.210424000001</v>
      </c>
      <c r="K2441" s="4" t="s">
        <v>49</v>
      </c>
      <c r="L2441" s="6">
        <v>1.1528</v>
      </c>
      <c r="M2441" s="6">
        <v>0.86750000000000005</v>
      </c>
      <c r="N2441" s="6">
        <v>4.2191999999999998</v>
      </c>
      <c r="O2441" s="6">
        <v>3.6345999999999998</v>
      </c>
      <c r="P2441" s="5">
        <v>351.9033289295985</v>
      </c>
      <c r="Q2441" s="4" t="s">
        <v>1390</v>
      </c>
    </row>
    <row r="2442" spans="1:17" x14ac:dyDescent="0.3">
      <c r="A2442" s="2" t="s">
        <v>1389</v>
      </c>
      <c r="B2442" s="3">
        <v>157740</v>
      </c>
      <c r="C2442" s="3">
        <v>218269</v>
      </c>
      <c r="D2442" s="4" t="s">
        <v>17</v>
      </c>
      <c r="E2442" s="4" t="s">
        <v>964</v>
      </c>
      <c r="F2442" s="4" t="s">
        <v>32</v>
      </c>
      <c r="G2442" s="4" t="s">
        <v>91</v>
      </c>
      <c r="H2442" s="5">
        <v>-150000</v>
      </c>
      <c r="I2442" s="4" t="s">
        <v>21</v>
      </c>
      <c r="J2442" s="5">
        <f t="shared" si="38"/>
        <v>731550</v>
      </c>
      <c r="K2442" s="4" t="s">
        <v>49</v>
      </c>
      <c r="L2442" s="6">
        <v>4.8769999999999998</v>
      </c>
      <c r="M2442" s="6">
        <v>0.20499999999999999</v>
      </c>
      <c r="N2442" s="6">
        <v>4.8692000000000002</v>
      </c>
      <c r="O2442" s="6">
        <v>1</v>
      </c>
      <c r="P2442" s="5">
        <v>1170</v>
      </c>
      <c r="Q2442" s="4" t="s">
        <v>1390</v>
      </c>
    </row>
    <row r="2443" spans="1:17" x14ac:dyDescent="0.3">
      <c r="A2443" s="2" t="s">
        <v>1389</v>
      </c>
      <c r="B2443" s="3">
        <v>157741</v>
      </c>
      <c r="C2443" s="3">
        <v>218277</v>
      </c>
      <c r="D2443" s="4" t="s">
        <v>17</v>
      </c>
      <c r="E2443" s="4" t="s">
        <v>996</v>
      </c>
      <c r="F2443" s="4" t="s">
        <v>19</v>
      </c>
      <c r="G2443" s="4" t="s">
        <v>20</v>
      </c>
      <c r="H2443" s="5">
        <v>60000</v>
      </c>
      <c r="I2443" s="4" t="s">
        <v>21</v>
      </c>
      <c r="J2443" s="5">
        <f t="shared" si="38"/>
        <v>-252900</v>
      </c>
      <c r="K2443" s="4" t="s">
        <v>49</v>
      </c>
      <c r="L2443" s="6">
        <v>4.2149999999999999</v>
      </c>
      <c r="M2443" s="6">
        <v>0.23719999999999999</v>
      </c>
      <c r="N2443" s="6">
        <v>4.2191999999999998</v>
      </c>
      <c r="O2443" s="6">
        <v>1</v>
      </c>
      <c r="P2443" s="5">
        <v>252</v>
      </c>
      <c r="Q2443" s="4" t="s">
        <v>1390</v>
      </c>
    </row>
    <row r="2444" spans="1:17" x14ac:dyDescent="0.3">
      <c r="A2444" s="2" t="s">
        <v>1389</v>
      </c>
      <c r="B2444" s="3">
        <v>157742</v>
      </c>
      <c r="C2444" s="3">
        <v>218282</v>
      </c>
      <c r="D2444" s="4" t="s">
        <v>17</v>
      </c>
      <c r="E2444" s="4" t="s">
        <v>1066</v>
      </c>
      <c r="F2444" s="4" t="s">
        <v>32</v>
      </c>
      <c r="G2444" s="4" t="s">
        <v>20</v>
      </c>
      <c r="H2444" s="5">
        <v>-113000</v>
      </c>
      <c r="I2444" s="4" t="s">
        <v>21</v>
      </c>
      <c r="J2444" s="5">
        <f t="shared" si="38"/>
        <v>477922.2</v>
      </c>
      <c r="K2444" s="4" t="s">
        <v>49</v>
      </c>
      <c r="L2444" s="6">
        <v>4.2294</v>
      </c>
      <c r="M2444" s="6">
        <v>0.2364</v>
      </c>
      <c r="N2444" s="6">
        <v>4.2191999999999998</v>
      </c>
      <c r="O2444" s="6">
        <v>1</v>
      </c>
      <c r="P2444" s="5">
        <v>1107.4000000000001</v>
      </c>
      <c r="Q2444" s="4" t="s">
        <v>1390</v>
      </c>
    </row>
    <row r="2445" spans="1:17" x14ac:dyDescent="0.3">
      <c r="A2445" s="2" t="s">
        <v>1389</v>
      </c>
      <c r="B2445" s="3">
        <v>157743</v>
      </c>
      <c r="C2445" s="3">
        <v>218284</v>
      </c>
      <c r="D2445" s="4" t="s">
        <v>17</v>
      </c>
      <c r="E2445" s="4" t="s">
        <v>1098</v>
      </c>
      <c r="F2445" s="4" t="s">
        <v>32</v>
      </c>
      <c r="G2445" s="4" t="s">
        <v>20</v>
      </c>
      <c r="H2445" s="5">
        <v>-50000</v>
      </c>
      <c r="I2445" s="4" t="s">
        <v>21</v>
      </c>
      <c r="J2445" s="5">
        <f t="shared" si="38"/>
        <v>211675</v>
      </c>
      <c r="K2445" s="4" t="s">
        <v>49</v>
      </c>
      <c r="L2445" s="6">
        <v>4.2335000000000003</v>
      </c>
      <c r="M2445" s="6">
        <v>0.23619999999999999</v>
      </c>
      <c r="N2445" s="6">
        <v>4.2191999999999998</v>
      </c>
      <c r="O2445" s="6">
        <v>1</v>
      </c>
      <c r="P2445" s="5">
        <v>715</v>
      </c>
      <c r="Q2445" s="4" t="s">
        <v>1390</v>
      </c>
    </row>
    <row r="2446" spans="1:17" x14ac:dyDescent="0.3">
      <c r="A2446" s="2" t="s">
        <v>1389</v>
      </c>
      <c r="B2446" s="3">
        <v>157744</v>
      </c>
      <c r="C2446" s="3">
        <v>218286</v>
      </c>
      <c r="D2446" s="4" t="s">
        <v>17</v>
      </c>
      <c r="E2446" s="4" t="s">
        <v>896</v>
      </c>
      <c r="F2446" s="4" t="s">
        <v>19</v>
      </c>
      <c r="G2446" s="4" t="s">
        <v>20</v>
      </c>
      <c r="H2446" s="5">
        <v>25000</v>
      </c>
      <c r="I2446" s="4" t="s">
        <v>21</v>
      </c>
      <c r="J2446" s="5">
        <f t="shared" si="38"/>
        <v>-105050</v>
      </c>
      <c r="K2446" s="4" t="s">
        <v>49</v>
      </c>
      <c r="L2446" s="6">
        <v>4.202</v>
      </c>
      <c r="M2446" s="6">
        <v>0.23799999999999999</v>
      </c>
      <c r="N2446" s="6">
        <v>4.2191999999999998</v>
      </c>
      <c r="O2446" s="6">
        <v>1</v>
      </c>
      <c r="P2446" s="5">
        <v>430</v>
      </c>
      <c r="Q2446" s="4" t="s">
        <v>1390</v>
      </c>
    </row>
    <row r="2447" spans="1:17" x14ac:dyDescent="0.3">
      <c r="A2447" s="2" t="s">
        <v>1389</v>
      </c>
      <c r="B2447" s="3">
        <v>157745</v>
      </c>
      <c r="C2447" s="3">
        <v>902758</v>
      </c>
      <c r="D2447" s="4" t="s">
        <v>81</v>
      </c>
      <c r="E2447" s="4" t="s">
        <v>1166</v>
      </c>
      <c r="F2447" s="4" t="s">
        <v>87</v>
      </c>
      <c r="G2447" s="4" t="s">
        <v>20</v>
      </c>
      <c r="H2447" s="5">
        <v>10000</v>
      </c>
      <c r="I2447" s="4" t="s">
        <v>21</v>
      </c>
      <c r="J2447" s="5">
        <f t="shared" si="38"/>
        <v>-42162</v>
      </c>
      <c r="K2447" s="4" t="s">
        <v>50</v>
      </c>
      <c r="L2447" s="6">
        <v>4.2161999999999997</v>
      </c>
      <c r="M2447" s="6">
        <v>0.23719999999999999</v>
      </c>
      <c r="N2447" s="6">
        <v>4.2279</v>
      </c>
      <c r="O2447" s="6">
        <v>1</v>
      </c>
      <c r="P2447" s="5">
        <v>117</v>
      </c>
      <c r="Q2447" s="4" t="s">
        <v>1390</v>
      </c>
    </row>
    <row r="2448" spans="1:17" x14ac:dyDescent="0.3">
      <c r="A2448" s="2" t="s">
        <v>1389</v>
      </c>
      <c r="B2448" s="3">
        <v>157747</v>
      </c>
      <c r="C2448" s="3">
        <v>218290</v>
      </c>
      <c r="D2448" s="4" t="s">
        <v>17</v>
      </c>
      <c r="E2448" s="4" t="s">
        <v>1284</v>
      </c>
      <c r="F2448" s="4" t="s">
        <v>19</v>
      </c>
      <c r="G2448" s="4" t="s">
        <v>20</v>
      </c>
      <c r="H2448" s="5">
        <v>400000</v>
      </c>
      <c r="I2448" s="4" t="s">
        <v>21</v>
      </c>
      <c r="J2448" s="5">
        <f t="shared" si="38"/>
        <v>-1685760.0000000002</v>
      </c>
      <c r="K2448" s="4" t="s">
        <v>49</v>
      </c>
      <c r="L2448" s="6">
        <v>4.2144000000000004</v>
      </c>
      <c r="M2448" s="6">
        <v>0.23730000000000001</v>
      </c>
      <c r="N2448" s="6">
        <v>4.2191999999999998</v>
      </c>
      <c r="O2448" s="6">
        <v>1</v>
      </c>
      <c r="P2448" s="5">
        <v>1919.9999999997672</v>
      </c>
      <c r="Q2448" s="4" t="s">
        <v>1390</v>
      </c>
    </row>
    <row r="2449" spans="1:17" x14ac:dyDescent="0.3">
      <c r="A2449" s="2" t="s">
        <v>1389</v>
      </c>
      <c r="B2449" s="3">
        <v>157748</v>
      </c>
      <c r="C2449" s="3">
        <v>902768</v>
      </c>
      <c r="D2449" s="4" t="s">
        <v>81</v>
      </c>
      <c r="E2449" s="4" t="s">
        <v>1165</v>
      </c>
      <c r="F2449" s="4" t="s">
        <v>87</v>
      </c>
      <c r="G2449" s="4" t="s">
        <v>20</v>
      </c>
      <c r="H2449" s="5">
        <v>10000</v>
      </c>
      <c r="I2449" s="4" t="s">
        <v>21</v>
      </c>
      <c r="J2449" s="5">
        <f t="shared" si="38"/>
        <v>-42164</v>
      </c>
      <c r="K2449" s="4" t="s">
        <v>50</v>
      </c>
      <c r="L2449" s="6">
        <v>4.2164000000000001</v>
      </c>
      <c r="M2449" s="6">
        <v>0.23719999999999999</v>
      </c>
      <c r="N2449" s="6">
        <v>4.2279</v>
      </c>
      <c r="O2449" s="6">
        <v>1</v>
      </c>
      <c r="P2449" s="5">
        <v>115</v>
      </c>
      <c r="Q2449" s="4" t="s">
        <v>1390</v>
      </c>
    </row>
    <row r="2450" spans="1:17" x14ac:dyDescent="0.3">
      <c r="A2450" s="2" t="s">
        <v>1389</v>
      </c>
      <c r="B2450" s="3">
        <v>157749</v>
      </c>
      <c r="C2450" s="3">
        <v>218293</v>
      </c>
      <c r="D2450" s="4" t="s">
        <v>17</v>
      </c>
      <c r="E2450" s="4" t="s">
        <v>788</v>
      </c>
      <c r="F2450" s="4" t="s">
        <v>19</v>
      </c>
      <c r="G2450" s="4" t="s">
        <v>20</v>
      </c>
      <c r="H2450" s="5">
        <v>25000</v>
      </c>
      <c r="I2450" s="4" t="s">
        <v>21</v>
      </c>
      <c r="J2450" s="5">
        <f t="shared" si="38"/>
        <v>-105450</v>
      </c>
      <c r="K2450" s="4" t="s">
        <v>49</v>
      </c>
      <c r="L2450" s="6">
        <v>4.218</v>
      </c>
      <c r="M2450" s="6">
        <v>0.23710000000000001</v>
      </c>
      <c r="N2450" s="6">
        <v>4.2191999999999998</v>
      </c>
      <c r="O2450" s="6">
        <v>1</v>
      </c>
      <c r="P2450" s="5">
        <v>30</v>
      </c>
      <c r="Q2450" s="4" t="s">
        <v>1390</v>
      </c>
    </row>
    <row r="2451" spans="1:17" x14ac:dyDescent="0.3">
      <c r="A2451" s="2" t="s">
        <v>1389</v>
      </c>
      <c r="B2451" s="3">
        <v>157750</v>
      </c>
      <c r="C2451" s="3">
        <v>218295</v>
      </c>
      <c r="D2451" s="4" t="s">
        <v>17</v>
      </c>
      <c r="E2451" s="4" t="s">
        <v>841</v>
      </c>
      <c r="F2451" s="4" t="s">
        <v>32</v>
      </c>
      <c r="G2451" s="4" t="s">
        <v>20</v>
      </c>
      <c r="H2451" s="5">
        <v>-11800</v>
      </c>
      <c r="I2451" s="4" t="s">
        <v>21</v>
      </c>
      <c r="J2451" s="5">
        <f t="shared" si="38"/>
        <v>49914.000000000007</v>
      </c>
      <c r="K2451" s="4" t="s">
        <v>49</v>
      </c>
      <c r="L2451" s="6">
        <v>4.2300000000000004</v>
      </c>
      <c r="M2451" s="6">
        <v>0.2364</v>
      </c>
      <c r="N2451" s="6">
        <v>4.2191999999999998</v>
      </c>
      <c r="O2451" s="6">
        <v>1</v>
      </c>
      <c r="P2451" s="5">
        <v>127.44</v>
      </c>
      <c r="Q2451" s="4" t="s">
        <v>1390</v>
      </c>
    </row>
    <row r="2452" spans="1:17" x14ac:dyDescent="0.3">
      <c r="A2452" s="2" t="s">
        <v>1389</v>
      </c>
      <c r="B2452" s="3">
        <v>157751</v>
      </c>
      <c r="C2452" s="3">
        <v>218298</v>
      </c>
      <c r="D2452" s="4" t="s">
        <v>17</v>
      </c>
      <c r="E2452" s="4" t="s">
        <v>1104</v>
      </c>
      <c r="F2452" s="4" t="s">
        <v>19</v>
      </c>
      <c r="G2452" s="4" t="s">
        <v>20</v>
      </c>
      <c r="H2452" s="5">
        <v>30000</v>
      </c>
      <c r="I2452" s="4" t="s">
        <v>21</v>
      </c>
      <c r="J2452" s="5">
        <f t="shared" si="38"/>
        <v>-126599.99999999999</v>
      </c>
      <c r="K2452" s="4" t="s">
        <v>49</v>
      </c>
      <c r="L2452" s="6">
        <v>4.22</v>
      </c>
      <c r="M2452" s="6">
        <v>0.23699999999999999</v>
      </c>
      <c r="N2452" s="6">
        <v>4.2191999999999998</v>
      </c>
      <c r="O2452" s="6">
        <v>1</v>
      </c>
      <c r="P2452" s="5">
        <v>-23.999999999985448</v>
      </c>
      <c r="Q2452" s="4" t="s">
        <v>1390</v>
      </c>
    </row>
    <row r="2453" spans="1:17" x14ac:dyDescent="0.3">
      <c r="A2453" s="2" t="s">
        <v>1389</v>
      </c>
      <c r="B2453" s="3">
        <v>157752</v>
      </c>
      <c r="C2453" s="3">
        <v>218300</v>
      </c>
      <c r="D2453" s="4" t="s">
        <v>17</v>
      </c>
      <c r="E2453" s="4" t="s">
        <v>1359</v>
      </c>
      <c r="F2453" s="4" t="s">
        <v>19</v>
      </c>
      <c r="G2453" s="4" t="s">
        <v>20</v>
      </c>
      <c r="H2453" s="5">
        <v>20000</v>
      </c>
      <c r="I2453" s="4" t="s">
        <v>21</v>
      </c>
      <c r="J2453" s="5">
        <f t="shared" si="38"/>
        <v>-84012</v>
      </c>
      <c r="K2453" s="4" t="s">
        <v>49</v>
      </c>
      <c r="L2453" s="6">
        <v>4.2005999999999997</v>
      </c>
      <c r="M2453" s="6">
        <v>0.23810000000000001</v>
      </c>
      <c r="N2453" s="6">
        <v>4.2191999999999998</v>
      </c>
      <c r="O2453" s="6">
        <v>1</v>
      </c>
      <c r="P2453" s="5">
        <v>372</v>
      </c>
      <c r="Q2453" s="4" t="s">
        <v>1390</v>
      </c>
    </row>
    <row r="2454" spans="1:17" x14ac:dyDescent="0.3">
      <c r="A2454" s="2" t="s">
        <v>1389</v>
      </c>
      <c r="B2454" s="3">
        <v>157754</v>
      </c>
      <c r="C2454" s="3">
        <v>902821</v>
      </c>
      <c r="D2454" s="4" t="s">
        <v>81</v>
      </c>
      <c r="E2454" s="4" t="s">
        <v>734</v>
      </c>
      <c r="F2454" s="4" t="s">
        <v>83</v>
      </c>
      <c r="G2454" s="4" t="s">
        <v>20</v>
      </c>
      <c r="H2454" s="5">
        <v>-100000</v>
      </c>
      <c r="I2454" s="4" t="s">
        <v>34</v>
      </c>
      <c r="J2454" s="5">
        <f t="shared" si="38"/>
        <v>116350</v>
      </c>
      <c r="K2454" s="4" t="s">
        <v>50</v>
      </c>
      <c r="L2454" s="6">
        <v>1.1635</v>
      </c>
      <c r="M2454" s="6">
        <v>0.85950000000000004</v>
      </c>
      <c r="N2454" s="6">
        <v>4.2279</v>
      </c>
      <c r="O2454" s="6">
        <v>3.6053999999999999</v>
      </c>
      <c r="P2454" s="5">
        <v>-3305.3154</v>
      </c>
      <c r="Q2454" s="4" t="s">
        <v>1393</v>
      </c>
    </row>
    <row r="2455" spans="1:17" x14ac:dyDescent="0.3">
      <c r="A2455" s="2" t="s">
        <v>1389</v>
      </c>
      <c r="B2455" s="3">
        <v>157759</v>
      </c>
      <c r="C2455" s="3">
        <v>902843</v>
      </c>
      <c r="D2455" s="4" t="s">
        <v>81</v>
      </c>
      <c r="E2455" s="4" t="s">
        <v>736</v>
      </c>
      <c r="F2455" s="4" t="s">
        <v>87</v>
      </c>
      <c r="G2455" s="4" t="s">
        <v>74</v>
      </c>
      <c r="H2455" s="5">
        <v>310000</v>
      </c>
      <c r="I2455" s="4" t="s">
        <v>21</v>
      </c>
      <c r="J2455" s="5">
        <f t="shared" si="38"/>
        <v>-111693</v>
      </c>
      <c r="K2455" s="4" t="s">
        <v>50</v>
      </c>
      <c r="L2455" s="6">
        <v>0.36030000000000001</v>
      </c>
      <c r="M2455" s="6">
        <v>2.7755000000000001</v>
      </c>
      <c r="N2455" s="6">
        <v>0.35980000000000001</v>
      </c>
      <c r="O2455" s="6">
        <v>1</v>
      </c>
      <c r="P2455" s="5">
        <v>-155</v>
      </c>
      <c r="Q2455" s="4" t="s">
        <v>1390</v>
      </c>
    </row>
    <row r="2456" spans="1:17" x14ac:dyDescent="0.3">
      <c r="A2456" s="2" t="s">
        <v>1389</v>
      </c>
      <c r="B2456" s="3">
        <v>157769</v>
      </c>
      <c r="C2456" s="3">
        <v>218323</v>
      </c>
      <c r="D2456" s="4" t="s">
        <v>17</v>
      </c>
      <c r="E2456" s="4" t="s">
        <v>816</v>
      </c>
      <c r="F2456" s="4" t="s">
        <v>32</v>
      </c>
      <c r="G2456" s="4" t="s">
        <v>34</v>
      </c>
      <c r="H2456" s="5">
        <v>-20000</v>
      </c>
      <c r="I2456" s="4" t="s">
        <v>21</v>
      </c>
      <c r="J2456" s="5">
        <f t="shared" si="38"/>
        <v>72926</v>
      </c>
      <c r="K2456" s="4" t="s">
        <v>49</v>
      </c>
      <c r="L2456" s="6">
        <v>3.6463000000000001</v>
      </c>
      <c r="M2456" s="6">
        <v>0.27429999999999999</v>
      </c>
      <c r="N2456" s="6">
        <v>3.6345999999999998</v>
      </c>
      <c r="O2456" s="6">
        <v>1</v>
      </c>
      <c r="P2456" s="5">
        <v>228</v>
      </c>
      <c r="Q2456" s="4" t="s">
        <v>1390</v>
      </c>
    </row>
    <row r="2457" spans="1:17" x14ac:dyDescent="0.3">
      <c r="A2457" s="2" t="s">
        <v>1389</v>
      </c>
      <c r="B2457" s="3">
        <v>157773</v>
      </c>
      <c r="C2457" s="3">
        <v>902938</v>
      </c>
      <c r="D2457" s="4" t="s">
        <v>81</v>
      </c>
      <c r="E2457" s="4" t="s">
        <v>735</v>
      </c>
      <c r="F2457" s="4" t="s">
        <v>83</v>
      </c>
      <c r="G2457" s="4" t="s">
        <v>20</v>
      </c>
      <c r="H2457" s="5">
        <v>-500000</v>
      </c>
      <c r="I2457" s="4" t="s">
        <v>21</v>
      </c>
      <c r="J2457" s="5">
        <f t="shared" si="38"/>
        <v>2112350</v>
      </c>
      <c r="K2457" s="4" t="s">
        <v>50</v>
      </c>
      <c r="L2457" s="6">
        <v>4.2247000000000003</v>
      </c>
      <c r="M2457" s="6">
        <v>0.23669999999999999</v>
      </c>
      <c r="N2457" s="6">
        <v>4.2279</v>
      </c>
      <c r="O2457" s="6">
        <v>1</v>
      </c>
      <c r="P2457" s="5">
        <v>-1600</v>
      </c>
      <c r="Q2457" s="4" t="s">
        <v>1394</v>
      </c>
    </row>
    <row r="2458" spans="1:17" x14ac:dyDescent="0.3">
      <c r="A2458" s="2" t="s">
        <v>1389</v>
      </c>
      <c r="B2458" s="3">
        <v>157774</v>
      </c>
      <c r="C2458" s="3">
        <v>902943</v>
      </c>
      <c r="D2458" s="4" t="s">
        <v>81</v>
      </c>
      <c r="E2458" s="4" t="s">
        <v>730</v>
      </c>
      <c r="F2458" s="4" t="s">
        <v>83</v>
      </c>
      <c r="G2458" s="4" t="s">
        <v>34</v>
      </c>
      <c r="H2458" s="5">
        <v>-100000</v>
      </c>
      <c r="I2458" s="4" t="s">
        <v>21</v>
      </c>
      <c r="J2458" s="5">
        <f t="shared" si="38"/>
        <v>363280</v>
      </c>
      <c r="K2458" s="4" t="s">
        <v>50</v>
      </c>
      <c r="L2458" s="6">
        <v>3.6328</v>
      </c>
      <c r="M2458" s="6">
        <v>0.27529999999999999</v>
      </c>
      <c r="N2458" s="6">
        <v>3.6053999999999999</v>
      </c>
      <c r="O2458" s="6">
        <v>1</v>
      </c>
      <c r="P2458" s="5">
        <v>2738</v>
      </c>
      <c r="Q2458" s="4" t="s">
        <v>1396</v>
      </c>
    </row>
    <row r="2459" spans="1:17" x14ac:dyDescent="0.3">
      <c r="A2459" s="2" t="s">
        <v>1389</v>
      </c>
      <c r="B2459" s="3">
        <v>157777</v>
      </c>
      <c r="C2459" s="3">
        <v>902988</v>
      </c>
      <c r="D2459" s="4" t="s">
        <v>81</v>
      </c>
      <c r="E2459" s="4" t="s">
        <v>961</v>
      </c>
      <c r="F2459" s="4" t="s">
        <v>87</v>
      </c>
      <c r="G2459" s="4" t="s">
        <v>20</v>
      </c>
      <c r="H2459" s="5">
        <v>10000</v>
      </c>
      <c r="I2459" s="4" t="s">
        <v>21</v>
      </c>
      <c r="J2459" s="5">
        <f t="shared" si="38"/>
        <v>-42185</v>
      </c>
      <c r="K2459" s="4" t="s">
        <v>50</v>
      </c>
      <c r="L2459" s="6">
        <v>4.2184999999999997</v>
      </c>
      <c r="M2459" s="6">
        <v>0.23710000000000001</v>
      </c>
      <c r="N2459" s="6">
        <v>4.2279</v>
      </c>
      <c r="O2459" s="6">
        <v>1</v>
      </c>
      <c r="P2459" s="5">
        <v>94</v>
      </c>
      <c r="Q2459" s="4" t="s">
        <v>1390</v>
      </c>
    </row>
    <row r="2460" spans="1:17" x14ac:dyDescent="0.3">
      <c r="A2460" s="2" t="s">
        <v>1389</v>
      </c>
      <c r="B2460" s="3">
        <v>157779</v>
      </c>
      <c r="C2460" s="3">
        <v>902995</v>
      </c>
      <c r="D2460" s="4" t="s">
        <v>81</v>
      </c>
      <c r="E2460" s="4" t="s">
        <v>1062</v>
      </c>
      <c r="F2460" s="4" t="s">
        <v>87</v>
      </c>
      <c r="G2460" s="4" t="s">
        <v>20</v>
      </c>
      <c r="H2460" s="5">
        <v>20000</v>
      </c>
      <c r="I2460" s="4" t="s">
        <v>21</v>
      </c>
      <c r="J2460" s="5">
        <f t="shared" si="38"/>
        <v>-84352</v>
      </c>
      <c r="K2460" s="4" t="s">
        <v>50</v>
      </c>
      <c r="L2460" s="6">
        <v>4.2176</v>
      </c>
      <c r="M2460" s="6">
        <v>0.23710000000000001</v>
      </c>
      <c r="N2460" s="6">
        <v>4.2279</v>
      </c>
      <c r="O2460" s="6">
        <v>1</v>
      </c>
      <c r="P2460" s="5">
        <v>206</v>
      </c>
      <c r="Q2460" s="4" t="s">
        <v>1390</v>
      </c>
    </row>
    <row r="2461" spans="1:17" x14ac:dyDescent="0.3">
      <c r="A2461" s="2" t="s">
        <v>1389</v>
      </c>
      <c r="B2461" s="3">
        <v>157780</v>
      </c>
      <c r="C2461" s="3">
        <v>902996</v>
      </c>
      <c r="D2461" s="4" t="s">
        <v>81</v>
      </c>
      <c r="E2461" s="4" t="s">
        <v>1062</v>
      </c>
      <c r="F2461" s="4" t="s">
        <v>87</v>
      </c>
      <c r="G2461" s="4" t="s">
        <v>20</v>
      </c>
      <c r="H2461" s="5">
        <v>20000</v>
      </c>
      <c r="I2461" s="4" t="s">
        <v>21</v>
      </c>
      <c r="J2461" s="5">
        <f t="shared" si="38"/>
        <v>-84352</v>
      </c>
      <c r="K2461" s="4" t="s">
        <v>50</v>
      </c>
      <c r="L2461" s="6">
        <v>4.2176</v>
      </c>
      <c r="M2461" s="6">
        <v>0.23710000000000001</v>
      </c>
      <c r="N2461" s="6">
        <v>4.2279</v>
      </c>
      <c r="O2461" s="6">
        <v>1</v>
      </c>
      <c r="P2461" s="5">
        <v>206</v>
      </c>
      <c r="Q2461" s="4" t="s">
        <v>1390</v>
      </c>
    </row>
    <row r="2462" spans="1:17" x14ac:dyDescent="0.3">
      <c r="A2462" s="2" t="s">
        <v>1389</v>
      </c>
      <c r="B2462" s="3">
        <v>157782</v>
      </c>
      <c r="C2462" s="3">
        <v>903000</v>
      </c>
      <c r="D2462" s="4" t="s">
        <v>81</v>
      </c>
      <c r="E2462" s="4" t="s">
        <v>725</v>
      </c>
      <c r="F2462" s="4" t="s">
        <v>83</v>
      </c>
      <c r="G2462" s="4" t="s">
        <v>20</v>
      </c>
      <c r="H2462" s="5">
        <v>-100000</v>
      </c>
      <c r="I2462" s="4" t="s">
        <v>91</v>
      </c>
      <c r="J2462" s="5">
        <f t="shared" si="38"/>
        <v>86720</v>
      </c>
      <c r="K2462" s="4" t="s">
        <v>50</v>
      </c>
      <c r="L2462" s="6">
        <v>0.86719999999999997</v>
      </c>
      <c r="M2462" s="6">
        <v>1.1531</v>
      </c>
      <c r="N2462" s="6">
        <v>4.2279</v>
      </c>
      <c r="O2462" s="6">
        <v>4.8582999999999998</v>
      </c>
      <c r="P2462" s="5">
        <v>-1463.6491000000001</v>
      </c>
      <c r="Q2462" s="4" t="s">
        <v>1392</v>
      </c>
    </row>
    <row r="2463" spans="1:17" x14ac:dyDescent="0.3">
      <c r="A2463" s="2" t="s">
        <v>1389</v>
      </c>
      <c r="B2463" s="3">
        <v>157783</v>
      </c>
      <c r="C2463" s="3">
        <v>218332</v>
      </c>
      <c r="D2463" s="4" t="s">
        <v>17</v>
      </c>
      <c r="E2463" s="4" t="s">
        <v>1271</v>
      </c>
      <c r="F2463" s="4" t="s">
        <v>19</v>
      </c>
      <c r="G2463" s="4" t="s">
        <v>20</v>
      </c>
      <c r="H2463" s="5">
        <v>115326.95</v>
      </c>
      <c r="I2463" s="4" t="s">
        <v>91</v>
      </c>
      <c r="J2463" s="5">
        <f t="shared" si="38"/>
        <v>-99642.484799999991</v>
      </c>
      <c r="K2463" s="4" t="s">
        <v>49</v>
      </c>
      <c r="L2463" s="6">
        <v>0.86399999999999999</v>
      </c>
      <c r="M2463" s="6">
        <v>1.1574</v>
      </c>
      <c r="N2463" s="6">
        <v>4.2191999999999998</v>
      </c>
      <c r="O2463" s="6">
        <v>4.8692000000000002</v>
      </c>
      <c r="P2463" s="5">
        <v>1408.2804518400226</v>
      </c>
      <c r="Q2463" s="4" t="s">
        <v>1390</v>
      </c>
    </row>
    <row r="2464" spans="1:17" x14ac:dyDescent="0.3">
      <c r="A2464" s="2" t="s">
        <v>1389</v>
      </c>
      <c r="B2464" s="3">
        <v>157784</v>
      </c>
      <c r="C2464" s="3">
        <v>218333</v>
      </c>
      <c r="D2464" s="4" t="s">
        <v>17</v>
      </c>
      <c r="E2464" s="4" t="s">
        <v>846</v>
      </c>
      <c r="F2464" s="4" t="s">
        <v>19</v>
      </c>
      <c r="G2464" s="4" t="s">
        <v>20</v>
      </c>
      <c r="H2464" s="5">
        <v>20000</v>
      </c>
      <c r="I2464" s="4" t="s">
        <v>21</v>
      </c>
      <c r="J2464" s="5">
        <f t="shared" si="38"/>
        <v>-84430</v>
      </c>
      <c r="K2464" s="4" t="s">
        <v>49</v>
      </c>
      <c r="L2464" s="6">
        <v>4.2214999999999998</v>
      </c>
      <c r="M2464" s="6">
        <v>0.2369</v>
      </c>
      <c r="N2464" s="6">
        <v>4.2191999999999998</v>
      </c>
      <c r="O2464" s="6">
        <v>1</v>
      </c>
      <c r="P2464" s="5">
        <v>-46</v>
      </c>
      <c r="Q2464" s="4" t="s">
        <v>1390</v>
      </c>
    </row>
    <row r="2465" spans="1:17" x14ac:dyDescent="0.3">
      <c r="A2465" s="2" t="s">
        <v>1389</v>
      </c>
      <c r="B2465" s="3">
        <v>157785</v>
      </c>
      <c r="C2465" s="3">
        <v>903011</v>
      </c>
      <c r="D2465" s="4" t="s">
        <v>81</v>
      </c>
      <c r="E2465" s="4" t="s">
        <v>725</v>
      </c>
      <c r="F2465" s="4" t="s">
        <v>83</v>
      </c>
      <c r="G2465" s="4" t="s">
        <v>20</v>
      </c>
      <c r="H2465" s="5">
        <v>-100000</v>
      </c>
      <c r="I2465" s="4" t="s">
        <v>91</v>
      </c>
      <c r="J2465" s="5">
        <f t="shared" si="38"/>
        <v>86730</v>
      </c>
      <c r="K2465" s="4" t="s">
        <v>50</v>
      </c>
      <c r="L2465" s="6">
        <v>0.86729999999999996</v>
      </c>
      <c r="M2465" s="6">
        <v>1.153</v>
      </c>
      <c r="N2465" s="6">
        <v>4.2279</v>
      </c>
      <c r="O2465" s="6">
        <v>4.8582999999999998</v>
      </c>
      <c r="P2465" s="5">
        <v>-1434.4992999999999</v>
      </c>
      <c r="Q2465" s="4" t="s">
        <v>1392</v>
      </c>
    </row>
    <row r="2466" spans="1:17" x14ac:dyDescent="0.3">
      <c r="A2466" s="2" t="s">
        <v>1389</v>
      </c>
      <c r="B2466" s="3">
        <v>157786</v>
      </c>
      <c r="C2466" s="3">
        <v>218339</v>
      </c>
      <c r="D2466" s="4" t="s">
        <v>17</v>
      </c>
      <c r="E2466" s="4" t="s">
        <v>1019</v>
      </c>
      <c r="F2466" s="4" t="s">
        <v>32</v>
      </c>
      <c r="G2466" s="4" t="s">
        <v>20</v>
      </c>
      <c r="H2466" s="5">
        <v>-100000</v>
      </c>
      <c r="I2466" s="4" t="s">
        <v>21</v>
      </c>
      <c r="J2466" s="5">
        <f t="shared" si="38"/>
        <v>423500.00000000006</v>
      </c>
      <c r="K2466" s="4" t="s">
        <v>49</v>
      </c>
      <c r="L2466" s="6">
        <v>4.2350000000000003</v>
      </c>
      <c r="M2466" s="6">
        <v>0.2361</v>
      </c>
      <c r="N2466" s="6">
        <v>4.2191999999999998</v>
      </c>
      <c r="O2466" s="6">
        <v>1</v>
      </c>
      <c r="P2466" s="5">
        <v>1580</v>
      </c>
      <c r="Q2466" s="4" t="s">
        <v>1390</v>
      </c>
    </row>
    <row r="2467" spans="1:17" x14ac:dyDescent="0.3">
      <c r="A2467" s="2" t="s">
        <v>1389</v>
      </c>
      <c r="B2467" s="3">
        <v>157787</v>
      </c>
      <c r="C2467" s="3">
        <v>218340</v>
      </c>
      <c r="D2467" s="4" t="s">
        <v>17</v>
      </c>
      <c r="E2467" s="4" t="s">
        <v>1019</v>
      </c>
      <c r="F2467" s="4" t="s">
        <v>32</v>
      </c>
      <c r="G2467" s="4" t="s">
        <v>20</v>
      </c>
      <c r="H2467" s="5">
        <v>-240000</v>
      </c>
      <c r="I2467" s="4" t="s">
        <v>21</v>
      </c>
      <c r="J2467" s="5">
        <f t="shared" si="38"/>
        <v>1016400.0000000001</v>
      </c>
      <c r="K2467" s="4" t="s">
        <v>49</v>
      </c>
      <c r="L2467" s="6">
        <v>4.2350000000000003</v>
      </c>
      <c r="M2467" s="6">
        <v>0.2361</v>
      </c>
      <c r="N2467" s="6">
        <v>4.2191999999999998</v>
      </c>
      <c r="O2467" s="6">
        <v>1</v>
      </c>
      <c r="P2467" s="5">
        <v>3792</v>
      </c>
      <c r="Q2467" s="4" t="s">
        <v>1390</v>
      </c>
    </row>
    <row r="2468" spans="1:17" x14ac:dyDescent="0.3">
      <c r="A2468" s="2" t="s">
        <v>1389</v>
      </c>
      <c r="B2468" s="3">
        <v>157794</v>
      </c>
      <c r="C2468" s="3">
        <v>218348</v>
      </c>
      <c r="D2468" s="4" t="s">
        <v>17</v>
      </c>
      <c r="E2468" s="4" t="s">
        <v>1200</v>
      </c>
      <c r="F2468" s="4" t="s">
        <v>19</v>
      </c>
      <c r="G2468" s="4" t="s">
        <v>20</v>
      </c>
      <c r="H2468" s="5">
        <v>15500</v>
      </c>
      <c r="I2468" s="4" t="s">
        <v>21</v>
      </c>
      <c r="J2468" s="5">
        <f t="shared" si="38"/>
        <v>-65301.5</v>
      </c>
      <c r="K2468" s="4" t="s">
        <v>49</v>
      </c>
      <c r="L2468" s="6">
        <v>4.2130000000000001</v>
      </c>
      <c r="M2468" s="6">
        <v>0.2374</v>
      </c>
      <c r="N2468" s="6">
        <v>4.2191999999999998</v>
      </c>
      <c r="O2468" s="6">
        <v>1</v>
      </c>
      <c r="P2468" s="5">
        <v>96.099999999998545</v>
      </c>
      <c r="Q2468" s="4" t="s">
        <v>1390</v>
      </c>
    </row>
    <row r="2469" spans="1:17" x14ac:dyDescent="0.3">
      <c r="A2469" s="2" t="s">
        <v>1389</v>
      </c>
      <c r="B2469" s="3">
        <v>157796</v>
      </c>
      <c r="C2469" s="3">
        <v>218349</v>
      </c>
      <c r="D2469" s="4" t="s">
        <v>17</v>
      </c>
      <c r="E2469" s="4" t="s">
        <v>1238</v>
      </c>
      <c r="F2469" s="4" t="s">
        <v>19</v>
      </c>
      <c r="G2469" s="4" t="s">
        <v>20</v>
      </c>
      <c r="H2469" s="5">
        <v>200000</v>
      </c>
      <c r="I2469" s="4" t="s">
        <v>21</v>
      </c>
      <c r="J2469" s="5">
        <f t="shared" si="38"/>
        <v>-844260</v>
      </c>
      <c r="K2469" s="4" t="s">
        <v>39</v>
      </c>
      <c r="L2469" s="6">
        <v>4.2213000000000003</v>
      </c>
      <c r="M2469" s="6">
        <v>0.2369</v>
      </c>
      <c r="N2469" s="6">
        <v>4.2230999999999996</v>
      </c>
      <c r="O2469" s="6">
        <v>1</v>
      </c>
      <c r="P2469" s="5">
        <v>359.99999999988358</v>
      </c>
      <c r="Q2469" s="4" t="s">
        <v>1390</v>
      </c>
    </row>
    <row r="2470" spans="1:17" x14ac:dyDescent="0.3">
      <c r="A2470" s="2" t="s">
        <v>1389</v>
      </c>
      <c r="B2470" s="3">
        <v>157798</v>
      </c>
      <c r="C2470" s="3">
        <v>218350</v>
      </c>
      <c r="D2470" s="4" t="s">
        <v>17</v>
      </c>
      <c r="E2470" s="4" t="s">
        <v>1238</v>
      </c>
      <c r="F2470" s="4" t="s">
        <v>19</v>
      </c>
      <c r="G2470" s="4" t="s">
        <v>91</v>
      </c>
      <c r="H2470" s="5">
        <v>30000</v>
      </c>
      <c r="I2470" s="4" t="s">
        <v>21</v>
      </c>
      <c r="J2470" s="5">
        <f t="shared" si="38"/>
        <v>-146043</v>
      </c>
      <c r="K2470" s="4" t="s">
        <v>39</v>
      </c>
      <c r="L2470" s="6">
        <v>4.8681000000000001</v>
      </c>
      <c r="M2470" s="6">
        <v>0.2054</v>
      </c>
      <c r="N2470" s="6">
        <v>4.8704000000000001</v>
      </c>
      <c r="O2470" s="6">
        <v>1</v>
      </c>
      <c r="P2470" s="5">
        <v>69</v>
      </c>
      <c r="Q2470" s="4" t="s">
        <v>1390</v>
      </c>
    </row>
    <row r="2471" spans="1:17" x14ac:dyDescent="0.3">
      <c r="A2471" s="2" t="s">
        <v>1389</v>
      </c>
      <c r="B2471" s="3">
        <v>157799</v>
      </c>
      <c r="C2471" s="3">
        <v>218352</v>
      </c>
      <c r="D2471" s="4" t="s">
        <v>17</v>
      </c>
      <c r="E2471" s="4" t="s">
        <v>1155</v>
      </c>
      <c r="F2471" s="4" t="s">
        <v>32</v>
      </c>
      <c r="G2471" s="4" t="s">
        <v>20</v>
      </c>
      <c r="H2471" s="5">
        <v>-30000</v>
      </c>
      <c r="I2471" s="4" t="s">
        <v>74</v>
      </c>
      <c r="J2471" s="5">
        <f t="shared" si="38"/>
        <v>351531</v>
      </c>
      <c r="K2471" s="4" t="s">
        <v>49</v>
      </c>
      <c r="L2471" s="6">
        <v>11.717700000000001</v>
      </c>
      <c r="M2471" s="6">
        <v>8.5300000000000001E-2</v>
      </c>
      <c r="N2471" s="6">
        <v>4.2191999999999998</v>
      </c>
      <c r="O2471" s="6">
        <v>0.3599</v>
      </c>
      <c r="P2471" s="5">
        <v>-70.790099999999995</v>
      </c>
      <c r="Q2471" s="4" t="s">
        <v>1390</v>
      </c>
    </row>
    <row r="2472" spans="1:17" x14ac:dyDescent="0.3">
      <c r="A2472" s="2" t="s">
        <v>1389</v>
      </c>
      <c r="B2472" s="3">
        <v>157801</v>
      </c>
      <c r="C2472" s="3">
        <v>218354</v>
      </c>
      <c r="D2472" s="4" t="s">
        <v>17</v>
      </c>
      <c r="E2472" s="4" t="s">
        <v>873</v>
      </c>
      <c r="F2472" s="4" t="s">
        <v>19</v>
      </c>
      <c r="G2472" s="4" t="s">
        <v>34</v>
      </c>
      <c r="H2472" s="5">
        <v>35000</v>
      </c>
      <c r="I2472" s="4" t="s">
        <v>21</v>
      </c>
      <c r="J2472" s="5">
        <f t="shared" si="38"/>
        <v>-126360.5</v>
      </c>
      <c r="K2472" s="4" t="s">
        <v>49</v>
      </c>
      <c r="L2472" s="6">
        <v>3.6103000000000001</v>
      </c>
      <c r="M2472" s="6">
        <v>0.27700000000000002</v>
      </c>
      <c r="N2472" s="6">
        <v>3.6345999999999998</v>
      </c>
      <c r="O2472" s="6">
        <v>1</v>
      </c>
      <c r="P2472" s="5">
        <v>850.5</v>
      </c>
      <c r="Q2472" s="4" t="s">
        <v>1390</v>
      </c>
    </row>
    <row r="2473" spans="1:17" x14ac:dyDescent="0.3">
      <c r="A2473" s="2" t="s">
        <v>1389</v>
      </c>
      <c r="B2473" s="3">
        <v>157802</v>
      </c>
      <c r="C2473" s="3">
        <v>218357</v>
      </c>
      <c r="D2473" s="4" t="s">
        <v>17</v>
      </c>
      <c r="E2473" s="4" t="s">
        <v>1168</v>
      </c>
      <c r="F2473" s="4" t="s">
        <v>32</v>
      </c>
      <c r="G2473" s="4" t="s">
        <v>20</v>
      </c>
      <c r="H2473" s="5">
        <v>-100000</v>
      </c>
      <c r="I2473" s="4" t="s">
        <v>21</v>
      </c>
      <c r="J2473" s="5">
        <f t="shared" si="38"/>
        <v>423050</v>
      </c>
      <c r="K2473" s="4" t="s">
        <v>49</v>
      </c>
      <c r="L2473" s="6">
        <v>4.2305000000000001</v>
      </c>
      <c r="M2473" s="6">
        <v>0.2364</v>
      </c>
      <c r="N2473" s="6">
        <v>4.2191999999999998</v>
      </c>
      <c r="O2473" s="6">
        <v>1</v>
      </c>
      <c r="P2473" s="5">
        <v>1080</v>
      </c>
      <c r="Q2473" s="4" t="s">
        <v>1390</v>
      </c>
    </row>
    <row r="2474" spans="1:17" x14ac:dyDescent="0.3">
      <c r="A2474" s="2" t="s">
        <v>1389</v>
      </c>
      <c r="B2474" s="3">
        <v>157803</v>
      </c>
      <c r="C2474" s="3">
        <v>218358</v>
      </c>
      <c r="D2474" s="4" t="s">
        <v>17</v>
      </c>
      <c r="E2474" s="4" t="s">
        <v>1245</v>
      </c>
      <c r="F2474" s="4" t="s">
        <v>32</v>
      </c>
      <c r="G2474" s="4" t="s">
        <v>34</v>
      </c>
      <c r="H2474" s="5">
        <v>-250000</v>
      </c>
      <c r="I2474" s="4" t="s">
        <v>21</v>
      </c>
      <c r="J2474" s="5">
        <f t="shared" si="38"/>
        <v>907500</v>
      </c>
      <c r="K2474" s="4" t="s">
        <v>49</v>
      </c>
      <c r="L2474" s="6">
        <v>3.63</v>
      </c>
      <c r="M2474" s="6">
        <v>0.27550000000000002</v>
      </c>
      <c r="N2474" s="6">
        <v>3.6345999999999998</v>
      </c>
      <c r="O2474" s="6">
        <v>1</v>
      </c>
      <c r="P2474" s="5">
        <v>-1150</v>
      </c>
      <c r="Q2474" s="4" t="s">
        <v>1390</v>
      </c>
    </row>
    <row r="2475" spans="1:17" x14ac:dyDescent="0.3">
      <c r="A2475" s="2" t="s">
        <v>1389</v>
      </c>
      <c r="B2475" s="3">
        <v>157804</v>
      </c>
      <c r="C2475" s="3">
        <v>903097</v>
      </c>
      <c r="D2475" s="4" t="s">
        <v>81</v>
      </c>
      <c r="E2475" s="4" t="s">
        <v>742</v>
      </c>
      <c r="F2475" s="4" t="s">
        <v>83</v>
      </c>
      <c r="G2475" s="4" t="s">
        <v>34</v>
      </c>
      <c r="H2475" s="5">
        <v>-500000</v>
      </c>
      <c r="I2475" s="4" t="s">
        <v>21</v>
      </c>
      <c r="J2475" s="5">
        <f t="shared" si="38"/>
        <v>1815350</v>
      </c>
      <c r="K2475" s="4" t="s">
        <v>50</v>
      </c>
      <c r="L2475" s="6">
        <v>3.6307</v>
      </c>
      <c r="M2475" s="6">
        <v>0.27539999999999998</v>
      </c>
      <c r="N2475" s="6">
        <v>3.6053999999999999</v>
      </c>
      <c r="O2475" s="6">
        <v>1</v>
      </c>
      <c r="P2475" s="5">
        <v>12650</v>
      </c>
      <c r="Q2475" s="4" t="s">
        <v>1396</v>
      </c>
    </row>
    <row r="2476" spans="1:17" x14ac:dyDescent="0.3">
      <c r="A2476" s="2" t="s">
        <v>1389</v>
      </c>
      <c r="B2476" s="3">
        <v>157805</v>
      </c>
      <c r="C2476" s="3">
        <v>903098</v>
      </c>
      <c r="D2476" s="4" t="s">
        <v>81</v>
      </c>
      <c r="E2476" s="4" t="s">
        <v>734</v>
      </c>
      <c r="F2476" s="4" t="s">
        <v>83</v>
      </c>
      <c r="G2476" s="4" t="s">
        <v>34</v>
      </c>
      <c r="H2476" s="5">
        <v>-500000</v>
      </c>
      <c r="I2476" s="4" t="s">
        <v>21</v>
      </c>
      <c r="J2476" s="5">
        <f t="shared" si="38"/>
        <v>1815450</v>
      </c>
      <c r="K2476" s="4" t="s">
        <v>50</v>
      </c>
      <c r="L2476" s="6">
        <v>3.6309</v>
      </c>
      <c r="M2476" s="6">
        <v>0.27539999999999998</v>
      </c>
      <c r="N2476" s="6">
        <v>3.6053999999999999</v>
      </c>
      <c r="O2476" s="6">
        <v>1</v>
      </c>
      <c r="P2476" s="5">
        <v>12750</v>
      </c>
      <c r="Q2476" s="4" t="s">
        <v>1393</v>
      </c>
    </row>
    <row r="2477" spans="1:17" x14ac:dyDescent="0.3">
      <c r="A2477" s="2" t="s">
        <v>1389</v>
      </c>
      <c r="B2477" s="3">
        <v>157806</v>
      </c>
      <c r="C2477" s="3">
        <v>903099</v>
      </c>
      <c r="D2477" s="4" t="s">
        <v>81</v>
      </c>
      <c r="E2477" s="4" t="s">
        <v>732</v>
      </c>
      <c r="F2477" s="4" t="s">
        <v>83</v>
      </c>
      <c r="G2477" s="4" t="s">
        <v>20</v>
      </c>
      <c r="H2477" s="5">
        <v>-500000</v>
      </c>
      <c r="I2477" s="4" t="s">
        <v>21</v>
      </c>
      <c r="J2477" s="5">
        <f t="shared" si="38"/>
        <v>2112300</v>
      </c>
      <c r="K2477" s="4" t="s">
        <v>50</v>
      </c>
      <c r="L2477" s="6">
        <v>4.2245999999999997</v>
      </c>
      <c r="M2477" s="6">
        <v>0.23669999999999999</v>
      </c>
      <c r="N2477" s="6">
        <v>4.2279</v>
      </c>
      <c r="O2477" s="6">
        <v>1</v>
      </c>
      <c r="P2477" s="5">
        <v>-1650</v>
      </c>
      <c r="Q2477" s="4" t="s">
        <v>1394</v>
      </c>
    </row>
    <row r="2478" spans="1:17" x14ac:dyDescent="0.3">
      <c r="A2478" s="2" t="s">
        <v>1389</v>
      </c>
      <c r="B2478" s="3">
        <v>157807</v>
      </c>
      <c r="C2478" s="3">
        <v>903100</v>
      </c>
      <c r="D2478" s="4" t="s">
        <v>81</v>
      </c>
      <c r="E2478" s="4" t="s">
        <v>732</v>
      </c>
      <c r="F2478" s="4" t="s">
        <v>83</v>
      </c>
      <c r="G2478" s="4" t="s">
        <v>34</v>
      </c>
      <c r="H2478" s="5">
        <v>-500000</v>
      </c>
      <c r="I2478" s="4" t="s">
        <v>21</v>
      </c>
      <c r="J2478" s="5">
        <f t="shared" si="38"/>
        <v>1815650</v>
      </c>
      <c r="K2478" s="4" t="s">
        <v>50</v>
      </c>
      <c r="L2478" s="6">
        <v>3.6313</v>
      </c>
      <c r="M2478" s="6">
        <v>0.27539999999999998</v>
      </c>
      <c r="N2478" s="6">
        <v>3.6053999999999999</v>
      </c>
      <c r="O2478" s="6">
        <v>1</v>
      </c>
      <c r="P2478" s="5">
        <v>12950</v>
      </c>
      <c r="Q2478" s="4" t="s">
        <v>1394</v>
      </c>
    </row>
    <row r="2479" spans="1:17" x14ac:dyDescent="0.3">
      <c r="A2479" s="2" t="s">
        <v>1389</v>
      </c>
      <c r="B2479" s="3">
        <v>157808</v>
      </c>
      <c r="C2479" s="3">
        <v>903102</v>
      </c>
      <c r="D2479" s="4" t="s">
        <v>81</v>
      </c>
      <c r="E2479" s="4" t="s">
        <v>725</v>
      </c>
      <c r="F2479" s="4" t="s">
        <v>83</v>
      </c>
      <c r="G2479" s="4" t="s">
        <v>34</v>
      </c>
      <c r="H2479" s="5">
        <v>-500000</v>
      </c>
      <c r="I2479" s="4" t="s">
        <v>21</v>
      </c>
      <c r="J2479" s="5">
        <f t="shared" si="38"/>
        <v>1815700</v>
      </c>
      <c r="K2479" s="4" t="s">
        <v>50</v>
      </c>
      <c r="L2479" s="6">
        <v>3.6314000000000002</v>
      </c>
      <c r="M2479" s="6">
        <v>0.27539999999999998</v>
      </c>
      <c r="N2479" s="6">
        <v>3.6053999999999999</v>
      </c>
      <c r="O2479" s="6">
        <v>1</v>
      </c>
      <c r="P2479" s="5">
        <v>13015</v>
      </c>
      <c r="Q2479" s="4" t="s">
        <v>1392</v>
      </c>
    </row>
    <row r="2480" spans="1:17" x14ac:dyDescent="0.3">
      <c r="A2480" s="2" t="s">
        <v>1389</v>
      </c>
      <c r="B2480" s="3">
        <v>157809</v>
      </c>
      <c r="C2480" s="3">
        <v>903106</v>
      </c>
      <c r="D2480" s="4" t="s">
        <v>81</v>
      </c>
      <c r="E2480" s="4" t="s">
        <v>725</v>
      </c>
      <c r="F2480" s="4" t="s">
        <v>83</v>
      </c>
      <c r="G2480" s="4" t="s">
        <v>34</v>
      </c>
      <c r="H2480" s="5">
        <v>-500000</v>
      </c>
      <c r="I2480" s="4" t="s">
        <v>21</v>
      </c>
      <c r="J2480" s="5">
        <f t="shared" si="38"/>
        <v>1815650</v>
      </c>
      <c r="K2480" s="4" t="s">
        <v>50</v>
      </c>
      <c r="L2480" s="6">
        <v>3.6313</v>
      </c>
      <c r="M2480" s="6">
        <v>0.27539999999999998</v>
      </c>
      <c r="N2480" s="6">
        <v>3.6053999999999999</v>
      </c>
      <c r="O2480" s="6">
        <v>1</v>
      </c>
      <c r="P2480" s="5">
        <v>12960</v>
      </c>
      <c r="Q2480" s="4" t="s">
        <v>1392</v>
      </c>
    </row>
    <row r="2481" spans="1:17" x14ac:dyDescent="0.3">
      <c r="A2481" s="2" t="s">
        <v>1389</v>
      </c>
      <c r="B2481" s="3">
        <v>157810</v>
      </c>
      <c r="C2481" s="3">
        <v>218360</v>
      </c>
      <c r="D2481" s="4" t="s">
        <v>17</v>
      </c>
      <c r="E2481" s="4" t="s">
        <v>1164</v>
      </c>
      <c r="F2481" s="4" t="s">
        <v>19</v>
      </c>
      <c r="G2481" s="4" t="s">
        <v>20</v>
      </c>
      <c r="H2481" s="5">
        <v>12000</v>
      </c>
      <c r="I2481" s="4" t="s">
        <v>21</v>
      </c>
      <c r="J2481" s="5">
        <f t="shared" si="38"/>
        <v>-50574</v>
      </c>
      <c r="K2481" s="4" t="s">
        <v>49</v>
      </c>
      <c r="L2481" s="6">
        <v>4.2145000000000001</v>
      </c>
      <c r="M2481" s="6">
        <v>0.23730000000000001</v>
      </c>
      <c r="N2481" s="6">
        <v>4.2191999999999998</v>
      </c>
      <c r="O2481" s="6">
        <v>1</v>
      </c>
      <c r="P2481" s="5">
        <v>56.400000000001455</v>
      </c>
      <c r="Q2481" s="4" t="s">
        <v>1390</v>
      </c>
    </row>
    <row r="2482" spans="1:17" x14ac:dyDescent="0.3">
      <c r="A2482" s="2" t="s">
        <v>1389</v>
      </c>
      <c r="B2482" s="3">
        <v>157811</v>
      </c>
      <c r="C2482" s="3">
        <v>903110</v>
      </c>
      <c r="D2482" s="4" t="s">
        <v>81</v>
      </c>
      <c r="E2482" s="4" t="s">
        <v>725</v>
      </c>
      <c r="F2482" s="4" t="s">
        <v>83</v>
      </c>
      <c r="G2482" s="4" t="s">
        <v>20</v>
      </c>
      <c r="H2482" s="5">
        <v>-500000</v>
      </c>
      <c r="I2482" s="4" t="s">
        <v>21</v>
      </c>
      <c r="J2482" s="5">
        <f t="shared" si="38"/>
        <v>2112100</v>
      </c>
      <c r="K2482" s="4" t="s">
        <v>50</v>
      </c>
      <c r="L2482" s="6">
        <v>4.2241999999999997</v>
      </c>
      <c r="M2482" s="6">
        <v>0.23669999999999999</v>
      </c>
      <c r="N2482" s="6">
        <v>4.2279</v>
      </c>
      <c r="O2482" s="6">
        <v>1</v>
      </c>
      <c r="P2482" s="5">
        <v>-1845</v>
      </c>
      <c r="Q2482" s="4" t="s">
        <v>1392</v>
      </c>
    </row>
    <row r="2483" spans="1:17" x14ac:dyDescent="0.3">
      <c r="A2483" s="2" t="s">
        <v>1389</v>
      </c>
      <c r="B2483" s="3">
        <v>157812</v>
      </c>
      <c r="C2483" s="3">
        <v>903111</v>
      </c>
      <c r="D2483" s="4" t="s">
        <v>81</v>
      </c>
      <c r="E2483" s="4" t="s">
        <v>725</v>
      </c>
      <c r="F2483" s="4" t="s">
        <v>83</v>
      </c>
      <c r="G2483" s="4" t="s">
        <v>20</v>
      </c>
      <c r="H2483" s="5">
        <v>-500000</v>
      </c>
      <c r="I2483" s="4" t="s">
        <v>21</v>
      </c>
      <c r="J2483" s="5">
        <f t="shared" si="38"/>
        <v>2112100</v>
      </c>
      <c r="K2483" s="4" t="s">
        <v>50</v>
      </c>
      <c r="L2483" s="6">
        <v>4.2241999999999997</v>
      </c>
      <c r="M2483" s="6">
        <v>0.23669999999999999</v>
      </c>
      <c r="N2483" s="6">
        <v>4.2279</v>
      </c>
      <c r="O2483" s="6">
        <v>1</v>
      </c>
      <c r="P2483" s="5">
        <v>-1825</v>
      </c>
      <c r="Q2483" s="4" t="s">
        <v>1392</v>
      </c>
    </row>
    <row r="2484" spans="1:17" x14ac:dyDescent="0.3">
      <c r="A2484" s="2" t="s">
        <v>1389</v>
      </c>
      <c r="B2484" s="3">
        <v>157813</v>
      </c>
      <c r="C2484" s="3">
        <v>218361</v>
      </c>
      <c r="D2484" s="4" t="s">
        <v>17</v>
      </c>
      <c r="E2484" s="4" t="s">
        <v>1255</v>
      </c>
      <c r="F2484" s="4" t="s">
        <v>19</v>
      </c>
      <c r="G2484" s="4" t="s">
        <v>20</v>
      </c>
      <c r="H2484" s="5">
        <v>1000000</v>
      </c>
      <c r="I2484" s="4" t="s">
        <v>21</v>
      </c>
      <c r="J2484" s="5">
        <f t="shared" si="38"/>
        <v>-4220000</v>
      </c>
      <c r="K2484" s="4" t="s">
        <v>49</v>
      </c>
      <c r="L2484" s="6">
        <v>4.22</v>
      </c>
      <c r="M2484" s="6">
        <v>0.23699999999999999</v>
      </c>
      <c r="N2484" s="6">
        <v>4.2191999999999998</v>
      </c>
      <c r="O2484" s="6">
        <v>1</v>
      </c>
      <c r="P2484" s="5">
        <v>-800</v>
      </c>
      <c r="Q2484" s="4" t="s">
        <v>1390</v>
      </c>
    </row>
    <row r="2485" spans="1:17" x14ac:dyDescent="0.3">
      <c r="A2485" s="2" t="s">
        <v>1389</v>
      </c>
      <c r="B2485" s="3">
        <v>157815</v>
      </c>
      <c r="C2485" s="3">
        <v>903128</v>
      </c>
      <c r="D2485" s="4" t="s">
        <v>81</v>
      </c>
      <c r="E2485" s="4" t="s">
        <v>739</v>
      </c>
      <c r="F2485" s="4" t="s">
        <v>83</v>
      </c>
      <c r="G2485" s="4" t="s">
        <v>20</v>
      </c>
      <c r="H2485" s="5">
        <v>-132716.04999999999</v>
      </c>
      <c r="I2485" s="4" t="s">
        <v>21</v>
      </c>
      <c r="J2485" s="5">
        <f t="shared" si="38"/>
        <v>560459.87914999994</v>
      </c>
      <c r="K2485" s="4" t="s">
        <v>50</v>
      </c>
      <c r="L2485" s="6">
        <v>4.2229999999999999</v>
      </c>
      <c r="M2485" s="6">
        <v>0.23680000000000001</v>
      </c>
      <c r="N2485" s="6">
        <v>4.2279</v>
      </c>
      <c r="O2485" s="6">
        <v>1</v>
      </c>
      <c r="P2485" s="5">
        <v>-652.96779500000002</v>
      </c>
      <c r="Q2485" s="4" t="s">
        <v>1391</v>
      </c>
    </row>
    <row r="2486" spans="1:17" x14ac:dyDescent="0.3">
      <c r="A2486" s="2" t="s">
        <v>1389</v>
      </c>
      <c r="B2486" s="3">
        <v>157816</v>
      </c>
      <c r="C2486" s="3">
        <v>903130</v>
      </c>
      <c r="D2486" s="4" t="s">
        <v>81</v>
      </c>
      <c r="E2486" s="4" t="s">
        <v>730</v>
      </c>
      <c r="F2486" s="4" t="s">
        <v>83</v>
      </c>
      <c r="G2486" s="4" t="s">
        <v>20</v>
      </c>
      <c r="H2486" s="5">
        <v>-101780.82</v>
      </c>
      <c r="I2486" s="4" t="s">
        <v>21</v>
      </c>
      <c r="J2486" s="5">
        <f t="shared" si="38"/>
        <v>429891.64943400002</v>
      </c>
      <c r="K2486" s="4" t="s">
        <v>50</v>
      </c>
      <c r="L2486" s="6">
        <v>4.2237</v>
      </c>
      <c r="M2486" s="6">
        <v>0.23680000000000001</v>
      </c>
      <c r="N2486" s="6">
        <v>4.2279</v>
      </c>
      <c r="O2486" s="6">
        <v>1</v>
      </c>
      <c r="P2486" s="5">
        <v>-429.51887799999997</v>
      </c>
      <c r="Q2486" s="4" t="s">
        <v>1396</v>
      </c>
    </row>
    <row r="2487" spans="1:17" x14ac:dyDescent="0.3">
      <c r="A2487" s="2" t="s">
        <v>1389</v>
      </c>
      <c r="B2487" s="3">
        <v>157817</v>
      </c>
      <c r="C2487" s="3">
        <v>903131</v>
      </c>
      <c r="D2487" s="4" t="s">
        <v>81</v>
      </c>
      <c r="E2487" s="4" t="s">
        <v>734</v>
      </c>
      <c r="F2487" s="4" t="s">
        <v>83</v>
      </c>
      <c r="G2487" s="4" t="s">
        <v>93</v>
      </c>
      <c r="H2487" s="5">
        <v>-2513.89</v>
      </c>
      <c r="I2487" s="4" t="s">
        <v>21</v>
      </c>
      <c r="J2487" s="5">
        <f t="shared" si="38"/>
        <v>11435.68561</v>
      </c>
      <c r="K2487" s="4" t="s">
        <v>50</v>
      </c>
      <c r="L2487" s="6">
        <v>4.5490000000000004</v>
      </c>
      <c r="M2487" s="6">
        <v>0.2198</v>
      </c>
      <c r="N2487" s="6">
        <v>4.5608000000000004</v>
      </c>
      <c r="O2487" s="6">
        <v>1</v>
      </c>
      <c r="P2487" s="5">
        <v>-29.759512000000001</v>
      </c>
      <c r="Q2487" s="4" t="s">
        <v>1393</v>
      </c>
    </row>
    <row r="2488" spans="1:17" x14ac:dyDescent="0.3">
      <c r="A2488" s="2" t="s">
        <v>1389</v>
      </c>
      <c r="B2488" s="3">
        <v>157818</v>
      </c>
      <c r="C2488" s="3">
        <v>903132</v>
      </c>
      <c r="D2488" s="4" t="s">
        <v>81</v>
      </c>
      <c r="E2488" s="4" t="s">
        <v>735</v>
      </c>
      <c r="F2488" s="4" t="s">
        <v>83</v>
      </c>
      <c r="G2488" s="4" t="s">
        <v>91</v>
      </c>
      <c r="H2488" s="5">
        <v>-2259.94</v>
      </c>
      <c r="I2488" s="4" t="s">
        <v>21</v>
      </c>
      <c r="J2488" s="5">
        <f t="shared" si="38"/>
        <v>11009.071716</v>
      </c>
      <c r="K2488" s="4" t="s">
        <v>50</v>
      </c>
      <c r="L2488" s="6">
        <v>4.8714000000000004</v>
      </c>
      <c r="M2488" s="6">
        <v>0.20530000000000001</v>
      </c>
      <c r="N2488" s="6">
        <v>4.8582999999999998</v>
      </c>
      <c r="O2488" s="6">
        <v>1</v>
      </c>
      <c r="P2488" s="5">
        <v>29.603497999999998</v>
      </c>
      <c r="Q2488" s="4" t="s">
        <v>1394</v>
      </c>
    </row>
    <row r="2489" spans="1:17" x14ac:dyDescent="0.3">
      <c r="A2489" s="2" t="s">
        <v>1389</v>
      </c>
      <c r="B2489" s="3">
        <v>157819</v>
      </c>
      <c r="C2489" s="3">
        <v>903133</v>
      </c>
      <c r="D2489" s="4" t="s">
        <v>81</v>
      </c>
      <c r="E2489" s="4" t="s">
        <v>734</v>
      </c>
      <c r="F2489" s="4" t="s">
        <v>83</v>
      </c>
      <c r="G2489" s="4" t="s">
        <v>34</v>
      </c>
      <c r="H2489" s="5">
        <v>-11169.27</v>
      </c>
      <c r="I2489" s="4" t="s">
        <v>21</v>
      </c>
      <c r="J2489" s="5">
        <f t="shared" si="38"/>
        <v>40517.643852000001</v>
      </c>
      <c r="K2489" s="4" t="s">
        <v>50</v>
      </c>
      <c r="L2489" s="6">
        <v>3.6276000000000002</v>
      </c>
      <c r="M2489" s="6">
        <v>0.2757</v>
      </c>
      <c r="N2489" s="6">
        <v>3.6053999999999999</v>
      </c>
      <c r="O2489" s="6">
        <v>1</v>
      </c>
      <c r="P2489" s="5">
        <v>248.403942</v>
      </c>
      <c r="Q2489" s="4" t="s">
        <v>1393</v>
      </c>
    </row>
    <row r="2490" spans="1:17" x14ac:dyDescent="0.3">
      <c r="A2490" s="2" t="s">
        <v>1389</v>
      </c>
      <c r="B2490" s="3">
        <v>157820</v>
      </c>
      <c r="C2490" s="3">
        <v>903134</v>
      </c>
      <c r="D2490" s="4" t="s">
        <v>81</v>
      </c>
      <c r="E2490" s="4" t="s">
        <v>735</v>
      </c>
      <c r="F2490" s="4" t="s">
        <v>83</v>
      </c>
      <c r="G2490" s="4" t="s">
        <v>20</v>
      </c>
      <c r="H2490" s="5">
        <v>-24290.47</v>
      </c>
      <c r="I2490" s="4" t="s">
        <v>21</v>
      </c>
      <c r="J2490" s="5">
        <f t="shared" si="38"/>
        <v>102588.370998</v>
      </c>
      <c r="K2490" s="4" t="s">
        <v>50</v>
      </c>
      <c r="L2490" s="6">
        <v>4.2233999999999998</v>
      </c>
      <c r="M2490" s="6">
        <v>0.23680000000000001</v>
      </c>
      <c r="N2490" s="6">
        <v>4.2279</v>
      </c>
      <c r="O2490" s="6">
        <v>1</v>
      </c>
      <c r="P2490" s="5">
        <v>-109.30811300000001</v>
      </c>
      <c r="Q2490" s="4" t="s">
        <v>1394</v>
      </c>
    </row>
    <row r="2491" spans="1:17" x14ac:dyDescent="0.3">
      <c r="A2491" s="2" t="s">
        <v>1389</v>
      </c>
      <c r="B2491" s="3">
        <v>157821</v>
      </c>
      <c r="C2491" s="3">
        <v>903140</v>
      </c>
      <c r="D2491" s="4" t="s">
        <v>81</v>
      </c>
      <c r="E2491" s="4" t="s">
        <v>734</v>
      </c>
      <c r="F2491" s="4" t="s">
        <v>83</v>
      </c>
      <c r="G2491" s="4" t="s">
        <v>20</v>
      </c>
      <c r="H2491" s="5">
        <v>-100496.82</v>
      </c>
      <c r="I2491" s="4" t="s">
        <v>21</v>
      </c>
      <c r="J2491" s="5">
        <f t="shared" si="38"/>
        <v>424498.56768000004</v>
      </c>
      <c r="K2491" s="4" t="s">
        <v>50</v>
      </c>
      <c r="L2491" s="6">
        <v>4.2240000000000002</v>
      </c>
      <c r="M2491" s="6">
        <v>0.23669999999999999</v>
      </c>
      <c r="N2491" s="6">
        <v>4.2279</v>
      </c>
      <c r="O2491" s="6">
        <v>1</v>
      </c>
      <c r="P2491" s="5">
        <v>-396.96527800000001</v>
      </c>
      <c r="Q2491" s="4" t="s">
        <v>1393</v>
      </c>
    </row>
    <row r="2492" spans="1:17" x14ac:dyDescent="0.3">
      <c r="A2492" s="2" t="s">
        <v>1389</v>
      </c>
      <c r="B2492" s="3">
        <v>157822</v>
      </c>
      <c r="C2492" s="3">
        <v>903142</v>
      </c>
      <c r="D2492" s="4" t="s">
        <v>81</v>
      </c>
      <c r="E2492" s="4" t="s">
        <v>734</v>
      </c>
      <c r="F2492" s="4" t="s">
        <v>83</v>
      </c>
      <c r="G2492" s="4" t="s">
        <v>20</v>
      </c>
      <c r="H2492" s="5">
        <v>-100042.58</v>
      </c>
      <c r="I2492" s="4" t="s">
        <v>21</v>
      </c>
      <c r="J2492" s="5">
        <f t="shared" si="38"/>
        <v>422589.86217799998</v>
      </c>
      <c r="K2492" s="4" t="s">
        <v>50</v>
      </c>
      <c r="L2492" s="6">
        <v>4.2241</v>
      </c>
      <c r="M2492" s="6">
        <v>0.23669999999999999</v>
      </c>
      <c r="N2492" s="6">
        <v>4.2279</v>
      </c>
      <c r="O2492" s="6">
        <v>1</v>
      </c>
      <c r="P2492" s="5">
        <v>-378.16398199999998</v>
      </c>
      <c r="Q2492" s="4" t="s">
        <v>1393</v>
      </c>
    </row>
    <row r="2493" spans="1:17" x14ac:dyDescent="0.3">
      <c r="A2493" s="2" t="s">
        <v>1389</v>
      </c>
      <c r="B2493" s="3">
        <v>157823</v>
      </c>
      <c r="C2493" s="3">
        <v>903144</v>
      </c>
      <c r="D2493" s="4" t="s">
        <v>81</v>
      </c>
      <c r="E2493" s="4" t="s">
        <v>735</v>
      </c>
      <c r="F2493" s="4" t="s">
        <v>83</v>
      </c>
      <c r="G2493" s="4" t="s">
        <v>20</v>
      </c>
      <c r="H2493" s="5">
        <v>-100228.11</v>
      </c>
      <c r="I2493" s="4" t="s">
        <v>21</v>
      </c>
      <c r="J2493" s="5">
        <f t="shared" si="38"/>
        <v>423313.42258499993</v>
      </c>
      <c r="K2493" s="4" t="s">
        <v>50</v>
      </c>
      <c r="L2493" s="6">
        <v>4.2234999999999996</v>
      </c>
      <c r="M2493" s="6">
        <v>0.23680000000000001</v>
      </c>
      <c r="N2493" s="6">
        <v>4.2279</v>
      </c>
      <c r="O2493" s="6">
        <v>1</v>
      </c>
      <c r="P2493" s="5">
        <v>-441.00626899999997</v>
      </c>
      <c r="Q2493" s="4" t="s">
        <v>1394</v>
      </c>
    </row>
    <row r="2494" spans="1:17" x14ac:dyDescent="0.3">
      <c r="A2494" s="2" t="s">
        <v>1389</v>
      </c>
      <c r="B2494" s="3">
        <v>157824</v>
      </c>
      <c r="C2494" s="3">
        <v>903145</v>
      </c>
      <c r="D2494" s="4" t="s">
        <v>81</v>
      </c>
      <c r="E2494" s="4" t="s">
        <v>735</v>
      </c>
      <c r="F2494" s="4" t="s">
        <v>83</v>
      </c>
      <c r="G2494" s="4" t="s">
        <v>34</v>
      </c>
      <c r="H2494" s="5">
        <v>-113882.93</v>
      </c>
      <c r="I2494" s="4" t="s">
        <v>21</v>
      </c>
      <c r="J2494" s="5">
        <f t="shared" si="38"/>
        <v>412985.05735199997</v>
      </c>
      <c r="K2494" s="4" t="s">
        <v>50</v>
      </c>
      <c r="L2494" s="6">
        <v>3.6263999999999998</v>
      </c>
      <c r="M2494" s="6">
        <v>0.27579999999999999</v>
      </c>
      <c r="N2494" s="6">
        <v>3.6053999999999999</v>
      </c>
      <c r="O2494" s="6">
        <v>1</v>
      </c>
      <c r="P2494" s="5">
        <v>2391.5441780000001</v>
      </c>
      <c r="Q2494" s="4" t="s">
        <v>1394</v>
      </c>
    </row>
    <row r="2495" spans="1:17" x14ac:dyDescent="0.3">
      <c r="A2495" s="2" t="s">
        <v>1389</v>
      </c>
      <c r="B2495" s="3">
        <v>157825</v>
      </c>
      <c r="C2495" s="3">
        <v>218364</v>
      </c>
      <c r="D2495" s="4" t="s">
        <v>17</v>
      </c>
      <c r="E2495" s="4" t="s">
        <v>743</v>
      </c>
      <c r="F2495" s="4" t="s">
        <v>19</v>
      </c>
      <c r="G2495" s="4" t="s">
        <v>20</v>
      </c>
      <c r="H2495" s="5">
        <v>20000</v>
      </c>
      <c r="I2495" s="4" t="s">
        <v>21</v>
      </c>
      <c r="J2495" s="5">
        <f t="shared" si="38"/>
        <v>-84486.000000000015</v>
      </c>
      <c r="K2495" s="4" t="s">
        <v>39</v>
      </c>
      <c r="L2495" s="6">
        <v>4.2243000000000004</v>
      </c>
      <c r="M2495" s="6">
        <v>0.23669999999999999</v>
      </c>
      <c r="N2495" s="6">
        <v>4.2230999999999996</v>
      </c>
      <c r="O2495" s="6">
        <v>1</v>
      </c>
      <c r="P2495" s="5">
        <v>-24.000000000029104</v>
      </c>
      <c r="Q2495" s="4" t="s">
        <v>1395</v>
      </c>
    </row>
    <row r="2496" spans="1:17" x14ac:dyDescent="0.3">
      <c r="A2496" s="2" t="s">
        <v>1389</v>
      </c>
      <c r="B2496" s="3">
        <v>157826</v>
      </c>
      <c r="C2496" s="3">
        <v>218365</v>
      </c>
      <c r="D2496" s="4" t="s">
        <v>17</v>
      </c>
      <c r="E2496" s="4" t="s">
        <v>811</v>
      </c>
      <c r="F2496" s="4" t="s">
        <v>32</v>
      </c>
      <c r="G2496" s="4" t="s">
        <v>20</v>
      </c>
      <c r="H2496" s="5">
        <v>-20000</v>
      </c>
      <c r="I2496" s="4" t="s">
        <v>21</v>
      </c>
      <c r="J2496" s="5">
        <f t="shared" si="38"/>
        <v>84586</v>
      </c>
      <c r="K2496" s="4" t="s">
        <v>39</v>
      </c>
      <c r="L2496" s="6">
        <v>4.2293000000000003</v>
      </c>
      <c r="M2496" s="6">
        <v>0.2364</v>
      </c>
      <c r="N2496" s="6">
        <v>4.2230999999999996</v>
      </c>
      <c r="O2496" s="6">
        <v>1</v>
      </c>
      <c r="P2496" s="5">
        <v>120</v>
      </c>
      <c r="Q2496" s="4" t="s">
        <v>1390</v>
      </c>
    </row>
    <row r="2497" spans="1:17" x14ac:dyDescent="0.3">
      <c r="A2497" s="2" t="s">
        <v>1389</v>
      </c>
      <c r="B2497" s="3">
        <v>157827</v>
      </c>
      <c r="C2497" s="3">
        <v>903152</v>
      </c>
      <c r="D2497" s="4" t="s">
        <v>81</v>
      </c>
      <c r="E2497" s="4" t="s">
        <v>734</v>
      </c>
      <c r="F2497" s="4" t="s">
        <v>83</v>
      </c>
      <c r="G2497" s="4" t="s">
        <v>20</v>
      </c>
      <c r="H2497" s="5">
        <v>-100066.38</v>
      </c>
      <c r="I2497" s="4" t="s">
        <v>21</v>
      </c>
      <c r="J2497" s="5">
        <f t="shared" si="38"/>
        <v>422620.349292</v>
      </c>
      <c r="K2497" s="4" t="s">
        <v>50</v>
      </c>
      <c r="L2497" s="6">
        <v>4.2233999999999998</v>
      </c>
      <c r="M2497" s="6">
        <v>0.23680000000000001</v>
      </c>
      <c r="N2497" s="6">
        <v>4.2279</v>
      </c>
      <c r="O2497" s="6">
        <v>1</v>
      </c>
      <c r="P2497" s="5">
        <v>-454.298002</v>
      </c>
      <c r="Q2497" s="4" t="s">
        <v>1393</v>
      </c>
    </row>
    <row r="2498" spans="1:17" x14ac:dyDescent="0.3">
      <c r="A2498" s="2" t="s">
        <v>1389</v>
      </c>
      <c r="B2498" s="3">
        <v>157828</v>
      </c>
      <c r="C2498" s="3">
        <v>903153</v>
      </c>
      <c r="D2498" s="4" t="s">
        <v>81</v>
      </c>
      <c r="E2498" s="4" t="s">
        <v>734</v>
      </c>
      <c r="F2498" s="4" t="s">
        <v>83</v>
      </c>
      <c r="G2498" s="4" t="s">
        <v>91</v>
      </c>
      <c r="H2498" s="5">
        <v>-26871.79</v>
      </c>
      <c r="I2498" s="4" t="s">
        <v>21</v>
      </c>
      <c r="J2498" s="5">
        <f t="shared" si="38"/>
        <v>130862.93012100001</v>
      </c>
      <c r="K2498" s="4" t="s">
        <v>50</v>
      </c>
      <c r="L2498" s="6">
        <v>4.8699000000000003</v>
      </c>
      <c r="M2498" s="6">
        <v>0.20530000000000001</v>
      </c>
      <c r="N2498" s="6">
        <v>4.8582999999999998</v>
      </c>
      <c r="O2498" s="6">
        <v>1</v>
      </c>
      <c r="P2498" s="5">
        <v>311.71264300000001</v>
      </c>
      <c r="Q2498" s="4" t="s">
        <v>1393</v>
      </c>
    </row>
    <row r="2499" spans="1:17" x14ac:dyDescent="0.3">
      <c r="A2499" s="2" t="s">
        <v>1389</v>
      </c>
      <c r="B2499" s="3">
        <v>157829</v>
      </c>
      <c r="C2499" s="3">
        <v>903154</v>
      </c>
      <c r="D2499" s="4" t="s">
        <v>81</v>
      </c>
      <c r="E2499" s="4" t="s">
        <v>734</v>
      </c>
      <c r="F2499" s="4" t="s">
        <v>83</v>
      </c>
      <c r="G2499" s="4" t="s">
        <v>34</v>
      </c>
      <c r="H2499" s="5">
        <v>-12336.06</v>
      </c>
      <c r="I2499" s="4" t="s">
        <v>21</v>
      </c>
      <c r="J2499" s="5">
        <f t="shared" si="38"/>
        <v>44746.590437999999</v>
      </c>
      <c r="K2499" s="4" t="s">
        <v>50</v>
      </c>
      <c r="L2499" s="6">
        <v>3.6273</v>
      </c>
      <c r="M2499" s="6">
        <v>0.2757</v>
      </c>
      <c r="N2499" s="6">
        <v>3.6053999999999999</v>
      </c>
      <c r="O2499" s="6">
        <v>1</v>
      </c>
      <c r="P2499" s="5">
        <v>270.03927599999997</v>
      </c>
      <c r="Q2499" s="4" t="s">
        <v>1393</v>
      </c>
    </row>
    <row r="2500" spans="1:17" x14ac:dyDescent="0.3">
      <c r="A2500" s="2" t="s">
        <v>1389</v>
      </c>
      <c r="B2500" s="3">
        <v>157830</v>
      </c>
      <c r="C2500" s="3">
        <v>903155</v>
      </c>
      <c r="D2500" s="4" t="s">
        <v>81</v>
      </c>
      <c r="E2500" s="4" t="s">
        <v>734</v>
      </c>
      <c r="F2500" s="4" t="s">
        <v>87</v>
      </c>
      <c r="G2500" s="4" t="s">
        <v>93</v>
      </c>
      <c r="H2500" s="5">
        <v>2295.29</v>
      </c>
      <c r="I2500" s="4" t="s">
        <v>21</v>
      </c>
      <c r="J2500" s="5">
        <f t="shared" ref="J2500:J2563" si="39">-H2500*L2500</f>
        <v>-10443.5695</v>
      </c>
      <c r="K2500" s="4" t="s">
        <v>50</v>
      </c>
      <c r="L2500" s="6">
        <v>4.55</v>
      </c>
      <c r="M2500" s="6">
        <v>0.2198</v>
      </c>
      <c r="N2500" s="6">
        <v>4.5608000000000004</v>
      </c>
      <c r="O2500" s="6">
        <v>1</v>
      </c>
      <c r="P2500" s="5">
        <v>24.698632</v>
      </c>
      <c r="Q2500" s="4" t="s">
        <v>1393</v>
      </c>
    </row>
    <row r="2501" spans="1:17" x14ac:dyDescent="0.3">
      <c r="A2501" s="2" t="s">
        <v>1389</v>
      </c>
      <c r="B2501" s="3">
        <v>157831</v>
      </c>
      <c r="C2501" s="3">
        <v>903156</v>
      </c>
      <c r="D2501" s="4" t="s">
        <v>81</v>
      </c>
      <c r="E2501" s="4" t="s">
        <v>734</v>
      </c>
      <c r="F2501" s="4" t="s">
        <v>83</v>
      </c>
      <c r="G2501" s="4" t="s">
        <v>20</v>
      </c>
      <c r="H2501" s="5">
        <v>-9179.6200000000008</v>
      </c>
      <c r="I2501" s="4" t="s">
        <v>21</v>
      </c>
      <c r="J2501" s="5">
        <f t="shared" si="39"/>
        <v>38769.207108000002</v>
      </c>
      <c r="K2501" s="4" t="s">
        <v>50</v>
      </c>
      <c r="L2501" s="6">
        <v>4.2233999999999998</v>
      </c>
      <c r="M2501" s="6">
        <v>0.23680000000000001</v>
      </c>
      <c r="N2501" s="6">
        <v>4.2279</v>
      </c>
      <c r="O2501" s="6">
        <v>1</v>
      </c>
      <c r="P2501" s="5">
        <v>-41.495398000000002</v>
      </c>
      <c r="Q2501" s="4" t="s">
        <v>1393</v>
      </c>
    </row>
    <row r="2502" spans="1:17" x14ac:dyDescent="0.3">
      <c r="A2502" s="2" t="s">
        <v>1389</v>
      </c>
      <c r="B2502" s="3">
        <v>157832</v>
      </c>
      <c r="C2502" s="3">
        <v>218366</v>
      </c>
      <c r="D2502" s="4" t="s">
        <v>17</v>
      </c>
      <c r="E2502" s="4" t="s">
        <v>735</v>
      </c>
      <c r="F2502" s="4" t="s">
        <v>32</v>
      </c>
      <c r="G2502" s="4" t="s">
        <v>20</v>
      </c>
      <c r="H2502" s="5">
        <v>-30000</v>
      </c>
      <c r="I2502" s="4" t="s">
        <v>21</v>
      </c>
      <c r="J2502" s="5">
        <f t="shared" si="39"/>
        <v>126696.00000000001</v>
      </c>
      <c r="K2502" s="4" t="s">
        <v>39</v>
      </c>
      <c r="L2502" s="6">
        <v>4.2232000000000003</v>
      </c>
      <c r="M2502" s="6">
        <v>0.23680000000000001</v>
      </c>
      <c r="N2502" s="6">
        <v>4.2230999999999996</v>
      </c>
      <c r="O2502" s="6">
        <v>1</v>
      </c>
      <c r="P2502" s="5">
        <v>-3.88</v>
      </c>
      <c r="Q2502" s="4" t="s">
        <v>1394</v>
      </c>
    </row>
    <row r="2503" spans="1:17" x14ac:dyDescent="0.3">
      <c r="A2503" s="2" t="s">
        <v>1389</v>
      </c>
      <c r="B2503" s="3">
        <v>157833</v>
      </c>
      <c r="C2503" s="3">
        <v>218367</v>
      </c>
      <c r="D2503" s="4" t="s">
        <v>17</v>
      </c>
      <c r="E2503" s="4" t="s">
        <v>1023</v>
      </c>
      <c r="F2503" s="4" t="s">
        <v>19</v>
      </c>
      <c r="G2503" s="4" t="s">
        <v>20</v>
      </c>
      <c r="H2503" s="5">
        <v>30000</v>
      </c>
      <c r="I2503" s="4" t="s">
        <v>21</v>
      </c>
      <c r="J2503" s="5">
        <f t="shared" si="39"/>
        <v>-126357</v>
      </c>
      <c r="K2503" s="4" t="s">
        <v>39</v>
      </c>
      <c r="L2503" s="6">
        <v>4.2119</v>
      </c>
      <c r="M2503" s="6">
        <v>0.2374</v>
      </c>
      <c r="N2503" s="6">
        <v>4.2230999999999996</v>
      </c>
      <c r="O2503" s="6">
        <v>1</v>
      </c>
      <c r="P2503" s="5">
        <v>335.99999999998545</v>
      </c>
      <c r="Q2503" s="4" t="s">
        <v>1390</v>
      </c>
    </row>
    <row r="2504" spans="1:17" x14ac:dyDescent="0.3">
      <c r="A2504" s="2" t="s">
        <v>1389</v>
      </c>
      <c r="B2504" s="3">
        <v>157834</v>
      </c>
      <c r="C2504" s="3">
        <v>903166</v>
      </c>
      <c r="D2504" s="4" t="s">
        <v>81</v>
      </c>
      <c r="E2504" s="4" t="s">
        <v>735</v>
      </c>
      <c r="F2504" s="4" t="s">
        <v>83</v>
      </c>
      <c r="G2504" s="4" t="s">
        <v>34</v>
      </c>
      <c r="H2504" s="5">
        <v>-16421.91</v>
      </c>
      <c r="I2504" s="4" t="s">
        <v>21</v>
      </c>
      <c r="J2504" s="5">
        <f t="shared" si="39"/>
        <v>59527.781558999995</v>
      </c>
      <c r="K2504" s="4" t="s">
        <v>51</v>
      </c>
      <c r="L2504" s="6">
        <v>3.6248999999999998</v>
      </c>
      <c r="M2504" s="6">
        <v>0.27589999999999998</v>
      </c>
      <c r="N2504" s="6">
        <v>3.6118000000000001</v>
      </c>
      <c r="O2504" s="6">
        <v>1</v>
      </c>
      <c r="P2504" s="5">
        <v>215.125462</v>
      </c>
      <c r="Q2504" s="4" t="s">
        <v>1394</v>
      </c>
    </row>
    <row r="2505" spans="1:17" x14ac:dyDescent="0.3">
      <c r="A2505" s="2" t="s">
        <v>1389</v>
      </c>
      <c r="B2505" s="3">
        <v>157835</v>
      </c>
      <c r="C2505" s="3">
        <v>903167</v>
      </c>
      <c r="D2505" s="4" t="s">
        <v>81</v>
      </c>
      <c r="E2505" s="4" t="s">
        <v>735</v>
      </c>
      <c r="F2505" s="4" t="s">
        <v>83</v>
      </c>
      <c r="G2505" s="4" t="s">
        <v>93</v>
      </c>
      <c r="H2505" s="5">
        <v>-9320.7900000000009</v>
      </c>
      <c r="I2505" s="4" t="s">
        <v>21</v>
      </c>
      <c r="J2505" s="5">
        <f t="shared" si="39"/>
        <v>42351.805602000008</v>
      </c>
      <c r="K2505" s="4" t="s">
        <v>51</v>
      </c>
      <c r="L2505" s="6">
        <v>4.5438000000000001</v>
      </c>
      <c r="M2505" s="6">
        <v>0.22009999999999999</v>
      </c>
      <c r="N2505" s="6">
        <v>4.5552999999999999</v>
      </c>
      <c r="O2505" s="6">
        <v>1</v>
      </c>
      <c r="P2505" s="5">
        <v>-107.184687</v>
      </c>
      <c r="Q2505" s="4" t="s">
        <v>1394</v>
      </c>
    </row>
    <row r="2506" spans="1:17" x14ac:dyDescent="0.3">
      <c r="A2506" s="2" t="s">
        <v>1389</v>
      </c>
      <c r="B2506" s="3">
        <v>157836</v>
      </c>
      <c r="C2506" s="3">
        <v>903168</v>
      </c>
      <c r="D2506" s="4" t="s">
        <v>81</v>
      </c>
      <c r="E2506" s="4" t="s">
        <v>735</v>
      </c>
      <c r="F2506" s="4" t="s">
        <v>83</v>
      </c>
      <c r="G2506" s="4" t="s">
        <v>20</v>
      </c>
      <c r="H2506" s="5">
        <v>-57179.38</v>
      </c>
      <c r="I2506" s="4" t="s">
        <v>21</v>
      </c>
      <c r="J2506" s="5">
        <f t="shared" si="39"/>
        <v>241399.90648399998</v>
      </c>
      <c r="K2506" s="4" t="s">
        <v>51</v>
      </c>
      <c r="L2506" s="6">
        <v>4.2218</v>
      </c>
      <c r="M2506" s="6">
        <v>0.2369</v>
      </c>
      <c r="N2506" s="6">
        <v>4.2271000000000001</v>
      </c>
      <c r="O2506" s="6">
        <v>1</v>
      </c>
      <c r="P2506" s="5">
        <v>-303.04719799999998</v>
      </c>
      <c r="Q2506" s="4" t="s">
        <v>1394</v>
      </c>
    </row>
    <row r="2507" spans="1:17" x14ac:dyDescent="0.3">
      <c r="A2507" s="2" t="s">
        <v>1389</v>
      </c>
      <c r="B2507" s="3">
        <v>157837</v>
      </c>
      <c r="C2507" s="3">
        <v>903169</v>
      </c>
      <c r="D2507" s="4" t="s">
        <v>81</v>
      </c>
      <c r="E2507" s="4" t="s">
        <v>730</v>
      </c>
      <c r="F2507" s="4" t="s">
        <v>83</v>
      </c>
      <c r="G2507" s="4" t="s">
        <v>91</v>
      </c>
      <c r="H2507" s="5">
        <v>-7976.47</v>
      </c>
      <c r="I2507" s="4" t="s">
        <v>21</v>
      </c>
      <c r="J2507" s="5">
        <f t="shared" si="39"/>
        <v>38800.740667999999</v>
      </c>
      <c r="K2507" s="4" t="s">
        <v>51</v>
      </c>
      <c r="L2507" s="6">
        <v>4.8643999999999998</v>
      </c>
      <c r="M2507" s="6">
        <v>0.2056</v>
      </c>
      <c r="N2507" s="6">
        <v>4.8433999999999999</v>
      </c>
      <c r="O2507" s="6">
        <v>1</v>
      </c>
      <c r="P2507" s="5">
        <v>167.26520199999999</v>
      </c>
      <c r="Q2507" s="4" t="s">
        <v>1396</v>
      </c>
    </row>
    <row r="2508" spans="1:17" x14ac:dyDescent="0.3">
      <c r="A2508" s="2" t="s">
        <v>1389</v>
      </c>
      <c r="B2508" s="3">
        <v>157838</v>
      </c>
      <c r="C2508" s="3">
        <v>218368</v>
      </c>
      <c r="D2508" s="4" t="s">
        <v>17</v>
      </c>
      <c r="E2508" s="4" t="s">
        <v>727</v>
      </c>
      <c r="F2508" s="4" t="s">
        <v>19</v>
      </c>
      <c r="G2508" s="4" t="s">
        <v>20</v>
      </c>
      <c r="H2508" s="5">
        <v>2500</v>
      </c>
      <c r="I2508" s="4" t="s">
        <v>21</v>
      </c>
      <c r="J2508" s="5">
        <f t="shared" si="39"/>
        <v>-10560</v>
      </c>
      <c r="K2508" s="4" t="s">
        <v>39</v>
      </c>
      <c r="L2508" s="6">
        <v>4.2240000000000002</v>
      </c>
      <c r="M2508" s="6">
        <v>0.23669999999999999</v>
      </c>
      <c r="N2508" s="6">
        <v>4.2230999999999996</v>
      </c>
      <c r="O2508" s="6">
        <v>1</v>
      </c>
      <c r="P2508" s="5">
        <v>-2.250000000001819</v>
      </c>
      <c r="Q2508" s="4" t="s">
        <v>1397</v>
      </c>
    </row>
    <row r="2509" spans="1:17" x14ac:dyDescent="0.3">
      <c r="A2509" s="2" t="s">
        <v>1389</v>
      </c>
      <c r="B2509" s="3">
        <v>157839</v>
      </c>
      <c r="C2509" s="3">
        <v>903178</v>
      </c>
      <c r="D2509" s="4" t="s">
        <v>81</v>
      </c>
      <c r="E2509" s="4" t="s">
        <v>730</v>
      </c>
      <c r="F2509" s="4" t="s">
        <v>83</v>
      </c>
      <c r="G2509" s="4" t="s">
        <v>20</v>
      </c>
      <c r="H2509" s="5">
        <v>-67642</v>
      </c>
      <c r="I2509" s="4" t="s">
        <v>21</v>
      </c>
      <c r="J2509" s="5">
        <f t="shared" si="39"/>
        <v>285685.98699999996</v>
      </c>
      <c r="K2509" s="4" t="s">
        <v>51</v>
      </c>
      <c r="L2509" s="6">
        <v>4.2234999999999996</v>
      </c>
      <c r="M2509" s="6">
        <v>0.23680000000000001</v>
      </c>
      <c r="N2509" s="6">
        <v>4.2271000000000001</v>
      </c>
      <c r="O2509" s="6">
        <v>1</v>
      </c>
      <c r="P2509" s="5">
        <v>-244.18819999999999</v>
      </c>
      <c r="Q2509" s="4" t="s">
        <v>1396</v>
      </c>
    </row>
    <row r="2510" spans="1:17" x14ac:dyDescent="0.3">
      <c r="A2510" s="2" t="s">
        <v>1389</v>
      </c>
      <c r="B2510" s="3">
        <v>157840</v>
      </c>
      <c r="C2510" s="3">
        <v>903179</v>
      </c>
      <c r="D2510" s="4" t="s">
        <v>81</v>
      </c>
      <c r="E2510" s="4" t="s">
        <v>730</v>
      </c>
      <c r="F2510" s="4" t="s">
        <v>83</v>
      </c>
      <c r="G2510" s="4" t="s">
        <v>34</v>
      </c>
      <c r="H2510" s="5">
        <v>-2304.5700000000002</v>
      </c>
      <c r="I2510" s="4" t="s">
        <v>21</v>
      </c>
      <c r="J2510" s="5">
        <f t="shared" si="39"/>
        <v>8343.2347709999995</v>
      </c>
      <c r="K2510" s="4" t="s">
        <v>51</v>
      </c>
      <c r="L2510" s="6">
        <v>3.6202999999999999</v>
      </c>
      <c r="M2510" s="6">
        <v>0.2762</v>
      </c>
      <c r="N2510" s="6">
        <v>3.6118000000000001</v>
      </c>
      <c r="O2510" s="6">
        <v>1</v>
      </c>
      <c r="P2510" s="5">
        <v>19.564074000000002</v>
      </c>
      <c r="Q2510" s="4" t="s">
        <v>1396</v>
      </c>
    </row>
    <row r="2511" spans="1:17" x14ac:dyDescent="0.3">
      <c r="A2511" s="2" t="s">
        <v>1389</v>
      </c>
      <c r="B2511" s="3">
        <v>157841</v>
      </c>
      <c r="C2511" s="3">
        <v>903180</v>
      </c>
      <c r="D2511" s="4" t="s">
        <v>81</v>
      </c>
      <c r="E2511" s="4" t="s">
        <v>735</v>
      </c>
      <c r="F2511" s="4" t="s">
        <v>83</v>
      </c>
      <c r="G2511" s="4" t="s">
        <v>91</v>
      </c>
      <c r="H2511" s="5">
        <v>-220.91</v>
      </c>
      <c r="I2511" s="4" t="s">
        <v>21</v>
      </c>
      <c r="J2511" s="5">
        <f t="shared" si="39"/>
        <v>1074.881787</v>
      </c>
      <c r="K2511" s="4" t="s">
        <v>51</v>
      </c>
      <c r="L2511" s="6">
        <v>4.8657000000000004</v>
      </c>
      <c r="M2511" s="6">
        <v>0.20549999999999999</v>
      </c>
      <c r="N2511" s="6">
        <v>4.8433999999999999</v>
      </c>
      <c r="O2511" s="6">
        <v>1</v>
      </c>
      <c r="P2511" s="5">
        <v>4.924506</v>
      </c>
      <c r="Q2511" s="4" t="s">
        <v>1394</v>
      </c>
    </row>
    <row r="2512" spans="1:17" x14ac:dyDescent="0.3">
      <c r="A2512" s="2" t="s">
        <v>1389</v>
      </c>
      <c r="B2512" s="3">
        <v>157842</v>
      </c>
      <c r="C2512" s="3">
        <v>903181</v>
      </c>
      <c r="D2512" s="4" t="s">
        <v>81</v>
      </c>
      <c r="E2512" s="4" t="s">
        <v>735</v>
      </c>
      <c r="F2512" s="4" t="s">
        <v>83</v>
      </c>
      <c r="G2512" s="4" t="s">
        <v>93</v>
      </c>
      <c r="H2512" s="5">
        <v>-655.07000000000005</v>
      </c>
      <c r="I2512" s="4" t="s">
        <v>21</v>
      </c>
      <c r="J2512" s="5">
        <f t="shared" si="39"/>
        <v>2978.4067690000006</v>
      </c>
      <c r="K2512" s="4" t="s">
        <v>51</v>
      </c>
      <c r="L2512" s="6">
        <v>4.5467000000000004</v>
      </c>
      <c r="M2512" s="6">
        <v>0.21990000000000001</v>
      </c>
      <c r="N2512" s="6">
        <v>4.5552999999999999</v>
      </c>
      <c r="O2512" s="6">
        <v>1</v>
      </c>
      <c r="P2512" s="5">
        <v>-5.6303710000000002</v>
      </c>
      <c r="Q2512" s="4" t="s">
        <v>1394</v>
      </c>
    </row>
    <row r="2513" spans="1:17" x14ac:dyDescent="0.3">
      <c r="A2513" s="2" t="s">
        <v>1389</v>
      </c>
      <c r="B2513" s="3">
        <v>157843</v>
      </c>
      <c r="C2513" s="3">
        <v>218370</v>
      </c>
      <c r="D2513" s="4" t="s">
        <v>17</v>
      </c>
      <c r="E2513" s="4" t="s">
        <v>735</v>
      </c>
      <c r="F2513" s="4" t="s">
        <v>32</v>
      </c>
      <c r="G2513" s="4" t="s">
        <v>20</v>
      </c>
      <c r="H2513" s="5">
        <v>-1677</v>
      </c>
      <c r="I2513" s="4" t="s">
        <v>21</v>
      </c>
      <c r="J2513" s="5">
        <f t="shared" si="39"/>
        <v>7081.6356000000005</v>
      </c>
      <c r="K2513" s="4" t="s">
        <v>39</v>
      </c>
      <c r="L2513" s="6">
        <v>4.2228000000000003</v>
      </c>
      <c r="M2513" s="6">
        <v>0.23680000000000001</v>
      </c>
      <c r="N2513" s="6">
        <v>4.2230999999999996</v>
      </c>
      <c r="O2513" s="6">
        <v>1</v>
      </c>
      <c r="P2513" s="5">
        <v>-1.4487000000000001</v>
      </c>
      <c r="Q2513" s="4" t="s">
        <v>1394</v>
      </c>
    </row>
    <row r="2514" spans="1:17" x14ac:dyDescent="0.3">
      <c r="A2514" s="2" t="s">
        <v>1389</v>
      </c>
      <c r="B2514" s="3">
        <v>157844</v>
      </c>
      <c r="C2514" s="3">
        <v>903190</v>
      </c>
      <c r="D2514" s="4" t="s">
        <v>81</v>
      </c>
      <c r="E2514" s="4" t="s">
        <v>730</v>
      </c>
      <c r="F2514" s="4" t="s">
        <v>83</v>
      </c>
      <c r="G2514" s="4" t="s">
        <v>20</v>
      </c>
      <c r="H2514" s="5">
        <v>-106328.15</v>
      </c>
      <c r="I2514" s="4" t="s">
        <v>21</v>
      </c>
      <c r="J2514" s="5">
        <f t="shared" si="39"/>
        <v>449098.20715499995</v>
      </c>
      <c r="K2514" s="4" t="s">
        <v>51</v>
      </c>
      <c r="L2514" s="6">
        <v>4.2237</v>
      </c>
      <c r="M2514" s="6">
        <v>0.23680000000000001</v>
      </c>
      <c r="N2514" s="6">
        <v>4.2271000000000001</v>
      </c>
      <c r="O2514" s="6">
        <v>1</v>
      </c>
      <c r="P2514" s="5">
        <v>-364.70286499999997</v>
      </c>
      <c r="Q2514" s="4" t="s">
        <v>1396</v>
      </c>
    </row>
    <row r="2515" spans="1:17" x14ac:dyDescent="0.3">
      <c r="A2515" s="2" t="s">
        <v>1389</v>
      </c>
      <c r="B2515" s="3">
        <v>157845</v>
      </c>
      <c r="C2515" s="3">
        <v>218372</v>
      </c>
      <c r="D2515" s="4" t="s">
        <v>17</v>
      </c>
      <c r="E2515" s="4" t="s">
        <v>727</v>
      </c>
      <c r="F2515" s="4" t="s">
        <v>19</v>
      </c>
      <c r="G2515" s="4" t="s">
        <v>20</v>
      </c>
      <c r="H2515" s="5">
        <v>5800</v>
      </c>
      <c r="I2515" s="4" t="s">
        <v>21</v>
      </c>
      <c r="J2515" s="5">
        <f t="shared" si="39"/>
        <v>-24500.359999999997</v>
      </c>
      <c r="K2515" s="4" t="s">
        <v>39</v>
      </c>
      <c r="L2515" s="6">
        <v>4.2241999999999997</v>
      </c>
      <c r="M2515" s="6">
        <v>0.23669999999999999</v>
      </c>
      <c r="N2515" s="6">
        <v>4.2230999999999996</v>
      </c>
      <c r="O2515" s="6">
        <v>1</v>
      </c>
      <c r="P2515" s="5">
        <v>-6.3799999999973807</v>
      </c>
      <c r="Q2515" s="4" t="s">
        <v>1397</v>
      </c>
    </row>
    <row r="2516" spans="1:17" x14ac:dyDescent="0.3">
      <c r="A2516" s="2" t="s">
        <v>1389</v>
      </c>
      <c r="B2516" s="3">
        <v>157846</v>
      </c>
      <c r="C2516" s="3">
        <v>218374</v>
      </c>
      <c r="D2516" s="4" t="s">
        <v>17</v>
      </c>
      <c r="E2516" s="4" t="s">
        <v>920</v>
      </c>
      <c r="F2516" s="4" t="s">
        <v>32</v>
      </c>
      <c r="G2516" s="4" t="s">
        <v>34</v>
      </c>
      <c r="H2516" s="5">
        <v>-27263.5</v>
      </c>
      <c r="I2516" s="4" t="s">
        <v>21</v>
      </c>
      <c r="J2516" s="5">
        <f t="shared" si="39"/>
        <v>98879.261799999993</v>
      </c>
      <c r="K2516" s="4" t="s">
        <v>39</v>
      </c>
      <c r="L2516" s="6">
        <v>3.6267999999999998</v>
      </c>
      <c r="M2516" s="6">
        <v>0.2757</v>
      </c>
      <c r="N2516" s="6">
        <v>3.6345999999999998</v>
      </c>
      <c r="O2516" s="6">
        <v>1</v>
      </c>
      <c r="P2516" s="5">
        <v>-215.37710000000001</v>
      </c>
      <c r="Q2516" s="4" t="s">
        <v>1390</v>
      </c>
    </row>
    <row r="2517" spans="1:17" x14ac:dyDescent="0.3">
      <c r="A2517" s="2" t="s">
        <v>1389</v>
      </c>
      <c r="B2517" s="3">
        <v>157847</v>
      </c>
      <c r="C2517" s="3">
        <v>218375</v>
      </c>
      <c r="D2517" s="4" t="s">
        <v>17</v>
      </c>
      <c r="E2517" s="4" t="s">
        <v>734</v>
      </c>
      <c r="F2517" s="4" t="s">
        <v>19</v>
      </c>
      <c r="G2517" s="4" t="s">
        <v>34</v>
      </c>
      <c r="H2517" s="5">
        <v>27263.5</v>
      </c>
      <c r="I2517" s="4" t="s">
        <v>21</v>
      </c>
      <c r="J2517" s="5">
        <f t="shared" si="39"/>
        <v>-98753.849699999992</v>
      </c>
      <c r="K2517" s="4" t="s">
        <v>39</v>
      </c>
      <c r="L2517" s="6">
        <v>3.6221999999999999</v>
      </c>
      <c r="M2517" s="6">
        <v>0.27610000000000001</v>
      </c>
      <c r="N2517" s="6">
        <v>3.6345999999999998</v>
      </c>
      <c r="O2517" s="6">
        <v>1</v>
      </c>
      <c r="P2517" s="5">
        <v>338.06739999999991</v>
      </c>
      <c r="Q2517" s="4" t="s">
        <v>1393</v>
      </c>
    </row>
    <row r="2518" spans="1:17" x14ac:dyDescent="0.3">
      <c r="A2518" s="2" t="s">
        <v>1389</v>
      </c>
      <c r="B2518" s="3">
        <v>157848</v>
      </c>
      <c r="C2518" s="3">
        <v>218376</v>
      </c>
      <c r="D2518" s="4" t="s">
        <v>17</v>
      </c>
      <c r="E2518" s="4" t="s">
        <v>734</v>
      </c>
      <c r="F2518" s="4" t="s">
        <v>32</v>
      </c>
      <c r="G2518" s="4" t="s">
        <v>20</v>
      </c>
      <c r="H2518" s="5">
        <v>-6400</v>
      </c>
      <c r="I2518" s="4" t="s">
        <v>34</v>
      </c>
      <c r="J2518" s="5">
        <f t="shared" si="39"/>
        <v>7467.52</v>
      </c>
      <c r="K2518" s="4" t="s">
        <v>39</v>
      </c>
      <c r="L2518" s="6">
        <v>1.1668000000000001</v>
      </c>
      <c r="M2518" s="6">
        <v>0.85709999999999997</v>
      </c>
      <c r="N2518" s="6">
        <v>4.2230999999999996</v>
      </c>
      <c r="O2518" s="6">
        <v>3.6345999999999998</v>
      </c>
      <c r="P2518" s="5">
        <v>110.845896</v>
      </c>
      <c r="Q2518" s="4" t="s">
        <v>1393</v>
      </c>
    </row>
    <row r="2519" spans="1:17" x14ac:dyDescent="0.3">
      <c r="A2519" s="2" t="s">
        <v>1389</v>
      </c>
      <c r="B2519" s="3">
        <v>157849</v>
      </c>
      <c r="C2519" s="3">
        <v>218378</v>
      </c>
      <c r="D2519" s="4" t="s">
        <v>17</v>
      </c>
      <c r="E2519" s="4" t="s">
        <v>734</v>
      </c>
      <c r="F2519" s="4" t="s">
        <v>32</v>
      </c>
      <c r="G2519" s="4" t="s">
        <v>20</v>
      </c>
      <c r="H2519" s="5">
        <v>-5000</v>
      </c>
      <c r="I2519" s="4" t="s">
        <v>21</v>
      </c>
      <c r="J2519" s="5">
        <f t="shared" si="39"/>
        <v>21118.5</v>
      </c>
      <c r="K2519" s="4" t="s">
        <v>39</v>
      </c>
      <c r="L2519" s="6">
        <v>4.2237</v>
      </c>
      <c r="M2519" s="6">
        <v>0.23680000000000001</v>
      </c>
      <c r="N2519" s="6">
        <v>4.2230999999999996</v>
      </c>
      <c r="O2519" s="6">
        <v>1</v>
      </c>
      <c r="P2519" s="5">
        <v>0.5</v>
      </c>
      <c r="Q2519" s="4" t="s">
        <v>1393</v>
      </c>
    </row>
    <row r="2520" spans="1:17" x14ac:dyDescent="0.3">
      <c r="A2520" s="2" t="s">
        <v>1389</v>
      </c>
      <c r="B2520" s="3">
        <v>157850</v>
      </c>
      <c r="C2520" s="3">
        <v>218381</v>
      </c>
      <c r="D2520" s="4" t="s">
        <v>17</v>
      </c>
      <c r="E2520" s="4" t="s">
        <v>734</v>
      </c>
      <c r="F2520" s="4" t="s">
        <v>19</v>
      </c>
      <c r="G2520" s="4" t="s">
        <v>20</v>
      </c>
      <c r="H2520" s="5">
        <v>1333</v>
      </c>
      <c r="I2520" s="4" t="s">
        <v>21</v>
      </c>
      <c r="J2520" s="5">
        <f t="shared" si="39"/>
        <v>-5631.5251000000007</v>
      </c>
      <c r="K2520" s="4" t="s">
        <v>39</v>
      </c>
      <c r="L2520" s="6">
        <v>4.2247000000000003</v>
      </c>
      <c r="M2520" s="6">
        <v>0.23669999999999999</v>
      </c>
      <c r="N2520" s="6">
        <v>4.2230999999999996</v>
      </c>
      <c r="O2520" s="6">
        <v>1</v>
      </c>
      <c r="P2520" s="5">
        <v>-2.1328000000012253</v>
      </c>
      <c r="Q2520" s="4" t="s">
        <v>1393</v>
      </c>
    </row>
    <row r="2521" spans="1:17" x14ac:dyDescent="0.3">
      <c r="A2521" s="2" t="s">
        <v>1389</v>
      </c>
      <c r="B2521" s="3">
        <v>157851</v>
      </c>
      <c r="C2521" s="3">
        <v>218382</v>
      </c>
      <c r="D2521" s="4" t="s">
        <v>17</v>
      </c>
      <c r="E2521" s="4" t="s">
        <v>734</v>
      </c>
      <c r="F2521" s="4" t="s">
        <v>32</v>
      </c>
      <c r="G2521" s="4" t="s">
        <v>20</v>
      </c>
      <c r="H2521" s="5">
        <v>-20000</v>
      </c>
      <c r="I2521" s="4" t="s">
        <v>21</v>
      </c>
      <c r="J2521" s="5">
        <f t="shared" si="39"/>
        <v>84469.999999999985</v>
      </c>
      <c r="K2521" s="4" t="s">
        <v>39</v>
      </c>
      <c r="L2521" s="6">
        <v>4.2234999999999996</v>
      </c>
      <c r="M2521" s="6">
        <v>0.23680000000000001</v>
      </c>
      <c r="N2521" s="6">
        <v>4.2230999999999996</v>
      </c>
      <c r="O2521" s="6">
        <v>1</v>
      </c>
      <c r="P2521" s="5">
        <v>-0.63</v>
      </c>
      <c r="Q2521" s="4" t="s">
        <v>1393</v>
      </c>
    </row>
    <row r="2522" spans="1:17" x14ac:dyDescent="0.3">
      <c r="A2522" s="2" t="s">
        <v>1389</v>
      </c>
      <c r="B2522" s="3">
        <v>157852</v>
      </c>
      <c r="C2522" s="3">
        <v>903217</v>
      </c>
      <c r="D2522" s="4" t="s">
        <v>81</v>
      </c>
      <c r="E2522" s="4" t="s">
        <v>739</v>
      </c>
      <c r="F2522" s="4" t="s">
        <v>87</v>
      </c>
      <c r="G2522" s="4" t="s">
        <v>34</v>
      </c>
      <c r="H2522" s="5">
        <v>8128.21</v>
      </c>
      <c r="I2522" s="4" t="s">
        <v>21</v>
      </c>
      <c r="J2522" s="5">
        <f t="shared" si="39"/>
        <v>-29421.681736999999</v>
      </c>
      <c r="K2522" s="4" t="s">
        <v>51</v>
      </c>
      <c r="L2522" s="6">
        <v>3.6196999999999999</v>
      </c>
      <c r="M2522" s="6">
        <v>0.27629999999999999</v>
      </c>
      <c r="N2522" s="6">
        <v>3.6118000000000001</v>
      </c>
      <c r="O2522" s="6">
        <v>1</v>
      </c>
      <c r="P2522" s="5">
        <v>-64.131122000000005</v>
      </c>
      <c r="Q2522" s="4" t="s">
        <v>1391</v>
      </c>
    </row>
    <row r="2523" spans="1:17" x14ac:dyDescent="0.3">
      <c r="A2523" s="2" t="s">
        <v>1389</v>
      </c>
      <c r="B2523" s="3">
        <v>157853</v>
      </c>
      <c r="C2523" s="3">
        <v>903218</v>
      </c>
      <c r="D2523" s="4" t="s">
        <v>81</v>
      </c>
      <c r="E2523" s="4" t="s">
        <v>739</v>
      </c>
      <c r="F2523" s="4" t="s">
        <v>87</v>
      </c>
      <c r="G2523" s="4" t="s">
        <v>91</v>
      </c>
      <c r="H2523" s="5">
        <v>1382.19</v>
      </c>
      <c r="I2523" s="4" t="s">
        <v>21</v>
      </c>
      <c r="J2523" s="5">
        <f t="shared" si="39"/>
        <v>-6720.6224370000009</v>
      </c>
      <c r="K2523" s="4" t="s">
        <v>51</v>
      </c>
      <c r="L2523" s="6">
        <v>4.8623000000000003</v>
      </c>
      <c r="M2523" s="6">
        <v>0.20569999999999999</v>
      </c>
      <c r="N2523" s="6">
        <v>4.8433999999999999</v>
      </c>
      <c r="O2523" s="6">
        <v>1</v>
      </c>
      <c r="P2523" s="5">
        <v>-26.150953999999999</v>
      </c>
      <c r="Q2523" s="4" t="s">
        <v>1391</v>
      </c>
    </row>
    <row r="2524" spans="1:17" x14ac:dyDescent="0.3">
      <c r="A2524" s="2" t="s">
        <v>1389</v>
      </c>
      <c r="B2524" s="3">
        <v>157854</v>
      </c>
      <c r="C2524" s="3">
        <v>903219</v>
      </c>
      <c r="D2524" s="4" t="s">
        <v>81</v>
      </c>
      <c r="E2524" s="4" t="s">
        <v>739</v>
      </c>
      <c r="F2524" s="4" t="s">
        <v>83</v>
      </c>
      <c r="G2524" s="4" t="s">
        <v>20</v>
      </c>
      <c r="H2524" s="5">
        <v>-70121.350000000006</v>
      </c>
      <c r="I2524" s="4" t="s">
        <v>21</v>
      </c>
      <c r="J2524" s="5">
        <f t="shared" si="39"/>
        <v>296115.44891500002</v>
      </c>
      <c r="K2524" s="4" t="s">
        <v>51</v>
      </c>
      <c r="L2524" s="6">
        <v>4.2229000000000001</v>
      </c>
      <c r="M2524" s="6">
        <v>0.23680000000000001</v>
      </c>
      <c r="N2524" s="6">
        <v>4.2271000000000001</v>
      </c>
      <c r="O2524" s="6">
        <v>1</v>
      </c>
      <c r="P2524" s="5">
        <v>-295.20858500000003</v>
      </c>
      <c r="Q2524" s="4" t="s">
        <v>1391</v>
      </c>
    </row>
    <row r="2525" spans="1:17" x14ac:dyDescent="0.3">
      <c r="A2525" s="2" t="s">
        <v>1389</v>
      </c>
      <c r="B2525" s="3">
        <v>157855</v>
      </c>
      <c r="C2525" s="3">
        <v>218385</v>
      </c>
      <c r="D2525" s="4" t="s">
        <v>17</v>
      </c>
      <c r="E2525" s="4" t="s">
        <v>739</v>
      </c>
      <c r="F2525" s="4" t="s">
        <v>19</v>
      </c>
      <c r="G2525" s="4" t="s">
        <v>20</v>
      </c>
      <c r="H2525" s="5">
        <v>62000</v>
      </c>
      <c r="I2525" s="4" t="s">
        <v>21</v>
      </c>
      <c r="J2525" s="5">
        <f t="shared" si="39"/>
        <v>-261838.40000000002</v>
      </c>
      <c r="K2525" s="4" t="s">
        <v>39</v>
      </c>
      <c r="L2525" s="6">
        <v>4.2232000000000003</v>
      </c>
      <c r="M2525" s="6">
        <v>0.23680000000000001</v>
      </c>
      <c r="N2525" s="6">
        <v>4.2230999999999996</v>
      </c>
      <c r="O2525" s="6">
        <v>1</v>
      </c>
      <c r="P2525" s="5">
        <v>-6.2000000000407454</v>
      </c>
      <c r="Q2525" s="4" t="s">
        <v>1391</v>
      </c>
    </row>
    <row r="2526" spans="1:17" x14ac:dyDescent="0.3">
      <c r="A2526" s="2" t="s">
        <v>1389</v>
      </c>
      <c r="B2526" s="3">
        <v>157856</v>
      </c>
      <c r="C2526" s="3">
        <v>218386</v>
      </c>
      <c r="D2526" s="4" t="s">
        <v>17</v>
      </c>
      <c r="E2526" s="4" t="s">
        <v>739</v>
      </c>
      <c r="F2526" s="4" t="s">
        <v>32</v>
      </c>
      <c r="G2526" s="4" t="s">
        <v>20</v>
      </c>
      <c r="H2526" s="5">
        <v>-30000</v>
      </c>
      <c r="I2526" s="4" t="s">
        <v>21</v>
      </c>
      <c r="J2526" s="5">
        <f t="shared" si="39"/>
        <v>126668.99999999999</v>
      </c>
      <c r="K2526" s="4" t="s">
        <v>39</v>
      </c>
      <c r="L2526" s="6">
        <v>4.2222999999999997</v>
      </c>
      <c r="M2526" s="6">
        <v>0.23680000000000001</v>
      </c>
      <c r="N2526" s="6">
        <v>4.2230999999999996</v>
      </c>
      <c r="O2526" s="6">
        <v>1</v>
      </c>
      <c r="P2526" s="5">
        <v>-40.799999999999997</v>
      </c>
      <c r="Q2526" s="4" t="s">
        <v>1391</v>
      </c>
    </row>
    <row r="2527" spans="1:17" x14ac:dyDescent="0.3">
      <c r="A2527" s="2" t="s">
        <v>1389</v>
      </c>
      <c r="B2527" s="3">
        <v>157857</v>
      </c>
      <c r="C2527" s="3">
        <v>218388</v>
      </c>
      <c r="D2527" s="4" t="s">
        <v>17</v>
      </c>
      <c r="E2527" s="4" t="s">
        <v>739</v>
      </c>
      <c r="F2527" s="4" t="s">
        <v>19</v>
      </c>
      <c r="G2527" s="4" t="s">
        <v>20</v>
      </c>
      <c r="H2527" s="5">
        <v>28724.19</v>
      </c>
      <c r="I2527" s="4" t="s">
        <v>21</v>
      </c>
      <c r="J2527" s="5">
        <f t="shared" si="39"/>
        <v>-121302.25437</v>
      </c>
      <c r="K2527" s="4" t="s">
        <v>39</v>
      </c>
      <c r="L2527" s="6">
        <v>4.2229999999999999</v>
      </c>
      <c r="M2527" s="6">
        <v>0.23680000000000001</v>
      </c>
      <c r="N2527" s="6">
        <v>4.2230999999999996</v>
      </c>
      <c r="O2527" s="6">
        <v>1</v>
      </c>
      <c r="P2527" s="5">
        <v>2.8724189999920782</v>
      </c>
      <c r="Q2527" s="4" t="s">
        <v>1391</v>
      </c>
    </row>
    <row r="2528" spans="1:17" x14ac:dyDescent="0.3">
      <c r="A2528" s="2" t="s">
        <v>1389</v>
      </c>
      <c r="B2528" s="3">
        <v>157858</v>
      </c>
      <c r="C2528" s="3">
        <v>218390</v>
      </c>
      <c r="D2528" s="4" t="s">
        <v>17</v>
      </c>
      <c r="E2528" s="4" t="s">
        <v>743</v>
      </c>
      <c r="F2528" s="4" t="s">
        <v>32</v>
      </c>
      <c r="G2528" s="4" t="s">
        <v>20</v>
      </c>
      <c r="H2528" s="5">
        <v>-12000</v>
      </c>
      <c r="I2528" s="4" t="s">
        <v>21</v>
      </c>
      <c r="J2528" s="5">
        <f t="shared" si="39"/>
        <v>50678.400000000001</v>
      </c>
      <c r="K2528" s="4" t="s">
        <v>39</v>
      </c>
      <c r="L2528" s="6">
        <v>4.2232000000000003</v>
      </c>
      <c r="M2528" s="6">
        <v>0.23680000000000001</v>
      </c>
      <c r="N2528" s="6">
        <v>4.2230999999999996</v>
      </c>
      <c r="O2528" s="6">
        <v>1</v>
      </c>
      <c r="P2528" s="5">
        <v>-5.88</v>
      </c>
      <c r="Q2528" s="4" t="s">
        <v>1395</v>
      </c>
    </row>
    <row r="2529" spans="1:17" x14ac:dyDescent="0.3">
      <c r="A2529" s="2" t="s">
        <v>1389</v>
      </c>
      <c r="B2529" s="3">
        <v>157859</v>
      </c>
      <c r="C2529" s="3">
        <v>218392</v>
      </c>
      <c r="D2529" s="4" t="s">
        <v>17</v>
      </c>
      <c r="E2529" s="4" t="s">
        <v>743</v>
      </c>
      <c r="F2529" s="4" t="s">
        <v>32</v>
      </c>
      <c r="G2529" s="4" t="s">
        <v>20</v>
      </c>
      <c r="H2529" s="5">
        <v>-37716.32</v>
      </c>
      <c r="I2529" s="4" t="s">
        <v>21</v>
      </c>
      <c r="J2529" s="5">
        <f t="shared" si="39"/>
        <v>159306.19241599998</v>
      </c>
      <c r="K2529" s="4" t="s">
        <v>39</v>
      </c>
      <c r="L2529" s="6">
        <v>4.2237999999999998</v>
      </c>
      <c r="M2529" s="6">
        <v>0.23680000000000001</v>
      </c>
      <c r="N2529" s="6">
        <v>4.2230999999999996</v>
      </c>
      <c r="O2529" s="6">
        <v>1</v>
      </c>
      <c r="P2529" s="5">
        <v>7.1290079999999998</v>
      </c>
      <c r="Q2529" s="4" t="s">
        <v>1395</v>
      </c>
    </row>
    <row r="2530" spans="1:17" x14ac:dyDescent="0.3">
      <c r="A2530" s="2" t="s">
        <v>1389</v>
      </c>
      <c r="B2530" s="3">
        <v>157860</v>
      </c>
      <c r="C2530" s="3">
        <v>218394</v>
      </c>
      <c r="D2530" s="4" t="s">
        <v>17</v>
      </c>
      <c r="E2530" s="4" t="s">
        <v>739</v>
      </c>
      <c r="F2530" s="4" t="s">
        <v>19</v>
      </c>
      <c r="G2530" s="4" t="s">
        <v>34</v>
      </c>
      <c r="H2530" s="5">
        <v>25000</v>
      </c>
      <c r="I2530" s="4" t="s">
        <v>21</v>
      </c>
      <c r="J2530" s="5">
        <f t="shared" si="39"/>
        <v>-90460</v>
      </c>
      <c r="K2530" s="4" t="s">
        <v>39</v>
      </c>
      <c r="L2530" s="6">
        <v>3.6183999999999998</v>
      </c>
      <c r="M2530" s="6">
        <v>0.27639999999999998</v>
      </c>
      <c r="N2530" s="6">
        <v>3.6345999999999998</v>
      </c>
      <c r="O2530" s="6">
        <v>1</v>
      </c>
      <c r="P2530" s="5">
        <v>405</v>
      </c>
      <c r="Q2530" s="4" t="s">
        <v>1391</v>
      </c>
    </row>
    <row r="2531" spans="1:17" x14ac:dyDescent="0.3">
      <c r="A2531" s="2" t="s">
        <v>1389</v>
      </c>
      <c r="B2531" s="3">
        <v>157861</v>
      </c>
      <c r="C2531" s="3">
        <v>218395</v>
      </c>
      <c r="D2531" s="4" t="s">
        <v>17</v>
      </c>
      <c r="E2531" s="4" t="s">
        <v>1272</v>
      </c>
      <c r="F2531" s="4" t="s">
        <v>32</v>
      </c>
      <c r="G2531" s="4" t="s">
        <v>34</v>
      </c>
      <c r="H2531" s="5">
        <v>-25000</v>
      </c>
      <c r="I2531" s="4" t="s">
        <v>21</v>
      </c>
      <c r="J2531" s="5">
        <f t="shared" si="39"/>
        <v>90585</v>
      </c>
      <c r="K2531" s="4" t="s">
        <v>39</v>
      </c>
      <c r="L2531" s="6">
        <v>3.6234000000000002</v>
      </c>
      <c r="M2531" s="6">
        <v>0.27600000000000002</v>
      </c>
      <c r="N2531" s="6">
        <v>3.6345999999999998</v>
      </c>
      <c r="O2531" s="6">
        <v>1</v>
      </c>
      <c r="P2531" s="5">
        <v>-280</v>
      </c>
      <c r="Q2531" s="4" t="s">
        <v>1390</v>
      </c>
    </row>
    <row r="2532" spans="1:17" x14ac:dyDescent="0.3">
      <c r="A2532" s="2" t="s">
        <v>1389</v>
      </c>
      <c r="B2532" s="3">
        <v>157862</v>
      </c>
      <c r="C2532" s="3">
        <v>218402</v>
      </c>
      <c r="D2532" s="4" t="s">
        <v>17</v>
      </c>
      <c r="E2532" s="4" t="s">
        <v>966</v>
      </c>
      <c r="F2532" s="4" t="s">
        <v>32</v>
      </c>
      <c r="G2532" s="4" t="s">
        <v>20</v>
      </c>
      <c r="H2532" s="5">
        <v>-2000</v>
      </c>
      <c r="I2532" s="4" t="s">
        <v>21</v>
      </c>
      <c r="J2532" s="5">
        <f t="shared" si="39"/>
        <v>8480.2000000000007</v>
      </c>
      <c r="K2532" s="4" t="s">
        <v>39</v>
      </c>
      <c r="L2532" s="6">
        <v>4.2401</v>
      </c>
      <c r="M2532" s="6">
        <v>0.23580000000000001</v>
      </c>
      <c r="N2532" s="6">
        <v>4.2230999999999996</v>
      </c>
      <c r="O2532" s="6">
        <v>1</v>
      </c>
      <c r="P2532" s="5">
        <v>33.799999999999997</v>
      </c>
      <c r="Q2532" s="4" t="s">
        <v>1390</v>
      </c>
    </row>
    <row r="2533" spans="1:17" x14ac:dyDescent="0.3">
      <c r="A2533" s="2" t="s">
        <v>1389</v>
      </c>
      <c r="B2533" s="3">
        <v>157865</v>
      </c>
      <c r="C2533" s="3">
        <v>218411</v>
      </c>
      <c r="D2533" s="4" t="s">
        <v>17</v>
      </c>
      <c r="E2533" s="4" t="s">
        <v>856</v>
      </c>
      <c r="F2533" s="4" t="s">
        <v>32</v>
      </c>
      <c r="G2533" s="4" t="s">
        <v>20</v>
      </c>
      <c r="H2533" s="5">
        <v>-25000</v>
      </c>
      <c r="I2533" s="4" t="s">
        <v>21</v>
      </c>
      <c r="J2533" s="5">
        <f t="shared" si="39"/>
        <v>105634.99999999999</v>
      </c>
      <c r="K2533" s="4" t="s">
        <v>39</v>
      </c>
      <c r="L2533" s="6">
        <v>4.2253999999999996</v>
      </c>
      <c r="M2533" s="6">
        <v>0.23669999999999999</v>
      </c>
      <c r="N2533" s="6">
        <v>4.2230999999999996</v>
      </c>
      <c r="O2533" s="6">
        <v>1</v>
      </c>
      <c r="P2533" s="5">
        <v>47.5</v>
      </c>
      <c r="Q2533" s="4" t="s">
        <v>1390</v>
      </c>
    </row>
    <row r="2534" spans="1:17" x14ac:dyDescent="0.3">
      <c r="A2534" s="2" t="s">
        <v>1389</v>
      </c>
      <c r="B2534" s="3">
        <v>157866</v>
      </c>
      <c r="C2534" s="3">
        <v>218412</v>
      </c>
      <c r="D2534" s="4" t="s">
        <v>17</v>
      </c>
      <c r="E2534" s="4" t="s">
        <v>856</v>
      </c>
      <c r="F2534" s="4" t="s">
        <v>32</v>
      </c>
      <c r="G2534" s="4" t="s">
        <v>20</v>
      </c>
      <c r="H2534" s="5">
        <v>-15000</v>
      </c>
      <c r="I2534" s="4" t="s">
        <v>21</v>
      </c>
      <c r="J2534" s="5">
        <f t="shared" si="39"/>
        <v>63380.999999999993</v>
      </c>
      <c r="K2534" s="4" t="s">
        <v>39</v>
      </c>
      <c r="L2534" s="6">
        <v>4.2253999999999996</v>
      </c>
      <c r="M2534" s="6">
        <v>0.23669999999999999</v>
      </c>
      <c r="N2534" s="6">
        <v>4.2230999999999996</v>
      </c>
      <c r="O2534" s="6">
        <v>1</v>
      </c>
      <c r="P2534" s="5">
        <v>28.5</v>
      </c>
      <c r="Q2534" s="4" t="s">
        <v>1390</v>
      </c>
    </row>
    <row r="2535" spans="1:17" x14ac:dyDescent="0.3">
      <c r="A2535" s="2" t="s">
        <v>1389</v>
      </c>
      <c r="B2535" s="3">
        <v>157868</v>
      </c>
      <c r="C2535" s="3">
        <v>903326</v>
      </c>
      <c r="D2535" s="4" t="s">
        <v>81</v>
      </c>
      <c r="E2535" s="4" t="s">
        <v>744</v>
      </c>
      <c r="F2535" s="4" t="s">
        <v>87</v>
      </c>
      <c r="G2535" s="4" t="s">
        <v>20</v>
      </c>
      <c r="H2535" s="5">
        <v>100000</v>
      </c>
      <c r="I2535" s="4" t="s">
        <v>93</v>
      </c>
      <c r="J2535" s="5">
        <f t="shared" si="39"/>
        <v>-92750</v>
      </c>
      <c r="K2535" s="4" t="s">
        <v>51</v>
      </c>
      <c r="L2535" s="6">
        <v>0.92749999999999999</v>
      </c>
      <c r="M2535" s="6">
        <v>1.0781000000000001</v>
      </c>
      <c r="N2535" s="6">
        <v>4.2271000000000001</v>
      </c>
      <c r="O2535" s="6">
        <v>4.5552999999999999</v>
      </c>
      <c r="P2535" s="5">
        <v>187.7038</v>
      </c>
      <c r="Q2535" s="4" t="s">
        <v>1395</v>
      </c>
    </row>
    <row r="2536" spans="1:17" x14ac:dyDescent="0.3">
      <c r="A2536" s="2" t="s">
        <v>1389</v>
      </c>
      <c r="B2536" s="3">
        <v>157869</v>
      </c>
      <c r="C2536" s="3">
        <v>218420</v>
      </c>
      <c r="D2536" s="4" t="s">
        <v>17</v>
      </c>
      <c r="E2536" s="4" t="s">
        <v>1221</v>
      </c>
      <c r="F2536" s="4" t="s">
        <v>32</v>
      </c>
      <c r="G2536" s="4" t="s">
        <v>34</v>
      </c>
      <c r="H2536" s="5">
        <v>-100000</v>
      </c>
      <c r="I2536" s="4" t="s">
        <v>21</v>
      </c>
      <c r="J2536" s="5">
        <f t="shared" si="39"/>
        <v>362500</v>
      </c>
      <c r="K2536" s="4" t="s">
        <v>39</v>
      </c>
      <c r="L2536" s="6">
        <v>3.625</v>
      </c>
      <c r="M2536" s="6">
        <v>0.27589999999999998</v>
      </c>
      <c r="N2536" s="6">
        <v>3.6345999999999998</v>
      </c>
      <c r="O2536" s="6">
        <v>1</v>
      </c>
      <c r="P2536" s="5">
        <v>-960</v>
      </c>
      <c r="Q2536" s="4" t="s">
        <v>1390</v>
      </c>
    </row>
    <row r="2537" spans="1:17" x14ac:dyDescent="0.3">
      <c r="A2537" s="2" t="s">
        <v>1389</v>
      </c>
      <c r="B2537" s="3">
        <v>157870</v>
      </c>
      <c r="C2537" s="3">
        <v>218426</v>
      </c>
      <c r="D2537" s="4" t="s">
        <v>17</v>
      </c>
      <c r="E2537" s="4" t="s">
        <v>856</v>
      </c>
      <c r="F2537" s="4" t="s">
        <v>32</v>
      </c>
      <c r="G2537" s="4" t="s">
        <v>20</v>
      </c>
      <c r="H2537" s="5">
        <v>-26000</v>
      </c>
      <c r="I2537" s="4" t="s">
        <v>21</v>
      </c>
      <c r="J2537" s="5">
        <f t="shared" si="39"/>
        <v>109881.20000000001</v>
      </c>
      <c r="K2537" s="4" t="s">
        <v>39</v>
      </c>
      <c r="L2537" s="6">
        <v>4.2262000000000004</v>
      </c>
      <c r="M2537" s="6">
        <v>0.2366</v>
      </c>
      <c r="N2537" s="6">
        <v>4.2230999999999996</v>
      </c>
      <c r="O2537" s="6">
        <v>1</v>
      </c>
      <c r="P2537" s="5">
        <v>70.2</v>
      </c>
      <c r="Q2537" s="4" t="s">
        <v>1390</v>
      </c>
    </row>
    <row r="2538" spans="1:17" x14ac:dyDescent="0.3">
      <c r="A2538" s="2" t="s">
        <v>1389</v>
      </c>
      <c r="B2538" s="3">
        <v>157871</v>
      </c>
      <c r="C2538" s="3">
        <v>218427</v>
      </c>
      <c r="D2538" s="4" t="s">
        <v>17</v>
      </c>
      <c r="E2538" s="4" t="s">
        <v>856</v>
      </c>
      <c r="F2538" s="4" t="s">
        <v>32</v>
      </c>
      <c r="G2538" s="4" t="s">
        <v>20</v>
      </c>
      <c r="H2538" s="5">
        <v>-64000</v>
      </c>
      <c r="I2538" s="4" t="s">
        <v>21</v>
      </c>
      <c r="J2538" s="5">
        <f t="shared" si="39"/>
        <v>270476.80000000005</v>
      </c>
      <c r="K2538" s="4" t="s">
        <v>39</v>
      </c>
      <c r="L2538" s="6">
        <v>4.2262000000000004</v>
      </c>
      <c r="M2538" s="6">
        <v>0.2366</v>
      </c>
      <c r="N2538" s="6">
        <v>4.2230999999999996</v>
      </c>
      <c r="O2538" s="6">
        <v>1</v>
      </c>
      <c r="P2538" s="5">
        <v>172.8</v>
      </c>
      <c r="Q2538" s="4" t="s">
        <v>1390</v>
      </c>
    </row>
    <row r="2539" spans="1:17" x14ac:dyDescent="0.3">
      <c r="A2539" s="2" t="s">
        <v>1389</v>
      </c>
      <c r="B2539" s="3">
        <v>157872</v>
      </c>
      <c r="C2539" s="3">
        <v>218433</v>
      </c>
      <c r="D2539" s="4" t="s">
        <v>17</v>
      </c>
      <c r="E2539" s="4" t="s">
        <v>1131</v>
      </c>
      <c r="F2539" s="4" t="s">
        <v>32</v>
      </c>
      <c r="G2539" s="4" t="s">
        <v>20</v>
      </c>
      <c r="H2539" s="5">
        <v>-565000</v>
      </c>
      <c r="I2539" s="4" t="s">
        <v>21</v>
      </c>
      <c r="J2539" s="5">
        <f t="shared" si="39"/>
        <v>2391080</v>
      </c>
      <c r="K2539" s="4" t="s">
        <v>39</v>
      </c>
      <c r="L2539" s="6">
        <v>4.2320000000000002</v>
      </c>
      <c r="M2539" s="6">
        <v>0.23630000000000001</v>
      </c>
      <c r="N2539" s="6">
        <v>4.2230999999999996</v>
      </c>
      <c r="O2539" s="6">
        <v>1</v>
      </c>
      <c r="P2539" s="5">
        <v>4746</v>
      </c>
      <c r="Q2539" s="4" t="s">
        <v>1390</v>
      </c>
    </row>
    <row r="2540" spans="1:17" x14ac:dyDescent="0.3">
      <c r="A2540" s="2" t="s">
        <v>1389</v>
      </c>
      <c r="B2540" s="3">
        <v>157873</v>
      </c>
      <c r="C2540" s="3">
        <v>903385</v>
      </c>
      <c r="D2540" s="4" t="s">
        <v>81</v>
      </c>
      <c r="E2540" s="4" t="s">
        <v>783</v>
      </c>
      <c r="F2540" s="4" t="s">
        <v>83</v>
      </c>
      <c r="G2540" s="4" t="s">
        <v>80</v>
      </c>
      <c r="H2540" s="5">
        <v>-30000000</v>
      </c>
      <c r="I2540" s="4" t="s">
        <v>21</v>
      </c>
      <c r="J2540" s="5">
        <f t="shared" si="39"/>
        <v>15597000</v>
      </c>
      <c r="K2540" s="4" t="s">
        <v>51</v>
      </c>
      <c r="L2540" s="6">
        <v>0.51990000000000003</v>
      </c>
      <c r="M2540" s="6">
        <v>1.9234</v>
      </c>
      <c r="N2540" s="6">
        <v>0.51859999999999995</v>
      </c>
      <c r="O2540" s="6">
        <v>1</v>
      </c>
      <c r="P2540" s="5">
        <v>39000</v>
      </c>
      <c r="Q2540" s="4" t="s">
        <v>1390</v>
      </c>
    </row>
    <row r="2541" spans="1:17" x14ac:dyDescent="0.3">
      <c r="A2541" s="2" t="s">
        <v>1389</v>
      </c>
      <c r="B2541" s="3">
        <v>157874</v>
      </c>
      <c r="C2541" s="3">
        <v>903401</v>
      </c>
      <c r="D2541" s="4" t="s">
        <v>81</v>
      </c>
      <c r="E2541" s="4" t="s">
        <v>735</v>
      </c>
      <c r="F2541" s="4" t="s">
        <v>87</v>
      </c>
      <c r="G2541" s="4" t="s">
        <v>20</v>
      </c>
      <c r="H2541" s="5">
        <v>500000</v>
      </c>
      <c r="I2541" s="4" t="s">
        <v>21</v>
      </c>
      <c r="J2541" s="5">
        <f t="shared" si="39"/>
        <v>-2113000</v>
      </c>
      <c r="K2541" s="4" t="s">
        <v>51</v>
      </c>
      <c r="L2541" s="6">
        <v>4.226</v>
      </c>
      <c r="M2541" s="6">
        <v>0.2366</v>
      </c>
      <c r="N2541" s="6">
        <v>4.2271000000000001</v>
      </c>
      <c r="O2541" s="6">
        <v>1</v>
      </c>
      <c r="P2541" s="5">
        <v>550</v>
      </c>
      <c r="Q2541" s="4" t="s">
        <v>1394</v>
      </c>
    </row>
    <row r="2542" spans="1:17" x14ac:dyDescent="0.3">
      <c r="A2542" s="2" t="s">
        <v>1389</v>
      </c>
      <c r="B2542" s="3">
        <v>157875</v>
      </c>
      <c r="C2542" s="3">
        <v>218441</v>
      </c>
      <c r="D2542" s="4" t="s">
        <v>17</v>
      </c>
      <c r="E2542" s="4" t="s">
        <v>1243</v>
      </c>
      <c r="F2542" s="4" t="s">
        <v>32</v>
      </c>
      <c r="G2542" s="4" t="s">
        <v>74</v>
      </c>
      <c r="H2542" s="5">
        <v>-57000</v>
      </c>
      <c r="I2542" s="4" t="s">
        <v>21</v>
      </c>
      <c r="J2542" s="5">
        <f t="shared" si="39"/>
        <v>20571.3</v>
      </c>
      <c r="K2542" s="4" t="s">
        <v>39</v>
      </c>
      <c r="L2542" s="6">
        <v>0.3609</v>
      </c>
      <c r="M2542" s="6">
        <v>2.7709000000000001</v>
      </c>
      <c r="N2542" s="6">
        <v>0.36009999999999998</v>
      </c>
      <c r="O2542" s="6">
        <v>1</v>
      </c>
      <c r="P2542" s="5">
        <v>45.6</v>
      </c>
      <c r="Q2542" s="4" t="s">
        <v>1390</v>
      </c>
    </row>
    <row r="2543" spans="1:17" x14ac:dyDescent="0.3">
      <c r="A2543" s="2" t="s">
        <v>1389</v>
      </c>
      <c r="B2543" s="3">
        <v>157876</v>
      </c>
      <c r="C2543" s="3">
        <v>903405</v>
      </c>
      <c r="D2543" s="4" t="s">
        <v>81</v>
      </c>
      <c r="E2543" s="4" t="s">
        <v>725</v>
      </c>
      <c r="F2543" s="4" t="s">
        <v>87</v>
      </c>
      <c r="G2543" s="4" t="s">
        <v>20</v>
      </c>
      <c r="H2543" s="5">
        <v>500000</v>
      </c>
      <c r="I2543" s="4" t="s">
        <v>21</v>
      </c>
      <c r="J2543" s="5">
        <f t="shared" si="39"/>
        <v>-2112750</v>
      </c>
      <c r="K2543" s="4" t="s">
        <v>51</v>
      </c>
      <c r="L2543" s="6">
        <v>4.2255000000000003</v>
      </c>
      <c r="M2543" s="6">
        <v>0.23669999999999999</v>
      </c>
      <c r="N2543" s="6">
        <v>4.2271000000000001</v>
      </c>
      <c r="O2543" s="6">
        <v>1</v>
      </c>
      <c r="P2543" s="5">
        <v>820</v>
      </c>
      <c r="Q2543" s="4" t="s">
        <v>1392</v>
      </c>
    </row>
    <row r="2544" spans="1:17" x14ac:dyDescent="0.3">
      <c r="A2544" s="2" t="s">
        <v>1389</v>
      </c>
      <c r="B2544" s="3">
        <v>157877</v>
      </c>
      <c r="C2544" s="3">
        <v>903406</v>
      </c>
      <c r="D2544" s="4" t="s">
        <v>81</v>
      </c>
      <c r="E2544" s="4" t="s">
        <v>735</v>
      </c>
      <c r="F2544" s="4" t="s">
        <v>83</v>
      </c>
      <c r="G2544" s="4" t="s">
        <v>20</v>
      </c>
      <c r="H2544" s="5">
        <v>-3700000</v>
      </c>
      <c r="I2544" s="4" t="s">
        <v>80</v>
      </c>
      <c r="J2544" s="5">
        <f t="shared" si="39"/>
        <v>30117630.000000004</v>
      </c>
      <c r="K2544" s="4" t="s">
        <v>51</v>
      </c>
      <c r="L2544" s="6">
        <v>8.1399000000000008</v>
      </c>
      <c r="M2544" s="6">
        <v>0.1229</v>
      </c>
      <c r="N2544" s="6">
        <v>4.2271000000000001</v>
      </c>
      <c r="O2544" s="6">
        <v>0.51859999999999995</v>
      </c>
      <c r="P2544" s="5">
        <v>-21228.705600000001</v>
      </c>
      <c r="Q2544" s="4" t="s">
        <v>1394</v>
      </c>
    </row>
    <row r="2545" spans="1:17" x14ac:dyDescent="0.3">
      <c r="A2545" s="2" t="s">
        <v>1389</v>
      </c>
      <c r="B2545" s="3">
        <v>157879</v>
      </c>
      <c r="C2545" s="3">
        <v>218443</v>
      </c>
      <c r="D2545" s="4" t="s">
        <v>17</v>
      </c>
      <c r="E2545" s="4" t="s">
        <v>973</v>
      </c>
      <c r="F2545" s="4" t="s">
        <v>32</v>
      </c>
      <c r="G2545" s="4" t="s">
        <v>20</v>
      </c>
      <c r="H2545" s="5">
        <v>-54000</v>
      </c>
      <c r="I2545" s="4" t="s">
        <v>21</v>
      </c>
      <c r="J2545" s="5">
        <f t="shared" si="39"/>
        <v>228636</v>
      </c>
      <c r="K2545" s="4" t="s">
        <v>39</v>
      </c>
      <c r="L2545" s="6">
        <v>4.234</v>
      </c>
      <c r="M2545" s="6">
        <v>0.23619999999999999</v>
      </c>
      <c r="N2545" s="6">
        <v>4.2230999999999996</v>
      </c>
      <c r="O2545" s="6">
        <v>1</v>
      </c>
      <c r="P2545" s="5">
        <v>588.6</v>
      </c>
      <c r="Q2545" s="4" t="s">
        <v>1390</v>
      </c>
    </row>
    <row r="2546" spans="1:17" x14ac:dyDescent="0.3">
      <c r="A2546" s="2" t="s">
        <v>1389</v>
      </c>
      <c r="B2546" s="3">
        <v>157880</v>
      </c>
      <c r="C2546" s="3">
        <v>218444</v>
      </c>
      <c r="D2546" s="4" t="s">
        <v>17</v>
      </c>
      <c r="E2546" s="4" t="s">
        <v>1284</v>
      </c>
      <c r="F2546" s="4" t="s">
        <v>19</v>
      </c>
      <c r="G2546" s="4" t="s">
        <v>20</v>
      </c>
      <c r="H2546" s="5">
        <v>50000</v>
      </c>
      <c r="I2546" s="4" t="s">
        <v>21</v>
      </c>
      <c r="J2546" s="5">
        <f t="shared" si="39"/>
        <v>-210770</v>
      </c>
      <c r="K2546" s="4" t="s">
        <v>39</v>
      </c>
      <c r="L2546" s="6">
        <v>4.2153999999999998</v>
      </c>
      <c r="M2546" s="6">
        <v>0.23719999999999999</v>
      </c>
      <c r="N2546" s="6">
        <v>4.2230999999999996</v>
      </c>
      <c r="O2546" s="6">
        <v>1</v>
      </c>
      <c r="P2546" s="5">
        <v>384.9999999999709</v>
      </c>
      <c r="Q2546" s="4" t="s">
        <v>1390</v>
      </c>
    </row>
    <row r="2547" spans="1:17" x14ac:dyDescent="0.3">
      <c r="A2547" s="2" t="s">
        <v>1389</v>
      </c>
      <c r="B2547" s="3">
        <v>157882</v>
      </c>
      <c r="C2547" s="3">
        <v>218454</v>
      </c>
      <c r="D2547" s="4" t="s">
        <v>17</v>
      </c>
      <c r="E2547" s="4" t="s">
        <v>1221</v>
      </c>
      <c r="F2547" s="4" t="s">
        <v>32</v>
      </c>
      <c r="G2547" s="4" t="s">
        <v>34</v>
      </c>
      <c r="H2547" s="5">
        <v>-100000</v>
      </c>
      <c r="I2547" s="4" t="s">
        <v>21</v>
      </c>
      <c r="J2547" s="5">
        <f t="shared" si="39"/>
        <v>361000</v>
      </c>
      <c r="K2547" s="4" t="s">
        <v>39</v>
      </c>
      <c r="L2547" s="6">
        <v>3.61</v>
      </c>
      <c r="M2547" s="6">
        <v>0.27700000000000002</v>
      </c>
      <c r="N2547" s="6">
        <v>3.6345999999999998</v>
      </c>
      <c r="O2547" s="6">
        <v>1</v>
      </c>
      <c r="P2547" s="5">
        <v>-2460</v>
      </c>
      <c r="Q2547" s="4" t="s">
        <v>1390</v>
      </c>
    </row>
    <row r="2548" spans="1:17" x14ac:dyDescent="0.3">
      <c r="A2548" s="2" t="s">
        <v>1389</v>
      </c>
      <c r="B2548" s="3">
        <v>157884</v>
      </c>
      <c r="C2548" s="3">
        <v>903462</v>
      </c>
      <c r="D2548" s="4" t="s">
        <v>81</v>
      </c>
      <c r="E2548" s="4" t="s">
        <v>725</v>
      </c>
      <c r="F2548" s="4" t="s">
        <v>87</v>
      </c>
      <c r="G2548" s="4" t="s">
        <v>34</v>
      </c>
      <c r="H2548" s="5">
        <v>500000</v>
      </c>
      <c r="I2548" s="4" t="s">
        <v>21</v>
      </c>
      <c r="J2548" s="5">
        <f t="shared" si="39"/>
        <v>-1804200</v>
      </c>
      <c r="K2548" s="4" t="s">
        <v>51</v>
      </c>
      <c r="L2548" s="6">
        <v>3.6084000000000001</v>
      </c>
      <c r="M2548" s="6">
        <v>0.27710000000000001</v>
      </c>
      <c r="N2548" s="6">
        <v>3.6118000000000001</v>
      </c>
      <c r="O2548" s="6">
        <v>1</v>
      </c>
      <c r="P2548" s="5">
        <v>1720</v>
      </c>
      <c r="Q2548" s="4" t="s">
        <v>1392</v>
      </c>
    </row>
    <row r="2549" spans="1:17" x14ac:dyDescent="0.3">
      <c r="A2549" s="2" t="s">
        <v>1389</v>
      </c>
      <c r="B2549" s="3">
        <v>157885</v>
      </c>
      <c r="C2549" s="3">
        <v>218458</v>
      </c>
      <c r="D2549" s="4" t="s">
        <v>17</v>
      </c>
      <c r="E2549" s="4" t="s">
        <v>1126</v>
      </c>
      <c r="F2549" s="4" t="s">
        <v>32</v>
      </c>
      <c r="G2549" s="4" t="s">
        <v>34</v>
      </c>
      <c r="H2549" s="5">
        <v>-600000</v>
      </c>
      <c r="I2549" s="4" t="s">
        <v>21</v>
      </c>
      <c r="J2549" s="5">
        <f t="shared" si="39"/>
        <v>2167200</v>
      </c>
      <c r="K2549" s="4" t="s">
        <v>50</v>
      </c>
      <c r="L2549" s="6">
        <v>3.6120000000000001</v>
      </c>
      <c r="M2549" s="6">
        <v>0.27689999999999998</v>
      </c>
      <c r="N2549" s="6">
        <v>3.6053999999999999</v>
      </c>
      <c r="O2549" s="6">
        <v>1</v>
      </c>
      <c r="P2549" s="5">
        <v>3960</v>
      </c>
      <c r="Q2549" s="4" t="s">
        <v>1390</v>
      </c>
    </row>
    <row r="2550" spans="1:17" x14ac:dyDescent="0.3">
      <c r="A2550" s="2" t="s">
        <v>1389</v>
      </c>
      <c r="B2550" s="3">
        <v>157886</v>
      </c>
      <c r="C2550" s="3">
        <v>903466</v>
      </c>
      <c r="D2550" s="4" t="s">
        <v>81</v>
      </c>
      <c r="E2550" s="4" t="s">
        <v>732</v>
      </c>
      <c r="F2550" s="4" t="s">
        <v>87</v>
      </c>
      <c r="G2550" s="4" t="s">
        <v>34</v>
      </c>
      <c r="H2550" s="5">
        <v>500000</v>
      </c>
      <c r="I2550" s="4" t="s">
        <v>21</v>
      </c>
      <c r="J2550" s="5">
        <f t="shared" si="39"/>
        <v>-1803950</v>
      </c>
      <c r="K2550" s="4" t="s">
        <v>51</v>
      </c>
      <c r="L2550" s="6">
        <v>3.6078999999999999</v>
      </c>
      <c r="M2550" s="6">
        <v>0.2772</v>
      </c>
      <c r="N2550" s="6">
        <v>3.6118000000000001</v>
      </c>
      <c r="O2550" s="6">
        <v>1</v>
      </c>
      <c r="P2550" s="5">
        <v>1950</v>
      </c>
      <c r="Q2550" s="4" t="s">
        <v>1394</v>
      </c>
    </row>
    <row r="2551" spans="1:17" x14ac:dyDescent="0.3">
      <c r="A2551" s="2" t="s">
        <v>1389</v>
      </c>
      <c r="B2551" s="3">
        <v>157887</v>
      </c>
      <c r="C2551" s="3">
        <v>903467</v>
      </c>
      <c r="D2551" s="4" t="s">
        <v>81</v>
      </c>
      <c r="E2551" s="4" t="s">
        <v>1077</v>
      </c>
      <c r="F2551" s="4" t="s">
        <v>87</v>
      </c>
      <c r="G2551" s="4" t="s">
        <v>20</v>
      </c>
      <c r="H2551" s="5">
        <v>25000</v>
      </c>
      <c r="I2551" s="4" t="s">
        <v>21</v>
      </c>
      <c r="J2551" s="5">
        <f t="shared" si="39"/>
        <v>-105607.50000000001</v>
      </c>
      <c r="K2551" s="4" t="s">
        <v>51</v>
      </c>
      <c r="L2551" s="6">
        <v>4.2243000000000004</v>
      </c>
      <c r="M2551" s="6">
        <v>0.23669999999999999</v>
      </c>
      <c r="N2551" s="6">
        <v>4.2271000000000001</v>
      </c>
      <c r="O2551" s="6">
        <v>1</v>
      </c>
      <c r="P2551" s="5">
        <v>70</v>
      </c>
      <c r="Q2551" s="4" t="s">
        <v>1390</v>
      </c>
    </row>
    <row r="2552" spans="1:17" x14ac:dyDescent="0.3">
      <c r="A2552" s="2" t="s">
        <v>1389</v>
      </c>
      <c r="B2552" s="3">
        <v>157888</v>
      </c>
      <c r="C2552" s="3">
        <v>218459</v>
      </c>
      <c r="D2552" s="4" t="s">
        <v>17</v>
      </c>
      <c r="E2552" s="4" t="s">
        <v>1180</v>
      </c>
      <c r="F2552" s="4" t="s">
        <v>19</v>
      </c>
      <c r="G2552" s="4" t="s">
        <v>20</v>
      </c>
      <c r="H2552" s="5">
        <v>12426.56</v>
      </c>
      <c r="I2552" s="4" t="s">
        <v>21</v>
      </c>
      <c r="J2552" s="5">
        <f t="shared" si="39"/>
        <v>-52440.083199999994</v>
      </c>
      <c r="K2552" s="4" t="s">
        <v>39</v>
      </c>
      <c r="L2552" s="6">
        <v>4.22</v>
      </c>
      <c r="M2552" s="6">
        <v>0.23699999999999999</v>
      </c>
      <c r="N2552" s="6">
        <v>4.2230999999999996</v>
      </c>
      <c r="O2552" s="6">
        <v>1</v>
      </c>
      <c r="P2552" s="5">
        <v>38.522336000001815</v>
      </c>
      <c r="Q2552" s="4" t="s">
        <v>1390</v>
      </c>
    </row>
    <row r="2553" spans="1:17" x14ac:dyDescent="0.3">
      <c r="A2553" s="2" t="s">
        <v>1389</v>
      </c>
      <c r="B2553" s="3">
        <v>157890</v>
      </c>
      <c r="C2553" s="3">
        <v>218470</v>
      </c>
      <c r="D2553" s="4" t="s">
        <v>17</v>
      </c>
      <c r="E2553" s="4" t="s">
        <v>783</v>
      </c>
      <c r="F2553" s="4" t="s">
        <v>19</v>
      </c>
      <c r="G2553" s="4" t="s">
        <v>80</v>
      </c>
      <c r="H2553" s="5">
        <v>2200000</v>
      </c>
      <c r="I2553" s="4" t="s">
        <v>21</v>
      </c>
      <c r="J2553" s="5">
        <f t="shared" si="39"/>
        <v>-1140700</v>
      </c>
      <c r="K2553" s="4" t="s">
        <v>27</v>
      </c>
      <c r="L2553" s="6">
        <v>0.51849999999999996</v>
      </c>
      <c r="M2553" s="6">
        <v>1.9286000000000001</v>
      </c>
      <c r="N2553" s="6">
        <v>0.50660000000000005</v>
      </c>
      <c r="O2553" s="6">
        <v>1</v>
      </c>
      <c r="P2553" s="5">
        <v>-26180</v>
      </c>
      <c r="Q2553" s="4" t="s">
        <v>1390</v>
      </c>
    </row>
    <row r="2554" spans="1:17" x14ac:dyDescent="0.3">
      <c r="A2554" s="2" t="s">
        <v>1389</v>
      </c>
      <c r="B2554" s="3">
        <v>157891</v>
      </c>
      <c r="C2554" s="3">
        <v>218473</v>
      </c>
      <c r="D2554" s="4" t="s">
        <v>17</v>
      </c>
      <c r="E2554" s="4" t="s">
        <v>1284</v>
      </c>
      <c r="F2554" s="4" t="s">
        <v>19</v>
      </c>
      <c r="G2554" s="4" t="s">
        <v>20</v>
      </c>
      <c r="H2554" s="5">
        <v>50000</v>
      </c>
      <c r="I2554" s="4" t="s">
        <v>21</v>
      </c>
      <c r="J2554" s="5">
        <f t="shared" si="39"/>
        <v>-210845</v>
      </c>
      <c r="K2554" s="4" t="s">
        <v>39</v>
      </c>
      <c r="L2554" s="6">
        <v>4.2168999999999999</v>
      </c>
      <c r="M2554" s="6">
        <v>0.23710000000000001</v>
      </c>
      <c r="N2554" s="6">
        <v>4.2230999999999996</v>
      </c>
      <c r="O2554" s="6">
        <v>1</v>
      </c>
      <c r="P2554" s="5">
        <v>309.9999999999709</v>
      </c>
      <c r="Q2554" s="4" t="s">
        <v>1390</v>
      </c>
    </row>
    <row r="2555" spans="1:17" x14ac:dyDescent="0.3">
      <c r="A2555" s="2" t="s">
        <v>1389</v>
      </c>
      <c r="B2555" s="3">
        <v>157892</v>
      </c>
      <c r="C2555" s="3">
        <v>903520</v>
      </c>
      <c r="D2555" s="4" t="s">
        <v>81</v>
      </c>
      <c r="E2555" s="4" t="s">
        <v>733</v>
      </c>
      <c r="F2555" s="4" t="s">
        <v>87</v>
      </c>
      <c r="G2555" s="4" t="s">
        <v>20</v>
      </c>
      <c r="H2555" s="5">
        <v>200000</v>
      </c>
      <c r="I2555" s="4" t="s">
        <v>80</v>
      </c>
      <c r="J2555" s="5">
        <f t="shared" si="39"/>
        <v>-1629660.0000000002</v>
      </c>
      <c r="K2555" s="4" t="s">
        <v>51</v>
      </c>
      <c r="L2555" s="6">
        <v>8.1483000000000008</v>
      </c>
      <c r="M2555" s="6">
        <v>0.1227</v>
      </c>
      <c r="N2555" s="6">
        <v>4.2271000000000001</v>
      </c>
      <c r="O2555" s="6">
        <v>0.51859999999999995</v>
      </c>
      <c r="P2555" s="5">
        <v>279.3612</v>
      </c>
      <c r="Q2555" s="4" t="s">
        <v>1391</v>
      </c>
    </row>
    <row r="2556" spans="1:17" x14ac:dyDescent="0.3">
      <c r="A2556" s="2" t="s">
        <v>1389</v>
      </c>
      <c r="B2556" s="3">
        <v>157895</v>
      </c>
      <c r="C2556" s="3">
        <v>218475</v>
      </c>
      <c r="D2556" s="4" t="s">
        <v>17</v>
      </c>
      <c r="E2556" s="4" t="s">
        <v>1061</v>
      </c>
      <c r="F2556" s="4" t="s">
        <v>19</v>
      </c>
      <c r="G2556" s="4" t="s">
        <v>20</v>
      </c>
      <c r="H2556" s="5">
        <v>119570</v>
      </c>
      <c r="I2556" s="4" t="s">
        <v>21</v>
      </c>
      <c r="J2556" s="5">
        <f t="shared" si="39"/>
        <v>-504800.62599999999</v>
      </c>
      <c r="K2556" s="4" t="s">
        <v>39</v>
      </c>
      <c r="L2556" s="6">
        <v>4.2218</v>
      </c>
      <c r="M2556" s="6">
        <v>0.2369</v>
      </c>
      <c r="N2556" s="6">
        <v>4.2230999999999996</v>
      </c>
      <c r="O2556" s="6">
        <v>1</v>
      </c>
      <c r="P2556" s="5">
        <v>155.44099999999162</v>
      </c>
      <c r="Q2556" s="4" t="s">
        <v>1390</v>
      </c>
    </row>
    <row r="2557" spans="1:17" x14ac:dyDescent="0.3">
      <c r="A2557" s="2" t="s">
        <v>1389</v>
      </c>
      <c r="B2557" s="3">
        <v>157896</v>
      </c>
      <c r="C2557" s="3">
        <v>218477</v>
      </c>
      <c r="D2557" s="4" t="s">
        <v>17</v>
      </c>
      <c r="E2557" s="4" t="s">
        <v>1061</v>
      </c>
      <c r="F2557" s="4" t="s">
        <v>19</v>
      </c>
      <c r="G2557" s="4" t="s">
        <v>34</v>
      </c>
      <c r="H2557" s="5">
        <v>12000</v>
      </c>
      <c r="I2557" s="4" t="s">
        <v>21</v>
      </c>
      <c r="J2557" s="5">
        <f t="shared" si="39"/>
        <v>-43215.6</v>
      </c>
      <c r="K2557" s="4" t="s">
        <v>39</v>
      </c>
      <c r="L2557" s="6">
        <v>3.6013000000000002</v>
      </c>
      <c r="M2557" s="6">
        <v>0.2777</v>
      </c>
      <c r="N2557" s="6">
        <v>3.6345999999999998</v>
      </c>
      <c r="O2557" s="6">
        <v>1</v>
      </c>
      <c r="P2557" s="5">
        <v>399.59999999999854</v>
      </c>
      <c r="Q2557" s="4" t="s">
        <v>1390</v>
      </c>
    </row>
    <row r="2558" spans="1:17" x14ac:dyDescent="0.3">
      <c r="A2558" s="2" t="s">
        <v>1389</v>
      </c>
      <c r="B2558" s="3">
        <v>157898</v>
      </c>
      <c r="C2558" s="3">
        <v>218481</v>
      </c>
      <c r="D2558" s="4" t="s">
        <v>17</v>
      </c>
      <c r="E2558" s="4" t="s">
        <v>863</v>
      </c>
      <c r="F2558" s="4" t="s">
        <v>32</v>
      </c>
      <c r="G2558" s="4" t="s">
        <v>20</v>
      </c>
      <c r="H2558" s="5">
        <v>-100000</v>
      </c>
      <c r="I2558" s="4" t="s">
        <v>21</v>
      </c>
      <c r="J2558" s="5">
        <f t="shared" si="39"/>
        <v>423500.00000000006</v>
      </c>
      <c r="K2558" s="4" t="s">
        <v>39</v>
      </c>
      <c r="L2558" s="6">
        <v>4.2350000000000003</v>
      </c>
      <c r="M2558" s="6">
        <v>0.2361</v>
      </c>
      <c r="N2558" s="6">
        <v>4.2230999999999996</v>
      </c>
      <c r="O2558" s="6">
        <v>1</v>
      </c>
      <c r="P2558" s="5">
        <v>1190</v>
      </c>
      <c r="Q2558" s="4" t="s">
        <v>1390</v>
      </c>
    </row>
    <row r="2559" spans="1:17" x14ac:dyDescent="0.3">
      <c r="A2559" s="2" t="s">
        <v>1389</v>
      </c>
      <c r="B2559" s="3">
        <v>157899</v>
      </c>
      <c r="C2559" s="3">
        <v>218482</v>
      </c>
      <c r="D2559" s="4" t="s">
        <v>17</v>
      </c>
      <c r="E2559" s="4" t="s">
        <v>1277</v>
      </c>
      <c r="F2559" s="4" t="s">
        <v>19</v>
      </c>
      <c r="G2559" s="4" t="s">
        <v>20</v>
      </c>
      <c r="H2559" s="5">
        <v>30000</v>
      </c>
      <c r="I2559" s="4" t="s">
        <v>21</v>
      </c>
      <c r="J2559" s="5">
        <f t="shared" si="39"/>
        <v>-126761.99999999999</v>
      </c>
      <c r="K2559" s="4" t="s">
        <v>39</v>
      </c>
      <c r="L2559" s="6">
        <v>4.2253999999999996</v>
      </c>
      <c r="M2559" s="6">
        <v>0.23669999999999999</v>
      </c>
      <c r="N2559" s="6">
        <v>4.2230999999999996</v>
      </c>
      <c r="O2559" s="6">
        <v>1</v>
      </c>
      <c r="P2559" s="5">
        <v>-69</v>
      </c>
      <c r="Q2559" s="4" t="s">
        <v>1390</v>
      </c>
    </row>
    <row r="2560" spans="1:17" x14ac:dyDescent="0.3">
      <c r="A2560" s="2" t="s">
        <v>1389</v>
      </c>
      <c r="B2560" s="3">
        <v>157900</v>
      </c>
      <c r="C2560" s="3">
        <v>218485</v>
      </c>
      <c r="D2560" s="4" t="s">
        <v>17</v>
      </c>
      <c r="E2560" s="4" t="s">
        <v>863</v>
      </c>
      <c r="F2560" s="4" t="s">
        <v>32</v>
      </c>
      <c r="G2560" s="4" t="s">
        <v>20</v>
      </c>
      <c r="H2560" s="5">
        <v>-23000</v>
      </c>
      <c r="I2560" s="4" t="s">
        <v>21</v>
      </c>
      <c r="J2560" s="5">
        <f t="shared" si="39"/>
        <v>97405.000000000015</v>
      </c>
      <c r="K2560" s="4" t="s">
        <v>39</v>
      </c>
      <c r="L2560" s="6">
        <v>4.2350000000000003</v>
      </c>
      <c r="M2560" s="6">
        <v>0.2361</v>
      </c>
      <c r="N2560" s="6">
        <v>4.2230999999999996</v>
      </c>
      <c r="O2560" s="6">
        <v>1</v>
      </c>
      <c r="P2560" s="5">
        <v>273.7</v>
      </c>
      <c r="Q2560" s="4" t="s">
        <v>1390</v>
      </c>
    </row>
    <row r="2561" spans="1:17" x14ac:dyDescent="0.3">
      <c r="A2561" s="2" t="s">
        <v>1389</v>
      </c>
      <c r="B2561" s="3">
        <v>157901</v>
      </c>
      <c r="C2561" s="3">
        <v>218488</v>
      </c>
      <c r="D2561" s="4" t="s">
        <v>17</v>
      </c>
      <c r="E2561" s="4" t="s">
        <v>837</v>
      </c>
      <c r="F2561" s="4" t="s">
        <v>32</v>
      </c>
      <c r="G2561" s="4" t="s">
        <v>20</v>
      </c>
      <c r="H2561" s="5">
        <v>-12500</v>
      </c>
      <c r="I2561" s="4" t="s">
        <v>21</v>
      </c>
      <c r="J2561" s="5">
        <f t="shared" si="39"/>
        <v>52875.000000000007</v>
      </c>
      <c r="K2561" s="4" t="s">
        <v>39</v>
      </c>
      <c r="L2561" s="6">
        <v>4.2300000000000004</v>
      </c>
      <c r="M2561" s="6">
        <v>0.2364</v>
      </c>
      <c r="N2561" s="6">
        <v>4.2230999999999996</v>
      </c>
      <c r="O2561" s="6">
        <v>1</v>
      </c>
      <c r="P2561" s="5">
        <v>86.25</v>
      </c>
      <c r="Q2561" s="4" t="s">
        <v>1390</v>
      </c>
    </row>
    <row r="2562" spans="1:17" x14ac:dyDescent="0.3">
      <c r="A2562" s="2" t="s">
        <v>1389</v>
      </c>
      <c r="B2562" s="3">
        <v>157904</v>
      </c>
      <c r="C2562" s="3">
        <v>218491</v>
      </c>
      <c r="D2562" s="4" t="s">
        <v>17</v>
      </c>
      <c r="E2562" s="4" t="s">
        <v>1234</v>
      </c>
      <c r="F2562" s="4" t="s">
        <v>19</v>
      </c>
      <c r="G2562" s="4" t="s">
        <v>20</v>
      </c>
      <c r="H2562" s="5">
        <v>59337.89</v>
      </c>
      <c r="I2562" s="4" t="s">
        <v>21</v>
      </c>
      <c r="J2562" s="5">
        <f t="shared" si="39"/>
        <v>-250287.22002000001</v>
      </c>
      <c r="K2562" s="4" t="s">
        <v>39</v>
      </c>
      <c r="L2562" s="6">
        <v>4.218</v>
      </c>
      <c r="M2562" s="6">
        <v>0.23710000000000001</v>
      </c>
      <c r="N2562" s="6">
        <v>4.2230999999999996</v>
      </c>
      <c r="O2562" s="6">
        <v>1</v>
      </c>
      <c r="P2562" s="5">
        <v>302.62323899997864</v>
      </c>
      <c r="Q2562" s="4" t="s">
        <v>1390</v>
      </c>
    </row>
    <row r="2563" spans="1:17" x14ac:dyDescent="0.3">
      <c r="A2563" s="2" t="s">
        <v>1389</v>
      </c>
      <c r="B2563" s="3">
        <v>157905</v>
      </c>
      <c r="C2563" s="3">
        <v>903590</v>
      </c>
      <c r="D2563" s="4" t="s">
        <v>81</v>
      </c>
      <c r="E2563" s="4" t="s">
        <v>732</v>
      </c>
      <c r="F2563" s="4" t="s">
        <v>87</v>
      </c>
      <c r="G2563" s="4" t="s">
        <v>34</v>
      </c>
      <c r="H2563" s="5">
        <v>500000</v>
      </c>
      <c r="I2563" s="4" t="s">
        <v>21</v>
      </c>
      <c r="J2563" s="5">
        <f t="shared" si="39"/>
        <v>-1803100</v>
      </c>
      <c r="K2563" s="4" t="s">
        <v>51</v>
      </c>
      <c r="L2563" s="6">
        <v>3.6061999999999999</v>
      </c>
      <c r="M2563" s="6">
        <v>0.27729999999999999</v>
      </c>
      <c r="N2563" s="6">
        <v>3.6118000000000001</v>
      </c>
      <c r="O2563" s="6">
        <v>1</v>
      </c>
      <c r="P2563" s="5">
        <v>2810</v>
      </c>
      <c r="Q2563" s="4" t="s">
        <v>1394</v>
      </c>
    </row>
    <row r="2564" spans="1:17" x14ac:dyDescent="0.3">
      <c r="A2564" s="2" t="s">
        <v>1389</v>
      </c>
      <c r="B2564" s="3">
        <v>157906</v>
      </c>
      <c r="C2564" s="3">
        <v>903591</v>
      </c>
      <c r="D2564" s="4" t="s">
        <v>81</v>
      </c>
      <c r="E2564" s="4" t="s">
        <v>732</v>
      </c>
      <c r="F2564" s="4" t="s">
        <v>87</v>
      </c>
      <c r="G2564" s="4" t="s">
        <v>34</v>
      </c>
      <c r="H2564" s="5">
        <v>500000</v>
      </c>
      <c r="I2564" s="4" t="s">
        <v>21</v>
      </c>
      <c r="J2564" s="5">
        <f t="shared" ref="J2564:J2627" si="40">-H2564*L2564</f>
        <v>-1803150</v>
      </c>
      <c r="K2564" s="4" t="s">
        <v>51</v>
      </c>
      <c r="L2564" s="6">
        <v>3.6063000000000001</v>
      </c>
      <c r="M2564" s="6">
        <v>0.27729999999999999</v>
      </c>
      <c r="N2564" s="6">
        <v>3.6118000000000001</v>
      </c>
      <c r="O2564" s="6">
        <v>1</v>
      </c>
      <c r="P2564" s="5">
        <v>2750</v>
      </c>
      <c r="Q2564" s="4" t="s">
        <v>1394</v>
      </c>
    </row>
    <row r="2565" spans="1:17" x14ac:dyDescent="0.3">
      <c r="A2565" s="2" t="s">
        <v>1389</v>
      </c>
      <c r="B2565" s="3">
        <v>157907</v>
      </c>
      <c r="C2565" s="3">
        <v>218495</v>
      </c>
      <c r="D2565" s="4" t="s">
        <v>17</v>
      </c>
      <c r="E2565" s="4" t="s">
        <v>1131</v>
      </c>
      <c r="F2565" s="4" t="s">
        <v>32</v>
      </c>
      <c r="G2565" s="4" t="s">
        <v>34</v>
      </c>
      <c r="H2565" s="5">
        <v>-716040</v>
      </c>
      <c r="I2565" s="4" t="s">
        <v>21</v>
      </c>
      <c r="J2565" s="5">
        <f t="shared" si="40"/>
        <v>2587768.56</v>
      </c>
      <c r="K2565" s="4" t="s">
        <v>39</v>
      </c>
      <c r="L2565" s="6">
        <v>3.6139999999999999</v>
      </c>
      <c r="M2565" s="6">
        <v>0.2767</v>
      </c>
      <c r="N2565" s="6">
        <v>3.6345999999999998</v>
      </c>
      <c r="O2565" s="6">
        <v>1</v>
      </c>
      <c r="P2565" s="5">
        <v>-14750.424000000001</v>
      </c>
      <c r="Q2565" s="4" t="s">
        <v>1390</v>
      </c>
    </row>
    <row r="2566" spans="1:17" x14ac:dyDescent="0.3">
      <c r="A2566" s="2" t="s">
        <v>1389</v>
      </c>
      <c r="B2566" s="3">
        <v>157909</v>
      </c>
      <c r="C2566" s="3">
        <v>218508</v>
      </c>
      <c r="D2566" s="4" t="s">
        <v>17</v>
      </c>
      <c r="E2566" s="4" t="s">
        <v>998</v>
      </c>
      <c r="F2566" s="4" t="s">
        <v>19</v>
      </c>
      <c r="G2566" s="4" t="s">
        <v>20</v>
      </c>
      <c r="H2566" s="5">
        <v>24000</v>
      </c>
      <c r="I2566" s="4" t="s">
        <v>21</v>
      </c>
      <c r="J2566" s="5">
        <f t="shared" si="40"/>
        <v>-100740</v>
      </c>
      <c r="K2566" s="4" t="s">
        <v>39</v>
      </c>
      <c r="L2566" s="6">
        <v>4.1974999999999998</v>
      </c>
      <c r="M2566" s="6">
        <v>0.2382</v>
      </c>
      <c r="N2566" s="6">
        <v>4.2230999999999996</v>
      </c>
      <c r="O2566" s="6">
        <v>1</v>
      </c>
      <c r="P2566" s="5">
        <v>614.39999999999418</v>
      </c>
      <c r="Q2566" s="4" t="s">
        <v>1390</v>
      </c>
    </row>
    <row r="2567" spans="1:17" x14ac:dyDescent="0.3">
      <c r="A2567" s="2" t="s">
        <v>1389</v>
      </c>
      <c r="B2567" s="3">
        <v>157911</v>
      </c>
      <c r="C2567" s="3">
        <v>903640</v>
      </c>
      <c r="D2567" s="4" t="s">
        <v>81</v>
      </c>
      <c r="E2567" s="4" t="s">
        <v>1077</v>
      </c>
      <c r="F2567" s="4" t="s">
        <v>87</v>
      </c>
      <c r="G2567" s="4" t="s">
        <v>20</v>
      </c>
      <c r="H2567" s="5">
        <v>25000</v>
      </c>
      <c r="I2567" s="4" t="s">
        <v>21</v>
      </c>
      <c r="J2567" s="5">
        <f t="shared" si="40"/>
        <v>-105637.5</v>
      </c>
      <c r="K2567" s="4" t="s">
        <v>51</v>
      </c>
      <c r="L2567" s="6">
        <v>4.2255000000000003</v>
      </c>
      <c r="M2567" s="6">
        <v>0.23669999999999999</v>
      </c>
      <c r="N2567" s="6">
        <v>4.2271000000000001</v>
      </c>
      <c r="O2567" s="6">
        <v>1</v>
      </c>
      <c r="P2567" s="5">
        <v>40</v>
      </c>
      <c r="Q2567" s="4" t="s">
        <v>1390</v>
      </c>
    </row>
    <row r="2568" spans="1:17" x14ac:dyDescent="0.3">
      <c r="A2568" s="2" t="s">
        <v>1389</v>
      </c>
      <c r="B2568" s="3">
        <v>157912</v>
      </c>
      <c r="C2568" s="3">
        <v>218509</v>
      </c>
      <c r="D2568" s="4" t="s">
        <v>17</v>
      </c>
      <c r="E2568" s="4" t="s">
        <v>1271</v>
      </c>
      <c r="F2568" s="4" t="s">
        <v>19</v>
      </c>
      <c r="G2568" s="4" t="s">
        <v>20</v>
      </c>
      <c r="H2568" s="5">
        <v>50000</v>
      </c>
      <c r="I2568" s="4" t="s">
        <v>21</v>
      </c>
      <c r="J2568" s="5">
        <f t="shared" si="40"/>
        <v>-211249.99999999997</v>
      </c>
      <c r="K2568" s="4" t="s">
        <v>39</v>
      </c>
      <c r="L2568" s="6">
        <v>4.2249999999999996</v>
      </c>
      <c r="M2568" s="6">
        <v>0.23669999999999999</v>
      </c>
      <c r="N2568" s="6">
        <v>4.2230999999999996</v>
      </c>
      <c r="O2568" s="6">
        <v>1</v>
      </c>
      <c r="P2568" s="5">
        <v>-95</v>
      </c>
      <c r="Q2568" s="4" t="s">
        <v>1390</v>
      </c>
    </row>
    <row r="2569" spans="1:17" x14ac:dyDescent="0.3">
      <c r="A2569" s="2" t="s">
        <v>1389</v>
      </c>
      <c r="B2569" s="3">
        <v>157913</v>
      </c>
      <c r="C2569" s="3">
        <v>218511</v>
      </c>
      <c r="D2569" s="4" t="s">
        <v>17</v>
      </c>
      <c r="E2569" s="4" t="s">
        <v>1065</v>
      </c>
      <c r="F2569" s="4" t="s">
        <v>19</v>
      </c>
      <c r="G2569" s="4" t="s">
        <v>20</v>
      </c>
      <c r="H2569" s="5">
        <v>50000</v>
      </c>
      <c r="I2569" s="4" t="s">
        <v>21</v>
      </c>
      <c r="J2569" s="5">
        <f t="shared" si="40"/>
        <v>-211019.99999999997</v>
      </c>
      <c r="K2569" s="4" t="s">
        <v>39</v>
      </c>
      <c r="L2569" s="6">
        <v>4.2203999999999997</v>
      </c>
      <c r="M2569" s="6">
        <v>0.2369</v>
      </c>
      <c r="N2569" s="6">
        <v>4.2230999999999996</v>
      </c>
      <c r="O2569" s="6">
        <v>1</v>
      </c>
      <c r="P2569" s="5">
        <v>135</v>
      </c>
      <c r="Q2569" s="4" t="s">
        <v>1390</v>
      </c>
    </row>
    <row r="2570" spans="1:17" x14ac:dyDescent="0.3">
      <c r="A2570" s="2" t="s">
        <v>1389</v>
      </c>
      <c r="B2570" s="3">
        <v>157914</v>
      </c>
      <c r="C2570" s="3">
        <v>218518</v>
      </c>
      <c r="D2570" s="4" t="s">
        <v>17</v>
      </c>
      <c r="E2570" s="4" t="s">
        <v>1383</v>
      </c>
      <c r="F2570" s="4" t="s">
        <v>19</v>
      </c>
      <c r="G2570" s="4" t="s">
        <v>20</v>
      </c>
      <c r="H2570" s="5">
        <v>15000</v>
      </c>
      <c r="I2570" s="4" t="s">
        <v>21</v>
      </c>
      <c r="J2570" s="5">
        <f t="shared" si="40"/>
        <v>-63025.5</v>
      </c>
      <c r="K2570" s="4" t="s">
        <v>39</v>
      </c>
      <c r="L2570" s="6">
        <v>4.2016999999999998</v>
      </c>
      <c r="M2570" s="6">
        <v>0.23799999999999999</v>
      </c>
      <c r="N2570" s="6">
        <v>4.2230999999999996</v>
      </c>
      <c r="O2570" s="6">
        <v>1</v>
      </c>
      <c r="P2570" s="5">
        <v>320.99999999999272</v>
      </c>
      <c r="Q2570" s="4" t="s">
        <v>1390</v>
      </c>
    </row>
    <row r="2571" spans="1:17" x14ac:dyDescent="0.3">
      <c r="A2571" s="2" t="s">
        <v>1389</v>
      </c>
      <c r="B2571" s="3">
        <v>157915</v>
      </c>
      <c r="C2571" s="3">
        <v>218520</v>
      </c>
      <c r="D2571" s="4" t="s">
        <v>17</v>
      </c>
      <c r="E2571" s="4" t="s">
        <v>1350</v>
      </c>
      <c r="F2571" s="4" t="s">
        <v>19</v>
      </c>
      <c r="G2571" s="4" t="s">
        <v>91</v>
      </c>
      <c r="H2571" s="5">
        <v>10000</v>
      </c>
      <c r="I2571" s="4" t="s">
        <v>21</v>
      </c>
      <c r="J2571" s="5">
        <f t="shared" si="40"/>
        <v>-48285</v>
      </c>
      <c r="K2571" s="4" t="s">
        <v>39</v>
      </c>
      <c r="L2571" s="6">
        <v>4.8285</v>
      </c>
      <c r="M2571" s="6">
        <v>0.20710000000000001</v>
      </c>
      <c r="N2571" s="6">
        <v>4.8704000000000001</v>
      </c>
      <c r="O2571" s="6">
        <v>1</v>
      </c>
      <c r="P2571" s="5">
        <v>419</v>
      </c>
      <c r="Q2571" s="4" t="s">
        <v>1390</v>
      </c>
    </row>
    <row r="2572" spans="1:17" x14ac:dyDescent="0.3">
      <c r="A2572" s="2" t="s">
        <v>1389</v>
      </c>
      <c r="B2572" s="3">
        <v>157916</v>
      </c>
      <c r="C2572" s="3">
        <v>218530</v>
      </c>
      <c r="D2572" s="4" t="s">
        <v>17</v>
      </c>
      <c r="E2572" s="4" t="s">
        <v>922</v>
      </c>
      <c r="F2572" s="4" t="s">
        <v>32</v>
      </c>
      <c r="G2572" s="4" t="s">
        <v>34</v>
      </c>
      <c r="H2572" s="5">
        <v>-16000</v>
      </c>
      <c r="I2572" s="4" t="s">
        <v>21</v>
      </c>
      <c r="J2572" s="5">
        <f t="shared" si="40"/>
        <v>57956.800000000003</v>
      </c>
      <c r="K2572" s="4" t="s">
        <v>39</v>
      </c>
      <c r="L2572" s="6">
        <v>3.6223000000000001</v>
      </c>
      <c r="M2572" s="6">
        <v>0.27610000000000001</v>
      </c>
      <c r="N2572" s="6">
        <v>3.6345999999999998</v>
      </c>
      <c r="O2572" s="6">
        <v>1</v>
      </c>
      <c r="P2572" s="5">
        <v>-201.6</v>
      </c>
      <c r="Q2572" s="4" t="s">
        <v>1390</v>
      </c>
    </row>
    <row r="2573" spans="1:17" x14ac:dyDescent="0.3">
      <c r="A2573" s="2" t="s">
        <v>1389</v>
      </c>
      <c r="B2573" s="3">
        <v>157917</v>
      </c>
      <c r="C2573" s="3">
        <v>218532</v>
      </c>
      <c r="D2573" s="4" t="s">
        <v>17</v>
      </c>
      <c r="E2573" s="4" t="s">
        <v>880</v>
      </c>
      <c r="F2573" s="4" t="s">
        <v>32</v>
      </c>
      <c r="G2573" s="4" t="s">
        <v>34</v>
      </c>
      <c r="H2573" s="5">
        <v>-92000</v>
      </c>
      <c r="I2573" s="4" t="s">
        <v>21</v>
      </c>
      <c r="J2573" s="5">
        <f t="shared" si="40"/>
        <v>332488</v>
      </c>
      <c r="K2573" s="4" t="s">
        <v>39</v>
      </c>
      <c r="L2573" s="6">
        <v>3.6139999999999999</v>
      </c>
      <c r="M2573" s="6">
        <v>0.2767</v>
      </c>
      <c r="N2573" s="6">
        <v>3.6345999999999998</v>
      </c>
      <c r="O2573" s="6">
        <v>1</v>
      </c>
      <c r="P2573" s="5">
        <v>-1895.2</v>
      </c>
      <c r="Q2573" s="4" t="s">
        <v>1390</v>
      </c>
    </row>
    <row r="2574" spans="1:17" x14ac:dyDescent="0.3">
      <c r="A2574" s="2" t="s">
        <v>1389</v>
      </c>
      <c r="B2574" s="3">
        <v>157918</v>
      </c>
      <c r="C2574" s="3">
        <v>218535</v>
      </c>
      <c r="D2574" s="4" t="s">
        <v>17</v>
      </c>
      <c r="E2574" s="4" t="s">
        <v>788</v>
      </c>
      <c r="F2574" s="4" t="s">
        <v>19</v>
      </c>
      <c r="G2574" s="4" t="s">
        <v>20</v>
      </c>
      <c r="H2574" s="5">
        <v>60000</v>
      </c>
      <c r="I2574" s="4" t="s">
        <v>21</v>
      </c>
      <c r="J2574" s="5">
        <f t="shared" si="40"/>
        <v>-253199.99999999997</v>
      </c>
      <c r="K2574" s="4" t="s">
        <v>39</v>
      </c>
      <c r="L2574" s="6">
        <v>4.22</v>
      </c>
      <c r="M2574" s="6">
        <v>0.23699999999999999</v>
      </c>
      <c r="N2574" s="6">
        <v>4.2230999999999996</v>
      </c>
      <c r="O2574" s="6">
        <v>1</v>
      </c>
      <c r="P2574" s="5">
        <v>186</v>
      </c>
      <c r="Q2574" s="4" t="s">
        <v>1390</v>
      </c>
    </row>
    <row r="2575" spans="1:17" x14ac:dyDescent="0.3">
      <c r="A2575" s="2" t="s">
        <v>1389</v>
      </c>
      <c r="B2575" s="3">
        <v>157919</v>
      </c>
      <c r="C2575" s="3">
        <v>218540</v>
      </c>
      <c r="D2575" s="4" t="s">
        <v>17</v>
      </c>
      <c r="E2575" s="4" t="s">
        <v>1042</v>
      </c>
      <c r="F2575" s="4" t="s">
        <v>19</v>
      </c>
      <c r="G2575" s="4" t="s">
        <v>20</v>
      </c>
      <c r="H2575" s="5">
        <v>235469.2</v>
      </c>
      <c r="I2575" s="4" t="s">
        <v>21</v>
      </c>
      <c r="J2575" s="5">
        <f t="shared" si="40"/>
        <v>-994009.68088000012</v>
      </c>
      <c r="K2575" s="4" t="s">
        <v>39</v>
      </c>
      <c r="L2575" s="6">
        <v>4.2214</v>
      </c>
      <c r="M2575" s="6">
        <v>0.2369</v>
      </c>
      <c r="N2575" s="6">
        <v>4.2230999999999996</v>
      </c>
      <c r="O2575" s="6">
        <v>1</v>
      </c>
      <c r="P2575" s="5">
        <v>400.29763999988791</v>
      </c>
      <c r="Q2575" s="4" t="s">
        <v>1390</v>
      </c>
    </row>
    <row r="2576" spans="1:17" x14ac:dyDescent="0.3">
      <c r="A2576" s="2" t="s">
        <v>1389</v>
      </c>
      <c r="B2576" s="3">
        <v>157920</v>
      </c>
      <c r="C2576" s="3">
        <v>218541</v>
      </c>
      <c r="D2576" s="4" t="s">
        <v>17</v>
      </c>
      <c r="E2576" s="4" t="s">
        <v>803</v>
      </c>
      <c r="F2576" s="4" t="s">
        <v>19</v>
      </c>
      <c r="G2576" s="4" t="s">
        <v>20</v>
      </c>
      <c r="H2576" s="5">
        <v>46000</v>
      </c>
      <c r="I2576" s="4" t="s">
        <v>21</v>
      </c>
      <c r="J2576" s="5">
        <f t="shared" si="40"/>
        <v>-193292</v>
      </c>
      <c r="K2576" s="4" t="s">
        <v>39</v>
      </c>
      <c r="L2576" s="6">
        <v>4.202</v>
      </c>
      <c r="M2576" s="6">
        <v>0.23799999999999999</v>
      </c>
      <c r="N2576" s="6">
        <v>4.2230999999999996</v>
      </c>
      <c r="O2576" s="6">
        <v>1</v>
      </c>
      <c r="P2576" s="5">
        <v>970.59999999997672</v>
      </c>
      <c r="Q2576" s="4" t="s">
        <v>1390</v>
      </c>
    </row>
    <row r="2577" spans="1:17" x14ac:dyDescent="0.3">
      <c r="A2577" s="2" t="s">
        <v>1389</v>
      </c>
      <c r="B2577" s="3">
        <v>157921</v>
      </c>
      <c r="C2577" s="3">
        <v>218544</v>
      </c>
      <c r="D2577" s="4" t="s">
        <v>17</v>
      </c>
      <c r="E2577" s="4" t="s">
        <v>1375</v>
      </c>
      <c r="F2577" s="4" t="s">
        <v>32</v>
      </c>
      <c r="G2577" s="4" t="s">
        <v>20</v>
      </c>
      <c r="H2577" s="5">
        <v>-10000</v>
      </c>
      <c r="I2577" s="4" t="s">
        <v>21</v>
      </c>
      <c r="J2577" s="5">
        <f t="shared" si="40"/>
        <v>42424</v>
      </c>
      <c r="K2577" s="4" t="s">
        <v>39</v>
      </c>
      <c r="L2577" s="6">
        <v>4.2423999999999999</v>
      </c>
      <c r="M2577" s="6">
        <v>0.23569999999999999</v>
      </c>
      <c r="N2577" s="6">
        <v>4.2230999999999996</v>
      </c>
      <c r="O2577" s="6">
        <v>1</v>
      </c>
      <c r="P2577" s="5">
        <v>189</v>
      </c>
      <c r="Q2577" s="4" t="s">
        <v>1390</v>
      </c>
    </row>
    <row r="2578" spans="1:17" x14ac:dyDescent="0.3">
      <c r="A2578" s="2" t="s">
        <v>1389</v>
      </c>
      <c r="B2578" s="3">
        <v>157922</v>
      </c>
      <c r="C2578" s="3">
        <v>218545</v>
      </c>
      <c r="D2578" s="4" t="s">
        <v>17</v>
      </c>
      <c r="E2578" s="4" t="s">
        <v>810</v>
      </c>
      <c r="F2578" s="4" t="s">
        <v>19</v>
      </c>
      <c r="G2578" s="4" t="s">
        <v>20</v>
      </c>
      <c r="H2578" s="5">
        <v>40000</v>
      </c>
      <c r="I2578" s="4" t="s">
        <v>21</v>
      </c>
      <c r="J2578" s="5">
        <f t="shared" si="40"/>
        <v>-168720</v>
      </c>
      <c r="K2578" s="4" t="s">
        <v>39</v>
      </c>
      <c r="L2578" s="6">
        <v>4.218</v>
      </c>
      <c r="M2578" s="6">
        <v>0.23710000000000001</v>
      </c>
      <c r="N2578" s="6">
        <v>4.2230999999999996</v>
      </c>
      <c r="O2578" s="6">
        <v>1</v>
      </c>
      <c r="P2578" s="5">
        <v>203.9999999999709</v>
      </c>
      <c r="Q2578" s="4" t="s">
        <v>1390</v>
      </c>
    </row>
    <row r="2579" spans="1:17" x14ac:dyDescent="0.3">
      <c r="A2579" s="2" t="s">
        <v>1389</v>
      </c>
      <c r="B2579" s="3">
        <v>157923</v>
      </c>
      <c r="C2579" s="3">
        <v>218547</v>
      </c>
      <c r="D2579" s="4" t="s">
        <v>17</v>
      </c>
      <c r="E2579" s="4" t="s">
        <v>1176</v>
      </c>
      <c r="F2579" s="4" t="s">
        <v>19</v>
      </c>
      <c r="G2579" s="4" t="s">
        <v>93</v>
      </c>
      <c r="H2579" s="5">
        <v>32800</v>
      </c>
      <c r="I2579" s="4" t="s">
        <v>21</v>
      </c>
      <c r="J2579" s="5">
        <f t="shared" si="40"/>
        <v>-149404</v>
      </c>
      <c r="K2579" s="4" t="s">
        <v>39</v>
      </c>
      <c r="L2579" s="6">
        <v>4.5549999999999997</v>
      </c>
      <c r="M2579" s="6">
        <v>0.2195</v>
      </c>
      <c r="N2579" s="6">
        <v>4.5476000000000001</v>
      </c>
      <c r="O2579" s="6">
        <v>1</v>
      </c>
      <c r="P2579" s="5">
        <v>-242.72000000000116</v>
      </c>
      <c r="Q2579" s="4" t="s">
        <v>1390</v>
      </c>
    </row>
    <row r="2580" spans="1:17" x14ac:dyDescent="0.3">
      <c r="A2580" s="2" t="s">
        <v>1389</v>
      </c>
      <c r="B2580" s="3">
        <v>157924</v>
      </c>
      <c r="C2580" s="3">
        <v>903771</v>
      </c>
      <c r="D2580" s="4" t="s">
        <v>81</v>
      </c>
      <c r="E2580" s="4" t="s">
        <v>739</v>
      </c>
      <c r="F2580" s="4" t="s">
        <v>87</v>
      </c>
      <c r="G2580" s="4" t="s">
        <v>20</v>
      </c>
      <c r="H2580" s="5">
        <v>100000</v>
      </c>
      <c r="I2580" s="4" t="s">
        <v>93</v>
      </c>
      <c r="J2580" s="5">
        <f t="shared" si="40"/>
        <v>-92690</v>
      </c>
      <c r="K2580" s="4" t="s">
        <v>51</v>
      </c>
      <c r="L2580" s="6">
        <v>0.92689999999999995</v>
      </c>
      <c r="M2580" s="6">
        <v>1.0789</v>
      </c>
      <c r="N2580" s="6">
        <v>4.2271000000000001</v>
      </c>
      <c r="O2580" s="6">
        <v>4.5552999999999999</v>
      </c>
      <c r="P2580" s="5">
        <v>479.24299999999999</v>
      </c>
      <c r="Q2580" s="4" t="s">
        <v>1391</v>
      </c>
    </row>
    <row r="2581" spans="1:17" x14ac:dyDescent="0.3">
      <c r="A2581" s="2" t="s">
        <v>1389</v>
      </c>
      <c r="B2581" s="3">
        <v>157925</v>
      </c>
      <c r="C2581" s="3">
        <v>903788</v>
      </c>
      <c r="D2581" s="4" t="s">
        <v>81</v>
      </c>
      <c r="E2581" s="4" t="s">
        <v>734</v>
      </c>
      <c r="F2581" s="4" t="s">
        <v>83</v>
      </c>
      <c r="G2581" s="4" t="s">
        <v>20</v>
      </c>
      <c r="H2581" s="5">
        <v>-500000</v>
      </c>
      <c r="I2581" s="4" t="s">
        <v>21</v>
      </c>
      <c r="J2581" s="5">
        <f t="shared" si="40"/>
        <v>2114750</v>
      </c>
      <c r="K2581" s="4" t="s">
        <v>51</v>
      </c>
      <c r="L2581" s="6">
        <v>4.2294999999999998</v>
      </c>
      <c r="M2581" s="6">
        <v>0.2364</v>
      </c>
      <c r="N2581" s="6">
        <v>4.2271000000000001</v>
      </c>
      <c r="O2581" s="6">
        <v>1</v>
      </c>
      <c r="P2581" s="5">
        <v>1200</v>
      </c>
      <c r="Q2581" s="4" t="s">
        <v>1393</v>
      </c>
    </row>
    <row r="2582" spans="1:17" x14ac:dyDescent="0.3">
      <c r="A2582" s="2" t="s">
        <v>1389</v>
      </c>
      <c r="B2582" s="3">
        <v>157926</v>
      </c>
      <c r="C2582" s="3">
        <v>218555</v>
      </c>
      <c r="D2582" s="4" t="s">
        <v>17</v>
      </c>
      <c r="E2582" s="4" t="s">
        <v>1302</v>
      </c>
      <c r="F2582" s="4" t="s">
        <v>19</v>
      </c>
      <c r="G2582" s="4" t="s">
        <v>20</v>
      </c>
      <c r="H2582" s="5">
        <v>15000</v>
      </c>
      <c r="I2582" s="4" t="s">
        <v>21</v>
      </c>
      <c r="J2582" s="5">
        <f t="shared" si="40"/>
        <v>-63374.999999999993</v>
      </c>
      <c r="K2582" s="4" t="s">
        <v>39</v>
      </c>
      <c r="L2582" s="6">
        <v>4.2249999999999996</v>
      </c>
      <c r="M2582" s="6">
        <v>0.23669999999999999</v>
      </c>
      <c r="N2582" s="6">
        <v>4.2230999999999996</v>
      </c>
      <c r="O2582" s="6">
        <v>1</v>
      </c>
      <c r="P2582" s="5">
        <v>-28.5</v>
      </c>
      <c r="Q2582" s="4" t="s">
        <v>1390</v>
      </c>
    </row>
    <row r="2583" spans="1:17" x14ac:dyDescent="0.3">
      <c r="A2583" s="2" t="s">
        <v>1389</v>
      </c>
      <c r="B2583" s="3">
        <v>157928</v>
      </c>
      <c r="C2583" s="3">
        <v>218557</v>
      </c>
      <c r="D2583" s="4" t="s">
        <v>17</v>
      </c>
      <c r="E2583" s="4" t="s">
        <v>1143</v>
      </c>
      <c r="F2583" s="4" t="s">
        <v>32</v>
      </c>
      <c r="G2583" s="4" t="s">
        <v>20</v>
      </c>
      <c r="H2583" s="5">
        <v>-100000</v>
      </c>
      <c r="I2583" s="4" t="s">
        <v>21</v>
      </c>
      <c r="J2583" s="5">
        <f t="shared" si="40"/>
        <v>423320</v>
      </c>
      <c r="K2583" s="4" t="s">
        <v>39</v>
      </c>
      <c r="L2583" s="6">
        <v>4.2332000000000001</v>
      </c>
      <c r="M2583" s="6">
        <v>0.23619999999999999</v>
      </c>
      <c r="N2583" s="6">
        <v>4.2230999999999996</v>
      </c>
      <c r="O2583" s="6">
        <v>1</v>
      </c>
      <c r="P2583" s="5">
        <v>970</v>
      </c>
      <c r="Q2583" s="4" t="s">
        <v>1390</v>
      </c>
    </row>
    <row r="2584" spans="1:17" x14ac:dyDescent="0.3">
      <c r="A2584" s="2" t="s">
        <v>1389</v>
      </c>
      <c r="B2584" s="3">
        <v>157930</v>
      </c>
      <c r="C2584" s="3">
        <v>218561</v>
      </c>
      <c r="D2584" s="4" t="s">
        <v>17</v>
      </c>
      <c r="E2584" s="4" t="s">
        <v>1052</v>
      </c>
      <c r="F2584" s="4" t="s">
        <v>19</v>
      </c>
      <c r="G2584" s="4" t="s">
        <v>20</v>
      </c>
      <c r="H2584" s="5">
        <v>150000</v>
      </c>
      <c r="I2584" s="4" t="s">
        <v>21</v>
      </c>
      <c r="J2584" s="5">
        <f t="shared" si="40"/>
        <v>-633795</v>
      </c>
      <c r="K2584" s="4" t="s">
        <v>39</v>
      </c>
      <c r="L2584" s="6">
        <v>4.2252999999999998</v>
      </c>
      <c r="M2584" s="6">
        <v>0.23669999999999999</v>
      </c>
      <c r="N2584" s="6">
        <v>4.2230999999999996</v>
      </c>
      <c r="O2584" s="6">
        <v>1</v>
      </c>
      <c r="P2584" s="5">
        <v>-330</v>
      </c>
      <c r="Q2584" s="4" t="s">
        <v>1390</v>
      </c>
    </row>
    <row r="2585" spans="1:17" x14ac:dyDescent="0.3">
      <c r="A2585" s="2" t="s">
        <v>1389</v>
      </c>
      <c r="B2585" s="3">
        <v>157931</v>
      </c>
      <c r="C2585" s="3">
        <v>218568</v>
      </c>
      <c r="D2585" s="4" t="s">
        <v>17</v>
      </c>
      <c r="E2585" s="4" t="s">
        <v>755</v>
      </c>
      <c r="F2585" s="4" t="s">
        <v>32</v>
      </c>
      <c r="G2585" s="4" t="s">
        <v>20</v>
      </c>
      <c r="H2585" s="5">
        <v>-76000</v>
      </c>
      <c r="I2585" s="4" t="s">
        <v>21</v>
      </c>
      <c r="J2585" s="5">
        <f t="shared" si="40"/>
        <v>321898</v>
      </c>
      <c r="K2585" s="4" t="s">
        <v>39</v>
      </c>
      <c r="L2585" s="6">
        <v>4.2355</v>
      </c>
      <c r="M2585" s="6">
        <v>0.2361</v>
      </c>
      <c r="N2585" s="6">
        <v>4.2230999999999996</v>
      </c>
      <c r="O2585" s="6">
        <v>1</v>
      </c>
      <c r="P2585" s="5">
        <v>942.4</v>
      </c>
      <c r="Q2585" s="4" t="s">
        <v>1390</v>
      </c>
    </row>
    <row r="2586" spans="1:17" x14ac:dyDescent="0.3">
      <c r="A2586" s="2" t="s">
        <v>1389</v>
      </c>
      <c r="B2586" s="3">
        <v>157938</v>
      </c>
      <c r="C2586" s="3">
        <v>218575</v>
      </c>
      <c r="D2586" s="4" t="s">
        <v>17</v>
      </c>
      <c r="E2586" s="4" t="s">
        <v>1152</v>
      </c>
      <c r="F2586" s="4" t="s">
        <v>32</v>
      </c>
      <c r="G2586" s="4" t="s">
        <v>20</v>
      </c>
      <c r="H2586" s="5">
        <v>-27000</v>
      </c>
      <c r="I2586" s="4" t="s">
        <v>21</v>
      </c>
      <c r="J2586" s="5">
        <f t="shared" si="40"/>
        <v>114544.8</v>
      </c>
      <c r="K2586" s="4" t="s">
        <v>39</v>
      </c>
      <c r="L2586" s="6">
        <v>4.2423999999999999</v>
      </c>
      <c r="M2586" s="6">
        <v>0.23569999999999999</v>
      </c>
      <c r="N2586" s="6">
        <v>4.2230999999999996</v>
      </c>
      <c r="O2586" s="6">
        <v>1</v>
      </c>
      <c r="P2586" s="5">
        <v>510.3</v>
      </c>
      <c r="Q2586" s="4" t="s">
        <v>1390</v>
      </c>
    </row>
    <row r="2587" spans="1:17" x14ac:dyDescent="0.3">
      <c r="A2587" s="2" t="s">
        <v>1389</v>
      </c>
      <c r="B2587" s="3">
        <v>157939</v>
      </c>
      <c r="C2587" s="3">
        <v>903862</v>
      </c>
      <c r="D2587" s="4" t="s">
        <v>81</v>
      </c>
      <c r="E2587" s="4" t="s">
        <v>1025</v>
      </c>
      <c r="F2587" s="4" t="s">
        <v>87</v>
      </c>
      <c r="G2587" s="4" t="s">
        <v>20</v>
      </c>
      <c r="H2587" s="5">
        <v>500000</v>
      </c>
      <c r="I2587" s="4" t="s">
        <v>21</v>
      </c>
      <c r="J2587" s="5">
        <f t="shared" si="40"/>
        <v>-2112500</v>
      </c>
      <c r="K2587" s="4" t="s">
        <v>51</v>
      </c>
      <c r="L2587" s="6">
        <v>4.2249999999999996</v>
      </c>
      <c r="M2587" s="6">
        <v>0.23669999999999999</v>
      </c>
      <c r="N2587" s="6">
        <v>4.2271000000000001</v>
      </c>
      <c r="O2587" s="6">
        <v>1</v>
      </c>
      <c r="P2587" s="5">
        <v>1050</v>
      </c>
      <c r="Q2587" s="4" t="s">
        <v>1390</v>
      </c>
    </row>
    <row r="2588" spans="1:17" x14ac:dyDescent="0.3">
      <c r="A2588" s="2" t="s">
        <v>1389</v>
      </c>
      <c r="B2588" s="3">
        <v>157940</v>
      </c>
      <c r="C2588" s="3">
        <v>218586</v>
      </c>
      <c r="D2588" s="4" t="s">
        <v>17</v>
      </c>
      <c r="E2588" s="4" t="s">
        <v>1088</v>
      </c>
      <c r="F2588" s="4" t="s">
        <v>19</v>
      </c>
      <c r="G2588" s="4" t="s">
        <v>20</v>
      </c>
      <c r="H2588" s="5">
        <v>200000</v>
      </c>
      <c r="I2588" s="4" t="s">
        <v>21</v>
      </c>
      <c r="J2588" s="5">
        <f t="shared" si="40"/>
        <v>-842600</v>
      </c>
      <c r="K2588" s="4" t="s">
        <v>39</v>
      </c>
      <c r="L2588" s="6">
        <v>4.2130000000000001</v>
      </c>
      <c r="M2588" s="6">
        <v>0.2374</v>
      </c>
      <c r="N2588" s="6">
        <v>4.2230999999999996</v>
      </c>
      <c r="O2588" s="6">
        <v>1</v>
      </c>
      <c r="P2588" s="5">
        <v>2019.9999999998836</v>
      </c>
      <c r="Q2588" s="4" t="s">
        <v>1390</v>
      </c>
    </row>
    <row r="2589" spans="1:17" x14ac:dyDescent="0.3">
      <c r="A2589" s="2" t="s">
        <v>1389</v>
      </c>
      <c r="B2589" s="3">
        <v>157943</v>
      </c>
      <c r="C2589" s="3">
        <v>218590</v>
      </c>
      <c r="D2589" s="4" t="s">
        <v>17</v>
      </c>
      <c r="E2589" s="4" t="s">
        <v>1219</v>
      </c>
      <c r="F2589" s="4" t="s">
        <v>19</v>
      </c>
      <c r="G2589" s="4" t="s">
        <v>20</v>
      </c>
      <c r="H2589" s="5">
        <v>25000</v>
      </c>
      <c r="I2589" s="4" t="s">
        <v>21</v>
      </c>
      <c r="J2589" s="5">
        <f t="shared" si="40"/>
        <v>-105385</v>
      </c>
      <c r="K2589" s="4" t="s">
        <v>39</v>
      </c>
      <c r="L2589" s="6">
        <v>4.2153999999999998</v>
      </c>
      <c r="M2589" s="6">
        <v>0.23719999999999999</v>
      </c>
      <c r="N2589" s="6">
        <v>4.2230999999999996</v>
      </c>
      <c r="O2589" s="6">
        <v>1</v>
      </c>
      <c r="P2589" s="5">
        <v>192.49999999998545</v>
      </c>
      <c r="Q2589" s="4" t="s">
        <v>1390</v>
      </c>
    </row>
    <row r="2590" spans="1:17" x14ac:dyDescent="0.3">
      <c r="A2590" s="2" t="s">
        <v>1389</v>
      </c>
      <c r="B2590" s="3">
        <v>157944</v>
      </c>
      <c r="C2590" s="3">
        <v>903906</v>
      </c>
      <c r="D2590" s="4" t="s">
        <v>81</v>
      </c>
      <c r="E2590" s="4" t="s">
        <v>732</v>
      </c>
      <c r="F2590" s="4" t="s">
        <v>87</v>
      </c>
      <c r="G2590" s="4" t="s">
        <v>34</v>
      </c>
      <c r="H2590" s="5">
        <v>500000</v>
      </c>
      <c r="I2590" s="4" t="s">
        <v>21</v>
      </c>
      <c r="J2590" s="5">
        <f t="shared" si="40"/>
        <v>-1802750</v>
      </c>
      <c r="K2590" s="4" t="s">
        <v>51</v>
      </c>
      <c r="L2590" s="6">
        <v>3.6055000000000001</v>
      </c>
      <c r="M2590" s="6">
        <v>0.27739999999999998</v>
      </c>
      <c r="N2590" s="6">
        <v>3.6118000000000001</v>
      </c>
      <c r="O2590" s="6">
        <v>1</v>
      </c>
      <c r="P2590" s="5">
        <v>3150</v>
      </c>
      <c r="Q2590" s="4" t="s">
        <v>1394</v>
      </c>
    </row>
    <row r="2591" spans="1:17" x14ac:dyDescent="0.3">
      <c r="A2591" s="2" t="s">
        <v>1389</v>
      </c>
      <c r="B2591" s="3">
        <v>157945</v>
      </c>
      <c r="C2591" s="3">
        <v>903907</v>
      </c>
      <c r="D2591" s="4" t="s">
        <v>81</v>
      </c>
      <c r="E2591" s="4" t="s">
        <v>732</v>
      </c>
      <c r="F2591" s="4" t="s">
        <v>87</v>
      </c>
      <c r="G2591" s="4" t="s">
        <v>34</v>
      </c>
      <c r="H2591" s="5">
        <v>500000</v>
      </c>
      <c r="I2591" s="4" t="s">
        <v>21</v>
      </c>
      <c r="J2591" s="5">
        <f t="shared" si="40"/>
        <v>-1802700</v>
      </c>
      <c r="K2591" s="4" t="s">
        <v>51</v>
      </c>
      <c r="L2591" s="6">
        <v>3.6053999999999999</v>
      </c>
      <c r="M2591" s="6">
        <v>0.27739999999999998</v>
      </c>
      <c r="N2591" s="6">
        <v>3.6118000000000001</v>
      </c>
      <c r="O2591" s="6">
        <v>1</v>
      </c>
      <c r="P2591" s="5">
        <v>3200</v>
      </c>
      <c r="Q2591" s="4" t="s">
        <v>1394</v>
      </c>
    </row>
    <row r="2592" spans="1:17" x14ac:dyDescent="0.3">
      <c r="A2592" s="2" t="s">
        <v>1389</v>
      </c>
      <c r="B2592" s="3">
        <v>157946</v>
      </c>
      <c r="C2592" s="3">
        <v>218592</v>
      </c>
      <c r="D2592" s="4" t="s">
        <v>17</v>
      </c>
      <c r="E2592" s="4" t="s">
        <v>1303</v>
      </c>
      <c r="F2592" s="4" t="s">
        <v>32</v>
      </c>
      <c r="G2592" s="4" t="s">
        <v>20</v>
      </c>
      <c r="H2592" s="5">
        <v>-25000</v>
      </c>
      <c r="I2592" s="4" t="s">
        <v>21</v>
      </c>
      <c r="J2592" s="5">
        <f t="shared" si="40"/>
        <v>106050</v>
      </c>
      <c r="K2592" s="4" t="s">
        <v>39</v>
      </c>
      <c r="L2592" s="6">
        <v>4.242</v>
      </c>
      <c r="M2592" s="6">
        <v>0.23569999999999999</v>
      </c>
      <c r="N2592" s="6">
        <v>4.2230999999999996</v>
      </c>
      <c r="O2592" s="6">
        <v>1</v>
      </c>
      <c r="P2592" s="5">
        <v>472.5</v>
      </c>
      <c r="Q2592" s="4" t="s">
        <v>1390</v>
      </c>
    </row>
    <row r="2593" spans="1:17" x14ac:dyDescent="0.3">
      <c r="A2593" s="2" t="s">
        <v>1389</v>
      </c>
      <c r="B2593" s="3">
        <v>157948</v>
      </c>
      <c r="C2593" s="3">
        <v>903920</v>
      </c>
      <c r="D2593" s="4" t="s">
        <v>81</v>
      </c>
      <c r="E2593" s="4" t="s">
        <v>734</v>
      </c>
      <c r="F2593" s="4" t="s">
        <v>87</v>
      </c>
      <c r="G2593" s="4" t="s">
        <v>34</v>
      </c>
      <c r="H2593" s="5">
        <v>500000</v>
      </c>
      <c r="I2593" s="4" t="s">
        <v>21</v>
      </c>
      <c r="J2593" s="5">
        <f t="shared" si="40"/>
        <v>-1802800</v>
      </c>
      <c r="K2593" s="4" t="s">
        <v>51</v>
      </c>
      <c r="L2593" s="6">
        <v>3.6055999999999999</v>
      </c>
      <c r="M2593" s="6">
        <v>0.27729999999999999</v>
      </c>
      <c r="N2593" s="6">
        <v>3.6118000000000001</v>
      </c>
      <c r="O2593" s="6">
        <v>1</v>
      </c>
      <c r="P2593" s="5">
        <v>3100</v>
      </c>
      <c r="Q2593" s="4" t="s">
        <v>1393</v>
      </c>
    </row>
    <row r="2594" spans="1:17" x14ac:dyDescent="0.3">
      <c r="A2594" s="2" t="s">
        <v>1389</v>
      </c>
      <c r="B2594" s="3">
        <v>157949</v>
      </c>
      <c r="C2594" s="3">
        <v>903922</v>
      </c>
      <c r="D2594" s="4" t="s">
        <v>81</v>
      </c>
      <c r="E2594" s="4" t="s">
        <v>734</v>
      </c>
      <c r="F2594" s="4" t="s">
        <v>83</v>
      </c>
      <c r="G2594" s="4" t="s">
        <v>20</v>
      </c>
      <c r="H2594" s="5">
        <v>-100000</v>
      </c>
      <c r="I2594" s="4" t="s">
        <v>34</v>
      </c>
      <c r="J2594" s="5">
        <f t="shared" si="40"/>
        <v>117290</v>
      </c>
      <c r="K2594" s="4" t="s">
        <v>51</v>
      </c>
      <c r="L2594" s="6">
        <v>1.1729000000000001</v>
      </c>
      <c r="M2594" s="6">
        <v>0.85260000000000002</v>
      </c>
      <c r="N2594" s="6">
        <v>4.2271000000000001</v>
      </c>
      <c r="O2594" s="6">
        <v>3.6118000000000001</v>
      </c>
      <c r="P2594" s="5">
        <v>903.57479999999998</v>
      </c>
      <c r="Q2594" s="4" t="s">
        <v>1393</v>
      </c>
    </row>
    <row r="2595" spans="1:17" x14ac:dyDescent="0.3">
      <c r="A2595" s="2" t="s">
        <v>1389</v>
      </c>
      <c r="B2595" s="3">
        <v>157950</v>
      </c>
      <c r="C2595" s="3">
        <v>903923</v>
      </c>
      <c r="D2595" s="4" t="s">
        <v>81</v>
      </c>
      <c r="E2595" s="4" t="s">
        <v>734</v>
      </c>
      <c r="F2595" s="4" t="s">
        <v>83</v>
      </c>
      <c r="G2595" s="4" t="s">
        <v>20</v>
      </c>
      <c r="H2595" s="5">
        <v>-100000</v>
      </c>
      <c r="I2595" s="4" t="s">
        <v>34</v>
      </c>
      <c r="J2595" s="5">
        <f t="shared" si="40"/>
        <v>117290</v>
      </c>
      <c r="K2595" s="4" t="s">
        <v>51</v>
      </c>
      <c r="L2595" s="6">
        <v>1.1729000000000001</v>
      </c>
      <c r="M2595" s="6">
        <v>0.85260000000000002</v>
      </c>
      <c r="N2595" s="6">
        <v>4.2271000000000001</v>
      </c>
      <c r="O2595" s="6">
        <v>3.6118000000000001</v>
      </c>
      <c r="P2595" s="5">
        <v>918.02200000000005</v>
      </c>
      <c r="Q2595" s="4" t="s">
        <v>1393</v>
      </c>
    </row>
    <row r="2596" spans="1:17" x14ac:dyDescent="0.3">
      <c r="A2596" s="2" t="s">
        <v>1389</v>
      </c>
      <c r="B2596" s="3">
        <v>157951</v>
      </c>
      <c r="C2596" s="3">
        <v>903928</v>
      </c>
      <c r="D2596" s="4" t="s">
        <v>81</v>
      </c>
      <c r="E2596" s="4" t="s">
        <v>742</v>
      </c>
      <c r="F2596" s="4" t="s">
        <v>83</v>
      </c>
      <c r="G2596" s="4" t="s">
        <v>20</v>
      </c>
      <c r="H2596" s="5">
        <v>-100000</v>
      </c>
      <c r="I2596" s="4" t="s">
        <v>34</v>
      </c>
      <c r="J2596" s="5">
        <f t="shared" si="40"/>
        <v>117290</v>
      </c>
      <c r="K2596" s="4" t="s">
        <v>51</v>
      </c>
      <c r="L2596" s="6">
        <v>1.1729000000000001</v>
      </c>
      <c r="M2596" s="6">
        <v>0.85260000000000002</v>
      </c>
      <c r="N2596" s="6">
        <v>4.2271000000000001</v>
      </c>
      <c r="O2596" s="6">
        <v>3.6118000000000001</v>
      </c>
      <c r="P2596" s="5">
        <v>914.41020000000003</v>
      </c>
      <c r="Q2596" s="4" t="s">
        <v>1396</v>
      </c>
    </row>
    <row r="2597" spans="1:17" x14ac:dyDescent="0.3">
      <c r="A2597" s="2" t="s">
        <v>1389</v>
      </c>
      <c r="B2597" s="3">
        <v>157952</v>
      </c>
      <c r="C2597" s="3">
        <v>903945</v>
      </c>
      <c r="D2597" s="4" t="s">
        <v>81</v>
      </c>
      <c r="E2597" s="4" t="s">
        <v>725</v>
      </c>
      <c r="F2597" s="4" t="s">
        <v>87</v>
      </c>
      <c r="G2597" s="4" t="s">
        <v>34</v>
      </c>
      <c r="H2597" s="5">
        <v>500000</v>
      </c>
      <c r="I2597" s="4" t="s">
        <v>21</v>
      </c>
      <c r="J2597" s="5">
        <f t="shared" si="40"/>
        <v>-1802400</v>
      </c>
      <c r="K2597" s="4" t="s">
        <v>51</v>
      </c>
      <c r="L2597" s="6">
        <v>3.6048</v>
      </c>
      <c r="M2597" s="6">
        <v>0.27739999999999998</v>
      </c>
      <c r="N2597" s="6">
        <v>3.6118000000000001</v>
      </c>
      <c r="O2597" s="6">
        <v>1</v>
      </c>
      <c r="P2597" s="5">
        <v>3515</v>
      </c>
      <c r="Q2597" s="4" t="s">
        <v>1392</v>
      </c>
    </row>
    <row r="2598" spans="1:17" x14ac:dyDescent="0.3">
      <c r="A2598" s="2" t="s">
        <v>1389</v>
      </c>
      <c r="B2598" s="3">
        <v>157954</v>
      </c>
      <c r="C2598" s="3">
        <v>903968</v>
      </c>
      <c r="D2598" s="4" t="s">
        <v>81</v>
      </c>
      <c r="E2598" s="4" t="s">
        <v>735</v>
      </c>
      <c r="F2598" s="4" t="s">
        <v>87</v>
      </c>
      <c r="G2598" s="4" t="s">
        <v>34</v>
      </c>
      <c r="H2598" s="5">
        <v>500000</v>
      </c>
      <c r="I2598" s="4" t="s">
        <v>21</v>
      </c>
      <c r="J2598" s="5">
        <f t="shared" si="40"/>
        <v>-1801950</v>
      </c>
      <c r="K2598" s="4" t="s">
        <v>51</v>
      </c>
      <c r="L2598" s="6">
        <v>3.6038999999999999</v>
      </c>
      <c r="M2598" s="6">
        <v>0.27750000000000002</v>
      </c>
      <c r="N2598" s="6">
        <v>3.6118000000000001</v>
      </c>
      <c r="O2598" s="6">
        <v>1</v>
      </c>
      <c r="P2598" s="5">
        <v>3950</v>
      </c>
      <c r="Q2598" s="4" t="s">
        <v>1394</v>
      </c>
    </row>
    <row r="2599" spans="1:17" x14ac:dyDescent="0.3">
      <c r="A2599" s="2" t="s">
        <v>1389</v>
      </c>
      <c r="B2599" s="3">
        <v>157957</v>
      </c>
      <c r="C2599" s="3">
        <v>218606</v>
      </c>
      <c r="D2599" s="4" t="s">
        <v>17</v>
      </c>
      <c r="E2599" s="4" t="s">
        <v>1284</v>
      </c>
      <c r="F2599" s="4" t="s">
        <v>19</v>
      </c>
      <c r="G2599" s="4" t="s">
        <v>20</v>
      </c>
      <c r="H2599" s="5">
        <v>50000</v>
      </c>
      <c r="I2599" s="4" t="s">
        <v>21</v>
      </c>
      <c r="J2599" s="5">
        <f t="shared" si="40"/>
        <v>-210920</v>
      </c>
      <c r="K2599" s="4" t="s">
        <v>39</v>
      </c>
      <c r="L2599" s="6">
        <v>4.2183999999999999</v>
      </c>
      <c r="M2599" s="6">
        <v>0.23710000000000001</v>
      </c>
      <c r="N2599" s="6">
        <v>4.2230999999999996</v>
      </c>
      <c r="O2599" s="6">
        <v>1</v>
      </c>
      <c r="P2599" s="5">
        <v>234.9999999999709</v>
      </c>
      <c r="Q2599" s="4" t="s">
        <v>1390</v>
      </c>
    </row>
    <row r="2600" spans="1:17" x14ac:dyDescent="0.3">
      <c r="A2600" s="2" t="s">
        <v>1389</v>
      </c>
      <c r="B2600" s="3">
        <v>157958</v>
      </c>
      <c r="C2600" s="3">
        <v>218611</v>
      </c>
      <c r="D2600" s="4" t="s">
        <v>17</v>
      </c>
      <c r="E2600" s="4" t="s">
        <v>1120</v>
      </c>
      <c r="F2600" s="4" t="s">
        <v>19</v>
      </c>
      <c r="G2600" s="4" t="s">
        <v>20</v>
      </c>
      <c r="H2600" s="5">
        <v>100000</v>
      </c>
      <c r="I2600" s="4" t="s">
        <v>21</v>
      </c>
      <c r="J2600" s="5">
        <f t="shared" si="40"/>
        <v>-421350</v>
      </c>
      <c r="K2600" s="4" t="s">
        <v>39</v>
      </c>
      <c r="L2600" s="6">
        <v>4.2134999999999998</v>
      </c>
      <c r="M2600" s="6">
        <v>0.23730000000000001</v>
      </c>
      <c r="N2600" s="6">
        <v>4.2230999999999996</v>
      </c>
      <c r="O2600" s="6">
        <v>1</v>
      </c>
      <c r="P2600" s="5">
        <v>959.99999999994179</v>
      </c>
      <c r="Q2600" s="4" t="s">
        <v>1390</v>
      </c>
    </row>
    <row r="2601" spans="1:17" x14ac:dyDescent="0.3">
      <c r="A2601" s="2" t="s">
        <v>1389</v>
      </c>
      <c r="B2601" s="3">
        <v>157959</v>
      </c>
      <c r="C2601" s="3">
        <v>903995</v>
      </c>
      <c r="D2601" s="4" t="s">
        <v>81</v>
      </c>
      <c r="E2601" s="4" t="s">
        <v>735</v>
      </c>
      <c r="F2601" s="4" t="s">
        <v>83</v>
      </c>
      <c r="G2601" s="4" t="s">
        <v>20</v>
      </c>
      <c r="H2601" s="5">
        <v>-500000</v>
      </c>
      <c r="I2601" s="4" t="s">
        <v>21</v>
      </c>
      <c r="J2601" s="5">
        <f t="shared" si="40"/>
        <v>2114950</v>
      </c>
      <c r="K2601" s="4" t="s">
        <v>51</v>
      </c>
      <c r="L2601" s="6">
        <v>4.2298999999999998</v>
      </c>
      <c r="M2601" s="6">
        <v>0.2364</v>
      </c>
      <c r="N2601" s="6">
        <v>4.2271000000000001</v>
      </c>
      <c r="O2601" s="6">
        <v>1</v>
      </c>
      <c r="P2601" s="5">
        <v>1400</v>
      </c>
      <c r="Q2601" s="4" t="s">
        <v>1394</v>
      </c>
    </row>
    <row r="2602" spans="1:17" x14ac:dyDescent="0.3">
      <c r="A2602" s="2" t="s">
        <v>1389</v>
      </c>
      <c r="B2602" s="3">
        <v>157962</v>
      </c>
      <c r="C2602" s="3">
        <v>218621</v>
      </c>
      <c r="D2602" s="4" t="s">
        <v>17</v>
      </c>
      <c r="E2602" s="4" t="s">
        <v>834</v>
      </c>
      <c r="F2602" s="4" t="s">
        <v>19</v>
      </c>
      <c r="G2602" s="4" t="s">
        <v>20</v>
      </c>
      <c r="H2602" s="5">
        <v>20000</v>
      </c>
      <c r="I2602" s="4" t="s">
        <v>21</v>
      </c>
      <c r="J2602" s="5">
        <f t="shared" si="40"/>
        <v>-84270</v>
      </c>
      <c r="K2602" s="4" t="s">
        <v>39</v>
      </c>
      <c r="L2602" s="6">
        <v>4.2134999999999998</v>
      </c>
      <c r="M2602" s="6">
        <v>0.23730000000000001</v>
      </c>
      <c r="N2602" s="6">
        <v>4.2230999999999996</v>
      </c>
      <c r="O2602" s="6">
        <v>1</v>
      </c>
      <c r="P2602" s="5">
        <v>191.99999999998545</v>
      </c>
      <c r="Q2602" s="4" t="s">
        <v>1390</v>
      </c>
    </row>
    <row r="2603" spans="1:17" x14ac:dyDescent="0.3">
      <c r="A2603" s="2" t="s">
        <v>1389</v>
      </c>
      <c r="B2603" s="3">
        <v>157963</v>
      </c>
      <c r="C2603" s="3">
        <v>218624</v>
      </c>
      <c r="D2603" s="4" t="s">
        <v>17</v>
      </c>
      <c r="E2603" s="4" t="s">
        <v>986</v>
      </c>
      <c r="F2603" s="4" t="s">
        <v>19</v>
      </c>
      <c r="G2603" s="4" t="s">
        <v>20</v>
      </c>
      <c r="H2603" s="5">
        <v>60000</v>
      </c>
      <c r="I2603" s="4" t="s">
        <v>21</v>
      </c>
      <c r="J2603" s="5">
        <f t="shared" si="40"/>
        <v>-253199.99999999997</v>
      </c>
      <c r="K2603" s="4" t="s">
        <v>39</v>
      </c>
      <c r="L2603" s="6">
        <v>4.22</v>
      </c>
      <c r="M2603" s="6">
        <v>0.23699999999999999</v>
      </c>
      <c r="N2603" s="6">
        <v>4.2230999999999996</v>
      </c>
      <c r="O2603" s="6">
        <v>1</v>
      </c>
      <c r="P2603" s="5">
        <v>186</v>
      </c>
      <c r="Q2603" s="4" t="s">
        <v>1390</v>
      </c>
    </row>
    <row r="2604" spans="1:17" x14ac:dyDescent="0.3">
      <c r="A2604" s="2" t="s">
        <v>1389</v>
      </c>
      <c r="B2604" s="3">
        <v>157964</v>
      </c>
      <c r="C2604" s="3">
        <v>904077</v>
      </c>
      <c r="D2604" s="4" t="s">
        <v>81</v>
      </c>
      <c r="E2604" s="4" t="s">
        <v>732</v>
      </c>
      <c r="F2604" s="4" t="s">
        <v>83</v>
      </c>
      <c r="G2604" s="4" t="s">
        <v>20</v>
      </c>
      <c r="H2604" s="5">
        <v>-500000</v>
      </c>
      <c r="I2604" s="4" t="s">
        <v>21</v>
      </c>
      <c r="J2604" s="5">
        <f t="shared" si="40"/>
        <v>2114700</v>
      </c>
      <c r="K2604" s="4" t="s">
        <v>51</v>
      </c>
      <c r="L2604" s="6">
        <v>4.2294</v>
      </c>
      <c r="M2604" s="6">
        <v>0.2364</v>
      </c>
      <c r="N2604" s="6">
        <v>4.2271000000000001</v>
      </c>
      <c r="O2604" s="6">
        <v>1</v>
      </c>
      <c r="P2604" s="5">
        <v>1150</v>
      </c>
      <c r="Q2604" s="4" t="s">
        <v>1394</v>
      </c>
    </row>
    <row r="2605" spans="1:17" x14ac:dyDescent="0.3">
      <c r="A2605" s="2" t="s">
        <v>1389</v>
      </c>
      <c r="B2605" s="3">
        <v>157967</v>
      </c>
      <c r="C2605" s="3">
        <v>904100</v>
      </c>
      <c r="D2605" s="4" t="s">
        <v>81</v>
      </c>
      <c r="E2605" s="4" t="s">
        <v>742</v>
      </c>
      <c r="F2605" s="4" t="s">
        <v>83</v>
      </c>
      <c r="G2605" s="4" t="s">
        <v>20</v>
      </c>
      <c r="H2605" s="5">
        <v>-500000</v>
      </c>
      <c r="I2605" s="4" t="s">
        <v>21</v>
      </c>
      <c r="J2605" s="5">
        <f t="shared" si="40"/>
        <v>2114750</v>
      </c>
      <c r="K2605" s="4" t="s">
        <v>51</v>
      </c>
      <c r="L2605" s="6">
        <v>4.2294999999999998</v>
      </c>
      <c r="M2605" s="6">
        <v>0.2364</v>
      </c>
      <c r="N2605" s="6">
        <v>4.2271000000000001</v>
      </c>
      <c r="O2605" s="6">
        <v>1</v>
      </c>
      <c r="P2605" s="5">
        <v>1210</v>
      </c>
      <c r="Q2605" s="4" t="s">
        <v>1396</v>
      </c>
    </row>
    <row r="2606" spans="1:17" x14ac:dyDescent="0.3">
      <c r="A2606" s="2" t="s">
        <v>1389</v>
      </c>
      <c r="B2606" s="3">
        <v>157968</v>
      </c>
      <c r="C2606" s="3">
        <v>904104</v>
      </c>
      <c r="D2606" s="4" t="s">
        <v>81</v>
      </c>
      <c r="E2606" s="4" t="s">
        <v>732</v>
      </c>
      <c r="F2606" s="4" t="s">
        <v>87</v>
      </c>
      <c r="G2606" s="4" t="s">
        <v>34</v>
      </c>
      <c r="H2606" s="5">
        <v>500000</v>
      </c>
      <c r="I2606" s="4" t="s">
        <v>21</v>
      </c>
      <c r="J2606" s="5">
        <f t="shared" si="40"/>
        <v>-1801100</v>
      </c>
      <c r="K2606" s="4" t="s">
        <v>51</v>
      </c>
      <c r="L2606" s="6">
        <v>3.6021999999999998</v>
      </c>
      <c r="M2606" s="6">
        <v>0.27760000000000001</v>
      </c>
      <c r="N2606" s="6">
        <v>3.6118000000000001</v>
      </c>
      <c r="O2606" s="6">
        <v>1</v>
      </c>
      <c r="P2606" s="5">
        <v>4800</v>
      </c>
      <c r="Q2606" s="4" t="s">
        <v>1394</v>
      </c>
    </row>
    <row r="2607" spans="1:17" x14ac:dyDescent="0.3">
      <c r="A2607" s="2" t="s">
        <v>1389</v>
      </c>
      <c r="B2607" s="3">
        <v>157970</v>
      </c>
      <c r="C2607" s="3">
        <v>904117</v>
      </c>
      <c r="D2607" s="4" t="s">
        <v>81</v>
      </c>
      <c r="E2607" s="4" t="s">
        <v>733</v>
      </c>
      <c r="F2607" s="4" t="s">
        <v>83</v>
      </c>
      <c r="G2607" s="4" t="s">
        <v>20</v>
      </c>
      <c r="H2607" s="5">
        <v>-500000</v>
      </c>
      <c r="I2607" s="4" t="s">
        <v>21</v>
      </c>
      <c r="J2607" s="5">
        <f t="shared" si="40"/>
        <v>2115400</v>
      </c>
      <c r="K2607" s="4" t="s">
        <v>51</v>
      </c>
      <c r="L2607" s="6">
        <v>4.2308000000000003</v>
      </c>
      <c r="M2607" s="6">
        <v>0.2364</v>
      </c>
      <c r="N2607" s="6">
        <v>4.2271000000000001</v>
      </c>
      <c r="O2607" s="6">
        <v>1</v>
      </c>
      <c r="P2607" s="5">
        <v>1830</v>
      </c>
      <c r="Q2607" s="4" t="s">
        <v>1391</v>
      </c>
    </row>
    <row r="2608" spans="1:17" x14ac:dyDescent="0.3">
      <c r="A2608" s="2" t="s">
        <v>1389</v>
      </c>
      <c r="B2608" s="3">
        <v>157971</v>
      </c>
      <c r="C2608" s="3">
        <v>904127</v>
      </c>
      <c r="D2608" s="4" t="s">
        <v>81</v>
      </c>
      <c r="E2608" s="4" t="s">
        <v>735</v>
      </c>
      <c r="F2608" s="4" t="s">
        <v>83</v>
      </c>
      <c r="G2608" s="4" t="s">
        <v>20</v>
      </c>
      <c r="H2608" s="5">
        <v>-500000</v>
      </c>
      <c r="I2608" s="4" t="s">
        <v>21</v>
      </c>
      <c r="J2608" s="5">
        <f t="shared" si="40"/>
        <v>2115550</v>
      </c>
      <c r="K2608" s="4" t="s">
        <v>51</v>
      </c>
      <c r="L2608" s="6">
        <v>4.2310999999999996</v>
      </c>
      <c r="M2608" s="6">
        <v>0.23630000000000001</v>
      </c>
      <c r="N2608" s="6">
        <v>4.2271000000000001</v>
      </c>
      <c r="O2608" s="6">
        <v>1</v>
      </c>
      <c r="P2608" s="5">
        <v>2000</v>
      </c>
      <c r="Q2608" s="4" t="s">
        <v>1394</v>
      </c>
    </row>
    <row r="2609" spans="1:17" x14ac:dyDescent="0.3">
      <c r="A2609" s="2" t="s">
        <v>1389</v>
      </c>
      <c r="B2609" s="3">
        <v>157972</v>
      </c>
      <c r="C2609" s="3">
        <v>904128</v>
      </c>
      <c r="D2609" s="4" t="s">
        <v>81</v>
      </c>
      <c r="E2609" s="4" t="s">
        <v>742</v>
      </c>
      <c r="F2609" s="4" t="s">
        <v>83</v>
      </c>
      <c r="G2609" s="4" t="s">
        <v>20</v>
      </c>
      <c r="H2609" s="5">
        <v>-500000</v>
      </c>
      <c r="I2609" s="4" t="s">
        <v>21</v>
      </c>
      <c r="J2609" s="5">
        <f t="shared" si="40"/>
        <v>2115450</v>
      </c>
      <c r="K2609" s="4" t="s">
        <v>51</v>
      </c>
      <c r="L2609" s="6">
        <v>4.2309000000000001</v>
      </c>
      <c r="M2609" s="6">
        <v>0.2364</v>
      </c>
      <c r="N2609" s="6">
        <v>4.2271000000000001</v>
      </c>
      <c r="O2609" s="6">
        <v>1</v>
      </c>
      <c r="P2609" s="5">
        <v>1900</v>
      </c>
      <c r="Q2609" s="4" t="s">
        <v>1396</v>
      </c>
    </row>
    <row r="2610" spans="1:17" x14ac:dyDescent="0.3">
      <c r="A2610" s="2" t="s">
        <v>1389</v>
      </c>
      <c r="B2610" s="3">
        <v>157973</v>
      </c>
      <c r="C2610" s="3">
        <v>218642</v>
      </c>
      <c r="D2610" s="4" t="s">
        <v>17</v>
      </c>
      <c r="E2610" s="4" t="s">
        <v>910</v>
      </c>
      <c r="F2610" s="4" t="s">
        <v>19</v>
      </c>
      <c r="G2610" s="4" t="s">
        <v>20</v>
      </c>
      <c r="H2610" s="5">
        <v>200000</v>
      </c>
      <c r="I2610" s="4" t="s">
        <v>21</v>
      </c>
      <c r="J2610" s="5">
        <f t="shared" si="40"/>
        <v>-845800</v>
      </c>
      <c r="K2610" s="4" t="s">
        <v>39</v>
      </c>
      <c r="L2610" s="6">
        <v>4.2290000000000001</v>
      </c>
      <c r="M2610" s="6">
        <v>0.23649999999999999</v>
      </c>
      <c r="N2610" s="6">
        <v>4.2230999999999996</v>
      </c>
      <c r="O2610" s="6">
        <v>1</v>
      </c>
      <c r="P2610" s="5">
        <v>-1180.0000000001164</v>
      </c>
      <c r="Q2610" s="4" t="s">
        <v>1390</v>
      </c>
    </row>
    <row r="2611" spans="1:17" x14ac:dyDescent="0.3">
      <c r="A2611" s="2" t="s">
        <v>1389</v>
      </c>
      <c r="B2611" s="3">
        <v>157974</v>
      </c>
      <c r="C2611" s="3">
        <v>904133</v>
      </c>
      <c r="D2611" s="4" t="s">
        <v>81</v>
      </c>
      <c r="E2611" s="4" t="s">
        <v>733</v>
      </c>
      <c r="F2611" s="4" t="s">
        <v>83</v>
      </c>
      <c r="G2611" s="4" t="s">
        <v>20</v>
      </c>
      <c r="H2611" s="5">
        <v>-500000</v>
      </c>
      <c r="I2611" s="4" t="s">
        <v>21</v>
      </c>
      <c r="J2611" s="5">
        <f t="shared" si="40"/>
        <v>2115350</v>
      </c>
      <c r="K2611" s="4" t="s">
        <v>51</v>
      </c>
      <c r="L2611" s="6">
        <v>4.2306999999999997</v>
      </c>
      <c r="M2611" s="6">
        <v>0.2364</v>
      </c>
      <c r="N2611" s="6">
        <v>4.2271000000000001</v>
      </c>
      <c r="O2611" s="6">
        <v>1</v>
      </c>
      <c r="P2611" s="5">
        <v>1780</v>
      </c>
      <c r="Q2611" s="4" t="s">
        <v>1391</v>
      </c>
    </row>
    <row r="2612" spans="1:17" x14ac:dyDescent="0.3">
      <c r="A2612" s="2" t="s">
        <v>1389</v>
      </c>
      <c r="B2612" s="3">
        <v>157975</v>
      </c>
      <c r="C2612" s="3">
        <v>218643</v>
      </c>
      <c r="D2612" s="4" t="s">
        <v>17</v>
      </c>
      <c r="E2612" s="4" t="s">
        <v>1174</v>
      </c>
      <c r="F2612" s="4" t="s">
        <v>19</v>
      </c>
      <c r="G2612" s="4" t="s">
        <v>20</v>
      </c>
      <c r="H2612" s="5">
        <v>200000</v>
      </c>
      <c r="I2612" s="4" t="s">
        <v>21</v>
      </c>
      <c r="J2612" s="5">
        <f t="shared" si="40"/>
        <v>-844800</v>
      </c>
      <c r="K2612" s="4" t="s">
        <v>39</v>
      </c>
      <c r="L2612" s="6">
        <v>4.2240000000000002</v>
      </c>
      <c r="M2612" s="6">
        <v>0.23669999999999999</v>
      </c>
      <c r="N2612" s="6">
        <v>4.2230999999999996</v>
      </c>
      <c r="O2612" s="6">
        <v>1</v>
      </c>
      <c r="P2612" s="5">
        <v>-180.00000000011642</v>
      </c>
      <c r="Q2612" s="4" t="s">
        <v>1390</v>
      </c>
    </row>
    <row r="2613" spans="1:17" x14ac:dyDescent="0.3">
      <c r="A2613" s="2" t="s">
        <v>1389</v>
      </c>
      <c r="B2613" s="3">
        <v>157976</v>
      </c>
      <c r="C2613" s="3">
        <v>218644</v>
      </c>
      <c r="D2613" s="4" t="s">
        <v>17</v>
      </c>
      <c r="E2613" s="4" t="s">
        <v>909</v>
      </c>
      <c r="F2613" s="4" t="s">
        <v>19</v>
      </c>
      <c r="G2613" s="4" t="s">
        <v>20</v>
      </c>
      <c r="H2613" s="5">
        <v>200000</v>
      </c>
      <c r="I2613" s="4" t="s">
        <v>21</v>
      </c>
      <c r="J2613" s="5">
        <f t="shared" si="40"/>
        <v>-845800</v>
      </c>
      <c r="K2613" s="4" t="s">
        <v>39</v>
      </c>
      <c r="L2613" s="6">
        <v>4.2290000000000001</v>
      </c>
      <c r="M2613" s="6">
        <v>0.23649999999999999</v>
      </c>
      <c r="N2613" s="6">
        <v>4.2230999999999996</v>
      </c>
      <c r="O2613" s="6">
        <v>1</v>
      </c>
      <c r="P2613" s="5">
        <v>-1180.0000000001164</v>
      </c>
      <c r="Q2613" s="4" t="s">
        <v>1390</v>
      </c>
    </row>
    <row r="2614" spans="1:17" x14ac:dyDescent="0.3">
      <c r="A2614" s="2" t="s">
        <v>1389</v>
      </c>
      <c r="B2614" s="3">
        <v>157977</v>
      </c>
      <c r="C2614" s="3">
        <v>218645</v>
      </c>
      <c r="D2614" s="4" t="s">
        <v>17</v>
      </c>
      <c r="E2614" s="4" t="s">
        <v>970</v>
      </c>
      <c r="F2614" s="4" t="s">
        <v>19</v>
      </c>
      <c r="G2614" s="4" t="s">
        <v>20</v>
      </c>
      <c r="H2614" s="5">
        <v>40000</v>
      </c>
      <c r="I2614" s="4" t="s">
        <v>21</v>
      </c>
      <c r="J2614" s="5">
        <f t="shared" si="40"/>
        <v>-168920</v>
      </c>
      <c r="K2614" s="4" t="s">
        <v>39</v>
      </c>
      <c r="L2614" s="6">
        <v>4.2229999999999999</v>
      </c>
      <c r="M2614" s="6">
        <v>0.23680000000000001</v>
      </c>
      <c r="N2614" s="6">
        <v>4.2230999999999996</v>
      </c>
      <c r="O2614" s="6">
        <v>1</v>
      </c>
      <c r="P2614" s="5">
        <v>3.9999999999708962</v>
      </c>
      <c r="Q2614" s="4" t="s">
        <v>1390</v>
      </c>
    </row>
    <row r="2615" spans="1:17" x14ac:dyDescent="0.3">
      <c r="A2615" s="2" t="s">
        <v>1389</v>
      </c>
      <c r="B2615" s="3">
        <v>157978</v>
      </c>
      <c r="C2615" s="3">
        <v>218646</v>
      </c>
      <c r="D2615" s="4" t="s">
        <v>17</v>
      </c>
      <c r="E2615" s="4" t="s">
        <v>908</v>
      </c>
      <c r="F2615" s="4" t="s">
        <v>19</v>
      </c>
      <c r="G2615" s="4" t="s">
        <v>20</v>
      </c>
      <c r="H2615" s="5">
        <v>200000</v>
      </c>
      <c r="I2615" s="4" t="s">
        <v>21</v>
      </c>
      <c r="J2615" s="5">
        <f t="shared" si="40"/>
        <v>-845800</v>
      </c>
      <c r="K2615" s="4" t="s">
        <v>39</v>
      </c>
      <c r="L2615" s="6">
        <v>4.2290000000000001</v>
      </c>
      <c r="M2615" s="6">
        <v>0.23649999999999999</v>
      </c>
      <c r="N2615" s="6">
        <v>4.2230999999999996</v>
      </c>
      <c r="O2615" s="6">
        <v>1</v>
      </c>
      <c r="P2615" s="5">
        <v>-1180.0000000001164</v>
      </c>
      <c r="Q2615" s="4" t="s">
        <v>1390</v>
      </c>
    </row>
    <row r="2616" spans="1:17" x14ac:dyDescent="0.3">
      <c r="A2616" s="2" t="s">
        <v>1389</v>
      </c>
      <c r="B2616" s="3">
        <v>157979</v>
      </c>
      <c r="C2616" s="3">
        <v>218647</v>
      </c>
      <c r="D2616" s="4" t="s">
        <v>17</v>
      </c>
      <c r="E2616" s="4" t="s">
        <v>1148</v>
      </c>
      <c r="F2616" s="4" t="s">
        <v>19</v>
      </c>
      <c r="G2616" s="4" t="s">
        <v>20</v>
      </c>
      <c r="H2616" s="5">
        <v>30000</v>
      </c>
      <c r="I2616" s="4" t="s">
        <v>21</v>
      </c>
      <c r="J2616" s="5">
        <f t="shared" si="40"/>
        <v>-126870</v>
      </c>
      <c r="K2616" s="4" t="s">
        <v>39</v>
      </c>
      <c r="L2616" s="6">
        <v>4.2290000000000001</v>
      </c>
      <c r="M2616" s="6">
        <v>0.23649999999999999</v>
      </c>
      <c r="N2616" s="6">
        <v>4.2230999999999996</v>
      </c>
      <c r="O2616" s="6">
        <v>1</v>
      </c>
      <c r="P2616" s="5">
        <v>-177.00000000001455</v>
      </c>
      <c r="Q2616" s="4" t="s">
        <v>1390</v>
      </c>
    </row>
    <row r="2617" spans="1:17" x14ac:dyDescent="0.3">
      <c r="A2617" s="2" t="s">
        <v>1389</v>
      </c>
      <c r="B2617" s="3">
        <v>157981</v>
      </c>
      <c r="C2617" s="3">
        <v>218654</v>
      </c>
      <c r="D2617" s="4" t="s">
        <v>17</v>
      </c>
      <c r="E2617" s="4" t="s">
        <v>763</v>
      </c>
      <c r="F2617" s="4" t="s">
        <v>19</v>
      </c>
      <c r="G2617" s="4" t="s">
        <v>20</v>
      </c>
      <c r="H2617" s="5">
        <v>10000</v>
      </c>
      <c r="I2617" s="4" t="s">
        <v>21</v>
      </c>
      <c r="J2617" s="5">
        <f t="shared" si="40"/>
        <v>-42170</v>
      </c>
      <c r="K2617" s="4" t="s">
        <v>39</v>
      </c>
      <c r="L2617" s="6">
        <v>4.2169999999999996</v>
      </c>
      <c r="M2617" s="6">
        <v>0.23710000000000001</v>
      </c>
      <c r="N2617" s="6">
        <v>4.2230999999999996</v>
      </c>
      <c r="O2617" s="6">
        <v>1</v>
      </c>
      <c r="P2617" s="5">
        <v>60.999999999992724</v>
      </c>
      <c r="Q2617" s="4" t="s">
        <v>1390</v>
      </c>
    </row>
    <row r="2618" spans="1:17" x14ac:dyDescent="0.3">
      <c r="A2618" s="2" t="s">
        <v>1389</v>
      </c>
      <c r="B2618" s="3">
        <v>157982</v>
      </c>
      <c r="C2618" s="3">
        <v>218658</v>
      </c>
      <c r="D2618" s="4" t="s">
        <v>17</v>
      </c>
      <c r="E2618" s="4" t="s">
        <v>1029</v>
      </c>
      <c r="F2618" s="4" t="s">
        <v>19</v>
      </c>
      <c r="G2618" s="4" t="s">
        <v>20</v>
      </c>
      <c r="H2618" s="5">
        <v>300000</v>
      </c>
      <c r="I2618" s="4" t="s">
        <v>21</v>
      </c>
      <c r="J2618" s="5">
        <f t="shared" si="40"/>
        <v>-1265250</v>
      </c>
      <c r="K2618" s="4" t="s">
        <v>39</v>
      </c>
      <c r="L2618" s="6">
        <v>4.2175000000000002</v>
      </c>
      <c r="M2618" s="6">
        <v>0.23710000000000001</v>
      </c>
      <c r="N2618" s="6">
        <v>4.2230999999999996</v>
      </c>
      <c r="O2618" s="6">
        <v>1</v>
      </c>
      <c r="P2618" s="5">
        <v>1680</v>
      </c>
      <c r="Q2618" s="4" t="s">
        <v>1390</v>
      </c>
    </row>
    <row r="2619" spans="1:17" x14ac:dyDescent="0.3">
      <c r="A2619" s="2" t="s">
        <v>1389</v>
      </c>
      <c r="B2619" s="3">
        <v>157983</v>
      </c>
      <c r="C2619" s="3">
        <v>218659</v>
      </c>
      <c r="D2619" s="4" t="s">
        <v>17</v>
      </c>
      <c r="E2619" s="4" t="s">
        <v>1080</v>
      </c>
      <c r="F2619" s="4" t="s">
        <v>19</v>
      </c>
      <c r="G2619" s="4" t="s">
        <v>20</v>
      </c>
      <c r="H2619" s="5">
        <v>10000</v>
      </c>
      <c r="I2619" s="4" t="s">
        <v>21</v>
      </c>
      <c r="J2619" s="5">
        <f t="shared" si="40"/>
        <v>-42210</v>
      </c>
      <c r="K2619" s="4" t="s">
        <v>39</v>
      </c>
      <c r="L2619" s="6">
        <v>4.2210000000000001</v>
      </c>
      <c r="M2619" s="6">
        <v>0.2369</v>
      </c>
      <c r="N2619" s="6">
        <v>4.2230999999999996</v>
      </c>
      <c r="O2619" s="6">
        <v>1</v>
      </c>
      <c r="P2619" s="5">
        <v>20.999999999992724</v>
      </c>
      <c r="Q2619" s="4" t="s">
        <v>1390</v>
      </c>
    </row>
    <row r="2620" spans="1:17" x14ac:dyDescent="0.3">
      <c r="A2620" s="2" t="s">
        <v>1389</v>
      </c>
      <c r="B2620" s="3">
        <v>157984</v>
      </c>
      <c r="C2620" s="3">
        <v>904186</v>
      </c>
      <c r="D2620" s="4" t="s">
        <v>81</v>
      </c>
      <c r="E2620" s="4" t="s">
        <v>735</v>
      </c>
      <c r="F2620" s="4" t="s">
        <v>83</v>
      </c>
      <c r="G2620" s="4" t="s">
        <v>20</v>
      </c>
      <c r="H2620" s="5">
        <v>-500000</v>
      </c>
      <c r="I2620" s="4" t="s">
        <v>21</v>
      </c>
      <c r="J2620" s="5">
        <f t="shared" si="40"/>
        <v>2114450</v>
      </c>
      <c r="K2620" s="4" t="s">
        <v>51</v>
      </c>
      <c r="L2620" s="6">
        <v>4.2289000000000003</v>
      </c>
      <c r="M2620" s="6">
        <v>0.23649999999999999</v>
      </c>
      <c r="N2620" s="6">
        <v>4.2271000000000001</v>
      </c>
      <c r="O2620" s="6">
        <v>1</v>
      </c>
      <c r="P2620" s="5">
        <v>900</v>
      </c>
      <c r="Q2620" s="4" t="s">
        <v>1394</v>
      </c>
    </row>
    <row r="2621" spans="1:17" x14ac:dyDescent="0.3">
      <c r="A2621" s="2" t="s">
        <v>1389</v>
      </c>
      <c r="B2621" s="3">
        <v>157985</v>
      </c>
      <c r="C2621" s="3">
        <v>904187</v>
      </c>
      <c r="D2621" s="4" t="s">
        <v>81</v>
      </c>
      <c r="E2621" s="4" t="s">
        <v>725</v>
      </c>
      <c r="F2621" s="4" t="s">
        <v>83</v>
      </c>
      <c r="G2621" s="4" t="s">
        <v>20</v>
      </c>
      <c r="H2621" s="5">
        <v>-500000</v>
      </c>
      <c r="I2621" s="4" t="s">
        <v>21</v>
      </c>
      <c r="J2621" s="5">
        <f t="shared" si="40"/>
        <v>2114450</v>
      </c>
      <c r="K2621" s="4" t="s">
        <v>51</v>
      </c>
      <c r="L2621" s="6">
        <v>4.2289000000000003</v>
      </c>
      <c r="M2621" s="6">
        <v>0.23649999999999999</v>
      </c>
      <c r="N2621" s="6">
        <v>4.2271000000000001</v>
      </c>
      <c r="O2621" s="6">
        <v>1</v>
      </c>
      <c r="P2621" s="5">
        <v>915</v>
      </c>
      <c r="Q2621" s="4" t="s">
        <v>1392</v>
      </c>
    </row>
    <row r="2622" spans="1:17" x14ac:dyDescent="0.3">
      <c r="A2622" s="2" t="s">
        <v>1389</v>
      </c>
      <c r="B2622" s="3">
        <v>157986</v>
      </c>
      <c r="C2622" s="3">
        <v>904188</v>
      </c>
      <c r="D2622" s="4" t="s">
        <v>81</v>
      </c>
      <c r="E2622" s="4" t="s">
        <v>734</v>
      </c>
      <c r="F2622" s="4" t="s">
        <v>83</v>
      </c>
      <c r="G2622" s="4" t="s">
        <v>20</v>
      </c>
      <c r="H2622" s="5">
        <v>-500000</v>
      </c>
      <c r="I2622" s="4" t="s">
        <v>21</v>
      </c>
      <c r="J2622" s="5">
        <f t="shared" si="40"/>
        <v>2114350</v>
      </c>
      <c r="K2622" s="4" t="s">
        <v>51</v>
      </c>
      <c r="L2622" s="6">
        <v>4.2286999999999999</v>
      </c>
      <c r="M2622" s="6">
        <v>0.23649999999999999</v>
      </c>
      <c r="N2622" s="6">
        <v>4.2271000000000001</v>
      </c>
      <c r="O2622" s="6">
        <v>1</v>
      </c>
      <c r="P2622" s="5">
        <v>800</v>
      </c>
      <c r="Q2622" s="4" t="s">
        <v>1393</v>
      </c>
    </row>
    <row r="2623" spans="1:17" x14ac:dyDescent="0.3">
      <c r="A2623" s="2" t="s">
        <v>1389</v>
      </c>
      <c r="B2623" s="3">
        <v>157987</v>
      </c>
      <c r="C2623" s="3">
        <v>904189</v>
      </c>
      <c r="D2623" s="4" t="s">
        <v>81</v>
      </c>
      <c r="E2623" s="4" t="s">
        <v>735</v>
      </c>
      <c r="F2623" s="4" t="s">
        <v>83</v>
      </c>
      <c r="G2623" s="4" t="s">
        <v>20</v>
      </c>
      <c r="H2623" s="5">
        <v>-500000</v>
      </c>
      <c r="I2623" s="4" t="s">
        <v>21</v>
      </c>
      <c r="J2623" s="5">
        <f t="shared" si="40"/>
        <v>2114400</v>
      </c>
      <c r="K2623" s="4" t="s">
        <v>51</v>
      </c>
      <c r="L2623" s="6">
        <v>4.2287999999999997</v>
      </c>
      <c r="M2623" s="6">
        <v>0.23649999999999999</v>
      </c>
      <c r="N2623" s="6">
        <v>4.2271000000000001</v>
      </c>
      <c r="O2623" s="6">
        <v>1</v>
      </c>
      <c r="P2623" s="5">
        <v>850</v>
      </c>
      <c r="Q2623" s="4" t="s">
        <v>1394</v>
      </c>
    </row>
    <row r="2624" spans="1:17" x14ac:dyDescent="0.3">
      <c r="A2624" s="2" t="s">
        <v>1389</v>
      </c>
      <c r="B2624" s="3">
        <v>157989</v>
      </c>
      <c r="C2624" s="3">
        <v>218660</v>
      </c>
      <c r="D2624" s="4" t="s">
        <v>17</v>
      </c>
      <c r="E2624" s="4" t="s">
        <v>895</v>
      </c>
      <c r="F2624" s="4" t="s">
        <v>19</v>
      </c>
      <c r="G2624" s="4" t="s">
        <v>20</v>
      </c>
      <c r="H2624" s="5">
        <v>2000000</v>
      </c>
      <c r="I2624" s="4" t="s">
        <v>21</v>
      </c>
      <c r="J2624" s="5">
        <f t="shared" si="40"/>
        <v>-8453400</v>
      </c>
      <c r="K2624" s="4" t="s">
        <v>39</v>
      </c>
      <c r="L2624" s="6">
        <v>4.2267000000000001</v>
      </c>
      <c r="M2624" s="6">
        <v>0.2366</v>
      </c>
      <c r="N2624" s="6">
        <v>4.2230999999999996</v>
      </c>
      <c r="O2624" s="6">
        <v>1</v>
      </c>
      <c r="P2624" s="5">
        <v>-7200</v>
      </c>
      <c r="Q2624" s="4" t="s">
        <v>1390</v>
      </c>
    </row>
    <row r="2625" spans="1:17" x14ac:dyDescent="0.3">
      <c r="A2625" s="2" t="s">
        <v>1389</v>
      </c>
      <c r="B2625" s="3">
        <v>157992</v>
      </c>
      <c r="C2625" s="3">
        <v>218661</v>
      </c>
      <c r="D2625" s="4" t="s">
        <v>17</v>
      </c>
      <c r="E2625" s="4" t="s">
        <v>1005</v>
      </c>
      <c r="F2625" s="4" t="s">
        <v>19</v>
      </c>
      <c r="G2625" s="4" t="s">
        <v>20</v>
      </c>
      <c r="H2625" s="5">
        <v>10108.19</v>
      </c>
      <c r="I2625" s="4" t="s">
        <v>21</v>
      </c>
      <c r="J2625" s="5">
        <f t="shared" si="40"/>
        <v>-42686.88637</v>
      </c>
      <c r="K2625" s="4" t="s">
        <v>39</v>
      </c>
      <c r="L2625" s="6">
        <v>4.2229999999999999</v>
      </c>
      <c r="M2625" s="6">
        <v>0.23680000000000001</v>
      </c>
      <c r="N2625" s="6">
        <v>4.2230999999999996</v>
      </c>
      <c r="O2625" s="6">
        <v>1</v>
      </c>
      <c r="P2625" s="5">
        <v>1.0108189999955357</v>
      </c>
      <c r="Q2625" s="4" t="s">
        <v>1390</v>
      </c>
    </row>
    <row r="2626" spans="1:17" x14ac:dyDescent="0.3">
      <c r="A2626" s="2" t="s">
        <v>1389</v>
      </c>
      <c r="B2626" s="3">
        <v>157993</v>
      </c>
      <c r="C2626" s="3">
        <v>218662</v>
      </c>
      <c r="D2626" s="4" t="s">
        <v>17</v>
      </c>
      <c r="E2626" s="4" t="s">
        <v>873</v>
      </c>
      <c r="F2626" s="4" t="s">
        <v>19</v>
      </c>
      <c r="G2626" s="4" t="s">
        <v>34</v>
      </c>
      <c r="H2626" s="5">
        <v>10000</v>
      </c>
      <c r="I2626" s="4" t="s">
        <v>21</v>
      </c>
      <c r="J2626" s="5">
        <f t="shared" si="40"/>
        <v>-35823</v>
      </c>
      <c r="K2626" s="4" t="s">
        <v>39</v>
      </c>
      <c r="L2626" s="6">
        <v>3.5823</v>
      </c>
      <c r="M2626" s="6">
        <v>0.2792</v>
      </c>
      <c r="N2626" s="6">
        <v>3.6345999999999998</v>
      </c>
      <c r="O2626" s="6">
        <v>1</v>
      </c>
      <c r="P2626" s="5">
        <v>523</v>
      </c>
      <c r="Q2626" s="4" t="s">
        <v>1390</v>
      </c>
    </row>
    <row r="2627" spans="1:17" x14ac:dyDescent="0.3">
      <c r="A2627" s="2" t="s">
        <v>1389</v>
      </c>
      <c r="B2627" s="3">
        <v>157994</v>
      </c>
      <c r="C2627" s="3">
        <v>218665</v>
      </c>
      <c r="D2627" s="4" t="s">
        <v>17</v>
      </c>
      <c r="E2627" s="4" t="s">
        <v>1196</v>
      </c>
      <c r="F2627" s="4" t="s">
        <v>32</v>
      </c>
      <c r="G2627" s="4" t="s">
        <v>20</v>
      </c>
      <c r="H2627" s="5">
        <v>-36884.93</v>
      </c>
      <c r="I2627" s="4" t="s">
        <v>21</v>
      </c>
      <c r="J2627" s="5">
        <f t="shared" si="40"/>
        <v>156263.00594500001</v>
      </c>
      <c r="K2627" s="4" t="s">
        <v>39</v>
      </c>
      <c r="L2627" s="6">
        <v>4.2365000000000004</v>
      </c>
      <c r="M2627" s="6">
        <v>0.23599999999999999</v>
      </c>
      <c r="N2627" s="6">
        <v>4.2230999999999996</v>
      </c>
      <c r="O2627" s="6">
        <v>1</v>
      </c>
      <c r="P2627" s="5">
        <v>494.26211699999999</v>
      </c>
      <c r="Q2627" s="4" t="s">
        <v>1390</v>
      </c>
    </row>
    <row r="2628" spans="1:17" x14ac:dyDescent="0.3">
      <c r="A2628" s="2" t="s">
        <v>1389</v>
      </c>
      <c r="B2628" s="3">
        <v>157995</v>
      </c>
      <c r="C2628" s="3">
        <v>904230</v>
      </c>
      <c r="D2628" s="4" t="s">
        <v>81</v>
      </c>
      <c r="E2628" s="4" t="s">
        <v>732</v>
      </c>
      <c r="F2628" s="4" t="s">
        <v>87</v>
      </c>
      <c r="G2628" s="4" t="s">
        <v>20</v>
      </c>
      <c r="H2628" s="5">
        <v>500000</v>
      </c>
      <c r="I2628" s="4" t="s">
        <v>21</v>
      </c>
      <c r="J2628" s="5">
        <f t="shared" ref="J2628:J2691" si="41">-H2628*L2628</f>
        <v>-2113850</v>
      </c>
      <c r="K2628" s="4" t="s">
        <v>51</v>
      </c>
      <c r="L2628" s="6">
        <v>4.2276999999999996</v>
      </c>
      <c r="M2628" s="6">
        <v>0.23649999999999999</v>
      </c>
      <c r="N2628" s="6">
        <v>4.2271000000000001</v>
      </c>
      <c r="O2628" s="6">
        <v>1</v>
      </c>
      <c r="P2628" s="5">
        <v>-295</v>
      </c>
      <c r="Q2628" s="4" t="s">
        <v>1394</v>
      </c>
    </row>
    <row r="2629" spans="1:17" x14ac:dyDescent="0.3">
      <c r="A2629" s="2" t="s">
        <v>1389</v>
      </c>
      <c r="B2629" s="3">
        <v>157997</v>
      </c>
      <c r="C2629" s="3">
        <v>904231</v>
      </c>
      <c r="D2629" s="4" t="s">
        <v>81</v>
      </c>
      <c r="E2629" s="4" t="s">
        <v>735</v>
      </c>
      <c r="F2629" s="4" t="s">
        <v>87</v>
      </c>
      <c r="G2629" s="4" t="s">
        <v>20</v>
      </c>
      <c r="H2629" s="5">
        <v>500000</v>
      </c>
      <c r="I2629" s="4" t="s">
        <v>21</v>
      </c>
      <c r="J2629" s="5">
        <f t="shared" si="41"/>
        <v>-2113700</v>
      </c>
      <c r="K2629" s="4" t="s">
        <v>51</v>
      </c>
      <c r="L2629" s="6">
        <v>4.2274000000000003</v>
      </c>
      <c r="M2629" s="6">
        <v>0.2366</v>
      </c>
      <c r="N2629" s="6">
        <v>4.2271000000000001</v>
      </c>
      <c r="O2629" s="6">
        <v>1</v>
      </c>
      <c r="P2629" s="5">
        <v>-150</v>
      </c>
      <c r="Q2629" s="4" t="s">
        <v>1394</v>
      </c>
    </row>
    <row r="2630" spans="1:17" x14ac:dyDescent="0.3">
      <c r="A2630" s="2" t="s">
        <v>1389</v>
      </c>
      <c r="B2630" s="3">
        <v>157998</v>
      </c>
      <c r="C2630" s="3">
        <v>904235</v>
      </c>
      <c r="D2630" s="4" t="s">
        <v>81</v>
      </c>
      <c r="E2630" s="4" t="s">
        <v>732</v>
      </c>
      <c r="F2630" s="4" t="s">
        <v>87</v>
      </c>
      <c r="G2630" s="4" t="s">
        <v>20</v>
      </c>
      <c r="H2630" s="5">
        <v>500000</v>
      </c>
      <c r="I2630" s="4" t="s">
        <v>21</v>
      </c>
      <c r="J2630" s="5">
        <f t="shared" si="41"/>
        <v>-2113500</v>
      </c>
      <c r="K2630" s="4" t="s">
        <v>51</v>
      </c>
      <c r="L2630" s="6">
        <v>4.2270000000000003</v>
      </c>
      <c r="M2630" s="6">
        <v>0.2366</v>
      </c>
      <c r="N2630" s="6">
        <v>4.2271000000000001</v>
      </c>
      <c r="O2630" s="6">
        <v>1</v>
      </c>
      <c r="P2630" s="5">
        <v>50</v>
      </c>
      <c r="Q2630" s="4" t="s">
        <v>1394</v>
      </c>
    </row>
    <row r="2631" spans="1:17" x14ac:dyDescent="0.3">
      <c r="A2631" s="2" t="s">
        <v>1389</v>
      </c>
      <c r="B2631" s="3">
        <v>157999</v>
      </c>
      <c r="C2631" s="3">
        <v>904236</v>
      </c>
      <c r="D2631" s="4" t="s">
        <v>81</v>
      </c>
      <c r="E2631" s="4" t="s">
        <v>732</v>
      </c>
      <c r="F2631" s="4" t="s">
        <v>87</v>
      </c>
      <c r="G2631" s="4" t="s">
        <v>20</v>
      </c>
      <c r="H2631" s="5">
        <v>500000</v>
      </c>
      <c r="I2631" s="4" t="s">
        <v>21</v>
      </c>
      <c r="J2631" s="5">
        <f t="shared" si="41"/>
        <v>-2113500</v>
      </c>
      <c r="K2631" s="4" t="s">
        <v>51</v>
      </c>
      <c r="L2631" s="6">
        <v>4.2270000000000003</v>
      </c>
      <c r="M2631" s="6">
        <v>0.2366</v>
      </c>
      <c r="N2631" s="6">
        <v>4.2271000000000001</v>
      </c>
      <c r="O2631" s="6">
        <v>1</v>
      </c>
      <c r="P2631" s="5">
        <v>55</v>
      </c>
      <c r="Q2631" s="4" t="s">
        <v>1394</v>
      </c>
    </row>
    <row r="2632" spans="1:17" x14ac:dyDescent="0.3">
      <c r="A2632" s="2" t="s">
        <v>1389</v>
      </c>
      <c r="B2632" s="3">
        <v>158000</v>
      </c>
      <c r="C2632" s="3">
        <v>218674</v>
      </c>
      <c r="D2632" s="4" t="s">
        <v>17</v>
      </c>
      <c r="E2632" s="4" t="s">
        <v>1108</v>
      </c>
      <c r="F2632" s="4" t="s">
        <v>19</v>
      </c>
      <c r="G2632" s="4" t="s">
        <v>20</v>
      </c>
      <c r="H2632" s="5">
        <v>60000</v>
      </c>
      <c r="I2632" s="4" t="s">
        <v>21</v>
      </c>
      <c r="J2632" s="5">
        <f t="shared" si="41"/>
        <v>-252978.00000000003</v>
      </c>
      <c r="K2632" s="4" t="s">
        <v>39</v>
      </c>
      <c r="L2632" s="6">
        <v>4.2163000000000004</v>
      </c>
      <c r="M2632" s="6">
        <v>0.23719999999999999</v>
      </c>
      <c r="N2632" s="6">
        <v>4.2230999999999996</v>
      </c>
      <c r="O2632" s="6">
        <v>1</v>
      </c>
      <c r="P2632" s="5">
        <v>407.99999999994179</v>
      </c>
      <c r="Q2632" s="4" t="s">
        <v>1390</v>
      </c>
    </row>
    <row r="2633" spans="1:17" x14ac:dyDescent="0.3">
      <c r="A2633" s="2" t="s">
        <v>1389</v>
      </c>
      <c r="B2633" s="3">
        <v>158002</v>
      </c>
      <c r="C2633" s="3">
        <v>218675</v>
      </c>
      <c r="D2633" s="4" t="s">
        <v>17</v>
      </c>
      <c r="E2633" s="4" t="s">
        <v>936</v>
      </c>
      <c r="F2633" s="4" t="s">
        <v>32</v>
      </c>
      <c r="G2633" s="4" t="s">
        <v>34</v>
      </c>
      <c r="H2633" s="5">
        <v>-220000</v>
      </c>
      <c r="I2633" s="4" t="s">
        <v>21</v>
      </c>
      <c r="J2633" s="5">
        <f t="shared" si="41"/>
        <v>793870</v>
      </c>
      <c r="K2633" s="4" t="s">
        <v>39</v>
      </c>
      <c r="L2633" s="6">
        <v>3.6084999999999998</v>
      </c>
      <c r="M2633" s="6">
        <v>0.27710000000000001</v>
      </c>
      <c r="N2633" s="6">
        <v>3.6345999999999998</v>
      </c>
      <c r="O2633" s="6">
        <v>1</v>
      </c>
      <c r="P2633" s="5">
        <v>-5742</v>
      </c>
      <c r="Q2633" s="4" t="s">
        <v>1390</v>
      </c>
    </row>
    <row r="2634" spans="1:17" x14ac:dyDescent="0.3">
      <c r="A2634" s="2" t="s">
        <v>1389</v>
      </c>
      <c r="B2634" s="3">
        <v>158005</v>
      </c>
      <c r="C2634" s="3">
        <v>218679</v>
      </c>
      <c r="D2634" s="4" t="s">
        <v>17</v>
      </c>
      <c r="E2634" s="4" t="s">
        <v>936</v>
      </c>
      <c r="F2634" s="4" t="s">
        <v>19</v>
      </c>
      <c r="G2634" s="4" t="s">
        <v>20</v>
      </c>
      <c r="H2634" s="5">
        <v>49192.91</v>
      </c>
      <c r="I2634" s="4" t="s">
        <v>34</v>
      </c>
      <c r="J2634" s="5">
        <f t="shared" si="41"/>
        <v>-57663.929102000002</v>
      </c>
      <c r="K2634" s="4" t="s">
        <v>39</v>
      </c>
      <c r="L2634" s="6">
        <v>1.1721999999999999</v>
      </c>
      <c r="M2634" s="6">
        <v>0.85309999999999997</v>
      </c>
      <c r="N2634" s="6">
        <v>4.2230999999999996</v>
      </c>
      <c r="O2634" s="6">
        <v>3.6345999999999998</v>
      </c>
      <c r="P2634" s="5">
        <v>-1838.7384931292036</v>
      </c>
      <c r="Q2634" s="4" t="s">
        <v>1390</v>
      </c>
    </row>
    <row r="2635" spans="1:17" x14ac:dyDescent="0.3">
      <c r="A2635" s="2" t="s">
        <v>1389</v>
      </c>
      <c r="B2635" s="3">
        <v>158007</v>
      </c>
      <c r="C2635" s="3">
        <v>904273</v>
      </c>
      <c r="D2635" s="4" t="s">
        <v>81</v>
      </c>
      <c r="E2635" s="4" t="s">
        <v>725</v>
      </c>
      <c r="F2635" s="4" t="s">
        <v>83</v>
      </c>
      <c r="G2635" s="4" t="s">
        <v>34</v>
      </c>
      <c r="H2635" s="5">
        <v>-500000</v>
      </c>
      <c r="I2635" s="4" t="s">
        <v>21</v>
      </c>
      <c r="J2635" s="5">
        <f t="shared" si="41"/>
        <v>1803650</v>
      </c>
      <c r="K2635" s="4" t="s">
        <v>51</v>
      </c>
      <c r="L2635" s="6">
        <v>3.6073</v>
      </c>
      <c r="M2635" s="6">
        <v>0.2772</v>
      </c>
      <c r="N2635" s="6">
        <v>3.6118000000000001</v>
      </c>
      <c r="O2635" s="6">
        <v>1</v>
      </c>
      <c r="P2635" s="5">
        <v>-2230</v>
      </c>
      <c r="Q2635" s="4" t="s">
        <v>1392</v>
      </c>
    </row>
    <row r="2636" spans="1:17" x14ac:dyDescent="0.3">
      <c r="A2636" s="2" t="s">
        <v>1389</v>
      </c>
      <c r="B2636" s="3">
        <v>158008</v>
      </c>
      <c r="C2636" s="3">
        <v>904274</v>
      </c>
      <c r="D2636" s="4" t="s">
        <v>81</v>
      </c>
      <c r="E2636" s="4" t="s">
        <v>735</v>
      </c>
      <c r="F2636" s="4" t="s">
        <v>83</v>
      </c>
      <c r="G2636" s="4" t="s">
        <v>20</v>
      </c>
      <c r="H2636" s="5">
        <v>-500000</v>
      </c>
      <c r="I2636" s="4" t="s">
        <v>21</v>
      </c>
      <c r="J2636" s="5">
        <f t="shared" si="41"/>
        <v>2114600</v>
      </c>
      <c r="K2636" s="4" t="s">
        <v>51</v>
      </c>
      <c r="L2636" s="6">
        <v>4.2291999999999996</v>
      </c>
      <c r="M2636" s="6">
        <v>0.23649999999999999</v>
      </c>
      <c r="N2636" s="6">
        <v>4.2271000000000001</v>
      </c>
      <c r="O2636" s="6">
        <v>1</v>
      </c>
      <c r="P2636" s="5">
        <v>1050</v>
      </c>
      <c r="Q2636" s="4" t="s">
        <v>1394</v>
      </c>
    </row>
    <row r="2637" spans="1:17" x14ac:dyDescent="0.3">
      <c r="A2637" s="2" t="s">
        <v>1389</v>
      </c>
      <c r="B2637" s="3">
        <v>158009</v>
      </c>
      <c r="C2637" s="3">
        <v>904278</v>
      </c>
      <c r="D2637" s="4" t="s">
        <v>81</v>
      </c>
      <c r="E2637" s="4" t="s">
        <v>733</v>
      </c>
      <c r="F2637" s="4" t="s">
        <v>83</v>
      </c>
      <c r="G2637" s="4" t="s">
        <v>34</v>
      </c>
      <c r="H2637" s="5">
        <v>-500000</v>
      </c>
      <c r="I2637" s="4" t="s">
        <v>21</v>
      </c>
      <c r="J2637" s="5">
        <f t="shared" si="41"/>
        <v>1804000</v>
      </c>
      <c r="K2637" s="4" t="s">
        <v>51</v>
      </c>
      <c r="L2637" s="6">
        <v>3.6080000000000001</v>
      </c>
      <c r="M2637" s="6">
        <v>0.2772</v>
      </c>
      <c r="N2637" s="6">
        <v>3.6118000000000001</v>
      </c>
      <c r="O2637" s="6">
        <v>1</v>
      </c>
      <c r="P2637" s="5">
        <v>-1875</v>
      </c>
      <c r="Q2637" s="4" t="s">
        <v>1391</v>
      </c>
    </row>
    <row r="2638" spans="1:17" x14ac:dyDescent="0.3">
      <c r="A2638" s="2" t="s">
        <v>1389</v>
      </c>
      <c r="B2638" s="3">
        <v>158010</v>
      </c>
      <c r="C2638" s="3">
        <v>218689</v>
      </c>
      <c r="D2638" s="4" t="s">
        <v>17</v>
      </c>
      <c r="E2638" s="4" t="s">
        <v>783</v>
      </c>
      <c r="F2638" s="4" t="s">
        <v>19</v>
      </c>
      <c r="G2638" s="4" t="s">
        <v>80</v>
      </c>
      <c r="H2638" s="5">
        <v>4800000</v>
      </c>
      <c r="I2638" s="4" t="s">
        <v>21</v>
      </c>
      <c r="J2638" s="5">
        <f t="shared" si="41"/>
        <v>-2489279.9999999995</v>
      </c>
      <c r="K2638" s="4" t="s">
        <v>27</v>
      </c>
      <c r="L2638" s="6">
        <v>0.51859999999999995</v>
      </c>
      <c r="M2638" s="6">
        <v>1.9282999999999999</v>
      </c>
      <c r="N2638" s="6">
        <v>0.50660000000000005</v>
      </c>
      <c r="O2638" s="6">
        <v>1</v>
      </c>
      <c r="P2638" s="5">
        <v>-57599.999999999069</v>
      </c>
      <c r="Q2638" s="4" t="s">
        <v>1390</v>
      </c>
    </row>
    <row r="2639" spans="1:17" x14ac:dyDescent="0.3">
      <c r="A2639" s="2" t="s">
        <v>1389</v>
      </c>
      <c r="B2639" s="3">
        <v>158011</v>
      </c>
      <c r="C2639" s="3">
        <v>904312</v>
      </c>
      <c r="D2639" s="4" t="s">
        <v>81</v>
      </c>
      <c r="E2639" s="4" t="s">
        <v>725</v>
      </c>
      <c r="F2639" s="4" t="s">
        <v>83</v>
      </c>
      <c r="G2639" s="4" t="s">
        <v>20</v>
      </c>
      <c r="H2639" s="5">
        <v>-500000</v>
      </c>
      <c r="I2639" s="4" t="s">
        <v>21</v>
      </c>
      <c r="J2639" s="5">
        <f t="shared" si="41"/>
        <v>2115050</v>
      </c>
      <c r="K2639" s="4" t="s">
        <v>51</v>
      </c>
      <c r="L2639" s="6">
        <v>4.2301000000000002</v>
      </c>
      <c r="M2639" s="6">
        <v>0.2364</v>
      </c>
      <c r="N2639" s="6">
        <v>4.2271000000000001</v>
      </c>
      <c r="O2639" s="6">
        <v>1</v>
      </c>
      <c r="P2639" s="5">
        <v>1485</v>
      </c>
      <c r="Q2639" s="4" t="s">
        <v>1392</v>
      </c>
    </row>
    <row r="2640" spans="1:17" x14ac:dyDescent="0.3">
      <c r="A2640" s="2" t="s">
        <v>1389</v>
      </c>
      <c r="B2640" s="3">
        <v>158012</v>
      </c>
      <c r="C2640" s="3">
        <v>904322</v>
      </c>
      <c r="D2640" s="4" t="s">
        <v>81</v>
      </c>
      <c r="E2640" s="4" t="s">
        <v>733</v>
      </c>
      <c r="F2640" s="4" t="s">
        <v>83</v>
      </c>
      <c r="G2640" s="4" t="s">
        <v>20</v>
      </c>
      <c r="H2640" s="5">
        <v>-500000</v>
      </c>
      <c r="I2640" s="4" t="s">
        <v>21</v>
      </c>
      <c r="J2640" s="5">
        <f t="shared" si="41"/>
        <v>2115100</v>
      </c>
      <c r="K2640" s="4" t="s">
        <v>51</v>
      </c>
      <c r="L2640" s="6">
        <v>4.2302</v>
      </c>
      <c r="M2640" s="6">
        <v>0.2364</v>
      </c>
      <c r="N2640" s="6">
        <v>4.2271000000000001</v>
      </c>
      <c r="O2640" s="6">
        <v>1</v>
      </c>
      <c r="P2640" s="5">
        <v>1545</v>
      </c>
      <c r="Q2640" s="4" t="s">
        <v>1391</v>
      </c>
    </row>
    <row r="2641" spans="1:17" x14ac:dyDescent="0.3">
      <c r="A2641" s="2" t="s">
        <v>1389</v>
      </c>
      <c r="B2641" s="3">
        <v>158013</v>
      </c>
      <c r="C2641" s="3">
        <v>904342</v>
      </c>
      <c r="D2641" s="4" t="s">
        <v>81</v>
      </c>
      <c r="E2641" s="4" t="s">
        <v>725</v>
      </c>
      <c r="F2641" s="4" t="s">
        <v>87</v>
      </c>
      <c r="G2641" s="4" t="s">
        <v>20</v>
      </c>
      <c r="H2641" s="5">
        <v>500000</v>
      </c>
      <c r="I2641" s="4" t="s">
        <v>21</v>
      </c>
      <c r="J2641" s="5">
        <f t="shared" si="41"/>
        <v>-2115100</v>
      </c>
      <c r="K2641" s="4" t="s">
        <v>51</v>
      </c>
      <c r="L2641" s="6">
        <v>4.2302</v>
      </c>
      <c r="M2641" s="6">
        <v>0.2364</v>
      </c>
      <c r="N2641" s="6">
        <v>4.2271000000000001</v>
      </c>
      <c r="O2641" s="6">
        <v>1</v>
      </c>
      <c r="P2641" s="5">
        <v>-1555</v>
      </c>
      <c r="Q2641" s="4" t="s">
        <v>1392</v>
      </c>
    </row>
    <row r="2642" spans="1:17" x14ac:dyDescent="0.3">
      <c r="A2642" s="2" t="s">
        <v>1389</v>
      </c>
      <c r="B2642" s="3">
        <v>158014</v>
      </c>
      <c r="C2642" s="3">
        <v>904343</v>
      </c>
      <c r="D2642" s="4" t="s">
        <v>81</v>
      </c>
      <c r="E2642" s="4" t="s">
        <v>733</v>
      </c>
      <c r="F2642" s="4" t="s">
        <v>87</v>
      </c>
      <c r="G2642" s="4" t="s">
        <v>20</v>
      </c>
      <c r="H2642" s="5">
        <v>500000</v>
      </c>
      <c r="I2642" s="4" t="s">
        <v>21</v>
      </c>
      <c r="J2642" s="5">
        <f t="shared" si="41"/>
        <v>-2115000</v>
      </c>
      <c r="K2642" s="4" t="s">
        <v>51</v>
      </c>
      <c r="L2642" s="6">
        <v>4.2300000000000004</v>
      </c>
      <c r="M2642" s="6">
        <v>0.2364</v>
      </c>
      <c r="N2642" s="6">
        <v>4.2271000000000001</v>
      </c>
      <c r="O2642" s="6">
        <v>1</v>
      </c>
      <c r="P2642" s="5">
        <v>-1460</v>
      </c>
      <c r="Q2642" s="4" t="s">
        <v>1391</v>
      </c>
    </row>
    <row r="2643" spans="1:17" x14ac:dyDescent="0.3">
      <c r="A2643" s="2" t="s">
        <v>1389</v>
      </c>
      <c r="B2643" s="3">
        <v>158015</v>
      </c>
      <c r="C2643" s="3">
        <v>904344</v>
      </c>
      <c r="D2643" s="4" t="s">
        <v>81</v>
      </c>
      <c r="E2643" s="4" t="s">
        <v>730</v>
      </c>
      <c r="F2643" s="4" t="s">
        <v>83</v>
      </c>
      <c r="G2643" s="4" t="s">
        <v>20</v>
      </c>
      <c r="H2643" s="5">
        <v>-1000000</v>
      </c>
      <c r="I2643" s="4" t="s">
        <v>21</v>
      </c>
      <c r="J2643" s="5">
        <f t="shared" si="41"/>
        <v>4231500</v>
      </c>
      <c r="K2643" s="4" t="s">
        <v>51</v>
      </c>
      <c r="L2643" s="6">
        <v>4.2314999999999996</v>
      </c>
      <c r="M2643" s="6">
        <v>0.23630000000000001</v>
      </c>
      <c r="N2643" s="6">
        <v>4.2271000000000001</v>
      </c>
      <c r="O2643" s="6">
        <v>1</v>
      </c>
      <c r="P2643" s="5">
        <v>4400</v>
      </c>
      <c r="Q2643" s="4" t="s">
        <v>1396</v>
      </c>
    </row>
    <row r="2644" spans="1:17" x14ac:dyDescent="0.3">
      <c r="A2644" s="2" t="s">
        <v>1389</v>
      </c>
      <c r="B2644" s="3">
        <v>158016</v>
      </c>
      <c r="C2644" s="3">
        <v>218700</v>
      </c>
      <c r="D2644" s="4" t="s">
        <v>17</v>
      </c>
      <c r="E2644" s="4" t="s">
        <v>1221</v>
      </c>
      <c r="F2644" s="4" t="s">
        <v>32</v>
      </c>
      <c r="G2644" s="4" t="s">
        <v>34</v>
      </c>
      <c r="H2644" s="5">
        <v>-100000</v>
      </c>
      <c r="I2644" s="4" t="s">
        <v>21</v>
      </c>
      <c r="J2644" s="5">
        <f t="shared" si="41"/>
        <v>360000</v>
      </c>
      <c r="K2644" s="4" t="s">
        <v>39</v>
      </c>
      <c r="L2644" s="6">
        <v>3.6</v>
      </c>
      <c r="M2644" s="6">
        <v>0.27779999999999999</v>
      </c>
      <c r="N2644" s="6">
        <v>3.6345999999999998</v>
      </c>
      <c r="O2644" s="6">
        <v>1</v>
      </c>
      <c r="P2644" s="5">
        <v>-3460</v>
      </c>
      <c r="Q2644" s="4" t="s">
        <v>1390</v>
      </c>
    </row>
    <row r="2645" spans="1:17" x14ac:dyDescent="0.3">
      <c r="A2645" s="2" t="s">
        <v>1389</v>
      </c>
      <c r="B2645" s="3">
        <v>158017</v>
      </c>
      <c r="C2645" s="3">
        <v>904351</v>
      </c>
      <c r="D2645" s="4" t="s">
        <v>81</v>
      </c>
      <c r="E2645" s="4" t="s">
        <v>732</v>
      </c>
      <c r="F2645" s="4" t="s">
        <v>87</v>
      </c>
      <c r="G2645" s="4" t="s">
        <v>20</v>
      </c>
      <c r="H2645" s="5">
        <v>500000</v>
      </c>
      <c r="I2645" s="4" t="s">
        <v>21</v>
      </c>
      <c r="J2645" s="5">
        <f t="shared" si="41"/>
        <v>-2115350</v>
      </c>
      <c r="K2645" s="4" t="s">
        <v>51</v>
      </c>
      <c r="L2645" s="6">
        <v>4.2306999999999997</v>
      </c>
      <c r="M2645" s="6">
        <v>0.2364</v>
      </c>
      <c r="N2645" s="6">
        <v>4.2271000000000001</v>
      </c>
      <c r="O2645" s="6">
        <v>1</v>
      </c>
      <c r="P2645" s="5">
        <v>-1815</v>
      </c>
      <c r="Q2645" s="4" t="s">
        <v>1394</v>
      </c>
    </row>
    <row r="2646" spans="1:17" x14ac:dyDescent="0.3">
      <c r="A2646" s="2" t="s">
        <v>1389</v>
      </c>
      <c r="B2646" s="3">
        <v>158018</v>
      </c>
      <c r="C2646" s="3">
        <v>904352</v>
      </c>
      <c r="D2646" s="4" t="s">
        <v>81</v>
      </c>
      <c r="E2646" s="4" t="s">
        <v>733</v>
      </c>
      <c r="F2646" s="4" t="s">
        <v>87</v>
      </c>
      <c r="G2646" s="4" t="s">
        <v>20</v>
      </c>
      <c r="H2646" s="5">
        <v>500000</v>
      </c>
      <c r="I2646" s="4" t="s">
        <v>21</v>
      </c>
      <c r="J2646" s="5">
        <f t="shared" si="41"/>
        <v>-2115300</v>
      </c>
      <c r="K2646" s="4" t="s">
        <v>51</v>
      </c>
      <c r="L2646" s="6">
        <v>4.2305999999999999</v>
      </c>
      <c r="M2646" s="6">
        <v>0.2364</v>
      </c>
      <c r="N2646" s="6">
        <v>4.2271000000000001</v>
      </c>
      <c r="O2646" s="6">
        <v>1</v>
      </c>
      <c r="P2646" s="5">
        <v>-1730</v>
      </c>
      <c r="Q2646" s="4" t="s">
        <v>1391</v>
      </c>
    </row>
    <row r="2647" spans="1:17" x14ac:dyDescent="0.3">
      <c r="A2647" s="2" t="s">
        <v>1389</v>
      </c>
      <c r="B2647" s="3">
        <v>158019</v>
      </c>
      <c r="C2647" s="3">
        <v>904353</v>
      </c>
      <c r="D2647" s="4" t="s">
        <v>81</v>
      </c>
      <c r="E2647" s="4" t="s">
        <v>734</v>
      </c>
      <c r="F2647" s="4" t="s">
        <v>83</v>
      </c>
      <c r="G2647" s="4" t="s">
        <v>20</v>
      </c>
      <c r="H2647" s="5">
        <v>-11000000</v>
      </c>
      <c r="I2647" s="4" t="s">
        <v>21</v>
      </c>
      <c r="J2647" s="5">
        <f t="shared" si="41"/>
        <v>46546499.999999993</v>
      </c>
      <c r="K2647" s="4" t="s">
        <v>51</v>
      </c>
      <c r="L2647" s="6">
        <v>4.2314999999999996</v>
      </c>
      <c r="M2647" s="6">
        <v>0.23630000000000001</v>
      </c>
      <c r="N2647" s="6">
        <v>4.2271000000000001</v>
      </c>
      <c r="O2647" s="6">
        <v>1</v>
      </c>
      <c r="P2647" s="5">
        <v>48400</v>
      </c>
      <c r="Q2647" s="4" t="s">
        <v>1393</v>
      </c>
    </row>
    <row r="2648" spans="1:17" x14ac:dyDescent="0.3">
      <c r="A2648" s="2" t="s">
        <v>1389</v>
      </c>
      <c r="B2648" s="3">
        <v>158020</v>
      </c>
      <c r="C2648" s="3">
        <v>904354</v>
      </c>
      <c r="D2648" s="4" t="s">
        <v>81</v>
      </c>
      <c r="E2648" s="4" t="s">
        <v>725</v>
      </c>
      <c r="F2648" s="4" t="s">
        <v>87</v>
      </c>
      <c r="G2648" s="4" t="s">
        <v>20</v>
      </c>
      <c r="H2648" s="5">
        <v>500000</v>
      </c>
      <c r="I2648" s="4" t="s">
        <v>21</v>
      </c>
      <c r="J2648" s="5">
        <f t="shared" si="41"/>
        <v>-2115300</v>
      </c>
      <c r="K2648" s="4" t="s">
        <v>51</v>
      </c>
      <c r="L2648" s="6">
        <v>4.2305999999999999</v>
      </c>
      <c r="M2648" s="6">
        <v>0.2364</v>
      </c>
      <c r="N2648" s="6">
        <v>4.2271000000000001</v>
      </c>
      <c r="O2648" s="6">
        <v>1</v>
      </c>
      <c r="P2648" s="5">
        <v>-1745</v>
      </c>
      <c r="Q2648" s="4" t="s">
        <v>1392</v>
      </c>
    </row>
    <row r="2649" spans="1:17" x14ac:dyDescent="0.3">
      <c r="A2649" s="2" t="s">
        <v>1389</v>
      </c>
      <c r="B2649" s="3">
        <v>158021</v>
      </c>
      <c r="C2649" s="3">
        <v>904355</v>
      </c>
      <c r="D2649" s="4" t="s">
        <v>81</v>
      </c>
      <c r="E2649" s="4" t="s">
        <v>733</v>
      </c>
      <c r="F2649" s="4" t="s">
        <v>87</v>
      </c>
      <c r="G2649" s="4" t="s">
        <v>20</v>
      </c>
      <c r="H2649" s="5">
        <v>1000000</v>
      </c>
      <c r="I2649" s="4" t="s">
        <v>21</v>
      </c>
      <c r="J2649" s="5">
        <f t="shared" si="41"/>
        <v>-4230700</v>
      </c>
      <c r="K2649" s="4" t="s">
        <v>51</v>
      </c>
      <c r="L2649" s="6">
        <v>4.2306999999999997</v>
      </c>
      <c r="M2649" s="6">
        <v>0.2364</v>
      </c>
      <c r="N2649" s="6">
        <v>4.2271000000000001</v>
      </c>
      <c r="O2649" s="6">
        <v>1</v>
      </c>
      <c r="P2649" s="5">
        <v>-3570</v>
      </c>
      <c r="Q2649" s="4" t="s">
        <v>1391</v>
      </c>
    </row>
    <row r="2650" spans="1:17" x14ac:dyDescent="0.3">
      <c r="A2650" s="2" t="s">
        <v>1389</v>
      </c>
      <c r="B2650" s="3">
        <v>158022</v>
      </c>
      <c r="C2650" s="3">
        <v>904356</v>
      </c>
      <c r="D2650" s="4" t="s">
        <v>81</v>
      </c>
      <c r="E2650" s="4" t="s">
        <v>725</v>
      </c>
      <c r="F2650" s="4" t="s">
        <v>87</v>
      </c>
      <c r="G2650" s="4" t="s">
        <v>20</v>
      </c>
      <c r="H2650" s="5">
        <v>1000000</v>
      </c>
      <c r="I2650" s="4" t="s">
        <v>21</v>
      </c>
      <c r="J2650" s="5">
        <f t="shared" si="41"/>
        <v>-4230800</v>
      </c>
      <c r="K2650" s="4" t="s">
        <v>51</v>
      </c>
      <c r="L2650" s="6">
        <v>4.2308000000000003</v>
      </c>
      <c r="M2650" s="6">
        <v>0.2364</v>
      </c>
      <c r="N2650" s="6">
        <v>4.2271000000000001</v>
      </c>
      <c r="O2650" s="6">
        <v>1</v>
      </c>
      <c r="P2650" s="5">
        <v>-3660</v>
      </c>
      <c r="Q2650" s="4" t="s">
        <v>1392</v>
      </c>
    </row>
    <row r="2651" spans="1:17" x14ac:dyDescent="0.3">
      <c r="A2651" s="2" t="s">
        <v>1389</v>
      </c>
      <c r="B2651" s="3">
        <v>158023</v>
      </c>
      <c r="C2651" s="3">
        <v>904357</v>
      </c>
      <c r="D2651" s="4" t="s">
        <v>81</v>
      </c>
      <c r="E2651" s="4" t="s">
        <v>735</v>
      </c>
      <c r="F2651" s="4" t="s">
        <v>87</v>
      </c>
      <c r="G2651" s="4" t="s">
        <v>20</v>
      </c>
      <c r="H2651" s="5">
        <v>500000</v>
      </c>
      <c r="I2651" s="4" t="s">
        <v>21</v>
      </c>
      <c r="J2651" s="5">
        <f t="shared" si="41"/>
        <v>-2115450</v>
      </c>
      <c r="K2651" s="4" t="s">
        <v>51</v>
      </c>
      <c r="L2651" s="6">
        <v>4.2309000000000001</v>
      </c>
      <c r="M2651" s="6">
        <v>0.2364</v>
      </c>
      <c r="N2651" s="6">
        <v>4.2271000000000001</v>
      </c>
      <c r="O2651" s="6">
        <v>1</v>
      </c>
      <c r="P2651" s="5">
        <v>-1900</v>
      </c>
      <c r="Q2651" s="4" t="s">
        <v>1394</v>
      </c>
    </row>
    <row r="2652" spans="1:17" x14ac:dyDescent="0.3">
      <c r="A2652" s="2" t="s">
        <v>1389</v>
      </c>
      <c r="B2652" s="3">
        <v>158024</v>
      </c>
      <c r="C2652" s="3">
        <v>904358</v>
      </c>
      <c r="D2652" s="4" t="s">
        <v>81</v>
      </c>
      <c r="E2652" s="4" t="s">
        <v>733</v>
      </c>
      <c r="F2652" s="4" t="s">
        <v>87</v>
      </c>
      <c r="G2652" s="4" t="s">
        <v>20</v>
      </c>
      <c r="H2652" s="5">
        <v>1000000</v>
      </c>
      <c r="I2652" s="4" t="s">
        <v>21</v>
      </c>
      <c r="J2652" s="5">
        <f t="shared" si="41"/>
        <v>-4230900</v>
      </c>
      <c r="K2652" s="4" t="s">
        <v>51</v>
      </c>
      <c r="L2652" s="6">
        <v>4.2309000000000001</v>
      </c>
      <c r="M2652" s="6">
        <v>0.2364</v>
      </c>
      <c r="N2652" s="6">
        <v>4.2271000000000001</v>
      </c>
      <c r="O2652" s="6">
        <v>1</v>
      </c>
      <c r="P2652" s="5">
        <v>-3770</v>
      </c>
      <c r="Q2652" s="4" t="s">
        <v>1391</v>
      </c>
    </row>
    <row r="2653" spans="1:17" x14ac:dyDescent="0.3">
      <c r="A2653" s="2" t="s">
        <v>1389</v>
      </c>
      <c r="B2653" s="3">
        <v>158025</v>
      </c>
      <c r="C2653" s="3">
        <v>904359</v>
      </c>
      <c r="D2653" s="4" t="s">
        <v>81</v>
      </c>
      <c r="E2653" s="4" t="s">
        <v>734</v>
      </c>
      <c r="F2653" s="4" t="s">
        <v>87</v>
      </c>
      <c r="G2653" s="4" t="s">
        <v>20</v>
      </c>
      <c r="H2653" s="5">
        <v>500000</v>
      </c>
      <c r="I2653" s="4" t="s">
        <v>21</v>
      </c>
      <c r="J2653" s="5">
        <f t="shared" si="41"/>
        <v>-2115350</v>
      </c>
      <c r="K2653" s="4" t="s">
        <v>51</v>
      </c>
      <c r="L2653" s="6">
        <v>4.2306999999999997</v>
      </c>
      <c r="M2653" s="6">
        <v>0.2364</v>
      </c>
      <c r="N2653" s="6">
        <v>4.2271000000000001</v>
      </c>
      <c r="O2653" s="6">
        <v>1</v>
      </c>
      <c r="P2653" s="5">
        <v>-1800</v>
      </c>
      <c r="Q2653" s="4" t="s">
        <v>1393</v>
      </c>
    </row>
    <row r="2654" spans="1:17" x14ac:dyDescent="0.3">
      <c r="A2654" s="2" t="s">
        <v>1389</v>
      </c>
      <c r="B2654" s="3">
        <v>158026</v>
      </c>
      <c r="C2654" s="3">
        <v>904360</v>
      </c>
      <c r="D2654" s="4" t="s">
        <v>81</v>
      </c>
      <c r="E2654" s="4" t="s">
        <v>735</v>
      </c>
      <c r="F2654" s="4" t="s">
        <v>87</v>
      </c>
      <c r="G2654" s="4" t="s">
        <v>20</v>
      </c>
      <c r="H2654" s="5">
        <v>500000</v>
      </c>
      <c r="I2654" s="4" t="s">
        <v>21</v>
      </c>
      <c r="J2654" s="5">
        <f t="shared" si="41"/>
        <v>-2115350</v>
      </c>
      <c r="K2654" s="4" t="s">
        <v>51</v>
      </c>
      <c r="L2654" s="6">
        <v>4.2306999999999997</v>
      </c>
      <c r="M2654" s="6">
        <v>0.2364</v>
      </c>
      <c r="N2654" s="6">
        <v>4.2271000000000001</v>
      </c>
      <c r="O2654" s="6">
        <v>1</v>
      </c>
      <c r="P2654" s="5">
        <v>-1800</v>
      </c>
      <c r="Q2654" s="4" t="s">
        <v>1394</v>
      </c>
    </row>
    <row r="2655" spans="1:17" x14ac:dyDescent="0.3">
      <c r="A2655" s="2" t="s">
        <v>1389</v>
      </c>
      <c r="B2655" s="3">
        <v>158027</v>
      </c>
      <c r="C2655" s="3">
        <v>904361</v>
      </c>
      <c r="D2655" s="4" t="s">
        <v>81</v>
      </c>
      <c r="E2655" s="4" t="s">
        <v>733</v>
      </c>
      <c r="F2655" s="4" t="s">
        <v>87</v>
      </c>
      <c r="G2655" s="4" t="s">
        <v>20</v>
      </c>
      <c r="H2655" s="5">
        <v>1000000</v>
      </c>
      <c r="I2655" s="4" t="s">
        <v>21</v>
      </c>
      <c r="J2655" s="5">
        <f t="shared" si="41"/>
        <v>-4230800</v>
      </c>
      <c r="K2655" s="4" t="s">
        <v>51</v>
      </c>
      <c r="L2655" s="6">
        <v>4.2308000000000003</v>
      </c>
      <c r="M2655" s="6">
        <v>0.2364</v>
      </c>
      <c r="N2655" s="6">
        <v>4.2271000000000001</v>
      </c>
      <c r="O2655" s="6">
        <v>1</v>
      </c>
      <c r="P2655" s="5">
        <v>-3700</v>
      </c>
      <c r="Q2655" s="4" t="s">
        <v>1391</v>
      </c>
    </row>
    <row r="2656" spans="1:17" x14ac:dyDescent="0.3">
      <c r="A2656" s="2" t="s">
        <v>1389</v>
      </c>
      <c r="B2656" s="3">
        <v>158028</v>
      </c>
      <c r="C2656" s="3">
        <v>904362</v>
      </c>
      <c r="D2656" s="4" t="s">
        <v>81</v>
      </c>
      <c r="E2656" s="4" t="s">
        <v>733</v>
      </c>
      <c r="F2656" s="4" t="s">
        <v>87</v>
      </c>
      <c r="G2656" s="4" t="s">
        <v>20</v>
      </c>
      <c r="H2656" s="5">
        <v>1000000</v>
      </c>
      <c r="I2656" s="4" t="s">
        <v>21</v>
      </c>
      <c r="J2656" s="5">
        <f t="shared" si="41"/>
        <v>-4230600</v>
      </c>
      <c r="K2656" s="4" t="s">
        <v>51</v>
      </c>
      <c r="L2656" s="6">
        <v>4.2305999999999999</v>
      </c>
      <c r="M2656" s="6">
        <v>0.2364</v>
      </c>
      <c r="N2656" s="6">
        <v>4.2271000000000001</v>
      </c>
      <c r="O2656" s="6">
        <v>1</v>
      </c>
      <c r="P2656" s="5">
        <v>-3510</v>
      </c>
      <c r="Q2656" s="4" t="s">
        <v>1391</v>
      </c>
    </row>
    <row r="2657" spans="1:17" x14ac:dyDescent="0.3">
      <c r="A2657" s="2" t="s">
        <v>1389</v>
      </c>
      <c r="B2657" s="3">
        <v>158029</v>
      </c>
      <c r="C2657" s="3">
        <v>904366</v>
      </c>
      <c r="D2657" s="4" t="s">
        <v>81</v>
      </c>
      <c r="E2657" s="4" t="s">
        <v>730</v>
      </c>
      <c r="F2657" s="4" t="s">
        <v>87</v>
      </c>
      <c r="G2657" s="4" t="s">
        <v>20</v>
      </c>
      <c r="H2657" s="5">
        <v>500000</v>
      </c>
      <c r="I2657" s="4" t="s">
        <v>21</v>
      </c>
      <c r="J2657" s="5">
        <f t="shared" si="41"/>
        <v>-2115100</v>
      </c>
      <c r="K2657" s="4" t="s">
        <v>51</v>
      </c>
      <c r="L2657" s="6">
        <v>4.2302</v>
      </c>
      <c r="M2657" s="6">
        <v>0.2364</v>
      </c>
      <c r="N2657" s="6">
        <v>4.2271000000000001</v>
      </c>
      <c r="O2657" s="6">
        <v>1</v>
      </c>
      <c r="P2657" s="5">
        <v>-1575</v>
      </c>
      <c r="Q2657" s="4" t="s">
        <v>1396</v>
      </c>
    </row>
    <row r="2658" spans="1:17" x14ac:dyDescent="0.3">
      <c r="A2658" s="2" t="s">
        <v>1389</v>
      </c>
      <c r="B2658" s="3">
        <v>158030</v>
      </c>
      <c r="C2658" s="3">
        <v>904373</v>
      </c>
      <c r="D2658" s="4" t="s">
        <v>81</v>
      </c>
      <c r="E2658" s="4" t="s">
        <v>725</v>
      </c>
      <c r="F2658" s="4" t="s">
        <v>87</v>
      </c>
      <c r="G2658" s="4" t="s">
        <v>20</v>
      </c>
      <c r="H2658" s="5">
        <v>500000</v>
      </c>
      <c r="I2658" s="4" t="s">
        <v>21</v>
      </c>
      <c r="J2658" s="5">
        <f t="shared" si="41"/>
        <v>-2115450</v>
      </c>
      <c r="K2658" s="4" t="s">
        <v>51</v>
      </c>
      <c r="L2658" s="6">
        <v>4.2309000000000001</v>
      </c>
      <c r="M2658" s="6">
        <v>0.2364</v>
      </c>
      <c r="N2658" s="6">
        <v>4.2271000000000001</v>
      </c>
      <c r="O2658" s="6">
        <v>1</v>
      </c>
      <c r="P2658" s="5">
        <v>-1915</v>
      </c>
      <c r="Q2658" s="4" t="s">
        <v>1392</v>
      </c>
    </row>
    <row r="2659" spans="1:17" x14ac:dyDescent="0.3">
      <c r="A2659" s="2" t="s">
        <v>1389</v>
      </c>
      <c r="B2659" s="3">
        <v>158031</v>
      </c>
      <c r="C2659" s="3">
        <v>904380</v>
      </c>
      <c r="D2659" s="4" t="s">
        <v>81</v>
      </c>
      <c r="E2659" s="4" t="s">
        <v>725</v>
      </c>
      <c r="F2659" s="4" t="s">
        <v>87</v>
      </c>
      <c r="G2659" s="4" t="s">
        <v>20</v>
      </c>
      <c r="H2659" s="5">
        <v>500000</v>
      </c>
      <c r="I2659" s="4" t="s">
        <v>21</v>
      </c>
      <c r="J2659" s="5">
        <f t="shared" si="41"/>
        <v>-2115400</v>
      </c>
      <c r="K2659" s="4" t="s">
        <v>51</v>
      </c>
      <c r="L2659" s="6">
        <v>4.2308000000000003</v>
      </c>
      <c r="M2659" s="6">
        <v>0.2364</v>
      </c>
      <c r="N2659" s="6">
        <v>4.2271000000000001</v>
      </c>
      <c r="O2659" s="6">
        <v>1</v>
      </c>
      <c r="P2659" s="5">
        <v>-1830</v>
      </c>
      <c r="Q2659" s="4" t="s">
        <v>1392</v>
      </c>
    </row>
    <row r="2660" spans="1:17" x14ac:dyDescent="0.3">
      <c r="A2660" s="2" t="s">
        <v>1389</v>
      </c>
      <c r="B2660" s="3">
        <v>158034</v>
      </c>
      <c r="C2660" s="3">
        <v>904396</v>
      </c>
      <c r="D2660" s="4" t="s">
        <v>81</v>
      </c>
      <c r="E2660" s="4" t="s">
        <v>733</v>
      </c>
      <c r="F2660" s="4" t="s">
        <v>83</v>
      </c>
      <c r="G2660" s="4" t="s">
        <v>20</v>
      </c>
      <c r="H2660" s="5">
        <v>-500000</v>
      </c>
      <c r="I2660" s="4" t="s">
        <v>21</v>
      </c>
      <c r="J2660" s="5">
        <f t="shared" si="41"/>
        <v>2115700</v>
      </c>
      <c r="K2660" s="4" t="s">
        <v>51</v>
      </c>
      <c r="L2660" s="6">
        <v>4.2313999999999998</v>
      </c>
      <c r="M2660" s="6">
        <v>0.23630000000000001</v>
      </c>
      <c r="N2660" s="6">
        <v>4.2271000000000001</v>
      </c>
      <c r="O2660" s="6">
        <v>1</v>
      </c>
      <c r="P2660" s="5">
        <v>2170</v>
      </c>
      <c r="Q2660" s="4" t="s">
        <v>1391</v>
      </c>
    </row>
    <row r="2661" spans="1:17" x14ac:dyDescent="0.3">
      <c r="A2661" s="2" t="s">
        <v>1389</v>
      </c>
      <c r="B2661" s="3">
        <v>158037</v>
      </c>
      <c r="C2661" s="3">
        <v>904415</v>
      </c>
      <c r="D2661" s="4" t="s">
        <v>81</v>
      </c>
      <c r="E2661" s="4" t="s">
        <v>735</v>
      </c>
      <c r="F2661" s="4" t="s">
        <v>83</v>
      </c>
      <c r="G2661" s="4" t="s">
        <v>20</v>
      </c>
      <c r="H2661" s="5">
        <v>-2000000</v>
      </c>
      <c r="I2661" s="4" t="s">
        <v>21</v>
      </c>
      <c r="J2661" s="5">
        <f t="shared" si="41"/>
        <v>8463000</v>
      </c>
      <c r="K2661" s="4" t="s">
        <v>51</v>
      </c>
      <c r="L2661" s="6">
        <v>4.2314999999999996</v>
      </c>
      <c r="M2661" s="6">
        <v>0.23630000000000001</v>
      </c>
      <c r="N2661" s="6">
        <v>4.2271000000000001</v>
      </c>
      <c r="O2661" s="6">
        <v>1</v>
      </c>
      <c r="P2661" s="5">
        <v>8800</v>
      </c>
      <c r="Q2661" s="4" t="s">
        <v>1394</v>
      </c>
    </row>
    <row r="2662" spans="1:17" x14ac:dyDescent="0.3">
      <c r="A2662" s="2" t="s">
        <v>1389</v>
      </c>
      <c r="B2662" s="3">
        <v>158039</v>
      </c>
      <c r="C2662" s="3">
        <v>904419</v>
      </c>
      <c r="D2662" s="4" t="s">
        <v>81</v>
      </c>
      <c r="E2662" s="4" t="s">
        <v>742</v>
      </c>
      <c r="F2662" s="4" t="s">
        <v>87</v>
      </c>
      <c r="G2662" s="4" t="s">
        <v>20</v>
      </c>
      <c r="H2662" s="5">
        <v>600000</v>
      </c>
      <c r="I2662" s="4" t="s">
        <v>80</v>
      </c>
      <c r="J2662" s="5">
        <f t="shared" si="41"/>
        <v>-4894800</v>
      </c>
      <c r="K2662" s="4" t="s">
        <v>51</v>
      </c>
      <c r="L2662" s="6">
        <v>8.1579999999999995</v>
      </c>
      <c r="M2662" s="6">
        <v>0.1226</v>
      </c>
      <c r="N2662" s="6">
        <v>4.2271000000000001</v>
      </c>
      <c r="O2662" s="6">
        <v>0.51859999999999995</v>
      </c>
      <c r="P2662" s="5">
        <v>-2186.3915999999999</v>
      </c>
      <c r="Q2662" s="4" t="s">
        <v>1396</v>
      </c>
    </row>
    <row r="2663" spans="1:17" x14ac:dyDescent="0.3">
      <c r="A2663" s="2" t="s">
        <v>1389</v>
      </c>
      <c r="B2663" s="3">
        <v>158041</v>
      </c>
      <c r="C2663" s="3">
        <v>218718</v>
      </c>
      <c r="D2663" s="4" t="s">
        <v>17</v>
      </c>
      <c r="E2663" s="4" t="s">
        <v>921</v>
      </c>
      <c r="F2663" s="4" t="s">
        <v>19</v>
      </c>
      <c r="G2663" s="4" t="s">
        <v>20</v>
      </c>
      <c r="H2663" s="5">
        <v>80000</v>
      </c>
      <c r="I2663" s="4" t="s">
        <v>21</v>
      </c>
      <c r="J2663" s="5">
        <f t="shared" si="41"/>
        <v>-337879.99999999994</v>
      </c>
      <c r="K2663" s="4" t="s">
        <v>39</v>
      </c>
      <c r="L2663" s="6">
        <v>4.2234999999999996</v>
      </c>
      <c r="M2663" s="6">
        <v>0.23680000000000001</v>
      </c>
      <c r="N2663" s="6">
        <v>4.2230999999999996</v>
      </c>
      <c r="O2663" s="6">
        <v>1</v>
      </c>
      <c r="P2663" s="5">
        <v>-32</v>
      </c>
      <c r="Q2663" s="4" t="s">
        <v>1390</v>
      </c>
    </row>
    <row r="2664" spans="1:17" x14ac:dyDescent="0.3">
      <c r="A2664" s="2" t="s">
        <v>1389</v>
      </c>
      <c r="B2664" s="3">
        <v>158043</v>
      </c>
      <c r="C2664" s="3">
        <v>218722</v>
      </c>
      <c r="D2664" s="4" t="s">
        <v>17</v>
      </c>
      <c r="E2664" s="4" t="s">
        <v>763</v>
      </c>
      <c r="F2664" s="4" t="s">
        <v>19</v>
      </c>
      <c r="G2664" s="4" t="s">
        <v>20</v>
      </c>
      <c r="H2664" s="5">
        <v>5000</v>
      </c>
      <c r="I2664" s="4" t="s">
        <v>21</v>
      </c>
      <c r="J2664" s="5">
        <f t="shared" si="41"/>
        <v>-21092.5</v>
      </c>
      <c r="K2664" s="4" t="s">
        <v>39</v>
      </c>
      <c r="L2664" s="6">
        <v>4.2184999999999997</v>
      </c>
      <c r="M2664" s="6">
        <v>0.23710000000000001</v>
      </c>
      <c r="N2664" s="6">
        <v>4.2230999999999996</v>
      </c>
      <c r="O2664" s="6">
        <v>1</v>
      </c>
      <c r="P2664" s="5">
        <v>22.999999999996362</v>
      </c>
      <c r="Q2664" s="4" t="s">
        <v>1390</v>
      </c>
    </row>
    <row r="2665" spans="1:17" x14ac:dyDescent="0.3">
      <c r="A2665" s="2" t="s">
        <v>1389</v>
      </c>
      <c r="B2665" s="3">
        <v>158046</v>
      </c>
      <c r="C2665" s="3">
        <v>904476</v>
      </c>
      <c r="D2665" s="4" t="s">
        <v>81</v>
      </c>
      <c r="E2665" s="4" t="s">
        <v>735</v>
      </c>
      <c r="F2665" s="4" t="s">
        <v>83</v>
      </c>
      <c r="G2665" s="4" t="s">
        <v>20</v>
      </c>
      <c r="H2665" s="5">
        <v>-3000000</v>
      </c>
      <c r="I2665" s="4" t="s">
        <v>21</v>
      </c>
      <c r="J2665" s="5">
        <f t="shared" si="41"/>
        <v>12694499.999999998</v>
      </c>
      <c r="K2665" s="4" t="s">
        <v>51</v>
      </c>
      <c r="L2665" s="6">
        <v>4.2314999999999996</v>
      </c>
      <c r="M2665" s="6">
        <v>0.23630000000000001</v>
      </c>
      <c r="N2665" s="6">
        <v>4.2271000000000001</v>
      </c>
      <c r="O2665" s="6">
        <v>1</v>
      </c>
      <c r="P2665" s="5">
        <v>13200</v>
      </c>
      <c r="Q2665" s="4" t="s">
        <v>1394</v>
      </c>
    </row>
    <row r="2666" spans="1:17" x14ac:dyDescent="0.3">
      <c r="A2666" s="2" t="s">
        <v>1389</v>
      </c>
      <c r="B2666" s="3">
        <v>158047</v>
      </c>
      <c r="C2666" s="3">
        <v>904494</v>
      </c>
      <c r="D2666" s="4" t="s">
        <v>81</v>
      </c>
      <c r="E2666" s="4" t="s">
        <v>732</v>
      </c>
      <c r="F2666" s="4" t="s">
        <v>87</v>
      </c>
      <c r="G2666" s="4" t="s">
        <v>20</v>
      </c>
      <c r="H2666" s="5">
        <v>500000</v>
      </c>
      <c r="I2666" s="4" t="s">
        <v>21</v>
      </c>
      <c r="J2666" s="5">
        <f t="shared" si="41"/>
        <v>-2115000</v>
      </c>
      <c r="K2666" s="4" t="s">
        <v>51</v>
      </c>
      <c r="L2666" s="6">
        <v>4.2300000000000004</v>
      </c>
      <c r="M2666" s="6">
        <v>0.2364</v>
      </c>
      <c r="N2666" s="6">
        <v>4.2271000000000001</v>
      </c>
      <c r="O2666" s="6">
        <v>1</v>
      </c>
      <c r="P2666" s="5">
        <v>-1450</v>
      </c>
      <c r="Q2666" s="4" t="s">
        <v>1394</v>
      </c>
    </row>
    <row r="2667" spans="1:17" x14ac:dyDescent="0.3">
      <c r="A2667" s="2" t="s">
        <v>1389</v>
      </c>
      <c r="B2667" s="3">
        <v>158048</v>
      </c>
      <c r="C2667" s="3">
        <v>904495</v>
      </c>
      <c r="D2667" s="4" t="s">
        <v>81</v>
      </c>
      <c r="E2667" s="4" t="s">
        <v>732</v>
      </c>
      <c r="F2667" s="4" t="s">
        <v>87</v>
      </c>
      <c r="G2667" s="4" t="s">
        <v>20</v>
      </c>
      <c r="H2667" s="5">
        <v>500000</v>
      </c>
      <c r="I2667" s="4" t="s">
        <v>21</v>
      </c>
      <c r="J2667" s="5">
        <f t="shared" si="41"/>
        <v>-2115050</v>
      </c>
      <c r="K2667" s="4" t="s">
        <v>51</v>
      </c>
      <c r="L2667" s="6">
        <v>4.2301000000000002</v>
      </c>
      <c r="M2667" s="6">
        <v>0.2364</v>
      </c>
      <c r="N2667" s="6">
        <v>4.2271000000000001</v>
      </c>
      <c r="O2667" s="6">
        <v>1</v>
      </c>
      <c r="P2667" s="5">
        <v>-1500</v>
      </c>
      <c r="Q2667" s="4" t="s">
        <v>1394</v>
      </c>
    </row>
    <row r="2668" spans="1:17" x14ac:dyDescent="0.3">
      <c r="A2668" s="2" t="s">
        <v>1389</v>
      </c>
      <c r="B2668" s="3">
        <v>158049</v>
      </c>
      <c r="C2668" s="3">
        <v>218725</v>
      </c>
      <c r="D2668" s="4" t="s">
        <v>17</v>
      </c>
      <c r="E2668" s="4" t="s">
        <v>1104</v>
      </c>
      <c r="F2668" s="4" t="s">
        <v>19</v>
      </c>
      <c r="G2668" s="4" t="s">
        <v>20</v>
      </c>
      <c r="H2668" s="5">
        <v>15000</v>
      </c>
      <c r="I2668" s="4" t="s">
        <v>21</v>
      </c>
      <c r="J2668" s="5">
        <f t="shared" si="41"/>
        <v>-63390</v>
      </c>
      <c r="K2668" s="4" t="s">
        <v>39</v>
      </c>
      <c r="L2668" s="6">
        <v>4.226</v>
      </c>
      <c r="M2668" s="6">
        <v>0.2366</v>
      </c>
      <c r="N2668" s="6">
        <v>4.2230999999999996</v>
      </c>
      <c r="O2668" s="6">
        <v>1</v>
      </c>
      <c r="P2668" s="5">
        <v>-43.500000000007276</v>
      </c>
      <c r="Q2668" s="4" t="s">
        <v>1390</v>
      </c>
    </row>
    <row r="2669" spans="1:17" x14ac:dyDescent="0.3">
      <c r="A2669" s="2" t="s">
        <v>1389</v>
      </c>
      <c r="B2669" s="3">
        <v>158050</v>
      </c>
      <c r="C2669" s="3">
        <v>904499</v>
      </c>
      <c r="D2669" s="4" t="s">
        <v>81</v>
      </c>
      <c r="E2669" s="4" t="s">
        <v>732</v>
      </c>
      <c r="F2669" s="4" t="s">
        <v>87</v>
      </c>
      <c r="G2669" s="4" t="s">
        <v>20</v>
      </c>
      <c r="H2669" s="5">
        <v>500000</v>
      </c>
      <c r="I2669" s="4" t="s">
        <v>21</v>
      </c>
      <c r="J2669" s="5">
        <f t="shared" si="41"/>
        <v>-2114600</v>
      </c>
      <c r="K2669" s="4" t="s">
        <v>51</v>
      </c>
      <c r="L2669" s="6">
        <v>4.2291999999999996</v>
      </c>
      <c r="M2669" s="6">
        <v>0.23649999999999999</v>
      </c>
      <c r="N2669" s="6">
        <v>4.2271000000000001</v>
      </c>
      <c r="O2669" s="6">
        <v>1</v>
      </c>
      <c r="P2669" s="5">
        <v>-1040</v>
      </c>
      <c r="Q2669" s="4" t="s">
        <v>1394</v>
      </c>
    </row>
    <row r="2670" spans="1:17" x14ac:dyDescent="0.3">
      <c r="A2670" s="2" t="s">
        <v>1389</v>
      </c>
      <c r="B2670" s="3">
        <v>158051</v>
      </c>
      <c r="C2670" s="3">
        <v>904500</v>
      </c>
      <c r="D2670" s="4" t="s">
        <v>81</v>
      </c>
      <c r="E2670" s="4" t="s">
        <v>734</v>
      </c>
      <c r="F2670" s="4" t="s">
        <v>83</v>
      </c>
      <c r="G2670" s="4" t="s">
        <v>20</v>
      </c>
      <c r="H2670" s="5">
        <v>-1000000</v>
      </c>
      <c r="I2670" s="4" t="s">
        <v>21</v>
      </c>
      <c r="J2670" s="5">
        <f t="shared" si="41"/>
        <v>4231500</v>
      </c>
      <c r="K2670" s="4" t="s">
        <v>51</v>
      </c>
      <c r="L2670" s="6">
        <v>4.2314999999999996</v>
      </c>
      <c r="M2670" s="6">
        <v>0.23630000000000001</v>
      </c>
      <c r="N2670" s="6">
        <v>4.2271000000000001</v>
      </c>
      <c r="O2670" s="6">
        <v>1</v>
      </c>
      <c r="P2670" s="5">
        <v>4400</v>
      </c>
      <c r="Q2670" s="4" t="s">
        <v>1393</v>
      </c>
    </row>
    <row r="2671" spans="1:17" x14ac:dyDescent="0.3">
      <c r="A2671" s="2" t="s">
        <v>1389</v>
      </c>
      <c r="B2671" s="3">
        <v>158052</v>
      </c>
      <c r="C2671" s="3">
        <v>904501</v>
      </c>
      <c r="D2671" s="4" t="s">
        <v>81</v>
      </c>
      <c r="E2671" s="4" t="s">
        <v>732</v>
      </c>
      <c r="F2671" s="4" t="s">
        <v>87</v>
      </c>
      <c r="G2671" s="4" t="s">
        <v>20</v>
      </c>
      <c r="H2671" s="5">
        <v>500000</v>
      </c>
      <c r="I2671" s="4" t="s">
        <v>21</v>
      </c>
      <c r="J2671" s="5">
        <f t="shared" si="41"/>
        <v>-2114650</v>
      </c>
      <c r="K2671" s="4" t="s">
        <v>51</v>
      </c>
      <c r="L2671" s="6">
        <v>4.2293000000000003</v>
      </c>
      <c r="M2671" s="6">
        <v>0.2364</v>
      </c>
      <c r="N2671" s="6">
        <v>4.2271000000000001</v>
      </c>
      <c r="O2671" s="6">
        <v>1</v>
      </c>
      <c r="P2671" s="5">
        <v>-1100</v>
      </c>
      <c r="Q2671" s="4" t="s">
        <v>1394</v>
      </c>
    </row>
    <row r="2672" spans="1:17" x14ac:dyDescent="0.3">
      <c r="A2672" s="2" t="s">
        <v>1389</v>
      </c>
      <c r="B2672" s="3">
        <v>158053</v>
      </c>
      <c r="C2672" s="3">
        <v>904502</v>
      </c>
      <c r="D2672" s="4" t="s">
        <v>81</v>
      </c>
      <c r="E2672" s="4" t="s">
        <v>732</v>
      </c>
      <c r="F2672" s="4" t="s">
        <v>87</v>
      </c>
      <c r="G2672" s="4" t="s">
        <v>20</v>
      </c>
      <c r="H2672" s="5">
        <v>500000</v>
      </c>
      <c r="I2672" s="4" t="s">
        <v>21</v>
      </c>
      <c r="J2672" s="5">
        <f t="shared" si="41"/>
        <v>-2114650</v>
      </c>
      <c r="K2672" s="4" t="s">
        <v>51</v>
      </c>
      <c r="L2672" s="6">
        <v>4.2293000000000003</v>
      </c>
      <c r="M2672" s="6">
        <v>0.2364</v>
      </c>
      <c r="N2672" s="6">
        <v>4.2271000000000001</v>
      </c>
      <c r="O2672" s="6">
        <v>1</v>
      </c>
      <c r="P2672" s="5">
        <v>-1100</v>
      </c>
      <c r="Q2672" s="4" t="s">
        <v>1394</v>
      </c>
    </row>
    <row r="2673" spans="1:17" x14ac:dyDescent="0.3">
      <c r="A2673" s="2" t="s">
        <v>1389</v>
      </c>
      <c r="B2673" s="3">
        <v>158054</v>
      </c>
      <c r="C2673" s="3">
        <v>904503</v>
      </c>
      <c r="D2673" s="4" t="s">
        <v>81</v>
      </c>
      <c r="E2673" s="4" t="s">
        <v>732</v>
      </c>
      <c r="F2673" s="4" t="s">
        <v>87</v>
      </c>
      <c r="G2673" s="4" t="s">
        <v>20</v>
      </c>
      <c r="H2673" s="5">
        <v>500000</v>
      </c>
      <c r="I2673" s="4" t="s">
        <v>21</v>
      </c>
      <c r="J2673" s="5">
        <f t="shared" si="41"/>
        <v>-2114700</v>
      </c>
      <c r="K2673" s="4" t="s">
        <v>51</v>
      </c>
      <c r="L2673" s="6">
        <v>4.2294</v>
      </c>
      <c r="M2673" s="6">
        <v>0.2364</v>
      </c>
      <c r="N2673" s="6">
        <v>4.2271000000000001</v>
      </c>
      <c r="O2673" s="6">
        <v>1</v>
      </c>
      <c r="P2673" s="5">
        <v>-1135</v>
      </c>
      <c r="Q2673" s="4" t="s">
        <v>1394</v>
      </c>
    </row>
    <row r="2674" spans="1:17" x14ac:dyDescent="0.3">
      <c r="A2674" s="2" t="s">
        <v>1389</v>
      </c>
      <c r="B2674" s="3">
        <v>158055</v>
      </c>
      <c r="C2674" s="3">
        <v>904504</v>
      </c>
      <c r="D2674" s="4" t="s">
        <v>81</v>
      </c>
      <c r="E2674" s="4" t="s">
        <v>733</v>
      </c>
      <c r="F2674" s="4" t="s">
        <v>87</v>
      </c>
      <c r="G2674" s="4" t="s">
        <v>34</v>
      </c>
      <c r="H2674" s="5">
        <v>500000</v>
      </c>
      <c r="I2674" s="4" t="s">
        <v>21</v>
      </c>
      <c r="J2674" s="5">
        <f t="shared" si="41"/>
        <v>-1802800</v>
      </c>
      <c r="K2674" s="4" t="s">
        <v>51</v>
      </c>
      <c r="L2674" s="6">
        <v>3.6055999999999999</v>
      </c>
      <c r="M2674" s="6">
        <v>0.27729999999999999</v>
      </c>
      <c r="N2674" s="6">
        <v>3.6118000000000001</v>
      </c>
      <c r="O2674" s="6">
        <v>1</v>
      </c>
      <c r="P2674" s="5">
        <v>3110</v>
      </c>
      <c r="Q2674" s="4" t="s">
        <v>1391</v>
      </c>
    </row>
    <row r="2675" spans="1:17" x14ac:dyDescent="0.3">
      <c r="A2675" s="2" t="s">
        <v>1389</v>
      </c>
      <c r="B2675" s="3">
        <v>158056</v>
      </c>
      <c r="C2675" s="3">
        <v>218728</v>
      </c>
      <c r="D2675" s="4" t="s">
        <v>17</v>
      </c>
      <c r="E2675" s="4" t="s">
        <v>1047</v>
      </c>
      <c r="F2675" s="4" t="s">
        <v>32</v>
      </c>
      <c r="G2675" s="4" t="s">
        <v>34</v>
      </c>
      <c r="H2675" s="5">
        <v>-100000</v>
      </c>
      <c r="I2675" s="4" t="s">
        <v>21</v>
      </c>
      <c r="J2675" s="5">
        <f t="shared" si="41"/>
        <v>361200</v>
      </c>
      <c r="K2675" s="4" t="s">
        <v>39</v>
      </c>
      <c r="L2675" s="6">
        <v>3.6120000000000001</v>
      </c>
      <c r="M2675" s="6">
        <v>0.27689999999999998</v>
      </c>
      <c r="N2675" s="6">
        <v>3.6345999999999998</v>
      </c>
      <c r="O2675" s="6">
        <v>1</v>
      </c>
      <c r="P2675" s="5">
        <v>-2260</v>
      </c>
      <c r="Q2675" s="4" t="s">
        <v>1390</v>
      </c>
    </row>
    <row r="2676" spans="1:17" x14ac:dyDescent="0.3">
      <c r="A2676" s="2" t="s">
        <v>1389</v>
      </c>
      <c r="B2676" s="3">
        <v>158057</v>
      </c>
      <c r="C2676" s="3">
        <v>904515</v>
      </c>
      <c r="D2676" s="4" t="s">
        <v>81</v>
      </c>
      <c r="E2676" s="4" t="s">
        <v>732</v>
      </c>
      <c r="F2676" s="4" t="s">
        <v>87</v>
      </c>
      <c r="G2676" s="4" t="s">
        <v>20</v>
      </c>
      <c r="H2676" s="5">
        <v>500000</v>
      </c>
      <c r="I2676" s="4" t="s">
        <v>21</v>
      </c>
      <c r="J2676" s="5">
        <f t="shared" si="41"/>
        <v>-2114800</v>
      </c>
      <c r="K2676" s="4" t="s">
        <v>51</v>
      </c>
      <c r="L2676" s="6">
        <v>4.2295999999999996</v>
      </c>
      <c r="M2676" s="6">
        <v>0.2364</v>
      </c>
      <c r="N2676" s="6">
        <v>4.2271000000000001</v>
      </c>
      <c r="O2676" s="6">
        <v>1</v>
      </c>
      <c r="P2676" s="5">
        <v>-1250</v>
      </c>
      <c r="Q2676" s="4" t="s">
        <v>1394</v>
      </c>
    </row>
    <row r="2677" spans="1:17" x14ac:dyDescent="0.3">
      <c r="A2677" s="2" t="s">
        <v>1389</v>
      </c>
      <c r="B2677" s="3">
        <v>158058</v>
      </c>
      <c r="C2677" s="3">
        <v>904516</v>
      </c>
      <c r="D2677" s="4" t="s">
        <v>81</v>
      </c>
      <c r="E2677" s="4" t="s">
        <v>735</v>
      </c>
      <c r="F2677" s="4" t="s">
        <v>87</v>
      </c>
      <c r="G2677" s="4" t="s">
        <v>20</v>
      </c>
      <c r="H2677" s="5">
        <v>500000</v>
      </c>
      <c r="I2677" s="4" t="s">
        <v>21</v>
      </c>
      <c r="J2677" s="5">
        <f t="shared" si="41"/>
        <v>-2114800</v>
      </c>
      <c r="K2677" s="4" t="s">
        <v>51</v>
      </c>
      <c r="L2677" s="6">
        <v>4.2295999999999996</v>
      </c>
      <c r="M2677" s="6">
        <v>0.2364</v>
      </c>
      <c r="N2677" s="6">
        <v>4.2271000000000001</v>
      </c>
      <c r="O2677" s="6">
        <v>1</v>
      </c>
      <c r="P2677" s="5">
        <v>-1250</v>
      </c>
      <c r="Q2677" s="4" t="s">
        <v>1394</v>
      </c>
    </row>
    <row r="2678" spans="1:17" x14ac:dyDescent="0.3">
      <c r="A2678" s="2" t="s">
        <v>1389</v>
      </c>
      <c r="B2678" s="3">
        <v>158059</v>
      </c>
      <c r="C2678" s="3">
        <v>904517</v>
      </c>
      <c r="D2678" s="4" t="s">
        <v>81</v>
      </c>
      <c r="E2678" s="4" t="s">
        <v>725</v>
      </c>
      <c r="F2678" s="4" t="s">
        <v>87</v>
      </c>
      <c r="G2678" s="4" t="s">
        <v>20</v>
      </c>
      <c r="H2678" s="5">
        <v>500000</v>
      </c>
      <c r="I2678" s="4" t="s">
        <v>21</v>
      </c>
      <c r="J2678" s="5">
        <f t="shared" si="41"/>
        <v>-2114750</v>
      </c>
      <c r="K2678" s="4" t="s">
        <v>51</v>
      </c>
      <c r="L2678" s="6">
        <v>4.2294999999999998</v>
      </c>
      <c r="M2678" s="6">
        <v>0.2364</v>
      </c>
      <c r="N2678" s="6">
        <v>4.2271000000000001</v>
      </c>
      <c r="O2678" s="6">
        <v>1</v>
      </c>
      <c r="P2678" s="5">
        <v>-1225</v>
      </c>
      <c r="Q2678" s="4" t="s">
        <v>1392</v>
      </c>
    </row>
    <row r="2679" spans="1:17" x14ac:dyDescent="0.3">
      <c r="A2679" s="2" t="s">
        <v>1389</v>
      </c>
      <c r="B2679" s="3">
        <v>158060</v>
      </c>
      <c r="C2679" s="3">
        <v>904518</v>
      </c>
      <c r="D2679" s="4" t="s">
        <v>81</v>
      </c>
      <c r="E2679" s="4" t="s">
        <v>735</v>
      </c>
      <c r="F2679" s="4" t="s">
        <v>87</v>
      </c>
      <c r="G2679" s="4" t="s">
        <v>20</v>
      </c>
      <c r="H2679" s="5">
        <v>500000</v>
      </c>
      <c r="I2679" s="4" t="s">
        <v>21</v>
      </c>
      <c r="J2679" s="5">
        <f t="shared" si="41"/>
        <v>-2114500</v>
      </c>
      <c r="K2679" s="4" t="s">
        <v>51</v>
      </c>
      <c r="L2679" s="6">
        <v>4.2290000000000001</v>
      </c>
      <c r="M2679" s="6">
        <v>0.23649999999999999</v>
      </c>
      <c r="N2679" s="6">
        <v>4.2271000000000001</v>
      </c>
      <c r="O2679" s="6">
        <v>1</v>
      </c>
      <c r="P2679" s="5">
        <v>-950</v>
      </c>
      <c r="Q2679" s="4" t="s">
        <v>1394</v>
      </c>
    </row>
    <row r="2680" spans="1:17" x14ac:dyDescent="0.3">
      <c r="A2680" s="2" t="s">
        <v>1389</v>
      </c>
      <c r="B2680" s="3">
        <v>158061</v>
      </c>
      <c r="C2680" s="3">
        <v>904519</v>
      </c>
      <c r="D2680" s="4" t="s">
        <v>81</v>
      </c>
      <c r="E2680" s="4" t="s">
        <v>725</v>
      </c>
      <c r="F2680" s="4" t="s">
        <v>87</v>
      </c>
      <c r="G2680" s="4" t="s">
        <v>20</v>
      </c>
      <c r="H2680" s="5">
        <v>500000</v>
      </c>
      <c r="I2680" s="4" t="s">
        <v>21</v>
      </c>
      <c r="J2680" s="5">
        <f t="shared" si="41"/>
        <v>-2114500</v>
      </c>
      <c r="K2680" s="4" t="s">
        <v>51</v>
      </c>
      <c r="L2680" s="6">
        <v>4.2290000000000001</v>
      </c>
      <c r="M2680" s="6">
        <v>0.23649999999999999</v>
      </c>
      <c r="N2680" s="6">
        <v>4.2271000000000001</v>
      </c>
      <c r="O2680" s="6">
        <v>1</v>
      </c>
      <c r="P2680" s="5">
        <v>-925</v>
      </c>
      <c r="Q2680" s="4" t="s">
        <v>1392</v>
      </c>
    </row>
    <row r="2681" spans="1:17" x14ac:dyDescent="0.3">
      <c r="A2681" s="2" t="s">
        <v>1389</v>
      </c>
      <c r="B2681" s="3">
        <v>158062</v>
      </c>
      <c r="C2681" s="3">
        <v>904520</v>
      </c>
      <c r="D2681" s="4" t="s">
        <v>81</v>
      </c>
      <c r="E2681" s="4" t="s">
        <v>725</v>
      </c>
      <c r="F2681" s="4" t="s">
        <v>87</v>
      </c>
      <c r="G2681" s="4" t="s">
        <v>20</v>
      </c>
      <c r="H2681" s="5">
        <v>500000</v>
      </c>
      <c r="I2681" s="4" t="s">
        <v>21</v>
      </c>
      <c r="J2681" s="5">
        <f t="shared" si="41"/>
        <v>-2114500</v>
      </c>
      <c r="K2681" s="4" t="s">
        <v>51</v>
      </c>
      <c r="L2681" s="6">
        <v>4.2290000000000001</v>
      </c>
      <c r="M2681" s="6">
        <v>0.23649999999999999</v>
      </c>
      <c r="N2681" s="6">
        <v>4.2271000000000001</v>
      </c>
      <c r="O2681" s="6">
        <v>1</v>
      </c>
      <c r="P2681" s="5">
        <v>-965</v>
      </c>
      <c r="Q2681" s="4" t="s">
        <v>1392</v>
      </c>
    </row>
    <row r="2682" spans="1:17" x14ac:dyDescent="0.3">
      <c r="A2682" s="2" t="s">
        <v>1389</v>
      </c>
      <c r="B2682" s="3">
        <v>158063</v>
      </c>
      <c r="C2682" s="3">
        <v>218729</v>
      </c>
      <c r="D2682" s="4" t="s">
        <v>17</v>
      </c>
      <c r="E2682" s="4" t="s">
        <v>970</v>
      </c>
      <c r="F2682" s="4" t="s">
        <v>19</v>
      </c>
      <c r="G2682" s="4" t="s">
        <v>20</v>
      </c>
      <c r="H2682" s="5">
        <v>20000</v>
      </c>
      <c r="I2682" s="4" t="s">
        <v>21</v>
      </c>
      <c r="J2682" s="5">
        <f t="shared" si="41"/>
        <v>-84430</v>
      </c>
      <c r="K2682" s="4" t="s">
        <v>39</v>
      </c>
      <c r="L2682" s="6">
        <v>4.2214999999999998</v>
      </c>
      <c r="M2682" s="6">
        <v>0.2369</v>
      </c>
      <c r="N2682" s="6">
        <v>4.2230999999999996</v>
      </c>
      <c r="O2682" s="6">
        <v>1</v>
      </c>
      <c r="P2682" s="5">
        <v>31.999999999985448</v>
      </c>
      <c r="Q2682" s="4" t="s">
        <v>1390</v>
      </c>
    </row>
    <row r="2683" spans="1:17" x14ac:dyDescent="0.3">
      <c r="A2683" s="2" t="s">
        <v>1389</v>
      </c>
      <c r="B2683" s="3">
        <v>158064</v>
      </c>
      <c r="C2683" s="3">
        <v>904531</v>
      </c>
      <c r="D2683" s="4" t="s">
        <v>81</v>
      </c>
      <c r="E2683" s="4" t="s">
        <v>735</v>
      </c>
      <c r="F2683" s="4" t="s">
        <v>83</v>
      </c>
      <c r="G2683" s="4" t="s">
        <v>20</v>
      </c>
      <c r="H2683" s="5">
        <v>-600000</v>
      </c>
      <c r="I2683" s="4" t="s">
        <v>93</v>
      </c>
      <c r="J2683" s="5">
        <f t="shared" si="41"/>
        <v>556080</v>
      </c>
      <c r="K2683" s="4" t="s">
        <v>51</v>
      </c>
      <c r="L2683" s="6">
        <v>0.92679999999999996</v>
      </c>
      <c r="M2683" s="6">
        <v>1.0789</v>
      </c>
      <c r="N2683" s="6">
        <v>4.2271000000000001</v>
      </c>
      <c r="O2683" s="6">
        <v>4.5552999999999999</v>
      </c>
      <c r="P2683" s="5">
        <v>-3039.4488000000001</v>
      </c>
      <c r="Q2683" s="4" t="s">
        <v>1394</v>
      </c>
    </row>
    <row r="2684" spans="1:17" x14ac:dyDescent="0.3">
      <c r="A2684" s="2" t="s">
        <v>1389</v>
      </c>
      <c r="B2684" s="3">
        <v>158066</v>
      </c>
      <c r="C2684" s="3">
        <v>904534</v>
      </c>
      <c r="D2684" s="4" t="s">
        <v>81</v>
      </c>
      <c r="E2684" s="4" t="s">
        <v>732</v>
      </c>
      <c r="F2684" s="4" t="s">
        <v>83</v>
      </c>
      <c r="G2684" s="4" t="s">
        <v>34</v>
      </c>
      <c r="H2684" s="5">
        <v>-500000</v>
      </c>
      <c r="I2684" s="4" t="s">
        <v>21</v>
      </c>
      <c r="J2684" s="5">
        <f t="shared" si="41"/>
        <v>1803200</v>
      </c>
      <c r="K2684" s="4" t="s">
        <v>51</v>
      </c>
      <c r="L2684" s="6">
        <v>3.6063999999999998</v>
      </c>
      <c r="M2684" s="6">
        <v>0.27729999999999999</v>
      </c>
      <c r="N2684" s="6">
        <v>3.6118000000000001</v>
      </c>
      <c r="O2684" s="6">
        <v>1</v>
      </c>
      <c r="P2684" s="5">
        <v>-2700</v>
      </c>
      <c r="Q2684" s="4" t="s">
        <v>1394</v>
      </c>
    </row>
    <row r="2685" spans="1:17" x14ac:dyDescent="0.3">
      <c r="A2685" s="2" t="s">
        <v>1389</v>
      </c>
      <c r="B2685" s="3">
        <v>158067</v>
      </c>
      <c r="C2685" s="3">
        <v>904543</v>
      </c>
      <c r="D2685" s="4" t="s">
        <v>81</v>
      </c>
      <c r="E2685" s="4" t="s">
        <v>732</v>
      </c>
      <c r="F2685" s="4" t="s">
        <v>83</v>
      </c>
      <c r="G2685" s="4" t="s">
        <v>20</v>
      </c>
      <c r="H2685" s="5">
        <v>-130000</v>
      </c>
      <c r="I2685" s="4" t="s">
        <v>21</v>
      </c>
      <c r="J2685" s="5">
        <f t="shared" si="41"/>
        <v>549692</v>
      </c>
      <c r="K2685" s="4" t="s">
        <v>51</v>
      </c>
      <c r="L2685" s="6">
        <v>4.2283999999999997</v>
      </c>
      <c r="M2685" s="6">
        <v>0.23649999999999999</v>
      </c>
      <c r="N2685" s="6">
        <v>4.2271000000000001</v>
      </c>
      <c r="O2685" s="6">
        <v>1</v>
      </c>
      <c r="P2685" s="5">
        <v>165.1</v>
      </c>
      <c r="Q2685" s="4" t="s">
        <v>1394</v>
      </c>
    </row>
    <row r="2686" spans="1:17" x14ac:dyDescent="0.3">
      <c r="A2686" s="2" t="s">
        <v>1389</v>
      </c>
      <c r="B2686" s="3">
        <v>158068</v>
      </c>
      <c r="C2686" s="3">
        <v>904544</v>
      </c>
      <c r="D2686" s="4" t="s">
        <v>81</v>
      </c>
      <c r="E2686" s="4" t="s">
        <v>735</v>
      </c>
      <c r="F2686" s="4" t="s">
        <v>83</v>
      </c>
      <c r="G2686" s="4" t="s">
        <v>20</v>
      </c>
      <c r="H2686" s="5">
        <v>-1300000</v>
      </c>
      <c r="I2686" s="4" t="s">
        <v>21</v>
      </c>
      <c r="J2686" s="5">
        <f t="shared" si="41"/>
        <v>5496530.0000000009</v>
      </c>
      <c r="K2686" s="4" t="s">
        <v>51</v>
      </c>
      <c r="L2686" s="6">
        <v>4.2281000000000004</v>
      </c>
      <c r="M2686" s="6">
        <v>0.23649999999999999</v>
      </c>
      <c r="N2686" s="6">
        <v>4.2271000000000001</v>
      </c>
      <c r="O2686" s="6">
        <v>1</v>
      </c>
      <c r="P2686" s="5">
        <v>1300</v>
      </c>
      <c r="Q2686" s="4" t="s">
        <v>1394</v>
      </c>
    </row>
    <row r="2687" spans="1:17" x14ac:dyDescent="0.3">
      <c r="A2687" s="2" t="s">
        <v>1389</v>
      </c>
      <c r="B2687" s="3">
        <v>158069</v>
      </c>
      <c r="C2687" s="3">
        <v>904557</v>
      </c>
      <c r="D2687" s="4" t="s">
        <v>81</v>
      </c>
      <c r="E2687" s="4" t="s">
        <v>725</v>
      </c>
      <c r="F2687" s="4" t="s">
        <v>83</v>
      </c>
      <c r="G2687" s="4" t="s">
        <v>20</v>
      </c>
      <c r="H2687" s="5">
        <v>-100000</v>
      </c>
      <c r="I2687" s="4" t="s">
        <v>91</v>
      </c>
      <c r="J2687" s="5">
        <f t="shared" si="41"/>
        <v>87180</v>
      </c>
      <c r="K2687" s="4" t="s">
        <v>51</v>
      </c>
      <c r="L2687" s="6">
        <v>0.87180000000000002</v>
      </c>
      <c r="M2687" s="6">
        <v>1.147</v>
      </c>
      <c r="N2687" s="6">
        <v>4.2271000000000001</v>
      </c>
      <c r="O2687" s="6">
        <v>4.8433999999999999</v>
      </c>
      <c r="P2687" s="5">
        <v>-447.8578</v>
      </c>
      <c r="Q2687" s="4" t="s">
        <v>1392</v>
      </c>
    </row>
    <row r="2688" spans="1:17" x14ac:dyDescent="0.3">
      <c r="A2688" s="2" t="s">
        <v>1389</v>
      </c>
      <c r="B2688" s="3">
        <v>158071</v>
      </c>
      <c r="C2688" s="3">
        <v>904570</v>
      </c>
      <c r="D2688" s="4" t="s">
        <v>81</v>
      </c>
      <c r="E2688" s="4" t="s">
        <v>744</v>
      </c>
      <c r="F2688" s="4" t="s">
        <v>87</v>
      </c>
      <c r="G2688" s="4" t="s">
        <v>20</v>
      </c>
      <c r="H2688" s="5">
        <v>100000</v>
      </c>
      <c r="I2688" s="4" t="s">
        <v>74</v>
      </c>
      <c r="J2688" s="5">
        <f t="shared" si="41"/>
        <v>-1169820</v>
      </c>
      <c r="K2688" s="4" t="s">
        <v>51</v>
      </c>
      <c r="L2688" s="6">
        <v>11.6982</v>
      </c>
      <c r="M2688" s="6">
        <v>8.5500000000000007E-2</v>
      </c>
      <c r="N2688" s="6">
        <v>4.2271000000000001</v>
      </c>
      <c r="O2688" s="6">
        <v>0.3619</v>
      </c>
      <c r="P2688" s="5">
        <v>-648.58180000000004</v>
      </c>
      <c r="Q2688" s="4" t="s">
        <v>1395</v>
      </c>
    </row>
    <row r="2689" spans="1:17" x14ac:dyDescent="0.3">
      <c r="A2689" s="2" t="s">
        <v>1389</v>
      </c>
      <c r="B2689" s="3">
        <v>158072</v>
      </c>
      <c r="C2689" s="3">
        <v>904596</v>
      </c>
      <c r="D2689" s="4" t="s">
        <v>81</v>
      </c>
      <c r="E2689" s="4" t="s">
        <v>744</v>
      </c>
      <c r="F2689" s="4" t="s">
        <v>87</v>
      </c>
      <c r="G2689" s="4" t="s">
        <v>20</v>
      </c>
      <c r="H2689" s="5">
        <v>100000</v>
      </c>
      <c r="I2689" s="4" t="s">
        <v>74</v>
      </c>
      <c r="J2689" s="5">
        <f t="shared" si="41"/>
        <v>-1169810</v>
      </c>
      <c r="K2689" s="4" t="s">
        <v>51</v>
      </c>
      <c r="L2689" s="6">
        <v>11.6981</v>
      </c>
      <c r="M2689" s="6">
        <v>8.5500000000000007E-2</v>
      </c>
      <c r="N2689" s="6">
        <v>4.2271000000000001</v>
      </c>
      <c r="O2689" s="6">
        <v>0.3619</v>
      </c>
      <c r="P2689" s="5">
        <v>-643.51520000000005</v>
      </c>
      <c r="Q2689" s="4" t="s">
        <v>1395</v>
      </c>
    </row>
    <row r="2690" spans="1:17" x14ac:dyDescent="0.3">
      <c r="A2690" s="2" t="s">
        <v>1389</v>
      </c>
      <c r="B2690" s="3">
        <v>158074</v>
      </c>
      <c r="C2690" s="3">
        <v>904600</v>
      </c>
      <c r="D2690" s="4" t="s">
        <v>81</v>
      </c>
      <c r="E2690" s="4" t="s">
        <v>735</v>
      </c>
      <c r="F2690" s="4" t="s">
        <v>87</v>
      </c>
      <c r="G2690" s="4" t="s">
        <v>20</v>
      </c>
      <c r="H2690" s="5">
        <v>100000</v>
      </c>
      <c r="I2690" s="4" t="s">
        <v>91</v>
      </c>
      <c r="J2690" s="5">
        <f t="shared" si="41"/>
        <v>-87090</v>
      </c>
      <c r="K2690" s="4" t="s">
        <v>51</v>
      </c>
      <c r="L2690" s="6">
        <v>0.87090000000000001</v>
      </c>
      <c r="M2690" s="6">
        <v>1.1482000000000001</v>
      </c>
      <c r="N2690" s="6">
        <v>4.2271000000000001</v>
      </c>
      <c r="O2690" s="6">
        <v>4.8433999999999999</v>
      </c>
      <c r="P2690" s="5">
        <v>888.60720000000003</v>
      </c>
      <c r="Q2690" s="4" t="s">
        <v>1394</v>
      </c>
    </row>
    <row r="2691" spans="1:17" x14ac:dyDescent="0.3">
      <c r="A2691" s="2" t="s">
        <v>1389</v>
      </c>
      <c r="B2691" s="3">
        <v>158075</v>
      </c>
      <c r="C2691" s="3">
        <v>218733</v>
      </c>
      <c r="D2691" s="4" t="s">
        <v>17</v>
      </c>
      <c r="E2691" s="4" t="s">
        <v>1109</v>
      </c>
      <c r="F2691" s="4" t="s">
        <v>19</v>
      </c>
      <c r="G2691" s="4" t="s">
        <v>20</v>
      </c>
      <c r="H2691" s="5">
        <v>120000</v>
      </c>
      <c r="I2691" s="4" t="s">
        <v>21</v>
      </c>
      <c r="J2691" s="5">
        <f t="shared" si="41"/>
        <v>-506819.99999999994</v>
      </c>
      <c r="K2691" s="4" t="s">
        <v>39</v>
      </c>
      <c r="L2691" s="6">
        <v>4.2234999999999996</v>
      </c>
      <c r="M2691" s="6">
        <v>0.23680000000000001</v>
      </c>
      <c r="N2691" s="6">
        <v>4.2230999999999996</v>
      </c>
      <c r="O2691" s="6">
        <v>1</v>
      </c>
      <c r="P2691" s="5">
        <v>-48</v>
      </c>
      <c r="Q2691" s="4" t="s">
        <v>1390</v>
      </c>
    </row>
    <row r="2692" spans="1:17" x14ac:dyDescent="0.3">
      <c r="A2692" s="2" t="s">
        <v>1389</v>
      </c>
      <c r="B2692" s="3">
        <v>158076</v>
      </c>
      <c r="C2692" s="3">
        <v>218736</v>
      </c>
      <c r="D2692" s="4" t="s">
        <v>17</v>
      </c>
      <c r="E2692" s="4" t="s">
        <v>782</v>
      </c>
      <c r="F2692" s="4" t="s">
        <v>19</v>
      </c>
      <c r="G2692" s="4" t="s">
        <v>20</v>
      </c>
      <c r="H2692" s="5">
        <v>24000</v>
      </c>
      <c r="I2692" s="4" t="s">
        <v>21</v>
      </c>
      <c r="J2692" s="5">
        <f t="shared" ref="J2692:J2755" si="42">-H2692*L2692</f>
        <v>-101280</v>
      </c>
      <c r="K2692" s="4" t="s">
        <v>39</v>
      </c>
      <c r="L2692" s="6">
        <v>4.22</v>
      </c>
      <c r="M2692" s="6">
        <v>0.23699999999999999</v>
      </c>
      <c r="N2692" s="6">
        <v>4.2230999999999996</v>
      </c>
      <c r="O2692" s="6">
        <v>1</v>
      </c>
      <c r="P2692" s="5">
        <v>74.399999999994179</v>
      </c>
      <c r="Q2692" s="4" t="s">
        <v>1390</v>
      </c>
    </row>
    <row r="2693" spans="1:17" x14ac:dyDescent="0.3">
      <c r="A2693" s="2" t="s">
        <v>1389</v>
      </c>
      <c r="B2693" s="3">
        <v>158077</v>
      </c>
      <c r="C2693" s="3">
        <v>218743</v>
      </c>
      <c r="D2693" s="4" t="s">
        <v>17</v>
      </c>
      <c r="E2693" s="4" t="s">
        <v>773</v>
      </c>
      <c r="F2693" s="4" t="s">
        <v>19</v>
      </c>
      <c r="G2693" s="4" t="s">
        <v>20</v>
      </c>
      <c r="H2693" s="5">
        <v>32900</v>
      </c>
      <c r="I2693" s="4" t="s">
        <v>21</v>
      </c>
      <c r="J2693" s="5">
        <f t="shared" si="42"/>
        <v>-138752.46</v>
      </c>
      <c r="K2693" s="4" t="s">
        <v>39</v>
      </c>
      <c r="L2693" s="6">
        <v>4.2173999999999996</v>
      </c>
      <c r="M2693" s="6">
        <v>0.23710000000000001</v>
      </c>
      <c r="N2693" s="6">
        <v>4.2230999999999996</v>
      </c>
      <c r="O2693" s="6">
        <v>1</v>
      </c>
      <c r="P2693" s="5">
        <v>187.52999999999884</v>
      </c>
      <c r="Q2693" s="4" t="s">
        <v>1390</v>
      </c>
    </row>
    <row r="2694" spans="1:17" x14ac:dyDescent="0.3">
      <c r="A2694" s="2" t="s">
        <v>1389</v>
      </c>
      <c r="B2694" s="3">
        <v>158078</v>
      </c>
      <c r="C2694" s="3">
        <v>218744</v>
      </c>
      <c r="D2694" s="4" t="s">
        <v>17</v>
      </c>
      <c r="E2694" s="4" t="s">
        <v>1254</v>
      </c>
      <c r="F2694" s="4" t="s">
        <v>19</v>
      </c>
      <c r="G2694" s="4" t="s">
        <v>20</v>
      </c>
      <c r="H2694" s="5">
        <v>30300</v>
      </c>
      <c r="I2694" s="4" t="s">
        <v>21</v>
      </c>
      <c r="J2694" s="5">
        <f t="shared" si="42"/>
        <v>-127787.21999999999</v>
      </c>
      <c r="K2694" s="4" t="s">
        <v>39</v>
      </c>
      <c r="L2694" s="6">
        <v>4.2173999999999996</v>
      </c>
      <c r="M2694" s="6">
        <v>0.23710000000000001</v>
      </c>
      <c r="N2694" s="6">
        <v>4.2230999999999996</v>
      </c>
      <c r="O2694" s="6">
        <v>1</v>
      </c>
      <c r="P2694" s="5">
        <v>172.7100000000064</v>
      </c>
      <c r="Q2694" s="4" t="s">
        <v>1390</v>
      </c>
    </row>
    <row r="2695" spans="1:17" x14ac:dyDescent="0.3">
      <c r="A2695" s="2" t="s">
        <v>1389</v>
      </c>
      <c r="B2695" s="3">
        <v>158079</v>
      </c>
      <c r="C2695" s="3">
        <v>218746</v>
      </c>
      <c r="D2695" s="4" t="s">
        <v>17</v>
      </c>
      <c r="E2695" s="4" t="s">
        <v>1034</v>
      </c>
      <c r="F2695" s="4" t="s">
        <v>19</v>
      </c>
      <c r="G2695" s="4" t="s">
        <v>20</v>
      </c>
      <c r="H2695" s="5">
        <v>5000</v>
      </c>
      <c r="I2695" s="4" t="s">
        <v>21</v>
      </c>
      <c r="J2695" s="5">
        <f t="shared" si="42"/>
        <v>-21085.5</v>
      </c>
      <c r="K2695" s="4" t="s">
        <v>39</v>
      </c>
      <c r="L2695" s="6">
        <v>4.2171000000000003</v>
      </c>
      <c r="M2695" s="6">
        <v>0.23710000000000001</v>
      </c>
      <c r="N2695" s="6">
        <v>4.2230999999999996</v>
      </c>
      <c r="O2695" s="6">
        <v>1</v>
      </c>
      <c r="P2695" s="5">
        <v>29.999999999996362</v>
      </c>
      <c r="Q2695" s="4" t="s">
        <v>1390</v>
      </c>
    </row>
    <row r="2696" spans="1:17" x14ac:dyDescent="0.3">
      <c r="A2696" s="2" t="s">
        <v>1389</v>
      </c>
      <c r="B2696" s="3">
        <v>158084</v>
      </c>
      <c r="C2696" s="3">
        <v>904665</v>
      </c>
      <c r="D2696" s="4" t="s">
        <v>81</v>
      </c>
      <c r="E2696" s="4" t="s">
        <v>734</v>
      </c>
      <c r="F2696" s="4" t="s">
        <v>83</v>
      </c>
      <c r="G2696" s="4" t="s">
        <v>20</v>
      </c>
      <c r="H2696" s="5">
        <v>-100000</v>
      </c>
      <c r="I2696" s="4" t="s">
        <v>34</v>
      </c>
      <c r="J2696" s="5">
        <f t="shared" si="42"/>
        <v>117290</v>
      </c>
      <c r="K2696" s="4" t="s">
        <v>51</v>
      </c>
      <c r="L2696" s="6">
        <v>1.1729000000000001</v>
      </c>
      <c r="M2696" s="6">
        <v>0.85260000000000002</v>
      </c>
      <c r="N2696" s="6">
        <v>4.2271000000000001</v>
      </c>
      <c r="O2696" s="6">
        <v>3.6118000000000001</v>
      </c>
      <c r="P2696" s="5">
        <v>925.24559999999997</v>
      </c>
      <c r="Q2696" s="4" t="s">
        <v>1393</v>
      </c>
    </row>
    <row r="2697" spans="1:17" x14ac:dyDescent="0.3">
      <c r="A2697" s="2" t="s">
        <v>1389</v>
      </c>
      <c r="B2697" s="3">
        <v>158085</v>
      </c>
      <c r="C2697" s="3">
        <v>904666</v>
      </c>
      <c r="D2697" s="4" t="s">
        <v>81</v>
      </c>
      <c r="E2697" s="4" t="s">
        <v>734</v>
      </c>
      <c r="F2697" s="4" t="s">
        <v>83</v>
      </c>
      <c r="G2697" s="4" t="s">
        <v>20</v>
      </c>
      <c r="H2697" s="5">
        <v>-100000</v>
      </c>
      <c r="I2697" s="4" t="s">
        <v>34</v>
      </c>
      <c r="J2697" s="5">
        <f t="shared" si="42"/>
        <v>117310</v>
      </c>
      <c r="K2697" s="4" t="s">
        <v>51</v>
      </c>
      <c r="L2697" s="6">
        <v>1.1731</v>
      </c>
      <c r="M2697" s="6">
        <v>0.85250000000000004</v>
      </c>
      <c r="N2697" s="6">
        <v>4.2271000000000001</v>
      </c>
      <c r="O2697" s="6">
        <v>3.6118000000000001</v>
      </c>
      <c r="P2697" s="5">
        <v>983.03440000000001</v>
      </c>
      <c r="Q2697" s="4" t="s">
        <v>1393</v>
      </c>
    </row>
    <row r="2698" spans="1:17" x14ac:dyDescent="0.3">
      <c r="A2698" s="2" t="s">
        <v>1389</v>
      </c>
      <c r="B2698" s="3">
        <v>158086</v>
      </c>
      <c r="C2698" s="3">
        <v>904667</v>
      </c>
      <c r="D2698" s="4" t="s">
        <v>81</v>
      </c>
      <c r="E2698" s="4" t="s">
        <v>734</v>
      </c>
      <c r="F2698" s="4" t="s">
        <v>83</v>
      </c>
      <c r="G2698" s="4" t="s">
        <v>20</v>
      </c>
      <c r="H2698" s="5">
        <v>-100000</v>
      </c>
      <c r="I2698" s="4" t="s">
        <v>34</v>
      </c>
      <c r="J2698" s="5">
        <f t="shared" si="42"/>
        <v>117310</v>
      </c>
      <c r="K2698" s="4" t="s">
        <v>51</v>
      </c>
      <c r="L2698" s="6">
        <v>1.1731</v>
      </c>
      <c r="M2698" s="6">
        <v>0.85240000000000005</v>
      </c>
      <c r="N2698" s="6">
        <v>4.2271000000000001</v>
      </c>
      <c r="O2698" s="6">
        <v>3.6118000000000001</v>
      </c>
      <c r="P2698" s="5">
        <v>1004.7052</v>
      </c>
      <c r="Q2698" s="4" t="s">
        <v>1393</v>
      </c>
    </row>
    <row r="2699" spans="1:17" x14ac:dyDescent="0.3">
      <c r="A2699" s="2" t="s">
        <v>1389</v>
      </c>
      <c r="B2699" s="3">
        <v>158087</v>
      </c>
      <c r="C2699" s="3">
        <v>904668</v>
      </c>
      <c r="D2699" s="4" t="s">
        <v>81</v>
      </c>
      <c r="E2699" s="4" t="s">
        <v>734</v>
      </c>
      <c r="F2699" s="4" t="s">
        <v>83</v>
      </c>
      <c r="G2699" s="4" t="s">
        <v>20</v>
      </c>
      <c r="H2699" s="5">
        <v>-100000</v>
      </c>
      <c r="I2699" s="4" t="s">
        <v>34</v>
      </c>
      <c r="J2699" s="5">
        <f t="shared" si="42"/>
        <v>117320</v>
      </c>
      <c r="K2699" s="4" t="s">
        <v>51</v>
      </c>
      <c r="L2699" s="6">
        <v>1.1732</v>
      </c>
      <c r="M2699" s="6">
        <v>0.85229999999999995</v>
      </c>
      <c r="N2699" s="6">
        <v>4.2271000000000001</v>
      </c>
      <c r="O2699" s="6">
        <v>3.6118000000000001</v>
      </c>
      <c r="P2699" s="5">
        <v>1044.4349999999999</v>
      </c>
      <c r="Q2699" s="4" t="s">
        <v>1393</v>
      </c>
    </row>
    <row r="2700" spans="1:17" x14ac:dyDescent="0.3">
      <c r="A2700" s="2" t="s">
        <v>1389</v>
      </c>
      <c r="B2700" s="3">
        <v>158088</v>
      </c>
      <c r="C2700" s="3">
        <v>904669</v>
      </c>
      <c r="D2700" s="4" t="s">
        <v>81</v>
      </c>
      <c r="E2700" s="4" t="s">
        <v>734</v>
      </c>
      <c r="F2700" s="4" t="s">
        <v>83</v>
      </c>
      <c r="G2700" s="4" t="s">
        <v>20</v>
      </c>
      <c r="H2700" s="5">
        <v>-100000</v>
      </c>
      <c r="I2700" s="4" t="s">
        <v>34</v>
      </c>
      <c r="J2700" s="5">
        <f t="shared" si="42"/>
        <v>117320</v>
      </c>
      <c r="K2700" s="4" t="s">
        <v>51</v>
      </c>
      <c r="L2700" s="6">
        <v>1.1732</v>
      </c>
      <c r="M2700" s="6">
        <v>0.85240000000000005</v>
      </c>
      <c r="N2700" s="6">
        <v>4.2271000000000001</v>
      </c>
      <c r="O2700" s="6">
        <v>3.6118000000000001</v>
      </c>
      <c r="P2700" s="5">
        <v>1033.5996</v>
      </c>
      <c r="Q2700" s="4" t="s">
        <v>1393</v>
      </c>
    </row>
    <row r="2701" spans="1:17" x14ac:dyDescent="0.3">
      <c r="A2701" s="2" t="s">
        <v>1389</v>
      </c>
      <c r="B2701" s="3">
        <v>158089</v>
      </c>
      <c r="C2701" s="3">
        <v>904676</v>
      </c>
      <c r="D2701" s="4" t="s">
        <v>81</v>
      </c>
      <c r="E2701" s="4" t="s">
        <v>725</v>
      </c>
      <c r="F2701" s="4" t="s">
        <v>83</v>
      </c>
      <c r="G2701" s="4" t="s">
        <v>20</v>
      </c>
      <c r="H2701" s="5">
        <v>-100000</v>
      </c>
      <c r="I2701" s="4" t="s">
        <v>21</v>
      </c>
      <c r="J2701" s="5">
        <f t="shared" si="42"/>
        <v>422720</v>
      </c>
      <c r="K2701" s="4" t="s">
        <v>51</v>
      </c>
      <c r="L2701" s="6">
        <v>4.2271999999999998</v>
      </c>
      <c r="M2701" s="6">
        <v>0.2366</v>
      </c>
      <c r="N2701" s="6">
        <v>4.2271000000000001</v>
      </c>
      <c r="O2701" s="6">
        <v>1</v>
      </c>
      <c r="P2701" s="5">
        <v>14</v>
      </c>
      <c r="Q2701" s="4" t="s">
        <v>1392</v>
      </c>
    </row>
    <row r="2702" spans="1:17" x14ac:dyDescent="0.3">
      <c r="A2702" s="2" t="s">
        <v>1389</v>
      </c>
      <c r="B2702" s="3">
        <v>158090</v>
      </c>
      <c r="C2702" s="3">
        <v>904677</v>
      </c>
      <c r="D2702" s="4" t="s">
        <v>81</v>
      </c>
      <c r="E2702" s="4" t="s">
        <v>733</v>
      </c>
      <c r="F2702" s="4" t="s">
        <v>83</v>
      </c>
      <c r="G2702" s="4" t="s">
        <v>20</v>
      </c>
      <c r="H2702" s="5">
        <v>-500000</v>
      </c>
      <c r="I2702" s="4" t="s">
        <v>21</v>
      </c>
      <c r="J2702" s="5">
        <f t="shared" si="42"/>
        <v>2113700</v>
      </c>
      <c r="K2702" s="4" t="s">
        <v>51</v>
      </c>
      <c r="L2702" s="6">
        <v>4.2274000000000003</v>
      </c>
      <c r="M2702" s="6">
        <v>0.2366</v>
      </c>
      <c r="N2702" s="6">
        <v>4.2271000000000001</v>
      </c>
      <c r="O2702" s="6">
        <v>1</v>
      </c>
      <c r="P2702" s="5">
        <v>130</v>
      </c>
      <c r="Q2702" s="4" t="s">
        <v>1391</v>
      </c>
    </row>
    <row r="2703" spans="1:17" x14ac:dyDescent="0.3">
      <c r="A2703" s="2" t="s">
        <v>1389</v>
      </c>
      <c r="B2703" s="3">
        <v>158091</v>
      </c>
      <c r="C2703" s="3">
        <v>218754</v>
      </c>
      <c r="D2703" s="4" t="s">
        <v>17</v>
      </c>
      <c r="E2703" s="4" t="s">
        <v>1191</v>
      </c>
      <c r="F2703" s="4" t="s">
        <v>19</v>
      </c>
      <c r="G2703" s="4" t="s">
        <v>20</v>
      </c>
      <c r="H2703" s="5">
        <v>500000</v>
      </c>
      <c r="I2703" s="4" t="s">
        <v>21</v>
      </c>
      <c r="J2703" s="5">
        <f t="shared" si="42"/>
        <v>-2111000</v>
      </c>
      <c r="K2703" s="4" t="s">
        <v>39</v>
      </c>
      <c r="L2703" s="6">
        <v>4.2220000000000004</v>
      </c>
      <c r="M2703" s="6">
        <v>0.2369</v>
      </c>
      <c r="N2703" s="6">
        <v>4.2230999999999996</v>
      </c>
      <c r="O2703" s="6">
        <v>1</v>
      </c>
      <c r="P2703" s="5">
        <v>550</v>
      </c>
      <c r="Q2703" s="4" t="s">
        <v>1390</v>
      </c>
    </row>
    <row r="2704" spans="1:17" x14ac:dyDescent="0.3">
      <c r="A2704" s="2" t="s">
        <v>1389</v>
      </c>
      <c r="B2704" s="3">
        <v>158092</v>
      </c>
      <c r="C2704" s="3">
        <v>904681</v>
      </c>
      <c r="D2704" s="4" t="s">
        <v>81</v>
      </c>
      <c r="E2704" s="4" t="s">
        <v>1189</v>
      </c>
      <c r="F2704" s="4" t="s">
        <v>87</v>
      </c>
      <c r="G2704" s="4" t="s">
        <v>20</v>
      </c>
      <c r="H2704" s="5">
        <v>300000</v>
      </c>
      <c r="I2704" s="4" t="s">
        <v>21</v>
      </c>
      <c r="J2704" s="5">
        <f t="shared" si="42"/>
        <v>-1267500</v>
      </c>
      <c r="K2704" s="4" t="s">
        <v>51</v>
      </c>
      <c r="L2704" s="6">
        <v>4.2249999999999996</v>
      </c>
      <c r="M2704" s="6">
        <v>0.23669999999999999</v>
      </c>
      <c r="N2704" s="6">
        <v>4.2271000000000001</v>
      </c>
      <c r="O2704" s="6">
        <v>1</v>
      </c>
      <c r="P2704" s="5">
        <v>630</v>
      </c>
      <c r="Q2704" s="4" t="s">
        <v>1390</v>
      </c>
    </row>
    <row r="2705" spans="1:17" x14ac:dyDescent="0.3">
      <c r="A2705" s="2" t="s">
        <v>1389</v>
      </c>
      <c r="B2705" s="3">
        <v>158093</v>
      </c>
      <c r="C2705" s="3">
        <v>218756</v>
      </c>
      <c r="D2705" s="4" t="s">
        <v>17</v>
      </c>
      <c r="E2705" s="4" t="s">
        <v>876</v>
      </c>
      <c r="F2705" s="4" t="s">
        <v>19</v>
      </c>
      <c r="G2705" s="4" t="s">
        <v>20</v>
      </c>
      <c r="H2705" s="5">
        <v>3000</v>
      </c>
      <c r="I2705" s="4" t="s">
        <v>21</v>
      </c>
      <c r="J2705" s="5">
        <f t="shared" si="42"/>
        <v>-12645</v>
      </c>
      <c r="K2705" s="4" t="s">
        <v>39</v>
      </c>
      <c r="L2705" s="6">
        <v>4.2149999999999999</v>
      </c>
      <c r="M2705" s="6">
        <v>0.23719999999999999</v>
      </c>
      <c r="N2705" s="6">
        <v>4.2230999999999996</v>
      </c>
      <c r="O2705" s="6">
        <v>1</v>
      </c>
      <c r="P2705" s="5">
        <v>24.299999999999272</v>
      </c>
      <c r="Q2705" s="4" t="s">
        <v>1390</v>
      </c>
    </row>
    <row r="2706" spans="1:17" x14ac:dyDescent="0.3">
      <c r="A2706" s="2" t="s">
        <v>1389</v>
      </c>
      <c r="B2706" s="3">
        <v>158094</v>
      </c>
      <c r="C2706" s="3">
        <v>218757</v>
      </c>
      <c r="D2706" s="4" t="s">
        <v>17</v>
      </c>
      <c r="E2706" s="4" t="s">
        <v>915</v>
      </c>
      <c r="F2706" s="4" t="s">
        <v>19</v>
      </c>
      <c r="G2706" s="4" t="s">
        <v>20</v>
      </c>
      <c r="H2706" s="5">
        <v>500000</v>
      </c>
      <c r="I2706" s="4" t="s">
        <v>21</v>
      </c>
      <c r="J2706" s="5">
        <f t="shared" si="42"/>
        <v>-2100650</v>
      </c>
      <c r="K2706" s="4" t="s">
        <v>50</v>
      </c>
      <c r="L2706" s="6">
        <v>4.2012999999999998</v>
      </c>
      <c r="M2706" s="6">
        <v>0.23799999999999999</v>
      </c>
      <c r="N2706" s="6">
        <v>4.2279</v>
      </c>
      <c r="O2706" s="6">
        <v>1</v>
      </c>
      <c r="P2706" s="5">
        <v>13300</v>
      </c>
      <c r="Q2706" s="4" t="s">
        <v>1390</v>
      </c>
    </row>
    <row r="2707" spans="1:17" x14ac:dyDescent="0.3">
      <c r="A2707" s="2" t="s">
        <v>1389</v>
      </c>
      <c r="B2707" s="3">
        <v>158095</v>
      </c>
      <c r="C2707" s="3">
        <v>218758</v>
      </c>
      <c r="D2707" s="4" t="s">
        <v>17</v>
      </c>
      <c r="E2707" s="4" t="s">
        <v>734</v>
      </c>
      <c r="F2707" s="4" t="s">
        <v>19</v>
      </c>
      <c r="G2707" s="4" t="s">
        <v>34</v>
      </c>
      <c r="H2707" s="5">
        <v>2950</v>
      </c>
      <c r="I2707" s="4" t="s">
        <v>21</v>
      </c>
      <c r="J2707" s="5">
        <f t="shared" si="42"/>
        <v>-10626.49</v>
      </c>
      <c r="K2707" s="4" t="s">
        <v>50</v>
      </c>
      <c r="L2707" s="6">
        <v>3.6021999999999998</v>
      </c>
      <c r="M2707" s="6">
        <v>0.27760000000000001</v>
      </c>
      <c r="N2707" s="6">
        <v>3.6053999999999999</v>
      </c>
      <c r="O2707" s="6">
        <v>1</v>
      </c>
      <c r="P2707" s="5">
        <v>9.4400000000005093</v>
      </c>
      <c r="Q2707" s="4" t="s">
        <v>1393</v>
      </c>
    </row>
    <row r="2708" spans="1:17" x14ac:dyDescent="0.3">
      <c r="A2708" s="2" t="s">
        <v>1389</v>
      </c>
      <c r="B2708" s="3">
        <v>158096</v>
      </c>
      <c r="C2708" s="3">
        <v>218759</v>
      </c>
      <c r="D2708" s="4" t="s">
        <v>17</v>
      </c>
      <c r="E2708" s="4" t="s">
        <v>825</v>
      </c>
      <c r="F2708" s="4" t="s">
        <v>32</v>
      </c>
      <c r="G2708" s="4" t="s">
        <v>34</v>
      </c>
      <c r="H2708" s="5">
        <v>-2950</v>
      </c>
      <c r="I2708" s="4" t="s">
        <v>21</v>
      </c>
      <c r="J2708" s="5">
        <f t="shared" si="42"/>
        <v>10644.19</v>
      </c>
      <c r="K2708" s="4" t="s">
        <v>50</v>
      </c>
      <c r="L2708" s="6">
        <v>3.6082000000000001</v>
      </c>
      <c r="M2708" s="6">
        <v>0.27710000000000001</v>
      </c>
      <c r="N2708" s="6">
        <v>3.6053999999999999</v>
      </c>
      <c r="O2708" s="6">
        <v>1</v>
      </c>
      <c r="P2708" s="5">
        <v>8.26</v>
      </c>
      <c r="Q2708" s="4" t="s">
        <v>1390</v>
      </c>
    </row>
    <row r="2709" spans="1:17" x14ac:dyDescent="0.3">
      <c r="A2709" s="2" t="s">
        <v>1389</v>
      </c>
      <c r="B2709" s="3">
        <v>158097</v>
      </c>
      <c r="C2709" s="3">
        <v>218760</v>
      </c>
      <c r="D2709" s="4" t="s">
        <v>17</v>
      </c>
      <c r="E2709" s="4" t="s">
        <v>734</v>
      </c>
      <c r="F2709" s="4" t="s">
        <v>19</v>
      </c>
      <c r="G2709" s="4" t="s">
        <v>20</v>
      </c>
      <c r="H2709" s="5">
        <v>2000</v>
      </c>
      <c r="I2709" s="4" t="s">
        <v>21</v>
      </c>
      <c r="J2709" s="5">
        <f t="shared" si="42"/>
        <v>-8453.4</v>
      </c>
      <c r="K2709" s="4" t="s">
        <v>50</v>
      </c>
      <c r="L2709" s="6">
        <v>4.2267000000000001</v>
      </c>
      <c r="M2709" s="6">
        <v>0.2366</v>
      </c>
      <c r="N2709" s="6">
        <v>4.2279</v>
      </c>
      <c r="O2709" s="6">
        <v>1</v>
      </c>
      <c r="P2709" s="5">
        <v>2.3999999999996362</v>
      </c>
      <c r="Q2709" s="4" t="s">
        <v>1393</v>
      </c>
    </row>
    <row r="2710" spans="1:17" x14ac:dyDescent="0.3">
      <c r="A2710" s="2" t="s">
        <v>1389</v>
      </c>
      <c r="B2710" s="3">
        <v>158098</v>
      </c>
      <c r="C2710" s="3">
        <v>218761</v>
      </c>
      <c r="D2710" s="4" t="s">
        <v>17</v>
      </c>
      <c r="E2710" s="4" t="s">
        <v>1043</v>
      </c>
      <c r="F2710" s="4" t="s">
        <v>32</v>
      </c>
      <c r="G2710" s="4" t="s">
        <v>20</v>
      </c>
      <c r="H2710" s="5">
        <v>-2000</v>
      </c>
      <c r="I2710" s="4" t="s">
        <v>21</v>
      </c>
      <c r="J2710" s="5">
        <f t="shared" si="42"/>
        <v>8465.4000000000015</v>
      </c>
      <c r="K2710" s="4" t="s">
        <v>50</v>
      </c>
      <c r="L2710" s="6">
        <v>4.2327000000000004</v>
      </c>
      <c r="M2710" s="6">
        <v>0.23630000000000001</v>
      </c>
      <c r="N2710" s="6">
        <v>4.2279</v>
      </c>
      <c r="O2710" s="6">
        <v>1</v>
      </c>
      <c r="P2710" s="5">
        <v>9.1999999999999993</v>
      </c>
      <c r="Q2710" s="4" t="s">
        <v>1390</v>
      </c>
    </row>
    <row r="2711" spans="1:17" x14ac:dyDescent="0.3">
      <c r="A2711" s="2" t="s">
        <v>1389</v>
      </c>
      <c r="B2711" s="3">
        <v>158099</v>
      </c>
      <c r="C2711" s="3">
        <v>904704</v>
      </c>
      <c r="D2711" s="4" t="s">
        <v>81</v>
      </c>
      <c r="E2711" s="4" t="s">
        <v>735</v>
      </c>
      <c r="F2711" s="4" t="s">
        <v>83</v>
      </c>
      <c r="G2711" s="4" t="s">
        <v>20</v>
      </c>
      <c r="H2711" s="5">
        <v>-100751.29</v>
      </c>
      <c r="I2711" s="4" t="s">
        <v>21</v>
      </c>
      <c r="J2711" s="5">
        <f t="shared" si="42"/>
        <v>425664.12512099993</v>
      </c>
      <c r="K2711" s="4" t="s">
        <v>51</v>
      </c>
      <c r="L2711" s="6">
        <v>4.2248999999999999</v>
      </c>
      <c r="M2711" s="6">
        <v>0.23669999999999999</v>
      </c>
      <c r="N2711" s="6">
        <v>4.2271000000000001</v>
      </c>
      <c r="O2711" s="6">
        <v>1</v>
      </c>
      <c r="P2711" s="5">
        <v>-221.64795899999999</v>
      </c>
      <c r="Q2711" s="4" t="s">
        <v>1394</v>
      </c>
    </row>
    <row r="2712" spans="1:17" x14ac:dyDescent="0.3">
      <c r="A2712" s="2" t="s">
        <v>1389</v>
      </c>
      <c r="B2712" s="3">
        <v>158100</v>
      </c>
      <c r="C2712" s="3">
        <v>904706</v>
      </c>
      <c r="D2712" s="4" t="s">
        <v>81</v>
      </c>
      <c r="E2712" s="4" t="s">
        <v>735</v>
      </c>
      <c r="F2712" s="4" t="s">
        <v>87</v>
      </c>
      <c r="G2712" s="4" t="s">
        <v>91</v>
      </c>
      <c r="H2712" s="5">
        <v>2793.45</v>
      </c>
      <c r="I2712" s="4" t="s">
        <v>21</v>
      </c>
      <c r="J2712" s="5">
        <f t="shared" si="42"/>
        <v>-13544.042324999999</v>
      </c>
      <c r="K2712" s="4" t="s">
        <v>51</v>
      </c>
      <c r="L2712" s="6">
        <v>4.8484999999999996</v>
      </c>
      <c r="M2712" s="6">
        <v>0.20619999999999999</v>
      </c>
      <c r="N2712" s="6">
        <v>4.8433999999999999</v>
      </c>
      <c r="O2712" s="6">
        <v>1</v>
      </c>
      <c r="P2712" s="5">
        <v>-14.24427</v>
      </c>
      <c r="Q2712" s="4" t="s">
        <v>1394</v>
      </c>
    </row>
    <row r="2713" spans="1:17" x14ac:dyDescent="0.3">
      <c r="A2713" s="2" t="s">
        <v>1389</v>
      </c>
      <c r="B2713" s="3">
        <v>158101</v>
      </c>
      <c r="C2713" s="3">
        <v>904707</v>
      </c>
      <c r="D2713" s="4" t="s">
        <v>81</v>
      </c>
      <c r="E2713" s="4" t="s">
        <v>734</v>
      </c>
      <c r="F2713" s="4" t="s">
        <v>83</v>
      </c>
      <c r="G2713" s="4" t="s">
        <v>34</v>
      </c>
      <c r="H2713" s="5">
        <v>-8142.22</v>
      </c>
      <c r="I2713" s="4" t="s">
        <v>21</v>
      </c>
      <c r="J2713" s="5">
        <f t="shared" si="42"/>
        <v>29308.735112000002</v>
      </c>
      <c r="K2713" s="4" t="s">
        <v>51</v>
      </c>
      <c r="L2713" s="6">
        <v>3.5996000000000001</v>
      </c>
      <c r="M2713" s="6">
        <v>0.27779999999999999</v>
      </c>
      <c r="N2713" s="6">
        <v>3.6118000000000001</v>
      </c>
      <c r="O2713" s="6">
        <v>1</v>
      </c>
      <c r="P2713" s="5">
        <v>-99.660195999999999</v>
      </c>
      <c r="Q2713" s="4" t="s">
        <v>1393</v>
      </c>
    </row>
    <row r="2714" spans="1:17" x14ac:dyDescent="0.3">
      <c r="A2714" s="2" t="s">
        <v>1389</v>
      </c>
      <c r="B2714" s="3">
        <v>158102</v>
      </c>
      <c r="C2714" s="3">
        <v>904708</v>
      </c>
      <c r="D2714" s="4" t="s">
        <v>81</v>
      </c>
      <c r="E2714" s="4" t="s">
        <v>734</v>
      </c>
      <c r="F2714" s="4" t="s">
        <v>83</v>
      </c>
      <c r="G2714" s="4" t="s">
        <v>20</v>
      </c>
      <c r="H2714" s="5">
        <v>-65320.39</v>
      </c>
      <c r="I2714" s="4" t="s">
        <v>21</v>
      </c>
      <c r="J2714" s="5">
        <f t="shared" si="42"/>
        <v>275978.64774999995</v>
      </c>
      <c r="K2714" s="4" t="s">
        <v>51</v>
      </c>
      <c r="L2714" s="6">
        <v>4.2249999999999996</v>
      </c>
      <c r="M2714" s="6">
        <v>0.23669999999999999</v>
      </c>
      <c r="N2714" s="6">
        <v>4.2271000000000001</v>
      </c>
      <c r="O2714" s="6">
        <v>1</v>
      </c>
      <c r="P2714" s="5">
        <v>-139.790569</v>
      </c>
      <c r="Q2714" s="4" t="s">
        <v>1393</v>
      </c>
    </row>
    <row r="2715" spans="1:17" x14ac:dyDescent="0.3">
      <c r="A2715" s="2" t="s">
        <v>1389</v>
      </c>
      <c r="B2715" s="3">
        <v>158103</v>
      </c>
      <c r="C2715" s="3">
        <v>904712</v>
      </c>
      <c r="D2715" s="4" t="s">
        <v>81</v>
      </c>
      <c r="E2715" s="4" t="s">
        <v>734</v>
      </c>
      <c r="F2715" s="4" t="s">
        <v>83</v>
      </c>
      <c r="G2715" s="4" t="s">
        <v>20</v>
      </c>
      <c r="H2715" s="5">
        <v>-104013.96</v>
      </c>
      <c r="I2715" s="4" t="s">
        <v>21</v>
      </c>
      <c r="J2715" s="5">
        <f t="shared" si="42"/>
        <v>439531.79077199998</v>
      </c>
      <c r="K2715" s="4" t="s">
        <v>51</v>
      </c>
      <c r="L2715" s="6">
        <v>4.2256999999999998</v>
      </c>
      <c r="M2715" s="6">
        <v>0.2366</v>
      </c>
      <c r="N2715" s="6">
        <v>4.2271000000000001</v>
      </c>
      <c r="O2715" s="6">
        <v>1</v>
      </c>
      <c r="P2715" s="5">
        <v>-142.500316</v>
      </c>
      <c r="Q2715" s="4" t="s">
        <v>1393</v>
      </c>
    </row>
    <row r="2716" spans="1:17" x14ac:dyDescent="0.3">
      <c r="A2716" s="2" t="s">
        <v>1389</v>
      </c>
      <c r="B2716" s="3">
        <v>158104</v>
      </c>
      <c r="C2716" s="3">
        <v>904714</v>
      </c>
      <c r="D2716" s="4" t="s">
        <v>81</v>
      </c>
      <c r="E2716" s="4" t="s">
        <v>734</v>
      </c>
      <c r="F2716" s="4" t="s">
        <v>83</v>
      </c>
      <c r="G2716" s="4" t="s">
        <v>20</v>
      </c>
      <c r="H2716" s="5">
        <v>-100145.84</v>
      </c>
      <c r="I2716" s="4" t="s">
        <v>21</v>
      </c>
      <c r="J2716" s="5">
        <f t="shared" si="42"/>
        <v>423036.05732799997</v>
      </c>
      <c r="K2716" s="4" t="s">
        <v>51</v>
      </c>
      <c r="L2716" s="6">
        <v>4.2241999999999997</v>
      </c>
      <c r="M2716" s="6">
        <v>0.23669999999999999</v>
      </c>
      <c r="N2716" s="6">
        <v>4.2271000000000001</v>
      </c>
      <c r="O2716" s="6">
        <v>1</v>
      </c>
      <c r="P2716" s="5">
        <v>-291.42026399999997</v>
      </c>
      <c r="Q2716" s="4" t="s">
        <v>1393</v>
      </c>
    </row>
    <row r="2717" spans="1:17" x14ac:dyDescent="0.3">
      <c r="A2717" s="2" t="s">
        <v>1389</v>
      </c>
      <c r="B2717" s="3">
        <v>158105</v>
      </c>
      <c r="C2717" s="3">
        <v>904716</v>
      </c>
      <c r="D2717" s="4" t="s">
        <v>81</v>
      </c>
      <c r="E2717" s="4" t="s">
        <v>734</v>
      </c>
      <c r="F2717" s="4" t="s">
        <v>83</v>
      </c>
      <c r="G2717" s="4" t="s">
        <v>20</v>
      </c>
      <c r="H2717" s="5">
        <v>-71512.27</v>
      </c>
      <c r="I2717" s="4" t="s">
        <v>21</v>
      </c>
      <c r="J2717" s="5">
        <f t="shared" si="42"/>
        <v>302096.433388</v>
      </c>
      <c r="K2717" s="4" t="s">
        <v>51</v>
      </c>
      <c r="L2717" s="6">
        <v>4.2244000000000002</v>
      </c>
      <c r="M2717" s="6">
        <v>0.23669999999999999</v>
      </c>
      <c r="N2717" s="6">
        <v>4.2271000000000001</v>
      </c>
      <c r="O2717" s="6">
        <v>1</v>
      </c>
      <c r="P2717" s="5">
        <v>-190.226517</v>
      </c>
      <c r="Q2717" s="4" t="s">
        <v>1393</v>
      </c>
    </row>
    <row r="2718" spans="1:17" x14ac:dyDescent="0.3">
      <c r="A2718" s="2" t="s">
        <v>1389</v>
      </c>
      <c r="B2718" s="3">
        <v>158106</v>
      </c>
      <c r="C2718" s="3">
        <v>904717</v>
      </c>
      <c r="D2718" s="4" t="s">
        <v>81</v>
      </c>
      <c r="E2718" s="4" t="s">
        <v>734</v>
      </c>
      <c r="F2718" s="4" t="s">
        <v>83</v>
      </c>
      <c r="G2718" s="4" t="s">
        <v>34</v>
      </c>
      <c r="H2718" s="5">
        <v>-83364.92</v>
      </c>
      <c r="I2718" s="4" t="s">
        <v>21</v>
      </c>
      <c r="J2718" s="5">
        <f t="shared" si="42"/>
        <v>300688.929948</v>
      </c>
      <c r="K2718" s="4" t="s">
        <v>51</v>
      </c>
      <c r="L2718" s="6">
        <v>3.6069</v>
      </c>
      <c r="M2718" s="6">
        <v>0.2772</v>
      </c>
      <c r="N2718" s="6">
        <v>3.6118000000000001</v>
      </c>
      <c r="O2718" s="6">
        <v>1</v>
      </c>
      <c r="P2718" s="5">
        <v>-408.48805599999997</v>
      </c>
      <c r="Q2718" s="4" t="s">
        <v>1393</v>
      </c>
    </row>
    <row r="2719" spans="1:17" x14ac:dyDescent="0.3">
      <c r="A2719" s="2" t="s">
        <v>1389</v>
      </c>
      <c r="B2719" s="3">
        <v>158107</v>
      </c>
      <c r="C2719" s="3">
        <v>904718</v>
      </c>
      <c r="D2719" s="4" t="s">
        <v>81</v>
      </c>
      <c r="E2719" s="4" t="s">
        <v>743</v>
      </c>
      <c r="F2719" s="4" t="s">
        <v>87</v>
      </c>
      <c r="G2719" s="4" t="s">
        <v>91</v>
      </c>
      <c r="H2719" s="5">
        <v>31623.49</v>
      </c>
      <c r="I2719" s="4" t="s">
        <v>21</v>
      </c>
      <c r="J2719" s="5">
        <f t="shared" si="42"/>
        <v>-153177.860862</v>
      </c>
      <c r="K2719" s="4" t="s">
        <v>51</v>
      </c>
      <c r="L2719" s="6">
        <v>4.8437999999999999</v>
      </c>
      <c r="M2719" s="6">
        <v>0.20649999999999999</v>
      </c>
      <c r="N2719" s="6">
        <v>4.8433999999999999</v>
      </c>
      <c r="O2719" s="6">
        <v>1</v>
      </c>
      <c r="P2719" s="5">
        <v>-12.018534000000001</v>
      </c>
      <c r="Q2719" s="4" t="s">
        <v>1395</v>
      </c>
    </row>
    <row r="2720" spans="1:17" x14ac:dyDescent="0.3">
      <c r="A2720" s="2" t="s">
        <v>1389</v>
      </c>
      <c r="B2720" s="3">
        <v>158108</v>
      </c>
      <c r="C2720" s="3">
        <v>904719</v>
      </c>
      <c r="D2720" s="4" t="s">
        <v>81</v>
      </c>
      <c r="E2720" s="4" t="s">
        <v>743</v>
      </c>
      <c r="F2720" s="4" t="s">
        <v>83</v>
      </c>
      <c r="G2720" s="4" t="s">
        <v>93</v>
      </c>
      <c r="H2720" s="5">
        <v>-50523.85</v>
      </c>
      <c r="I2720" s="4" t="s">
        <v>21</v>
      </c>
      <c r="J2720" s="5">
        <f t="shared" si="42"/>
        <v>230540.32754999999</v>
      </c>
      <c r="K2720" s="4" t="s">
        <v>51</v>
      </c>
      <c r="L2720" s="6">
        <v>4.5629999999999997</v>
      </c>
      <c r="M2720" s="6">
        <v>0.21920000000000001</v>
      </c>
      <c r="N2720" s="6">
        <v>4.5552999999999999</v>
      </c>
      <c r="O2720" s="6">
        <v>1</v>
      </c>
      <c r="P2720" s="5">
        <v>388.526095</v>
      </c>
      <c r="Q2720" s="4" t="s">
        <v>1395</v>
      </c>
    </row>
    <row r="2721" spans="1:17" x14ac:dyDescent="0.3">
      <c r="A2721" s="2" t="s">
        <v>1389</v>
      </c>
      <c r="B2721" s="3">
        <v>158109</v>
      </c>
      <c r="C2721" s="3">
        <v>904724</v>
      </c>
      <c r="D2721" s="4" t="s">
        <v>81</v>
      </c>
      <c r="E2721" s="4" t="s">
        <v>734</v>
      </c>
      <c r="F2721" s="4" t="s">
        <v>83</v>
      </c>
      <c r="G2721" s="4" t="s">
        <v>20</v>
      </c>
      <c r="H2721" s="5">
        <v>-115778.96</v>
      </c>
      <c r="I2721" s="4" t="s">
        <v>21</v>
      </c>
      <c r="J2721" s="5">
        <f t="shared" si="42"/>
        <v>489015.59335200005</v>
      </c>
      <c r="K2721" s="4" t="s">
        <v>51</v>
      </c>
      <c r="L2721" s="6">
        <v>4.2237</v>
      </c>
      <c r="M2721" s="6">
        <v>0.23680000000000001</v>
      </c>
      <c r="N2721" s="6">
        <v>4.2271000000000001</v>
      </c>
      <c r="O2721" s="6">
        <v>1</v>
      </c>
      <c r="P2721" s="5">
        <v>-393.651816</v>
      </c>
      <c r="Q2721" s="4" t="s">
        <v>1393</v>
      </c>
    </row>
    <row r="2722" spans="1:17" x14ac:dyDescent="0.3">
      <c r="A2722" s="2" t="s">
        <v>1389</v>
      </c>
      <c r="B2722" s="3">
        <v>158110</v>
      </c>
      <c r="C2722" s="3">
        <v>904726</v>
      </c>
      <c r="D2722" s="4" t="s">
        <v>81</v>
      </c>
      <c r="E2722" s="4" t="s">
        <v>730</v>
      </c>
      <c r="F2722" s="4" t="s">
        <v>83</v>
      </c>
      <c r="G2722" s="4" t="s">
        <v>34</v>
      </c>
      <c r="H2722" s="5">
        <v>-7200.29</v>
      </c>
      <c r="I2722" s="4" t="s">
        <v>21</v>
      </c>
      <c r="J2722" s="5">
        <f t="shared" si="42"/>
        <v>25939.764754</v>
      </c>
      <c r="K2722" s="4" t="s">
        <v>52</v>
      </c>
      <c r="L2722" s="6">
        <v>3.6025999999999998</v>
      </c>
      <c r="M2722" s="6">
        <v>0.27760000000000001</v>
      </c>
      <c r="N2722" s="6">
        <v>3.6027999999999998</v>
      </c>
      <c r="O2722" s="6">
        <v>1</v>
      </c>
      <c r="P2722" s="5">
        <v>-1.224812</v>
      </c>
      <c r="Q2722" s="4" t="s">
        <v>1396</v>
      </c>
    </row>
    <row r="2723" spans="1:17" x14ac:dyDescent="0.3">
      <c r="A2723" s="2" t="s">
        <v>1389</v>
      </c>
      <c r="B2723" s="3">
        <v>158111</v>
      </c>
      <c r="C2723" s="3">
        <v>904727</v>
      </c>
      <c r="D2723" s="4" t="s">
        <v>81</v>
      </c>
      <c r="E2723" s="4" t="s">
        <v>735</v>
      </c>
      <c r="F2723" s="4" t="s">
        <v>83</v>
      </c>
      <c r="G2723" s="4" t="s">
        <v>20</v>
      </c>
      <c r="H2723" s="5">
        <v>-39049.15</v>
      </c>
      <c r="I2723" s="4" t="s">
        <v>21</v>
      </c>
      <c r="J2723" s="5">
        <f t="shared" si="42"/>
        <v>164927.98994000003</v>
      </c>
      <c r="K2723" s="4" t="s">
        <v>52</v>
      </c>
      <c r="L2723" s="6">
        <v>4.2236000000000002</v>
      </c>
      <c r="M2723" s="6">
        <v>0.23680000000000001</v>
      </c>
      <c r="N2723" s="6">
        <v>4.2127999999999997</v>
      </c>
      <c r="O2723" s="6">
        <v>1</v>
      </c>
      <c r="P2723" s="5">
        <v>421.73088000000001</v>
      </c>
      <c r="Q2723" s="4" t="s">
        <v>1394</v>
      </c>
    </row>
    <row r="2724" spans="1:17" x14ac:dyDescent="0.3">
      <c r="A2724" s="2" t="s">
        <v>1389</v>
      </c>
      <c r="B2724" s="3">
        <v>158112</v>
      </c>
      <c r="C2724" s="3">
        <v>904728</v>
      </c>
      <c r="D2724" s="4" t="s">
        <v>81</v>
      </c>
      <c r="E2724" s="4" t="s">
        <v>730</v>
      </c>
      <c r="F2724" s="4" t="s">
        <v>87</v>
      </c>
      <c r="G2724" s="4" t="s">
        <v>91</v>
      </c>
      <c r="H2724" s="5">
        <v>12580.17</v>
      </c>
      <c r="I2724" s="4" t="s">
        <v>21</v>
      </c>
      <c r="J2724" s="5">
        <f t="shared" si="42"/>
        <v>-60988.66416</v>
      </c>
      <c r="K2724" s="4" t="s">
        <v>52</v>
      </c>
      <c r="L2724" s="6">
        <v>4.8479999999999999</v>
      </c>
      <c r="M2724" s="6">
        <v>0.20630000000000001</v>
      </c>
      <c r="N2724" s="6">
        <v>4.8433999999999999</v>
      </c>
      <c r="O2724" s="6">
        <v>1</v>
      </c>
      <c r="P2724" s="5">
        <v>-58.244622</v>
      </c>
      <c r="Q2724" s="4" t="s">
        <v>1396</v>
      </c>
    </row>
    <row r="2725" spans="1:17" x14ac:dyDescent="0.3">
      <c r="A2725" s="2" t="s">
        <v>1389</v>
      </c>
      <c r="B2725" s="3">
        <v>158113</v>
      </c>
      <c r="C2725" s="3">
        <v>904729</v>
      </c>
      <c r="D2725" s="4" t="s">
        <v>81</v>
      </c>
      <c r="E2725" s="4" t="s">
        <v>730</v>
      </c>
      <c r="F2725" s="4" t="s">
        <v>87</v>
      </c>
      <c r="G2725" s="4" t="s">
        <v>93</v>
      </c>
      <c r="H2725" s="5">
        <v>5817.99</v>
      </c>
      <c r="I2725" s="4" t="s">
        <v>21</v>
      </c>
      <c r="J2725" s="5">
        <f t="shared" si="42"/>
        <v>-26573.087525999999</v>
      </c>
      <c r="K2725" s="4" t="s">
        <v>52</v>
      </c>
      <c r="L2725" s="6">
        <v>4.5674000000000001</v>
      </c>
      <c r="M2725" s="6">
        <v>0.21890000000000001</v>
      </c>
      <c r="N2725" s="6">
        <v>4.5419</v>
      </c>
      <c r="O2725" s="6">
        <v>1</v>
      </c>
      <c r="P2725" s="5">
        <v>-148.07121900000001</v>
      </c>
      <c r="Q2725" s="4" t="s">
        <v>1396</v>
      </c>
    </row>
    <row r="2726" spans="1:17" x14ac:dyDescent="0.3">
      <c r="A2726" s="2" t="s">
        <v>1389</v>
      </c>
      <c r="B2726" s="3">
        <v>158114</v>
      </c>
      <c r="C2726" s="3">
        <v>218762</v>
      </c>
      <c r="D2726" s="4" t="s">
        <v>17</v>
      </c>
      <c r="E2726" s="4" t="s">
        <v>743</v>
      </c>
      <c r="F2726" s="4" t="s">
        <v>19</v>
      </c>
      <c r="G2726" s="4" t="s">
        <v>34</v>
      </c>
      <c r="H2726" s="5">
        <v>1000000</v>
      </c>
      <c r="I2726" s="4" t="s">
        <v>21</v>
      </c>
      <c r="J2726" s="5">
        <f t="shared" si="42"/>
        <v>-3604600</v>
      </c>
      <c r="K2726" s="4" t="s">
        <v>50</v>
      </c>
      <c r="L2726" s="6">
        <v>3.6046</v>
      </c>
      <c r="M2726" s="6">
        <v>0.27739999999999998</v>
      </c>
      <c r="N2726" s="6">
        <v>3.6053999999999999</v>
      </c>
      <c r="O2726" s="6">
        <v>1</v>
      </c>
      <c r="P2726" s="5">
        <v>800</v>
      </c>
      <c r="Q2726" s="4" t="s">
        <v>1395</v>
      </c>
    </row>
    <row r="2727" spans="1:17" x14ac:dyDescent="0.3">
      <c r="A2727" s="2" t="s">
        <v>1389</v>
      </c>
      <c r="B2727" s="3">
        <v>158115</v>
      </c>
      <c r="C2727" s="3">
        <v>904768</v>
      </c>
      <c r="D2727" s="4" t="s">
        <v>81</v>
      </c>
      <c r="E2727" s="4" t="s">
        <v>730</v>
      </c>
      <c r="F2727" s="4" t="s">
        <v>83</v>
      </c>
      <c r="G2727" s="4" t="s">
        <v>20</v>
      </c>
      <c r="H2727" s="5">
        <v>-21089.39</v>
      </c>
      <c r="I2727" s="4" t="s">
        <v>21</v>
      </c>
      <c r="J2727" s="5">
        <f t="shared" si="42"/>
        <v>89064.711848000006</v>
      </c>
      <c r="K2727" s="4" t="s">
        <v>52</v>
      </c>
      <c r="L2727" s="6">
        <v>4.2232000000000003</v>
      </c>
      <c r="M2727" s="6">
        <v>0.23680000000000001</v>
      </c>
      <c r="N2727" s="6">
        <v>4.2127999999999997</v>
      </c>
      <c r="O2727" s="6">
        <v>1</v>
      </c>
      <c r="P2727" s="5">
        <v>219.327808</v>
      </c>
      <c r="Q2727" s="4" t="s">
        <v>1396</v>
      </c>
    </row>
    <row r="2728" spans="1:17" x14ac:dyDescent="0.3">
      <c r="A2728" s="2" t="s">
        <v>1389</v>
      </c>
      <c r="B2728" s="3">
        <v>158116</v>
      </c>
      <c r="C2728" s="3">
        <v>904769</v>
      </c>
      <c r="D2728" s="4" t="s">
        <v>81</v>
      </c>
      <c r="E2728" s="4" t="s">
        <v>735</v>
      </c>
      <c r="F2728" s="4" t="s">
        <v>87</v>
      </c>
      <c r="G2728" s="4" t="s">
        <v>91</v>
      </c>
      <c r="H2728" s="5">
        <v>1083.24</v>
      </c>
      <c r="I2728" s="4" t="s">
        <v>21</v>
      </c>
      <c r="J2728" s="5">
        <f t="shared" si="42"/>
        <v>-5247.7561800000003</v>
      </c>
      <c r="K2728" s="4" t="s">
        <v>52</v>
      </c>
      <c r="L2728" s="6">
        <v>4.8445</v>
      </c>
      <c r="M2728" s="6">
        <v>0.2064</v>
      </c>
      <c r="N2728" s="6">
        <v>4.8433999999999999</v>
      </c>
      <c r="O2728" s="6">
        <v>1</v>
      </c>
      <c r="P2728" s="5">
        <v>-1.195384</v>
      </c>
      <c r="Q2728" s="4" t="s">
        <v>1394</v>
      </c>
    </row>
    <row r="2729" spans="1:17" x14ac:dyDescent="0.3">
      <c r="A2729" s="2" t="s">
        <v>1389</v>
      </c>
      <c r="B2729" s="3">
        <v>158117</v>
      </c>
      <c r="C2729" s="3">
        <v>904770</v>
      </c>
      <c r="D2729" s="4" t="s">
        <v>81</v>
      </c>
      <c r="E2729" s="4" t="s">
        <v>730</v>
      </c>
      <c r="F2729" s="4" t="s">
        <v>87</v>
      </c>
      <c r="G2729" s="4" t="s">
        <v>34</v>
      </c>
      <c r="H2729" s="5">
        <v>27369.4</v>
      </c>
      <c r="I2729" s="4" t="s">
        <v>21</v>
      </c>
      <c r="J2729" s="5">
        <f t="shared" si="42"/>
        <v>-98663.950060000017</v>
      </c>
      <c r="K2729" s="4" t="s">
        <v>52</v>
      </c>
      <c r="L2729" s="6">
        <v>3.6049000000000002</v>
      </c>
      <c r="M2729" s="6">
        <v>0.27739999999999998</v>
      </c>
      <c r="N2729" s="6">
        <v>3.6027999999999998</v>
      </c>
      <c r="O2729" s="6">
        <v>1</v>
      </c>
      <c r="P2729" s="5">
        <v>-57.74568</v>
      </c>
      <c r="Q2729" s="4" t="s">
        <v>1396</v>
      </c>
    </row>
    <row r="2730" spans="1:17" x14ac:dyDescent="0.3">
      <c r="A2730" s="2" t="s">
        <v>1389</v>
      </c>
      <c r="B2730" s="3">
        <v>158118</v>
      </c>
      <c r="C2730" s="3">
        <v>904771</v>
      </c>
      <c r="D2730" s="4" t="s">
        <v>81</v>
      </c>
      <c r="E2730" s="4" t="s">
        <v>730</v>
      </c>
      <c r="F2730" s="4" t="s">
        <v>87</v>
      </c>
      <c r="G2730" s="4" t="s">
        <v>93</v>
      </c>
      <c r="H2730" s="5">
        <v>193</v>
      </c>
      <c r="I2730" s="4" t="s">
        <v>21</v>
      </c>
      <c r="J2730" s="5">
        <f t="shared" si="42"/>
        <v>-879.79050000000007</v>
      </c>
      <c r="K2730" s="4" t="s">
        <v>52</v>
      </c>
      <c r="L2730" s="6">
        <v>4.5585000000000004</v>
      </c>
      <c r="M2730" s="6">
        <v>0.21940000000000001</v>
      </c>
      <c r="N2730" s="6">
        <v>4.5419</v>
      </c>
      <c r="O2730" s="6">
        <v>1</v>
      </c>
      <c r="P2730" s="5">
        <v>-3.2033</v>
      </c>
      <c r="Q2730" s="4" t="s">
        <v>1396</v>
      </c>
    </row>
    <row r="2731" spans="1:17" x14ac:dyDescent="0.3">
      <c r="A2731" s="2" t="s">
        <v>1389</v>
      </c>
      <c r="B2731" s="3">
        <v>158119</v>
      </c>
      <c r="C2731" s="3">
        <v>218763</v>
      </c>
      <c r="D2731" s="4" t="s">
        <v>17</v>
      </c>
      <c r="E2731" s="4" t="s">
        <v>735</v>
      </c>
      <c r="F2731" s="4" t="s">
        <v>19</v>
      </c>
      <c r="G2731" s="4" t="s">
        <v>20</v>
      </c>
      <c r="H2731" s="5">
        <v>1000</v>
      </c>
      <c r="I2731" s="4" t="s">
        <v>21</v>
      </c>
      <c r="J2731" s="5">
        <f t="shared" si="42"/>
        <v>-4224.7000000000007</v>
      </c>
      <c r="K2731" s="4" t="s">
        <v>50</v>
      </c>
      <c r="L2731" s="6">
        <v>4.2247000000000003</v>
      </c>
      <c r="M2731" s="6">
        <v>0.23669999999999999</v>
      </c>
      <c r="N2731" s="6">
        <v>4.2279</v>
      </c>
      <c r="O2731" s="6">
        <v>1</v>
      </c>
      <c r="P2731" s="5">
        <v>3.1999999999989086</v>
      </c>
      <c r="Q2731" s="4" t="s">
        <v>1394</v>
      </c>
    </row>
    <row r="2732" spans="1:17" x14ac:dyDescent="0.3">
      <c r="A2732" s="2" t="s">
        <v>1389</v>
      </c>
      <c r="B2732" s="3">
        <v>158120</v>
      </c>
      <c r="C2732" s="3">
        <v>218765</v>
      </c>
      <c r="D2732" s="4" t="s">
        <v>17</v>
      </c>
      <c r="E2732" s="4" t="s">
        <v>734</v>
      </c>
      <c r="F2732" s="4" t="s">
        <v>32</v>
      </c>
      <c r="G2732" s="4" t="s">
        <v>20</v>
      </c>
      <c r="H2732" s="5">
        <v>-263003.88</v>
      </c>
      <c r="I2732" s="4" t="s">
        <v>21</v>
      </c>
      <c r="J2732" s="5">
        <f t="shared" si="42"/>
        <v>1110849.487956</v>
      </c>
      <c r="K2732" s="4" t="s">
        <v>50</v>
      </c>
      <c r="L2732" s="6">
        <v>4.2237</v>
      </c>
      <c r="M2732" s="6">
        <v>0.23680000000000001</v>
      </c>
      <c r="N2732" s="6">
        <v>4.2279</v>
      </c>
      <c r="O2732" s="6">
        <v>1</v>
      </c>
      <c r="P2732" s="5">
        <v>-1234.0642519999999</v>
      </c>
      <c r="Q2732" s="4" t="s">
        <v>1393</v>
      </c>
    </row>
    <row r="2733" spans="1:17" x14ac:dyDescent="0.3">
      <c r="A2733" s="2" t="s">
        <v>1389</v>
      </c>
      <c r="B2733" s="3">
        <v>158121</v>
      </c>
      <c r="C2733" s="3">
        <v>218767</v>
      </c>
      <c r="D2733" s="4" t="s">
        <v>17</v>
      </c>
      <c r="E2733" s="4" t="s">
        <v>727</v>
      </c>
      <c r="F2733" s="4" t="s">
        <v>19</v>
      </c>
      <c r="G2733" s="4" t="s">
        <v>20</v>
      </c>
      <c r="H2733" s="5">
        <v>3916.68</v>
      </c>
      <c r="I2733" s="4" t="s">
        <v>21</v>
      </c>
      <c r="J2733" s="5">
        <f t="shared" si="42"/>
        <v>-16545.622992000001</v>
      </c>
      <c r="K2733" s="4" t="s">
        <v>50</v>
      </c>
      <c r="L2733" s="6">
        <v>4.2244000000000002</v>
      </c>
      <c r="M2733" s="6">
        <v>0.23669999999999999</v>
      </c>
      <c r="N2733" s="6">
        <v>4.2279</v>
      </c>
      <c r="O2733" s="6">
        <v>1</v>
      </c>
      <c r="P2733" s="5">
        <v>13.708380000000034</v>
      </c>
      <c r="Q2733" s="4" t="s">
        <v>1397</v>
      </c>
    </row>
    <row r="2734" spans="1:17" x14ac:dyDescent="0.3">
      <c r="A2734" s="2" t="s">
        <v>1389</v>
      </c>
      <c r="B2734" s="3">
        <v>158122</v>
      </c>
      <c r="C2734" s="3">
        <v>218769</v>
      </c>
      <c r="D2734" s="4" t="s">
        <v>17</v>
      </c>
      <c r="E2734" s="4" t="s">
        <v>735</v>
      </c>
      <c r="F2734" s="4" t="s">
        <v>19</v>
      </c>
      <c r="G2734" s="4" t="s">
        <v>20</v>
      </c>
      <c r="H2734" s="5">
        <v>15000</v>
      </c>
      <c r="I2734" s="4" t="s">
        <v>21</v>
      </c>
      <c r="J2734" s="5">
        <f t="shared" si="42"/>
        <v>-63366</v>
      </c>
      <c r="K2734" s="4" t="s">
        <v>50</v>
      </c>
      <c r="L2734" s="6">
        <v>4.2244000000000002</v>
      </c>
      <c r="M2734" s="6">
        <v>0.23669999999999999</v>
      </c>
      <c r="N2734" s="6">
        <v>4.2279</v>
      </c>
      <c r="O2734" s="6">
        <v>1</v>
      </c>
      <c r="P2734" s="5">
        <v>52.5</v>
      </c>
      <c r="Q2734" s="4" t="s">
        <v>1394</v>
      </c>
    </row>
    <row r="2735" spans="1:17" x14ac:dyDescent="0.3">
      <c r="A2735" s="2" t="s">
        <v>1389</v>
      </c>
      <c r="B2735" s="3">
        <v>158123</v>
      </c>
      <c r="C2735" s="3">
        <v>904792</v>
      </c>
      <c r="D2735" s="4" t="s">
        <v>81</v>
      </c>
      <c r="E2735" s="4" t="s">
        <v>735</v>
      </c>
      <c r="F2735" s="4" t="s">
        <v>87</v>
      </c>
      <c r="G2735" s="4" t="s">
        <v>34</v>
      </c>
      <c r="H2735" s="5">
        <v>2500</v>
      </c>
      <c r="I2735" s="4" t="s">
        <v>21</v>
      </c>
      <c r="J2735" s="5">
        <f t="shared" si="42"/>
        <v>-9009.25</v>
      </c>
      <c r="K2735" s="4" t="s">
        <v>52</v>
      </c>
      <c r="L2735" s="6">
        <v>3.6036999999999999</v>
      </c>
      <c r="M2735" s="6">
        <v>0.27750000000000002</v>
      </c>
      <c r="N2735" s="6">
        <v>3.6027999999999998</v>
      </c>
      <c r="O2735" s="6">
        <v>1</v>
      </c>
      <c r="P2735" s="5">
        <v>-2.25</v>
      </c>
      <c r="Q2735" s="4" t="s">
        <v>1394</v>
      </c>
    </row>
    <row r="2736" spans="1:17" x14ac:dyDescent="0.3">
      <c r="A2736" s="2" t="s">
        <v>1389</v>
      </c>
      <c r="B2736" s="3">
        <v>158124</v>
      </c>
      <c r="C2736" s="3">
        <v>218771</v>
      </c>
      <c r="D2736" s="4" t="s">
        <v>17</v>
      </c>
      <c r="E2736" s="4" t="s">
        <v>735</v>
      </c>
      <c r="F2736" s="4" t="s">
        <v>19</v>
      </c>
      <c r="G2736" s="4" t="s">
        <v>20</v>
      </c>
      <c r="H2736" s="5">
        <v>5227.5</v>
      </c>
      <c r="I2736" s="4" t="s">
        <v>21</v>
      </c>
      <c r="J2736" s="5">
        <f t="shared" si="42"/>
        <v>-22085.142</v>
      </c>
      <c r="K2736" s="4" t="s">
        <v>50</v>
      </c>
      <c r="L2736" s="6">
        <v>4.2248000000000001</v>
      </c>
      <c r="M2736" s="6">
        <v>0.23669999999999999</v>
      </c>
      <c r="N2736" s="6">
        <v>4.2279</v>
      </c>
      <c r="O2736" s="6">
        <v>1</v>
      </c>
      <c r="P2736" s="5">
        <v>16.205249999999069</v>
      </c>
      <c r="Q2736" s="4" t="s">
        <v>1394</v>
      </c>
    </row>
    <row r="2737" spans="1:17" x14ac:dyDescent="0.3">
      <c r="A2737" s="2" t="s">
        <v>1389</v>
      </c>
      <c r="B2737" s="3">
        <v>158125</v>
      </c>
      <c r="C2737" s="3">
        <v>904794</v>
      </c>
      <c r="D2737" s="4" t="s">
        <v>81</v>
      </c>
      <c r="E2737" s="4" t="s">
        <v>1293</v>
      </c>
      <c r="F2737" s="4" t="s">
        <v>83</v>
      </c>
      <c r="G2737" s="4" t="s">
        <v>34</v>
      </c>
      <c r="H2737" s="5">
        <v>-2500</v>
      </c>
      <c r="I2737" s="4" t="s">
        <v>21</v>
      </c>
      <c r="J2737" s="5">
        <f t="shared" si="42"/>
        <v>9050.5</v>
      </c>
      <c r="K2737" s="4" t="s">
        <v>52</v>
      </c>
      <c r="L2737" s="6">
        <v>3.6202000000000001</v>
      </c>
      <c r="M2737" s="6">
        <v>0.2762</v>
      </c>
      <c r="N2737" s="6">
        <v>3.6027999999999998</v>
      </c>
      <c r="O2737" s="6">
        <v>1</v>
      </c>
      <c r="P2737" s="5">
        <v>43.5</v>
      </c>
      <c r="Q2737" s="4" t="s">
        <v>1390</v>
      </c>
    </row>
    <row r="2738" spans="1:17" x14ac:dyDescent="0.3">
      <c r="A2738" s="2" t="s">
        <v>1389</v>
      </c>
      <c r="B2738" s="3">
        <v>158126</v>
      </c>
      <c r="C2738" s="3">
        <v>218774</v>
      </c>
      <c r="D2738" s="4" t="s">
        <v>17</v>
      </c>
      <c r="E2738" s="4" t="s">
        <v>727</v>
      </c>
      <c r="F2738" s="4" t="s">
        <v>19</v>
      </c>
      <c r="G2738" s="4" t="s">
        <v>34</v>
      </c>
      <c r="H2738" s="5">
        <v>2500</v>
      </c>
      <c r="I2738" s="4" t="s">
        <v>21</v>
      </c>
      <c r="J2738" s="5">
        <f t="shared" si="42"/>
        <v>-9015</v>
      </c>
      <c r="K2738" s="4" t="s">
        <v>50</v>
      </c>
      <c r="L2738" s="6">
        <v>3.6059999999999999</v>
      </c>
      <c r="M2738" s="6">
        <v>0.27729999999999999</v>
      </c>
      <c r="N2738" s="6">
        <v>3.6053999999999999</v>
      </c>
      <c r="O2738" s="6">
        <v>1</v>
      </c>
      <c r="P2738" s="5">
        <v>-1.5</v>
      </c>
      <c r="Q2738" s="4" t="s">
        <v>1397</v>
      </c>
    </row>
    <row r="2739" spans="1:17" x14ac:dyDescent="0.3">
      <c r="A2739" s="2" t="s">
        <v>1389</v>
      </c>
      <c r="B2739" s="3">
        <v>158127</v>
      </c>
      <c r="C2739" s="3">
        <v>218775</v>
      </c>
      <c r="D2739" s="4" t="s">
        <v>17</v>
      </c>
      <c r="E2739" s="4" t="s">
        <v>743</v>
      </c>
      <c r="F2739" s="4" t="s">
        <v>19</v>
      </c>
      <c r="G2739" s="4" t="s">
        <v>20</v>
      </c>
      <c r="H2739" s="5">
        <v>3700</v>
      </c>
      <c r="I2739" s="4" t="s">
        <v>21</v>
      </c>
      <c r="J2739" s="5">
        <f t="shared" si="42"/>
        <v>-15628.06</v>
      </c>
      <c r="K2739" s="4" t="s">
        <v>50</v>
      </c>
      <c r="L2739" s="6">
        <v>4.2237999999999998</v>
      </c>
      <c r="M2739" s="6">
        <v>0.23680000000000001</v>
      </c>
      <c r="N2739" s="6">
        <v>4.2279</v>
      </c>
      <c r="O2739" s="6">
        <v>1</v>
      </c>
      <c r="P2739" s="5">
        <v>15.170000000000073</v>
      </c>
      <c r="Q2739" s="4" t="s">
        <v>1395</v>
      </c>
    </row>
    <row r="2740" spans="1:17" x14ac:dyDescent="0.3">
      <c r="A2740" s="2" t="s">
        <v>1389</v>
      </c>
      <c r="B2740" s="3">
        <v>158128</v>
      </c>
      <c r="C2740" s="3">
        <v>904806</v>
      </c>
      <c r="D2740" s="4" t="s">
        <v>81</v>
      </c>
      <c r="E2740" s="4" t="s">
        <v>734</v>
      </c>
      <c r="F2740" s="4" t="s">
        <v>83</v>
      </c>
      <c r="G2740" s="4" t="s">
        <v>20</v>
      </c>
      <c r="H2740" s="5">
        <v>-29703.58</v>
      </c>
      <c r="I2740" s="4" t="s">
        <v>21</v>
      </c>
      <c r="J2740" s="5">
        <f t="shared" si="42"/>
        <v>125423.36655000001</v>
      </c>
      <c r="K2740" s="4" t="s">
        <v>52</v>
      </c>
      <c r="L2740" s="6">
        <v>4.2225000000000001</v>
      </c>
      <c r="M2740" s="6">
        <v>0.23680000000000001</v>
      </c>
      <c r="N2740" s="6">
        <v>4.2127999999999997</v>
      </c>
      <c r="O2740" s="6">
        <v>1</v>
      </c>
      <c r="P2740" s="5">
        <v>288.71817600000003</v>
      </c>
      <c r="Q2740" s="4" t="s">
        <v>1393</v>
      </c>
    </row>
    <row r="2741" spans="1:17" x14ac:dyDescent="0.3">
      <c r="A2741" s="2" t="s">
        <v>1389</v>
      </c>
      <c r="B2741" s="3">
        <v>158129</v>
      </c>
      <c r="C2741" s="3">
        <v>904807</v>
      </c>
      <c r="D2741" s="4" t="s">
        <v>81</v>
      </c>
      <c r="E2741" s="4" t="s">
        <v>735</v>
      </c>
      <c r="F2741" s="4" t="s">
        <v>87</v>
      </c>
      <c r="G2741" s="4" t="s">
        <v>91</v>
      </c>
      <c r="H2741" s="5">
        <v>5056.18</v>
      </c>
      <c r="I2741" s="4" t="s">
        <v>21</v>
      </c>
      <c r="J2741" s="5">
        <f t="shared" si="42"/>
        <v>-24490.113448000004</v>
      </c>
      <c r="K2741" s="4" t="s">
        <v>52</v>
      </c>
      <c r="L2741" s="6">
        <v>4.8436000000000003</v>
      </c>
      <c r="M2741" s="6">
        <v>0.20649999999999999</v>
      </c>
      <c r="N2741" s="6">
        <v>4.8433999999999999</v>
      </c>
      <c r="O2741" s="6">
        <v>1</v>
      </c>
      <c r="P2741" s="5">
        <v>-1.0077879999999999</v>
      </c>
      <c r="Q2741" s="4" t="s">
        <v>1394</v>
      </c>
    </row>
    <row r="2742" spans="1:17" x14ac:dyDescent="0.3">
      <c r="A2742" s="2" t="s">
        <v>1389</v>
      </c>
      <c r="B2742" s="3">
        <v>158130</v>
      </c>
      <c r="C2742" s="3">
        <v>904808</v>
      </c>
      <c r="D2742" s="4" t="s">
        <v>81</v>
      </c>
      <c r="E2742" s="4" t="s">
        <v>734</v>
      </c>
      <c r="F2742" s="4" t="s">
        <v>83</v>
      </c>
      <c r="G2742" s="4" t="s">
        <v>93</v>
      </c>
      <c r="H2742" s="5">
        <v>-800</v>
      </c>
      <c r="I2742" s="4" t="s">
        <v>21</v>
      </c>
      <c r="J2742" s="5">
        <f t="shared" si="42"/>
        <v>3641.44</v>
      </c>
      <c r="K2742" s="4" t="s">
        <v>52</v>
      </c>
      <c r="L2742" s="6">
        <v>4.5518000000000001</v>
      </c>
      <c r="M2742" s="6">
        <v>0.21970000000000001</v>
      </c>
      <c r="N2742" s="6">
        <v>4.5419</v>
      </c>
      <c r="O2742" s="6">
        <v>1</v>
      </c>
      <c r="P2742" s="5">
        <v>7.9</v>
      </c>
      <c r="Q2742" s="4" t="s">
        <v>1393</v>
      </c>
    </row>
    <row r="2743" spans="1:17" x14ac:dyDescent="0.3">
      <c r="A2743" s="2" t="s">
        <v>1389</v>
      </c>
      <c r="B2743" s="3">
        <v>158131</v>
      </c>
      <c r="C2743" s="3">
        <v>904809</v>
      </c>
      <c r="D2743" s="4" t="s">
        <v>81</v>
      </c>
      <c r="E2743" s="4" t="s">
        <v>735</v>
      </c>
      <c r="F2743" s="4" t="s">
        <v>87</v>
      </c>
      <c r="G2743" s="4" t="s">
        <v>34</v>
      </c>
      <c r="H2743" s="5">
        <v>26326.6</v>
      </c>
      <c r="I2743" s="4" t="s">
        <v>21</v>
      </c>
      <c r="J2743" s="5">
        <f t="shared" si="42"/>
        <v>-94899.495019999988</v>
      </c>
      <c r="K2743" s="4" t="s">
        <v>52</v>
      </c>
      <c r="L2743" s="6">
        <v>3.6046999999999998</v>
      </c>
      <c r="M2743" s="6">
        <v>0.27739999999999998</v>
      </c>
      <c r="N2743" s="6">
        <v>3.6027999999999998</v>
      </c>
      <c r="O2743" s="6">
        <v>1</v>
      </c>
      <c r="P2743" s="5">
        <v>-50.02552</v>
      </c>
      <c r="Q2743" s="4" t="s">
        <v>1394</v>
      </c>
    </row>
    <row r="2744" spans="1:17" x14ac:dyDescent="0.3">
      <c r="A2744" s="2" t="s">
        <v>1389</v>
      </c>
      <c r="B2744" s="3">
        <v>158132</v>
      </c>
      <c r="C2744" s="3">
        <v>218778</v>
      </c>
      <c r="D2744" s="4" t="s">
        <v>17</v>
      </c>
      <c r="E2744" s="4" t="s">
        <v>739</v>
      </c>
      <c r="F2744" s="4" t="s">
        <v>32</v>
      </c>
      <c r="G2744" s="4" t="s">
        <v>20</v>
      </c>
      <c r="H2744" s="5">
        <v>-1150</v>
      </c>
      <c r="I2744" s="4" t="s">
        <v>21</v>
      </c>
      <c r="J2744" s="5">
        <f t="shared" si="42"/>
        <v>4854.7249999999995</v>
      </c>
      <c r="K2744" s="4" t="s">
        <v>50</v>
      </c>
      <c r="L2744" s="6">
        <v>4.2214999999999998</v>
      </c>
      <c r="M2744" s="6">
        <v>0.2369</v>
      </c>
      <c r="N2744" s="6">
        <v>4.2279</v>
      </c>
      <c r="O2744" s="6">
        <v>1</v>
      </c>
      <c r="P2744" s="5">
        <v>-7.8550000000000004</v>
      </c>
      <c r="Q2744" s="4" t="s">
        <v>1391</v>
      </c>
    </row>
    <row r="2745" spans="1:17" x14ac:dyDescent="0.3">
      <c r="A2745" s="2" t="s">
        <v>1389</v>
      </c>
      <c r="B2745" s="3">
        <v>158133</v>
      </c>
      <c r="C2745" s="3">
        <v>218779</v>
      </c>
      <c r="D2745" s="4" t="s">
        <v>17</v>
      </c>
      <c r="E2745" s="4" t="s">
        <v>739</v>
      </c>
      <c r="F2745" s="4" t="s">
        <v>32</v>
      </c>
      <c r="G2745" s="4" t="s">
        <v>20</v>
      </c>
      <c r="H2745" s="5">
        <v>-20000</v>
      </c>
      <c r="I2745" s="4" t="s">
        <v>21</v>
      </c>
      <c r="J2745" s="5">
        <f t="shared" si="42"/>
        <v>84428</v>
      </c>
      <c r="K2745" s="4" t="s">
        <v>50</v>
      </c>
      <c r="L2745" s="6">
        <v>4.2214</v>
      </c>
      <c r="M2745" s="6">
        <v>0.2369</v>
      </c>
      <c r="N2745" s="6">
        <v>4.2279</v>
      </c>
      <c r="O2745" s="6">
        <v>1</v>
      </c>
      <c r="P2745" s="5">
        <v>-139.4</v>
      </c>
      <c r="Q2745" s="4" t="s">
        <v>1391</v>
      </c>
    </row>
    <row r="2746" spans="1:17" x14ac:dyDescent="0.3">
      <c r="A2746" s="2" t="s">
        <v>1389</v>
      </c>
      <c r="B2746" s="3">
        <v>158134</v>
      </c>
      <c r="C2746" s="3">
        <v>218781</v>
      </c>
      <c r="D2746" s="4" t="s">
        <v>17</v>
      </c>
      <c r="E2746" s="4" t="s">
        <v>735</v>
      </c>
      <c r="F2746" s="4" t="s">
        <v>19</v>
      </c>
      <c r="G2746" s="4" t="s">
        <v>20</v>
      </c>
      <c r="H2746" s="5">
        <v>158000</v>
      </c>
      <c r="I2746" s="4" t="s">
        <v>21</v>
      </c>
      <c r="J2746" s="5">
        <f t="shared" si="42"/>
        <v>-667076.00000000012</v>
      </c>
      <c r="K2746" s="4" t="s">
        <v>50</v>
      </c>
      <c r="L2746" s="6">
        <v>4.2220000000000004</v>
      </c>
      <c r="M2746" s="6">
        <v>0.2369</v>
      </c>
      <c r="N2746" s="6">
        <v>4.2279</v>
      </c>
      <c r="O2746" s="6">
        <v>1</v>
      </c>
      <c r="P2746" s="5">
        <v>932.19999999983702</v>
      </c>
      <c r="Q2746" s="4" t="s">
        <v>1394</v>
      </c>
    </row>
    <row r="2747" spans="1:17" x14ac:dyDescent="0.3">
      <c r="A2747" s="2" t="s">
        <v>1389</v>
      </c>
      <c r="B2747" s="3">
        <v>158135</v>
      </c>
      <c r="C2747" s="3">
        <v>218786</v>
      </c>
      <c r="D2747" s="4" t="s">
        <v>17</v>
      </c>
      <c r="E2747" s="4" t="s">
        <v>951</v>
      </c>
      <c r="F2747" s="4" t="s">
        <v>32</v>
      </c>
      <c r="G2747" s="4" t="s">
        <v>20</v>
      </c>
      <c r="H2747" s="5">
        <v>-22420</v>
      </c>
      <c r="I2747" s="4" t="s">
        <v>21</v>
      </c>
      <c r="J2747" s="5">
        <f t="shared" si="42"/>
        <v>94778.308000000005</v>
      </c>
      <c r="K2747" s="4" t="s">
        <v>50</v>
      </c>
      <c r="L2747" s="6">
        <v>4.2274000000000003</v>
      </c>
      <c r="M2747" s="6">
        <v>0.2366</v>
      </c>
      <c r="N2747" s="6">
        <v>4.2279</v>
      </c>
      <c r="O2747" s="6">
        <v>1</v>
      </c>
      <c r="P2747" s="5">
        <v>-20.178000000000001</v>
      </c>
      <c r="Q2747" s="4" t="s">
        <v>1390</v>
      </c>
    </row>
    <row r="2748" spans="1:17" x14ac:dyDescent="0.3">
      <c r="A2748" s="2" t="s">
        <v>1389</v>
      </c>
      <c r="B2748" s="3">
        <v>158136</v>
      </c>
      <c r="C2748" s="3">
        <v>218793</v>
      </c>
      <c r="D2748" s="4" t="s">
        <v>17</v>
      </c>
      <c r="E2748" s="4" t="s">
        <v>1297</v>
      </c>
      <c r="F2748" s="4" t="s">
        <v>19</v>
      </c>
      <c r="G2748" s="4" t="s">
        <v>20</v>
      </c>
      <c r="H2748" s="5">
        <v>10990</v>
      </c>
      <c r="I2748" s="4" t="s">
        <v>21</v>
      </c>
      <c r="J2748" s="5">
        <f t="shared" si="42"/>
        <v>-46272.296000000002</v>
      </c>
      <c r="K2748" s="4" t="s">
        <v>50</v>
      </c>
      <c r="L2748" s="6">
        <v>4.2103999999999999</v>
      </c>
      <c r="M2748" s="6">
        <v>0.23749999999999999</v>
      </c>
      <c r="N2748" s="6">
        <v>4.2279</v>
      </c>
      <c r="O2748" s="6">
        <v>1</v>
      </c>
      <c r="P2748" s="5">
        <v>192.32499999999709</v>
      </c>
      <c r="Q2748" s="4" t="s">
        <v>1390</v>
      </c>
    </row>
    <row r="2749" spans="1:17" x14ac:dyDescent="0.3">
      <c r="A2749" s="2" t="s">
        <v>1389</v>
      </c>
      <c r="B2749" s="3">
        <v>158137</v>
      </c>
      <c r="C2749" s="3">
        <v>218805</v>
      </c>
      <c r="D2749" s="4" t="s">
        <v>17</v>
      </c>
      <c r="E2749" s="4" t="s">
        <v>907</v>
      </c>
      <c r="F2749" s="4" t="s">
        <v>32</v>
      </c>
      <c r="G2749" s="4" t="s">
        <v>20</v>
      </c>
      <c r="H2749" s="5">
        <v>-10000</v>
      </c>
      <c r="I2749" s="4" t="s">
        <v>21</v>
      </c>
      <c r="J2749" s="5">
        <f t="shared" si="42"/>
        <v>42425</v>
      </c>
      <c r="K2749" s="4" t="s">
        <v>50</v>
      </c>
      <c r="L2749" s="6">
        <v>4.2424999999999997</v>
      </c>
      <c r="M2749" s="6">
        <v>0.23569999999999999</v>
      </c>
      <c r="N2749" s="6">
        <v>4.2279</v>
      </c>
      <c r="O2749" s="6">
        <v>1</v>
      </c>
      <c r="P2749" s="5">
        <v>141</v>
      </c>
      <c r="Q2749" s="4" t="s">
        <v>1390</v>
      </c>
    </row>
    <row r="2750" spans="1:17" x14ac:dyDescent="0.3">
      <c r="A2750" s="2" t="s">
        <v>1389</v>
      </c>
      <c r="B2750" s="3">
        <v>158138</v>
      </c>
      <c r="C2750" s="3">
        <v>218808</v>
      </c>
      <c r="D2750" s="4" t="s">
        <v>17</v>
      </c>
      <c r="E2750" s="4" t="s">
        <v>1387</v>
      </c>
      <c r="F2750" s="4" t="s">
        <v>19</v>
      </c>
      <c r="G2750" s="4" t="s">
        <v>20</v>
      </c>
      <c r="H2750" s="5">
        <v>8293.76</v>
      </c>
      <c r="I2750" s="4" t="s">
        <v>21</v>
      </c>
      <c r="J2750" s="5">
        <f t="shared" si="42"/>
        <v>-34717.679360000002</v>
      </c>
      <c r="K2750" s="4" t="s">
        <v>50</v>
      </c>
      <c r="L2750" s="6">
        <v>4.1859999999999999</v>
      </c>
      <c r="M2750" s="6">
        <v>0.2389</v>
      </c>
      <c r="N2750" s="6">
        <v>4.2279</v>
      </c>
      <c r="O2750" s="6">
        <v>1</v>
      </c>
      <c r="P2750" s="5">
        <v>347.50854399999662</v>
      </c>
      <c r="Q2750" s="4" t="s">
        <v>1390</v>
      </c>
    </row>
    <row r="2751" spans="1:17" x14ac:dyDescent="0.3">
      <c r="A2751" s="2" t="s">
        <v>1389</v>
      </c>
      <c r="B2751" s="3">
        <v>158139</v>
      </c>
      <c r="C2751" s="3">
        <v>218809</v>
      </c>
      <c r="D2751" s="4" t="s">
        <v>17</v>
      </c>
      <c r="E2751" s="4" t="s">
        <v>1387</v>
      </c>
      <c r="F2751" s="4" t="s">
        <v>19</v>
      </c>
      <c r="G2751" s="4" t="s">
        <v>20</v>
      </c>
      <c r="H2751" s="5">
        <v>5581.23</v>
      </c>
      <c r="I2751" s="4" t="s">
        <v>21</v>
      </c>
      <c r="J2751" s="5">
        <f t="shared" si="42"/>
        <v>-23363.028779999997</v>
      </c>
      <c r="K2751" s="4" t="s">
        <v>50</v>
      </c>
      <c r="L2751" s="6">
        <v>4.1859999999999999</v>
      </c>
      <c r="M2751" s="6">
        <v>0.2389</v>
      </c>
      <c r="N2751" s="6">
        <v>4.2279</v>
      </c>
      <c r="O2751" s="6">
        <v>1</v>
      </c>
      <c r="P2751" s="5">
        <v>233.85353700000269</v>
      </c>
      <c r="Q2751" s="4" t="s">
        <v>1390</v>
      </c>
    </row>
    <row r="2752" spans="1:17" x14ac:dyDescent="0.3">
      <c r="A2752" s="2" t="s">
        <v>1389</v>
      </c>
      <c r="B2752" s="3">
        <v>158140</v>
      </c>
      <c r="C2752" s="3">
        <v>218811</v>
      </c>
      <c r="D2752" s="4" t="s">
        <v>17</v>
      </c>
      <c r="E2752" s="4" t="s">
        <v>1387</v>
      </c>
      <c r="F2752" s="4" t="s">
        <v>19</v>
      </c>
      <c r="G2752" s="4" t="s">
        <v>20</v>
      </c>
      <c r="H2752" s="5">
        <v>1033.56</v>
      </c>
      <c r="I2752" s="4" t="s">
        <v>21</v>
      </c>
      <c r="J2752" s="5">
        <f t="shared" si="42"/>
        <v>-4326.4821599999996</v>
      </c>
      <c r="K2752" s="4" t="s">
        <v>50</v>
      </c>
      <c r="L2752" s="6">
        <v>4.1859999999999999</v>
      </c>
      <c r="M2752" s="6">
        <v>0.2389</v>
      </c>
      <c r="N2752" s="6">
        <v>4.2279</v>
      </c>
      <c r="O2752" s="6">
        <v>1</v>
      </c>
      <c r="P2752" s="5">
        <v>43.306164000000535</v>
      </c>
      <c r="Q2752" s="4" t="s">
        <v>1390</v>
      </c>
    </row>
    <row r="2753" spans="1:17" x14ac:dyDescent="0.3">
      <c r="A2753" s="2" t="s">
        <v>1389</v>
      </c>
      <c r="B2753" s="3">
        <v>158141</v>
      </c>
      <c r="C2753" s="3">
        <v>218812</v>
      </c>
      <c r="D2753" s="4" t="s">
        <v>17</v>
      </c>
      <c r="E2753" s="4" t="s">
        <v>1387</v>
      </c>
      <c r="F2753" s="4" t="s">
        <v>19</v>
      </c>
      <c r="G2753" s="4" t="s">
        <v>20</v>
      </c>
      <c r="H2753" s="5">
        <v>380.87</v>
      </c>
      <c r="I2753" s="4" t="s">
        <v>21</v>
      </c>
      <c r="J2753" s="5">
        <f t="shared" si="42"/>
        <v>-1594.3218199999999</v>
      </c>
      <c r="K2753" s="4" t="s">
        <v>50</v>
      </c>
      <c r="L2753" s="6">
        <v>4.1859999999999999</v>
      </c>
      <c r="M2753" s="6">
        <v>0.2389</v>
      </c>
      <c r="N2753" s="6">
        <v>4.2279</v>
      </c>
      <c r="O2753" s="6">
        <v>1</v>
      </c>
      <c r="P2753" s="5">
        <v>15.958453000000191</v>
      </c>
      <c r="Q2753" s="4" t="s">
        <v>1390</v>
      </c>
    </row>
    <row r="2754" spans="1:17" x14ac:dyDescent="0.3">
      <c r="A2754" s="2" t="s">
        <v>1389</v>
      </c>
      <c r="B2754" s="3">
        <v>158142</v>
      </c>
      <c r="C2754" s="3">
        <v>218818</v>
      </c>
      <c r="D2754" s="4" t="s">
        <v>17</v>
      </c>
      <c r="E2754" s="4" t="s">
        <v>777</v>
      </c>
      <c r="F2754" s="4" t="s">
        <v>32</v>
      </c>
      <c r="G2754" s="4" t="s">
        <v>20</v>
      </c>
      <c r="H2754" s="5">
        <v>-30000</v>
      </c>
      <c r="I2754" s="4" t="s">
        <v>21</v>
      </c>
      <c r="J2754" s="5">
        <f t="shared" si="42"/>
        <v>126840</v>
      </c>
      <c r="K2754" s="4" t="s">
        <v>50</v>
      </c>
      <c r="L2754" s="6">
        <v>4.2279999999999998</v>
      </c>
      <c r="M2754" s="6">
        <v>0.23649999999999999</v>
      </c>
      <c r="N2754" s="6">
        <v>4.2279</v>
      </c>
      <c r="O2754" s="6">
        <v>1</v>
      </c>
      <c r="P2754" s="5">
        <v>3</v>
      </c>
      <c r="Q2754" s="4" t="s">
        <v>1390</v>
      </c>
    </row>
    <row r="2755" spans="1:17" x14ac:dyDescent="0.3">
      <c r="A2755" s="2" t="s">
        <v>1389</v>
      </c>
      <c r="B2755" s="3">
        <v>158143</v>
      </c>
      <c r="C2755" s="3">
        <v>218821</v>
      </c>
      <c r="D2755" s="4" t="s">
        <v>17</v>
      </c>
      <c r="E2755" s="4" t="s">
        <v>1066</v>
      </c>
      <c r="F2755" s="4" t="s">
        <v>32</v>
      </c>
      <c r="G2755" s="4" t="s">
        <v>20</v>
      </c>
      <c r="H2755" s="5">
        <v>-28000</v>
      </c>
      <c r="I2755" s="4" t="s">
        <v>21</v>
      </c>
      <c r="J2755" s="5">
        <f t="shared" si="42"/>
        <v>118395.2</v>
      </c>
      <c r="K2755" s="4" t="s">
        <v>50</v>
      </c>
      <c r="L2755" s="6">
        <v>4.2283999999999997</v>
      </c>
      <c r="M2755" s="6">
        <v>0.23649999999999999</v>
      </c>
      <c r="N2755" s="6">
        <v>4.2279</v>
      </c>
      <c r="O2755" s="6">
        <v>1</v>
      </c>
      <c r="P2755" s="5">
        <v>2.8</v>
      </c>
      <c r="Q2755" s="4" t="s">
        <v>1390</v>
      </c>
    </row>
    <row r="2756" spans="1:17" x14ac:dyDescent="0.3">
      <c r="A2756" s="2" t="s">
        <v>1389</v>
      </c>
      <c r="B2756" s="3">
        <v>158144</v>
      </c>
      <c r="C2756" s="3">
        <v>904962</v>
      </c>
      <c r="D2756" s="4" t="s">
        <v>81</v>
      </c>
      <c r="E2756" s="4" t="s">
        <v>725</v>
      </c>
      <c r="F2756" s="4" t="s">
        <v>87</v>
      </c>
      <c r="G2756" s="4" t="s">
        <v>20</v>
      </c>
      <c r="H2756" s="5">
        <v>100000</v>
      </c>
      <c r="I2756" s="4" t="s">
        <v>91</v>
      </c>
      <c r="J2756" s="5">
        <f t="shared" ref="J2756:J2819" si="43">-H2756*L2756</f>
        <v>-87090</v>
      </c>
      <c r="K2756" s="4" t="s">
        <v>52</v>
      </c>
      <c r="L2756" s="6">
        <v>0.87090000000000001</v>
      </c>
      <c r="M2756" s="6">
        <v>1.1482000000000001</v>
      </c>
      <c r="N2756" s="6">
        <v>4.2127999999999997</v>
      </c>
      <c r="O2756" s="6">
        <v>4.8433999999999999</v>
      </c>
      <c r="P2756" s="5">
        <v>-551.07960000000003</v>
      </c>
      <c r="Q2756" s="4" t="s">
        <v>1392</v>
      </c>
    </row>
    <row r="2757" spans="1:17" x14ac:dyDescent="0.3">
      <c r="A2757" s="2" t="s">
        <v>1389</v>
      </c>
      <c r="B2757" s="3">
        <v>158145</v>
      </c>
      <c r="C2757" s="3">
        <v>904964</v>
      </c>
      <c r="D2757" s="4" t="s">
        <v>81</v>
      </c>
      <c r="E2757" s="4" t="s">
        <v>725</v>
      </c>
      <c r="F2757" s="4" t="s">
        <v>83</v>
      </c>
      <c r="G2757" s="4" t="s">
        <v>34</v>
      </c>
      <c r="H2757" s="5">
        <v>-500000</v>
      </c>
      <c r="I2757" s="4" t="s">
        <v>21</v>
      </c>
      <c r="J2757" s="5">
        <f t="shared" si="43"/>
        <v>1803850</v>
      </c>
      <c r="K2757" s="4" t="s">
        <v>52</v>
      </c>
      <c r="L2757" s="6">
        <v>3.6076999999999999</v>
      </c>
      <c r="M2757" s="6">
        <v>0.2772</v>
      </c>
      <c r="N2757" s="6">
        <v>3.6027999999999998</v>
      </c>
      <c r="O2757" s="6">
        <v>1</v>
      </c>
      <c r="P2757" s="5">
        <v>2430</v>
      </c>
      <c r="Q2757" s="4" t="s">
        <v>1392</v>
      </c>
    </row>
    <row r="2758" spans="1:17" x14ac:dyDescent="0.3">
      <c r="A2758" s="2" t="s">
        <v>1389</v>
      </c>
      <c r="B2758" s="3">
        <v>158146</v>
      </c>
      <c r="C2758" s="3">
        <v>218822</v>
      </c>
      <c r="D2758" s="4" t="s">
        <v>17</v>
      </c>
      <c r="E2758" s="4" t="s">
        <v>1154</v>
      </c>
      <c r="F2758" s="4" t="s">
        <v>32</v>
      </c>
      <c r="G2758" s="4" t="s">
        <v>20</v>
      </c>
      <c r="H2758" s="5">
        <v>-19071.36</v>
      </c>
      <c r="I2758" s="4" t="s">
        <v>21</v>
      </c>
      <c r="J2758" s="5">
        <f t="shared" si="43"/>
        <v>80580.310272000002</v>
      </c>
      <c r="K2758" s="4" t="s">
        <v>50</v>
      </c>
      <c r="L2758" s="6">
        <v>4.2252000000000001</v>
      </c>
      <c r="M2758" s="6">
        <v>0.23669999999999999</v>
      </c>
      <c r="N2758" s="6">
        <v>4.2279</v>
      </c>
      <c r="O2758" s="6">
        <v>1</v>
      </c>
      <c r="P2758" s="5">
        <v>-59.122943999999997</v>
      </c>
      <c r="Q2758" s="4" t="s">
        <v>1390</v>
      </c>
    </row>
    <row r="2759" spans="1:17" x14ac:dyDescent="0.3">
      <c r="A2759" s="2" t="s">
        <v>1389</v>
      </c>
      <c r="B2759" s="3">
        <v>158147</v>
      </c>
      <c r="C2759" s="3">
        <v>218829</v>
      </c>
      <c r="D2759" s="4" t="s">
        <v>17</v>
      </c>
      <c r="E2759" s="4" t="s">
        <v>1154</v>
      </c>
      <c r="F2759" s="4" t="s">
        <v>32</v>
      </c>
      <c r="G2759" s="4" t="s">
        <v>453</v>
      </c>
      <c r="H2759" s="5">
        <v>-35096</v>
      </c>
      <c r="I2759" s="4" t="s">
        <v>21</v>
      </c>
      <c r="J2759" s="5">
        <f t="shared" si="43"/>
        <v>91579.502399999998</v>
      </c>
      <c r="K2759" s="4" t="s">
        <v>50</v>
      </c>
      <c r="L2759" s="6">
        <v>2.6093999999999999</v>
      </c>
      <c r="M2759" s="6">
        <v>0.38319999999999999</v>
      </c>
      <c r="N2759" s="6">
        <v>2.6074999999999999</v>
      </c>
      <c r="O2759" s="6">
        <v>1</v>
      </c>
      <c r="P2759" s="5">
        <v>59.66</v>
      </c>
      <c r="Q2759" s="4" t="s">
        <v>1390</v>
      </c>
    </row>
    <row r="2760" spans="1:17" x14ac:dyDescent="0.3">
      <c r="A2760" s="2" t="s">
        <v>1389</v>
      </c>
      <c r="B2760" s="3">
        <v>158148</v>
      </c>
      <c r="C2760" s="3">
        <v>218830</v>
      </c>
      <c r="D2760" s="4" t="s">
        <v>17</v>
      </c>
      <c r="E2760" s="4" t="s">
        <v>1154</v>
      </c>
      <c r="F2760" s="4" t="s">
        <v>32</v>
      </c>
      <c r="G2760" s="4" t="s">
        <v>20</v>
      </c>
      <c r="H2760" s="5">
        <v>-170000</v>
      </c>
      <c r="I2760" s="4" t="s">
        <v>21</v>
      </c>
      <c r="J2760" s="5">
        <f t="shared" si="43"/>
        <v>718267</v>
      </c>
      <c r="K2760" s="4" t="s">
        <v>50</v>
      </c>
      <c r="L2760" s="6">
        <v>4.2251000000000003</v>
      </c>
      <c r="M2760" s="6">
        <v>0.23669999999999999</v>
      </c>
      <c r="N2760" s="6">
        <v>4.2279</v>
      </c>
      <c r="O2760" s="6">
        <v>1</v>
      </c>
      <c r="P2760" s="5">
        <v>-544</v>
      </c>
      <c r="Q2760" s="4" t="s">
        <v>1390</v>
      </c>
    </row>
    <row r="2761" spans="1:17" x14ac:dyDescent="0.3">
      <c r="A2761" s="2" t="s">
        <v>1389</v>
      </c>
      <c r="B2761" s="3">
        <v>158149</v>
      </c>
      <c r="C2761" s="3">
        <v>904996</v>
      </c>
      <c r="D2761" s="4" t="s">
        <v>81</v>
      </c>
      <c r="E2761" s="4" t="s">
        <v>985</v>
      </c>
      <c r="F2761" s="4" t="s">
        <v>87</v>
      </c>
      <c r="G2761" s="4" t="s">
        <v>20</v>
      </c>
      <c r="H2761" s="5">
        <v>35500</v>
      </c>
      <c r="I2761" s="4" t="s">
        <v>21</v>
      </c>
      <c r="J2761" s="5">
        <f t="shared" si="43"/>
        <v>-149820.65</v>
      </c>
      <c r="K2761" s="4" t="s">
        <v>52</v>
      </c>
      <c r="L2761" s="6">
        <v>4.2202999999999999</v>
      </c>
      <c r="M2761" s="6">
        <v>0.2369</v>
      </c>
      <c r="N2761" s="6">
        <v>4.2127999999999997</v>
      </c>
      <c r="O2761" s="6">
        <v>1</v>
      </c>
      <c r="P2761" s="5">
        <v>-266.25</v>
      </c>
      <c r="Q2761" s="4" t="s">
        <v>1390</v>
      </c>
    </row>
    <row r="2762" spans="1:17" x14ac:dyDescent="0.3">
      <c r="A2762" s="2" t="s">
        <v>1389</v>
      </c>
      <c r="B2762" s="3">
        <v>158150</v>
      </c>
      <c r="C2762" s="3">
        <v>218831</v>
      </c>
      <c r="D2762" s="4" t="s">
        <v>17</v>
      </c>
      <c r="E2762" s="4" t="s">
        <v>950</v>
      </c>
      <c r="F2762" s="4" t="s">
        <v>32</v>
      </c>
      <c r="G2762" s="4" t="s">
        <v>34</v>
      </c>
      <c r="H2762" s="5">
        <v>-267000</v>
      </c>
      <c r="I2762" s="4" t="s">
        <v>21</v>
      </c>
      <c r="J2762" s="5">
        <f t="shared" si="43"/>
        <v>964243.8</v>
      </c>
      <c r="K2762" s="4" t="s">
        <v>50</v>
      </c>
      <c r="L2762" s="6">
        <v>3.6114000000000002</v>
      </c>
      <c r="M2762" s="6">
        <v>0.27689999999999998</v>
      </c>
      <c r="N2762" s="6">
        <v>3.6053999999999999</v>
      </c>
      <c r="O2762" s="6">
        <v>1</v>
      </c>
      <c r="P2762" s="5">
        <v>1602</v>
      </c>
      <c r="Q2762" s="4" t="s">
        <v>1390</v>
      </c>
    </row>
    <row r="2763" spans="1:17" x14ac:dyDescent="0.3">
      <c r="A2763" s="2" t="s">
        <v>1389</v>
      </c>
      <c r="B2763" s="3">
        <v>158151</v>
      </c>
      <c r="C2763" s="3">
        <v>218833</v>
      </c>
      <c r="D2763" s="4" t="s">
        <v>17</v>
      </c>
      <c r="E2763" s="4" t="s">
        <v>1383</v>
      </c>
      <c r="F2763" s="4" t="s">
        <v>19</v>
      </c>
      <c r="G2763" s="4" t="s">
        <v>20</v>
      </c>
      <c r="H2763" s="5">
        <v>85005</v>
      </c>
      <c r="I2763" s="4" t="s">
        <v>21</v>
      </c>
      <c r="J2763" s="5">
        <f t="shared" si="43"/>
        <v>-357905.05199999997</v>
      </c>
      <c r="K2763" s="4" t="s">
        <v>50</v>
      </c>
      <c r="L2763" s="6">
        <v>4.2103999999999999</v>
      </c>
      <c r="M2763" s="6">
        <v>0.23749999999999999</v>
      </c>
      <c r="N2763" s="6">
        <v>4.2279</v>
      </c>
      <c r="O2763" s="6">
        <v>1</v>
      </c>
      <c r="P2763" s="5">
        <v>1487.5875000000233</v>
      </c>
      <c r="Q2763" s="4" t="s">
        <v>1390</v>
      </c>
    </row>
    <row r="2764" spans="1:17" x14ac:dyDescent="0.3">
      <c r="A2764" s="2" t="s">
        <v>1389</v>
      </c>
      <c r="B2764" s="3">
        <v>158152</v>
      </c>
      <c r="C2764" s="3">
        <v>905006</v>
      </c>
      <c r="D2764" s="4" t="s">
        <v>81</v>
      </c>
      <c r="E2764" s="4" t="s">
        <v>1077</v>
      </c>
      <c r="F2764" s="4" t="s">
        <v>87</v>
      </c>
      <c r="G2764" s="4" t="s">
        <v>20</v>
      </c>
      <c r="H2764" s="5">
        <v>25000</v>
      </c>
      <c r="I2764" s="4" t="s">
        <v>21</v>
      </c>
      <c r="J2764" s="5">
        <f t="shared" si="43"/>
        <v>-105557.5</v>
      </c>
      <c r="K2764" s="4" t="s">
        <v>52</v>
      </c>
      <c r="L2764" s="6">
        <v>4.2222999999999997</v>
      </c>
      <c r="M2764" s="6">
        <v>0.23680000000000001</v>
      </c>
      <c r="N2764" s="6">
        <v>4.2127999999999997</v>
      </c>
      <c r="O2764" s="6">
        <v>1</v>
      </c>
      <c r="P2764" s="5">
        <v>-237.5</v>
      </c>
      <c r="Q2764" s="4" t="s">
        <v>1390</v>
      </c>
    </row>
    <row r="2765" spans="1:17" x14ac:dyDescent="0.3">
      <c r="A2765" s="2" t="s">
        <v>1389</v>
      </c>
      <c r="B2765" s="3">
        <v>158153</v>
      </c>
      <c r="C2765" s="3">
        <v>218836</v>
      </c>
      <c r="D2765" s="4" t="s">
        <v>17</v>
      </c>
      <c r="E2765" s="4" t="s">
        <v>847</v>
      </c>
      <c r="F2765" s="4" t="s">
        <v>32</v>
      </c>
      <c r="G2765" s="4" t="s">
        <v>20</v>
      </c>
      <c r="H2765" s="5">
        <v>-300000</v>
      </c>
      <c r="I2765" s="4" t="s">
        <v>21</v>
      </c>
      <c r="J2765" s="5">
        <f t="shared" si="43"/>
        <v>1269420</v>
      </c>
      <c r="K2765" s="4" t="s">
        <v>50</v>
      </c>
      <c r="L2765" s="6">
        <v>4.2313999999999998</v>
      </c>
      <c r="M2765" s="6">
        <v>0.23630000000000001</v>
      </c>
      <c r="N2765" s="6">
        <v>4.2279</v>
      </c>
      <c r="O2765" s="6">
        <v>1</v>
      </c>
      <c r="P2765" s="5">
        <v>930</v>
      </c>
      <c r="Q2765" s="4" t="s">
        <v>1390</v>
      </c>
    </row>
    <row r="2766" spans="1:17" x14ac:dyDescent="0.3">
      <c r="A2766" s="2" t="s">
        <v>1389</v>
      </c>
      <c r="B2766" s="3">
        <v>158154</v>
      </c>
      <c r="C2766" s="3">
        <v>218839</v>
      </c>
      <c r="D2766" s="4" t="s">
        <v>17</v>
      </c>
      <c r="E2766" s="4" t="s">
        <v>1116</v>
      </c>
      <c r="F2766" s="4" t="s">
        <v>32</v>
      </c>
      <c r="G2766" s="4" t="s">
        <v>20</v>
      </c>
      <c r="H2766" s="5">
        <v>-7981.49</v>
      </c>
      <c r="I2766" s="4" t="s">
        <v>34</v>
      </c>
      <c r="J2766" s="5">
        <f t="shared" si="43"/>
        <v>9370.2692599999991</v>
      </c>
      <c r="K2766" s="4" t="s">
        <v>50</v>
      </c>
      <c r="L2766" s="6">
        <v>1.1739999999999999</v>
      </c>
      <c r="M2766" s="6">
        <v>0.8518</v>
      </c>
      <c r="N2766" s="6">
        <v>4.2279</v>
      </c>
      <c r="O2766" s="6">
        <v>3.6053999999999999</v>
      </c>
      <c r="P2766" s="5">
        <v>-47.719442999999998</v>
      </c>
      <c r="Q2766" s="4" t="s">
        <v>1390</v>
      </c>
    </row>
    <row r="2767" spans="1:17" x14ac:dyDescent="0.3">
      <c r="A2767" s="2" t="s">
        <v>1389</v>
      </c>
      <c r="B2767" s="3">
        <v>158155</v>
      </c>
      <c r="C2767" s="3">
        <v>905038</v>
      </c>
      <c r="D2767" s="4" t="s">
        <v>81</v>
      </c>
      <c r="E2767" s="4" t="s">
        <v>734</v>
      </c>
      <c r="F2767" s="4" t="s">
        <v>87</v>
      </c>
      <c r="G2767" s="4" t="s">
        <v>20</v>
      </c>
      <c r="H2767" s="5">
        <v>100000</v>
      </c>
      <c r="I2767" s="4" t="s">
        <v>34</v>
      </c>
      <c r="J2767" s="5">
        <f t="shared" si="43"/>
        <v>-117090</v>
      </c>
      <c r="K2767" s="4" t="s">
        <v>52</v>
      </c>
      <c r="L2767" s="6">
        <v>1.1709000000000001</v>
      </c>
      <c r="M2767" s="6">
        <v>0.85399999999999998</v>
      </c>
      <c r="N2767" s="6">
        <v>4.2127999999999997</v>
      </c>
      <c r="O2767" s="6">
        <v>3.6027999999999998</v>
      </c>
      <c r="P2767" s="5">
        <v>-589.86599999999999</v>
      </c>
      <c r="Q2767" s="4" t="s">
        <v>1393</v>
      </c>
    </row>
    <row r="2768" spans="1:17" x14ac:dyDescent="0.3">
      <c r="A2768" s="2" t="s">
        <v>1389</v>
      </c>
      <c r="B2768" s="3">
        <v>158156</v>
      </c>
      <c r="C2768" s="3">
        <v>218843</v>
      </c>
      <c r="D2768" s="4" t="s">
        <v>17</v>
      </c>
      <c r="E2768" s="4" t="s">
        <v>787</v>
      </c>
      <c r="F2768" s="4" t="s">
        <v>19</v>
      </c>
      <c r="G2768" s="4" t="s">
        <v>20</v>
      </c>
      <c r="H2768" s="5">
        <v>160000</v>
      </c>
      <c r="I2768" s="4" t="s">
        <v>21</v>
      </c>
      <c r="J2768" s="5">
        <f t="shared" si="43"/>
        <v>-675200</v>
      </c>
      <c r="K2768" s="4" t="s">
        <v>50</v>
      </c>
      <c r="L2768" s="6">
        <v>4.22</v>
      </c>
      <c r="M2768" s="6">
        <v>0.23699999999999999</v>
      </c>
      <c r="N2768" s="6">
        <v>4.2279</v>
      </c>
      <c r="O2768" s="6">
        <v>1</v>
      </c>
      <c r="P2768" s="5">
        <v>1264</v>
      </c>
      <c r="Q2768" s="4" t="s">
        <v>1390</v>
      </c>
    </row>
    <row r="2769" spans="1:17" x14ac:dyDescent="0.3">
      <c r="A2769" s="2" t="s">
        <v>1389</v>
      </c>
      <c r="B2769" s="3">
        <v>158159</v>
      </c>
      <c r="C2769" s="3">
        <v>218851</v>
      </c>
      <c r="D2769" s="4" t="s">
        <v>17</v>
      </c>
      <c r="E2769" s="4" t="s">
        <v>1070</v>
      </c>
      <c r="F2769" s="4" t="s">
        <v>32</v>
      </c>
      <c r="G2769" s="4" t="s">
        <v>34</v>
      </c>
      <c r="H2769" s="5">
        <v>-100000</v>
      </c>
      <c r="I2769" s="4" t="s">
        <v>21</v>
      </c>
      <c r="J2769" s="5">
        <f t="shared" si="43"/>
        <v>361300</v>
      </c>
      <c r="K2769" s="4" t="s">
        <v>50</v>
      </c>
      <c r="L2769" s="6">
        <v>3.613</v>
      </c>
      <c r="M2769" s="6">
        <v>0.27679999999999999</v>
      </c>
      <c r="N2769" s="6">
        <v>3.6053999999999999</v>
      </c>
      <c r="O2769" s="6">
        <v>1</v>
      </c>
      <c r="P2769" s="5">
        <v>760</v>
      </c>
      <c r="Q2769" s="4" t="s">
        <v>1390</v>
      </c>
    </row>
    <row r="2770" spans="1:17" x14ac:dyDescent="0.3">
      <c r="A2770" s="2" t="s">
        <v>1389</v>
      </c>
      <c r="B2770" s="3">
        <v>158160</v>
      </c>
      <c r="C2770" s="3">
        <v>218856</v>
      </c>
      <c r="D2770" s="4" t="s">
        <v>17</v>
      </c>
      <c r="E2770" s="4" t="s">
        <v>896</v>
      </c>
      <c r="F2770" s="4" t="s">
        <v>19</v>
      </c>
      <c r="G2770" s="4" t="s">
        <v>20</v>
      </c>
      <c r="H2770" s="5">
        <v>20000</v>
      </c>
      <c r="I2770" s="4" t="s">
        <v>21</v>
      </c>
      <c r="J2770" s="5">
        <f t="shared" si="43"/>
        <v>-84000</v>
      </c>
      <c r="K2770" s="4" t="s">
        <v>50</v>
      </c>
      <c r="L2770" s="6">
        <v>4.2</v>
      </c>
      <c r="M2770" s="6">
        <v>0.23810000000000001</v>
      </c>
      <c r="N2770" s="6">
        <v>4.2279</v>
      </c>
      <c r="O2770" s="6">
        <v>1</v>
      </c>
      <c r="P2770" s="5">
        <v>558</v>
      </c>
      <c r="Q2770" s="4" t="s">
        <v>1390</v>
      </c>
    </row>
    <row r="2771" spans="1:17" x14ac:dyDescent="0.3">
      <c r="A2771" s="2" t="s">
        <v>1389</v>
      </c>
      <c r="B2771" s="3">
        <v>158161</v>
      </c>
      <c r="C2771" s="3">
        <v>905091</v>
      </c>
      <c r="D2771" s="4" t="s">
        <v>81</v>
      </c>
      <c r="E2771" s="4" t="s">
        <v>734</v>
      </c>
      <c r="F2771" s="4" t="s">
        <v>87</v>
      </c>
      <c r="G2771" s="4" t="s">
        <v>20</v>
      </c>
      <c r="H2771" s="5">
        <v>100000</v>
      </c>
      <c r="I2771" s="4" t="s">
        <v>34</v>
      </c>
      <c r="J2771" s="5">
        <f t="shared" si="43"/>
        <v>-117070.00000000001</v>
      </c>
      <c r="K2771" s="4" t="s">
        <v>52</v>
      </c>
      <c r="L2771" s="6">
        <v>1.1707000000000001</v>
      </c>
      <c r="M2771" s="6">
        <v>0.85419999999999996</v>
      </c>
      <c r="N2771" s="6">
        <v>4.2127999999999997</v>
      </c>
      <c r="O2771" s="6">
        <v>3.6027999999999998</v>
      </c>
      <c r="P2771" s="5">
        <v>-488.98759999999999</v>
      </c>
      <c r="Q2771" s="4" t="s">
        <v>1393</v>
      </c>
    </row>
    <row r="2772" spans="1:17" x14ac:dyDescent="0.3">
      <c r="A2772" s="2" t="s">
        <v>1389</v>
      </c>
      <c r="B2772" s="3">
        <v>158162</v>
      </c>
      <c r="C2772" s="3">
        <v>905092</v>
      </c>
      <c r="D2772" s="4" t="s">
        <v>81</v>
      </c>
      <c r="E2772" s="4" t="s">
        <v>732</v>
      </c>
      <c r="F2772" s="4" t="s">
        <v>83</v>
      </c>
      <c r="G2772" s="4" t="s">
        <v>20</v>
      </c>
      <c r="H2772" s="5">
        <v>-500000</v>
      </c>
      <c r="I2772" s="4" t="s">
        <v>21</v>
      </c>
      <c r="J2772" s="5">
        <f t="shared" si="43"/>
        <v>2112950</v>
      </c>
      <c r="K2772" s="4" t="s">
        <v>52</v>
      </c>
      <c r="L2772" s="6">
        <v>4.2259000000000002</v>
      </c>
      <c r="M2772" s="6">
        <v>0.2366</v>
      </c>
      <c r="N2772" s="6">
        <v>4.2127999999999997</v>
      </c>
      <c r="O2772" s="6">
        <v>1</v>
      </c>
      <c r="P2772" s="5">
        <v>6570</v>
      </c>
      <c r="Q2772" s="4" t="s">
        <v>1394</v>
      </c>
    </row>
    <row r="2773" spans="1:17" x14ac:dyDescent="0.3">
      <c r="A2773" s="2" t="s">
        <v>1389</v>
      </c>
      <c r="B2773" s="3">
        <v>158165</v>
      </c>
      <c r="C2773" s="3">
        <v>218862</v>
      </c>
      <c r="D2773" s="4" t="s">
        <v>17</v>
      </c>
      <c r="E2773" s="4" t="s">
        <v>923</v>
      </c>
      <c r="F2773" s="4" t="s">
        <v>32</v>
      </c>
      <c r="G2773" s="4" t="s">
        <v>20</v>
      </c>
      <c r="H2773" s="5">
        <v>-139100</v>
      </c>
      <c r="I2773" s="4" t="s">
        <v>21</v>
      </c>
      <c r="J2773" s="5">
        <f t="shared" si="43"/>
        <v>588253.9</v>
      </c>
      <c r="K2773" s="4" t="s">
        <v>50</v>
      </c>
      <c r="L2773" s="6">
        <v>4.2290000000000001</v>
      </c>
      <c r="M2773" s="6">
        <v>0.23649999999999999</v>
      </c>
      <c r="N2773" s="6">
        <v>4.2279</v>
      </c>
      <c r="O2773" s="6">
        <v>1</v>
      </c>
      <c r="P2773" s="5">
        <v>153.01</v>
      </c>
      <c r="Q2773" s="4" t="s">
        <v>1390</v>
      </c>
    </row>
    <row r="2774" spans="1:17" x14ac:dyDescent="0.3">
      <c r="A2774" s="2" t="s">
        <v>1389</v>
      </c>
      <c r="B2774" s="3">
        <v>158168</v>
      </c>
      <c r="C2774" s="3">
        <v>218865</v>
      </c>
      <c r="D2774" s="4" t="s">
        <v>17</v>
      </c>
      <c r="E2774" s="4" t="s">
        <v>1221</v>
      </c>
      <c r="F2774" s="4" t="s">
        <v>19</v>
      </c>
      <c r="G2774" s="4" t="s">
        <v>34</v>
      </c>
      <c r="H2774" s="5">
        <v>100000</v>
      </c>
      <c r="I2774" s="4" t="s">
        <v>21</v>
      </c>
      <c r="J2774" s="5">
        <f t="shared" si="43"/>
        <v>-361000</v>
      </c>
      <c r="K2774" s="4" t="s">
        <v>50</v>
      </c>
      <c r="L2774" s="6">
        <v>3.61</v>
      </c>
      <c r="M2774" s="6">
        <v>0.27700000000000002</v>
      </c>
      <c r="N2774" s="6">
        <v>3.6053999999999999</v>
      </c>
      <c r="O2774" s="6">
        <v>1</v>
      </c>
      <c r="P2774" s="5">
        <v>-460</v>
      </c>
      <c r="Q2774" s="4" t="s">
        <v>1390</v>
      </c>
    </row>
    <row r="2775" spans="1:17" x14ac:dyDescent="0.3">
      <c r="A2775" s="2" t="s">
        <v>1389</v>
      </c>
      <c r="B2775" s="3">
        <v>158171</v>
      </c>
      <c r="C2775" s="3">
        <v>218866</v>
      </c>
      <c r="D2775" s="4" t="s">
        <v>17</v>
      </c>
      <c r="E2775" s="4" t="s">
        <v>813</v>
      </c>
      <c r="F2775" s="4" t="s">
        <v>32</v>
      </c>
      <c r="G2775" s="4" t="s">
        <v>20</v>
      </c>
      <c r="H2775" s="5">
        <v>-8634.89</v>
      </c>
      <c r="I2775" s="4" t="s">
        <v>21</v>
      </c>
      <c r="J2775" s="5">
        <f t="shared" si="43"/>
        <v>36512.632364999998</v>
      </c>
      <c r="K2775" s="4" t="s">
        <v>50</v>
      </c>
      <c r="L2775" s="6">
        <v>4.2285000000000004</v>
      </c>
      <c r="M2775" s="6">
        <v>0.23649999999999999</v>
      </c>
      <c r="N2775" s="6">
        <v>4.2279</v>
      </c>
      <c r="O2775" s="6">
        <v>1</v>
      </c>
      <c r="P2775" s="5">
        <v>1.728569</v>
      </c>
      <c r="Q2775" s="4" t="s">
        <v>1390</v>
      </c>
    </row>
    <row r="2776" spans="1:17" x14ac:dyDescent="0.3">
      <c r="A2776" s="2" t="s">
        <v>1389</v>
      </c>
      <c r="B2776" s="3">
        <v>158174</v>
      </c>
      <c r="C2776" s="3">
        <v>218867</v>
      </c>
      <c r="D2776" s="4" t="s">
        <v>17</v>
      </c>
      <c r="E2776" s="4" t="s">
        <v>1131</v>
      </c>
      <c r="F2776" s="4" t="s">
        <v>32</v>
      </c>
      <c r="G2776" s="4" t="s">
        <v>34</v>
      </c>
      <c r="H2776" s="5">
        <v>-157400</v>
      </c>
      <c r="I2776" s="4" t="s">
        <v>21</v>
      </c>
      <c r="J2776" s="5">
        <f t="shared" si="43"/>
        <v>569315.80000000005</v>
      </c>
      <c r="K2776" s="4" t="s">
        <v>50</v>
      </c>
      <c r="L2776" s="6">
        <v>3.617</v>
      </c>
      <c r="M2776" s="6">
        <v>0.27650000000000002</v>
      </c>
      <c r="N2776" s="6">
        <v>3.6053999999999999</v>
      </c>
      <c r="O2776" s="6">
        <v>1</v>
      </c>
      <c r="P2776" s="5">
        <v>1825.84</v>
      </c>
      <c r="Q2776" s="4" t="s">
        <v>1390</v>
      </c>
    </row>
    <row r="2777" spans="1:17" x14ac:dyDescent="0.3">
      <c r="A2777" s="2" t="s">
        <v>1389</v>
      </c>
      <c r="B2777" s="3">
        <v>158179</v>
      </c>
      <c r="C2777" s="3">
        <v>218878</v>
      </c>
      <c r="D2777" s="4" t="s">
        <v>17</v>
      </c>
      <c r="E2777" s="4" t="s">
        <v>810</v>
      </c>
      <c r="F2777" s="4" t="s">
        <v>19</v>
      </c>
      <c r="G2777" s="4" t="s">
        <v>20</v>
      </c>
      <c r="H2777" s="5">
        <v>40000</v>
      </c>
      <c r="I2777" s="4" t="s">
        <v>21</v>
      </c>
      <c r="J2777" s="5">
        <f t="shared" si="43"/>
        <v>-168640</v>
      </c>
      <c r="K2777" s="4" t="s">
        <v>50</v>
      </c>
      <c r="L2777" s="6">
        <v>4.2160000000000002</v>
      </c>
      <c r="M2777" s="6">
        <v>0.23719999999999999</v>
      </c>
      <c r="N2777" s="6">
        <v>4.2279</v>
      </c>
      <c r="O2777" s="6">
        <v>1</v>
      </c>
      <c r="P2777" s="5">
        <v>476</v>
      </c>
      <c r="Q2777" s="4" t="s">
        <v>1390</v>
      </c>
    </row>
    <row r="2778" spans="1:17" x14ac:dyDescent="0.3">
      <c r="A2778" s="2" t="s">
        <v>1389</v>
      </c>
      <c r="B2778" s="3">
        <v>158180</v>
      </c>
      <c r="C2778" s="3">
        <v>218881</v>
      </c>
      <c r="D2778" s="4" t="s">
        <v>17</v>
      </c>
      <c r="E2778" s="4" t="s">
        <v>860</v>
      </c>
      <c r="F2778" s="4" t="s">
        <v>32</v>
      </c>
      <c r="G2778" s="4" t="s">
        <v>20</v>
      </c>
      <c r="H2778" s="5">
        <v>-10000</v>
      </c>
      <c r="I2778" s="4" t="s">
        <v>21</v>
      </c>
      <c r="J2778" s="5">
        <f t="shared" si="43"/>
        <v>42900</v>
      </c>
      <c r="K2778" s="4" t="s">
        <v>50</v>
      </c>
      <c r="L2778" s="6">
        <v>4.29</v>
      </c>
      <c r="M2778" s="6">
        <v>0.2331</v>
      </c>
      <c r="N2778" s="6">
        <v>4.2279</v>
      </c>
      <c r="O2778" s="6">
        <v>1</v>
      </c>
      <c r="P2778" s="5">
        <v>621</v>
      </c>
      <c r="Q2778" s="4" t="s">
        <v>1390</v>
      </c>
    </row>
    <row r="2779" spans="1:17" x14ac:dyDescent="0.3">
      <c r="A2779" s="2" t="s">
        <v>1389</v>
      </c>
      <c r="B2779" s="3">
        <v>158181</v>
      </c>
      <c r="C2779" s="3">
        <v>218882</v>
      </c>
      <c r="D2779" s="4" t="s">
        <v>17</v>
      </c>
      <c r="E2779" s="4" t="s">
        <v>759</v>
      </c>
      <c r="F2779" s="4" t="s">
        <v>32</v>
      </c>
      <c r="G2779" s="4" t="s">
        <v>20</v>
      </c>
      <c r="H2779" s="5">
        <v>-55000</v>
      </c>
      <c r="I2779" s="4" t="s">
        <v>21</v>
      </c>
      <c r="J2779" s="5">
        <f t="shared" si="43"/>
        <v>233057</v>
      </c>
      <c r="K2779" s="4" t="s">
        <v>50</v>
      </c>
      <c r="L2779" s="6">
        <v>4.2374000000000001</v>
      </c>
      <c r="M2779" s="6">
        <v>0.23599999999999999</v>
      </c>
      <c r="N2779" s="6">
        <v>4.2279</v>
      </c>
      <c r="O2779" s="6">
        <v>1</v>
      </c>
      <c r="P2779" s="5">
        <v>500.5</v>
      </c>
      <c r="Q2779" s="4" t="s">
        <v>1390</v>
      </c>
    </row>
    <row r="2780" spans="1:17" x14ac:dyDescent="0.3">
      <c r="A2780" s="2" t="s">
        <v>1389</v>
      </c>
      <c r="B2780" s="3">
        <v>158182</v>
      </c>
      <c r="C2780" s="3">
        <v>218883</v>
      </c>
      <c r="D2780" s="4" t="s">
        <v>17</v>
      </c>
      <c r="E2780" s="4" t="s">
        <v>1141</v>
      </c>
      <c r="F2780" s="4" t="s">
        <v>19</v>
      </c>
      <c r="G2780" s="4" t="s">
        <v>20</v>
      </c>
      <c r="H2780" s="5">
        <v>8000</v>
      </c>
      <c r="I2780" s="4" t="s">
        <v>21</v>
      </c>
      <c r="J2780" s="5">
        <f t="shared" si="43"/>
        <v>-33707.199999999997</v>
      </c>
      <c r="K2780" s="4" t="s">
        <v>50</v>
      </c>
      <c r="L2780" s="6">
        <v>4.2134</v>
      </c>
      <c r="M2780" s="6">
        <v>0.23730000000000001</v>
      </c>
      <c r="N2780" s="6">
        <v>4.2279</v>
      </c>
      <c r="O2780" s="6">
        <v>1</v>
      </c>
      <c r="P2780" s="5">
        <v>116</v>
      </c>
      <c r="Q2780" s="4" t="s">
        <v>1390</v>
      </c>
    </row>
    <row r="2781" spans="1:17" x14ac:dyDescent="0.3">
      <c r="A2781" s="2" t="s">
        <v>1389</v>
      </c>
      <c r="B2781" s="3">
        <v>158183</v>
      </c>
      <c r="C2781" s="3">
        <v>218884</v>
      </c>
      <c r="D2781" s="4" t="s">
        <v>17</v>
      </c>
      <c r="E2781" s="4" t="s">
        <v>1192</v>
      </c>
      <c r="F2781" s="4" t="s">
        <v>19</v>
      </c>
      <c r="G2781" s="4" t="s">
        <v>34</v>
      </c>
      <c r="H2781" s="5">
        <v>13849.26</v>
      </c>
      <c r="I2781" s="4" t="s">
        <v>21</v>
      </c>
      <c r="J2781" s="5">
        <f t="shared" si="43"/>
        <v>-49981.979339999998</v>
      </c>
      <c r="K2781" s="4" t="s">
        <v>50</v>
      </c>
      <c r="L2781" s="6">
        <v>3.609</v>
      </c>
      <c r="M2781" s="6">
        <v>0.27710000000000001</v>
      </c>
      <c r="N2781" s="6">
        <v>3.6053999999999999</v>
      </c>
      <c r="O2781" s="6">
        <v>1</v>
      </c>
      <c r="P2781" s="5">
        <v>-49.857336000000942</v>
      </c>
      <c r="Q2781" s="4" t="s">
        <v>1390</v>
      </c>
    </row>
    <row r="2782" spans="1:17" x14ac:dyDescent="0.3">
      <c r="A2782" s="2" t="s">
        <v>1389</v>
      </c>
      <c r="B2782" s="3">
        <v>158184</v>
      </c>
      <c r="C2782" s="3">
        <v>905190</v>
      </c>
      <c r="D2782" s="4" t="s">
        <v>81</v>
      </c>
      <c r="E2782" s="4" t="s">
        <v>732</v>
      </c>
      <c r="F2782" s="4" t="s">
        <v>83</v>
      </c>
      <c r="G2782" s="4" t="s">
        <v>20</v>
      </c>
      <c r="H2782" s="5">
        <v>-500000</v>
      </c>
      <c r="I2782" s="4" t="s">
        <v>21</v>
      </c>
      <c r="J2782" s="5">
        <f t="shared" si="43"/>
        <v>2112850</v>
      </c>
      <c r="K2782" s="4" t="s">
        <v>52</v>
      </c>
      <c r="L2782" s="6">
        <v>4.2256999999999998</v>
      </c>
      <c r="M2782" s="6">
        <v>0.2366</v>
      </c>
      <c r="N2782" s="6">
        <v>4.2127999999999997</v>
      </c>
      <c r="O2782" s="6">
        <v>1</v>
      </c>
      <c r="P2782" s="5">
        <v>6460</v>
      </c>
      <c r="Q2782" s="4" t="s">
        <v>1394</v>
      </c>
    </row>
    <row r="2783" spans="1:17" x14ac:dyDescent="0.3">
      <c r="A2783" s="2" t="s">
        <v>1389</v>
      </c>
      <c r="B2783" s="3">
        <v>158185</v>
      </c>
      <c r="C2783" s="3">
        <v>905191</v>
      </c>
      <c r="D2783" s="4" t="s">
        <v>81</v>
      </c>
      <c r="E2783" s="4" t="s">
        <v>732</v>
      </c>
      <c r="F2783" s="4" t="s">
        <v>83</v>
      </c>
      <c r="G2783" s="4" t="s">
        <v>20</v>
      </c>
      <c r="H2783" s="5">
        <v>-500000</v>
      </c>
      <c r="I2783" s="4" t="s">
        <v>21</v>
      </c>
      <c r="J2783" s="5">
        <f t="shared" si="43"/>
        <v>2112900</v>
      </c>
      <c r="K2783" s="4" t="s">
        <v>52</v>
      </c>
      <c r="L2783" s="6">
        <v>4.2257999999999996</v>
      </c>
      <c r="M2783" s="6">
        <v>0.2366</v>
      </c>
      <c r="N2783" s="6">
        <v>4.2127999999999997</v>
      </c>
      <c r="O2783" s="6">
        <v>1</v>
      </c>
      <c r="P2783" s="5">
        <v>6500</v>
      </c>
      <c r="Q2783" s="4" t="s">
        <v>1394</v>
      </c>
    </row>
    <row r="2784" spans="1:17" x14ac:dyDescent="0.3">
      <c r="A2784" s="2" t="s">
        <v>1389</v>
      </c>
      <c r="B2784" s="3">
        <v>158186</v>
      </c>
      <c r="C2784" s="3">
        <v>905192</v>
      </c>
      <c r="D2784" s="4" t="s">
        <v>81</v>
      </c>
      <c r="E2784" s="4" t="s">
        <v>1077</v>
      </c>
      <c r="F2784" s="4" t="s">
        <v>87</v>
      </c>
      <c r="G2784" s="4" t="s">
        <v>20</v>
      </c>
      <c r="H2784" s="5">
        <v>25000</v>
      </c>
      <c r="I2784" s="4" t="s">
        <v>21</v>
      </c>
      <c r="J2784" s="5">
        <f t="shared" si="43"/>
        <v>-105577.49999999999</v>
      </c>
      <c r="K2784" s="4" t="s">
        <v>52</v>
      </c>
      <c r="L2784" s="6">
        <v>4.2230999999999996</v>
      </c>
      <c r="M2784" s="6">
        <v>0.23680000000000001</v>
      </c>
      <c r="N2784" s="6">
        <v>4.2127999999999997</v>
      </c>
      <c r="O2784" s="6">
        <v>1</v>
      </c>
      <c r="P2784" s="5">
        <v>-257.5</v>
      </c>
      <c r="Q2784" s="4" t="s">
        <v>1390</v>
      </c>
    </row>
    <row r="2785" spans="1:17" x14ac:dyDescent="0.3">
      <c r="A2785" s="2" t="s">
        <v>1389</v>
      </c>
      <c r="B2785" s="3">
        <v>158187</v>
      </c>
      <c r="C2785" s="3">
        <v>905193</v>
      </c>
      <c r="D2785" s="4" t="s">
        <v>81</v>
      </c>
      <c r="E2785" s="4" t="s">
        <v>735</v>
      </c>
      <c r="F2785" s="4" t="s">
        <v>83</v>
      </c>
      <c r="G2785" s="4" t="s">
        <v>20</v>
      </c>
      <c r="H2785" s="5">
        <v>-500000</v>
      </c>
      <c r="I2785" s="4" t="s">
        <v>21</v>
      </c>
      <c r="J2785" s="5">
        <f t="shared" si="43"/>
        <v>2112850</v>
      </c>
      <c r="K2785" s="4" t="s">
        <v>52</v>
      </c>
      <c r="L2785" s="6">
        <v>4.2256999999999998</v>
      </c>
      <c r="M2785" s="6">
        <v>0.2366</v>
      </c>
      <c r="N2785" s="6">
        <v>4.2127999999999997</v>
      </c>
      <c r="O2785" s="6">
        <v>1</v>
      </c>
      <c r="P2785" s="5">
        <v>6450</v>
      </c>
      <c r="Q2785" s="4" t="s">
        <v>1394</v>
      </c>
    </row>
    <row r="2786" spans="1:17" x14ac:dyDescent="0.3">
      <c r="A2786" s="2" t="s">
        <v>1389</v>
      </c>
      <c r="B2786" s="3">
        <v>158188</v>
      </c>
      <c r="C2786" s="3">
        <v>218887</v>
      </c>
      <c r="D2786" s="4" t="s">
        <v>17</v>
      </c>
      <c r="E2786" s="4" t="s">
        <v>1208</v>
      </c>
      <c r="F2786" s="4" t="s">
        <v>19</v>
      </c>
      <c r="G2786" s="4" t="s">
        <v>20</v>
      </c>
      <c r="H2786" s="5">
        <v>2850000</v>
      </c>
      <c r="I2786" s="4" t="s">
        <v>21</v>
      </c>
      <c r="J2786" s="5">
        <f t="shared" si="43"/>
        <v>-12033840.000000002</v>
      </c>
      <c r="K2786" s="4" t="s">
        <v>50</v>
      </c>
      <c r="L2786" s="6">
        <v>4.2224000000000004</v>
      </c>
      <c r="M2786" s="6">
        <v>0.23680000000000001</v>
      </c>
      <c r="N2786" s="6">
        <v>4.2279</v>
      </c>
      <c r="O2786" s="6">
        <v>1</v>
      </c>
      <c r="P2786" s="5">
        <v>15674.999999998137</v>
      </c>
      <c r="Q2786" s="4" t="s">
        <v>1390</v>
      </c>
    </row>
    <row r="2787" spans="1:17" x14ac:dyDescent="0.3">
      <c r="A2787" s="2" t="s">
        <v>1389</v>
      </c>
      <c r="B2787" s="3">
        <v>158189</v>
      </c>
      <c r="C2787" s="3">
        <v>905225</v>
      </c>
      <c r="D2787" s="4" t="s">
        <v>81</v>
      </c>
      <c r="E2787" s="4" t="s">
        <v>855</v>
      </c>
      <c r="F2787" s="4" t="s">
        <v>87</v>
      </c>
      <c r="G2787" s="4" t="s">
        <v>20</v>
      </c>
      <c r="H2787" s="5">
        <v>15000</v>
      </c>
      <c r="I2787" s="4" t="s">
        <v>21</v>
      </c>
      <c r="J2787" s="5">
        <f t="shared" si="43"/>
        <v>-63327</v>
      </c>
      <c r="K2787" s="4" t="s">
        <v>52</v>
      </c>
      <c r="L2787" s="6">
        <v>4.2218</v>
      </c>
      <c r="M2787" s="6">
        <v>0.2369</v>
      </c>
      <c r="N2787" s="6">
        <v>4.2127999999999997</v>
      </c>
      <c r="O2787" s="6">
        <v>1</v>
      </c>
      <c r="P2787" s="5">
        <v>-135</v>
      </c>
      <c r="Q2787" s="4" t="s">
        <v>1390</v>
      </c>
    </row>
    <row r="2788" spans="1:17" x14ac:dyDescent="0.3">
      <c r="A2788" s="2" t="s">
        <v>1389</v>
      </c>
      <c r="B2788" s="3">
        <v>158190</v>
      </c>
      <c r="C2788" s="3">
        <v>218901</v>
      </c>
      <c r="D2788" s="4" t="s">
        <v>17</v>
      </c>
      <c r="E2788" s="4" t="s">
        <v>1042</v>
      </c>
      <c r="F2788" s="4" t="s">
        <v>19</v>
      </c>
      <c r="G2788" s="4" t="s">
        <v>20</v>
      </c>
      <c r="H2788" s="5">
        <v>332295.27</v>
      </c>
      <c r="I2788" s="4" t="s">
        <v>21</v>
      </c>
      <c r="J2788" s="5">
        <f t="shared" si="43"/>
        <v>-1401554.9898060001</v>
      </c>
      <c r="K2788" s="4" t="s">
        <v>50</v>
      </c>
      <c r="L2788" s="6">
        <v>4.2178000000000004</v>
      </c>
      <c r="M2788" s="6">
        <v>0.23710000000000001</v>
      </c>
      <c r="N2788" s="6">
        <v>4.2279</v>
      </c>
      <c r="O2788" s="6">
        <v>1</v>
      </c>
      <c r="P2788" s="5">
        <v>3356.1822269998956</v>
      </c>
      <c r="Q2788" s="4" t="s">
        <v>1390</v>
      </c>
    </row>
    <row r="2789" spans="1:17" x14ac:dyDescent="0.3">
      <c r="A2789" s="2" t="s">
        <v>1389</v>
      </c>
      <c r="B2789" s="3">
        <v>158191</v>
      </c>
      <c r="C2789" s="3">
        <v>218902</v>
      </c>
      <c r="D2789" s="4" t="s">
        <v>17</v>
      </c>
      <c r="E2789" s="4" t="s">
        <v>1061</v>
      </c>
      <c r="F2789" s="4" t="s">
        <v>19</v>
      </c>
      <c r="G2789" s="4" t="s">
        <v>20</v>
      </c>
      <c r="H2789" s="5">
        <v>196640</v>
      </c>
      <c r="I2789" s="4" t="s">
        <v>21</v>
      </c>
      <c r="J2789" s="5">
        <f t="shared" si="43"/>
        <v>-829643.82400000002</v>
      </c>
      <c r="K2789" s="4" t="s">
        <v>50</v>
      </c>
      <c r="L2789" s="6">
        <v>4.2191000000000001</v>
      </c>
      <c r="M2789" s="6">
        <v>0.23699999999999999</v>
      </c>
      <c r="N2789" s="6">
        <v>4.2279</v>
      </c>
      <c r="O2789" s="6">
        <v>1</v>
      </c>
      <c r="P2789" s="5">
        <v>1730.4320000000298</v>
      </c>
      <c r="Q2789" s="4" t="s">
        <v>1390</v>
      </c>
    </row>
    <row r="2790" spans="1:17" x14ac:dyDescent="0.3">
      <c r="A2790" s="2" t="s">
        <v>1389</v>
      </c>
      <c r="B2790" s="3">
        <v>158192</v>
      </c>
      <c r="C2790" s="3">
        <v>218909</v>
      </c>
      <c r="D2790" s="4" t="s">
        <v>17</v>
      </c>
      <c r="E2790" s="4" t="s">
        <v>1234</v>
      </c>
      <c r="F2790" s="4" t="s">
        <v>19</v>
      </c>
      <c r="G2790" s="4" t="s">
        <v>20</v>
      </c>
      <c r="H2790" s="5">
        <v>21071.97</v>
      </c>
      <c r="I2790" s="4" t="s">
        <v>21</v>
      </c>
      <c r="J2790" s="5">
        <f t="shared" si="43"/>
        <v>-88868.926277999999</v>
      </c>
      <c r="K2790" s="4" t="s">
        <v>50</v>
      </c>
      <c r="L2790" s="6">
        <v>4.2173999999999996</v>
      </c>
      <c r="M2790" s="6">
        <v>0.23710000000000001</v>
      </c>
      <c r="N2790" s="6">
        <v>4.2279</v>
      </c>
      <c r="O2790" s="6">
        <v>1</v>
      </c>
      <c r="P2790" s="5">
        <v>221.255685000011</v>
      </c>
      <c r="Q2790" s="4" t="s">
        <v>1390</v>
      </c>
    </row>
    <row r="2791" spans="1:17" x14ac:dyDescent="0.3">
      <c r="A2791" s="2" t="s">
        <v>1389</v>
      </c>
      <c r="B2791" s="3">
        <v>158193</v>
      </c>
      <c r="C2791" s="3">
        <v>905267</v>
      </c>
      <c r="D2791" s="4" t="s">
        <v>81</v>
      </c>
      <c r="E2791" s="4" t="s">
        <v>734</v>
      </c>
      <c r="F2791" s="4" t="s">
        <v>83</v>
      </c>
      <c r="G2791" s="4" t="s">
        <v>20</v>
      </c>
      <c r="H2791" s="5">
        <v>-500000</v>
      </c>
      <c r="I2791" s="4" t="s">
        <v>21</v>
      </c>
      <c r="J2791" s="5">
        <f t="shared" si="43"/>
        <v>2113150</v>
      </c>
      <c r="K2791" s="4" t="s">
        <v>52</v>
      </c>
      <c r="L2791" s="6">
        <v>4.2263000000000002</v>
      </c>
      <c r="M2791" s="6">
        <v>0.2366</v>
      </c>
      <c r="N2791" s="6">
        <v>4.2127999999999997</v>
      </c>
      <c r="O2791" s="6">
        <v>1</v>
      </c>
      <c r="P2791" s="5">
        <v>6750</v>
      </c>
      <c r="Q2791" s="4" t="s">
        <v>1393</v>
      </c>
    </row>
    <row r="2792" spans="1:17" x14ac:dyDescent="0.3">
      <c r="A2792" s="2" t="s">
        <v>1389</v>
      </c>
      <c r="B2792" s="3">
        <v>158194</v>
      </c>
      <c r="C2792" s="3">
        <v>905268</v>
      </c>
      <c r="D2792" s="4" t="s">
        <v>81</v>
      </c>
      <c r="E2792" s="4" t="s">
        <v>732</v>
      </c>
      <c r="F2792" s="4" t="s">
        <v>83</v>
      </c>
      <c r="G2792" s="4" t="s">
        <v>20</v>
      </c>
      <c r="H2792" s="5">
        <v>-500000</v>
      </c>
      <c r="I2792" s="4" t="s">
        <v>21</v>
      </c>
      <c r="J2792" s="5">
        <f t="shared" si="43"/>
        <v>2113150</v>
      </c>
      <c r="K2792" s="4" t="s">
        <v>52</v>
      </c>
      <c r="L2792" s="6">
        <v>4.2263000000000002</v>
      </c>
      <c r="M2792" s="6">
        <v>0.2366</v>
      </c>
      <c r="N2792" s="6">
        <v>4.2127999999999997</v>
      </c>
      <c r="O2792" s="6">
        <v>1</v>
      </c>
      <c r="P2792" s="5">
        <v>6750</v>
      </c>
      <c r="Q2792" s="4" t="s">
        <v>1394</v>
      </c>
    </row>
    <row r="2793" spans="1:17" x14ac:dyDescent="0.3">
      <c r="A2793" s="2" t="s">
        <v>1389</v>
      </c>
      <c r="B2793" s="3">
        <v>158195</v>
      </c>
      <c r="C2793" s="3">
        <v>218910</v>
      </c>
      <c r="D2793" s="4" t="s">
        <v>17</v>
      </c>
      <c r="E2793" s="4" t="s">
        <v>951</v>
      </c>
      <c r="F2793" s="4" t="s">
        <v>32</v>
      </c>
      <c r="G2793" s="4" t="s">
        <v>20</v>
      </c>
      <c r="H2793" s="5">
        <v>-4100</v>
      </c>
      <c r="I2793" s="4" t="s">
        <v>21</v>
      </c>
      <c r="J2793" s="5">
        <f t="shared" si="43"/>
        <v>17336.439999999999</v>
      </c>
      <c r="K2793" s="4" t="s">
        <v>50</v>
      </c>
      <c r="L2793" s="6">
        <v>4.2283999999999997</v>
      </c>
      <c r="M2793" s="6">
        <v>0.23649999999999999</v>
      </c>
      <c r="N2793" s="6">
        <v>4.2279</v>
      </c>
      <c r="O2793" s="6">
        <v>1</v>
      </c>
      <c r="P2793" s="5">
        <v>0.41</v>
      </c>
      <c r="Q2793" s="4" t="s">
        <v>1390</v>
      </c>
    </row>
    <row r="2794" spans="1:17" x14ac:dyDescent="0.3">
      <c r="A2794" s="2" t="s">
        <v>1389</v>
      </c>
      <c r="B2794" s="3">
        <v>158196</v>
      </c>
      <c r="C2794" s="3">
        <v>218912</v>
      </c>
      <c r="D2794" s="4" t="s">
        <v>17</v>
      </c>
      <c r="E2794" s="4" t="s">
        <v>1006</v>
      </c>
      <c r="F2794" s="4" t="s">
        <v>32</v>
      </c>
      <c r="G2794" s="4" t="s">
        <v>101</v>
      </c>
      <c r="H2794" s="5">
        <v>-500000</v>
      </c>
      <c r="I2794" s="4" t="s">
        <v>21</v>
      </c>
      <c r="J2794" s="5">
        <f t="shared" si="43"/>
        <v>87150</v>
      </c>
      <c r="K2794" s="4" t="s">
        <v>50</v>
      </c>
      <c r="L2794" s="6">
        <v>0.17430000000000001</v>
      </c>
      <c r="M2794" s="6">
        <v>5.7371999999999996</v>
      </c>
      <c r="N2794" s="6">
        <v>0.1739</v>
      </c>
      <c r="O2794" s="6">
        <v>1</v>
      </c>
      <c r="P2794" s="5">
        <v>200</v>
      </c>
      <c r="Q2794" s="4" t="s">
        <v>1390</v>
      </c>
    </row>
    <row r="2795" spans="1:17" x14ac:dyDescent="0.3">
      <c r="A2795" s="2" t="s">
        <v>1389</v>
      </c>
      <c r="B2795" s="3">
        <v>158198</v>
      </c>
      <c r="C2795" s="3">
        <v>218916</v>
      </c>
      <c r="D2795" s="4" t="s">
        <v>17</v>
      </c>
      <c r="E2795" s="4" t="s">
        <v>1336</v>
      </c>
      <c r="F2795" s="4" t="s">
        <v>32</v>
      </c>
      <c r="G2795" s="4" t="s">
        <v>20</v>
      </c>
      <c r="H2795" s="5">
        <v>-50000</v>
      </c>
      <c r="I2795" s="4" t="s">
        <v>21</v>
      </c>
      <c r="J2795" s="5">
        <f t="shared" si="43"/>
        <v>211600</v>
      </c>
      <c r="K2795" s="4" t="s">
        <v>50</v>
      </c>
      <c r="L2795" s="6">
        <v>4.2320000000000002</v>
      </c>
      <c r="M2795" s="6">
        <v>0.23630000000000001</v>
      </c>
      <c r="N2795" s="6">
        <v>4.2279</v>
      </c>
      <c r="O2795" s="6">
        <v>1</v>
      </c>
      <c r="P2795" s="5">
        <v>205</v>
      </c>
      <c r="Q2795" s="4" t="s">
        <v>1390</v>
      </c>
    </row>
    <row r="2796" spans="1:17" x14ac:dyDescent="0.3">
      <c r="A2796" s="2" t="s">
        <v>1389</v>
      </c>
      <c r="B2796" s="3">
        <v>158199</v>
      </c>
      <c r="C2796" s="3">
        <v>218917</v>
      </c>
      <c r="D2796" s="4" t="s">
        <v>17</v>
      </c>
      <c r="E2796" s="4" t="s">
        <v>1061</v>
      </c>
      <c r="F2796" s="4" t="s">
        <v>19</v>
      </c>
      <c r="G2796" s="4" t="s">
        <v>20</v>
      </c>
      <c r="H2796" s="5">
        <v>182160</v>
      </c>
      <c r="I2796" s="4" t="s">
        <v>21</v>
      </c>
      <c r="J2796" s="5">
        <f t="shared" si="43"/>
        <v>-768788.0639999999</v>
      </c>
      <c r="K2796" s="4" t="s">
        <v>50</v>
      </c>
      <c r="L2796" s="6">
        <v>4.2203999999999997</v>
      </c>
      <c r="M2796" s="6">
        <v>0.2369</v>
      </c>
      <c r="N2796" s="6">
        <v>4.2279</v>
      </c>
      <c r="O2796" s="6">
        <v>1</v>
      </c>
      <c r="P2796" s="5">
        <v>1366.2000000000698</v>
      </c>
      <c r="Q2796" s="4" t="s">
        <v>1390</v>
      </c>
    </row>
    <row r="2797" spans="1:17" x14ac:dyDescent="0.3">
      <c r="A2797" s="2" t="s">
        <v>1389</v>
      </c>
      <c r="B2797" s="3">
        <v>158200</v>
      </c>
      <c r="C2797" s="3">
        <v>905298</v>
      </c>
      <c r="D2797" s="4" t="s">
        <v>81</v>
      </c>
      <c r="E2797" s="4" t="s">
        <v>732</v>
      </c>
      <c r="F2797" s="4" t="s">
        <v>83</v>
      </c>
      <c r="G2797" s="4" t="s">
        <v>20</v>
      </c>
      <c r="H2797" s="5">
        <v>-500000</v>
      </c>
      <c r="I2797" s="4" t="s">
        <v>21</v>
      </c>
      <c r="J2797" s="5">
        <f t="shared" si="43"/>
        <v>2113150</v>
      </c>
      <c r="K2797" s="4" t="s">
        <v>52</v>
      </c>
      <c r="L2797" s="6">
        <v>4.2263000000000002</v>
      </c>
      <c r="M2797" s="6">
        <v>0.2366</v>
      </c>
      <c r="N2797" s="6">
        <v>4.2127999999999997</v>
      </c>
      <c r="O2797" s="6">
        <v>1</v>
      </c>
      <c r="P2797" s="5">
        <v>6770</v>
      </c>
      <c r="Q2797" s="4" t="s">
        <v>1394</v>
      </c>
    </row>
    <row r="2798" spans="1:17" x14ac:dyDescent="0.3">
      <c r="A2798" s="2" t="s">
        <v>1389</v>
      </c>
      <c r="B2798" s="3">
        <v>158201</v>
      </c>
      <c r="C2798" s="3">
        <v>218918</v>
      </c>
      <c r="D2798" s="4" t="s">
        <v>17</v>
      </c>
      <c r="E2798" s="4" t="s">
        <v>1168</v>
      </c>
      <c r="F2798" s="4" t="s">
        <v>32</v>
      </c>
      <c r="G2798" s="4" t="s">
        <v>20</v>
      </c>
      <c r="H2798" s="5">
        <v>-350000</v>
      </c>
      <c r="I2798" s="4" t="s">
        <v>21</v>
      </c>
      <c r="J2798" s="5">
        <f t="shared" si="43"/>
        <v>1481340</v>
      </c>
      <c r="K2798" s="4" t="s">
        <v>50</v>
      </c>
      <c r="L2798" s="6">
        <v>4.2324000000000002</v>
      </c>
      <c r="M2798" s="6">
        <v>0.23630000000000001</v>
      </c>
      <c r="N2798" s="6">
        <v>4.2279</v>
      </c>
      <c r="O2798" s="6">
        <v>1</v>
      </c>
      <c r="P2798" s="5">
        <v>1435</v>
      </c>
      <c r="Q2798" s="4" t="s">
        <v>1390</v>
      </c>
    </row>
    <row r="2799" spans="1:17" x14ac:dyDescent="0.3">
      <c r="A2799" s="2" t="s">
        <v>1389</v>
      </c>
      <c r="B2799" s="3">
        <v>158202</v>
      </c>
      <c r="C2799" s="3">
        <v>218931</v>
      </c>
      <c r="D2799" s="4" t="s">
        <v>17</v>
      </c>
      <c r="E2799" s="4" t="s">
        <v>1067</v>
      </c>
      <c r="F2799" s="4" t="s">
        <v>19</v>
      </c>
      <c r="G2799" s="4" t="s">
        <v>20</v>
      </c>
      <c r="H2799" s="5">
        <v>23300</v>
      </c>
      <c r="I2799" s="4" t="s">
        <v>21</v>
      </c>
      <c r="J2799" s="5">
        <f t="shared" si="43"/>
        <v>-98291.049999999988</v>
      </c>
      <c r="K2799" s="4" t="s">
        <v>50</v>
      </c>
      <c r="L2799" s="6">
        <v>4.2184999999999997</v>
      </c>
      <c r="M2799" s="6">
        <v>0.23710000000000001</v>
      </c>
      <c r="N2799" s="6">
        <v>4.2279</v>
      </c>
      <c r="O2799" s="6">
        <v>1</v>
      </c>
      <c r="P2799" s="5">
        <v>219.02000000001863</v>
      </c>
      <c r="Q2799" s="4" t="s">
        <v>1390</v>
      </c>
    </row>
    <row r="2800" spans="1:17" x14ac:dyDescent="0.3">
      <c r="A2800" s="2" t="s">
        <v>1389</v>
      </c>
      <c r="B2800" s="3">
        <v>158203</v>
      </c>
      <c r="C2800" s="3">
        <v>905341</v>
      </c>
      <c r="D2800" s="4" t="s">
        <v>81</v>
      </c>
      <c r="E2800" s="4" t="s">
        <v>734</v>
      </c>
      <c r="F2800" s="4" t="s">
        <v>83</v>
      </c>
      <c r="G2800" s="4" t="s">
        <v>20</v>
      </c>
      <c r="H2800" s="5">
        <v>-100000</v>
      </c>
      <c r="I2800" s="4" t="s">
        <v>34</v>
      </c>
      <c r="J2800" s="5">
        <f t="shared" si="43"/>
        <v>117120</v>
      </c>
      <c r="K2800" s="4" t="s">
        <v>52</v>
      </c>
      <c r="L2800" s="6">
        <v>1.1712</v>
      </c>
      <c r="M2800" s="6">
        <v>0.8538</v>
      </c>
      <c r="N2800" s="6">
        <v>4.2127999999999997</v>
      </c>
      <c r="O2800" s="6">
        <v>3.6027999999999998</v>
      </c>
      <c r="P2800" s="5">
        <v>697.95</v>
      </c>
      <c r="Q2800" s="4" t="s">
        <v>1393</v>
      </c>
    </row>
    <row r="2801" spans="1:17" x14ac:dyDescent="0.3">
      <c r="A2801" s="2" t="s">
        <v>1389</v>
      </c>
      <c r="B2801" s="3">
        <v>158204</v>
      </c>
      <c r="C2801" s="3">
        <v>905342</v>
      </c>
      <c r="D2801" s="4" t="s">
        <v>81</v>
      </c>
      <c r="E2801" s="4" t="s">
        <v>1166</v>
      </c>
      <c r="F2801" s="4" t="s">
        <v>87</v>
      </c>
      <c r="G2801" s="4" t="s">
        <v>20</v>
      </c>
      <c r="H2801" s="5">
        <v>10000</v>
      </c>
      <c r="I2801" s="4" t="s">
        <v>21</v>
      </c>
      <c r="J2801" s="5">
        <f t="shared" si="43"/>
        <v>-42177</v>
      </c>
      <c r="K2801" s="4" t="s">
        <v>52</v>
      </c>
      <c r="L2801" s="6">
        <v>4.2176999999999998</v>
      </c>
      <c r="M2801" s="6">
        <v>0.23710000000000001</v>
      </c>
      <c r="N2801" s="6">
        <v>4.2127999999999997</v>
      </c>
      <c r="O2801" s="6">
        <v>1</v>
      </c>
      <c r="P2801" s="5">
        <v>-49</v>
      </c>
      <c r="Q2801" s="4" t="s">
        <v>1390</v>
      </c>
    </row>
    <row r="2802" spans="1:17" x14ac:dyDescent="0.3">
      <c r="A2802" s="2" t="s">
        <v>1389</v>
      </c>
      <c r="B2802" s="3">
        <v>158205</v>
      </c>
      <c r="C2802" s="3">
        <v>905343</v>
      </c>
      <c r="D2802" s="4" t="s">
        <v>81</v>
      </c>
      <c r="E2802" s="4" t="s">
        <v>733</v>
      </c>
      <c r="F2802" s="4" t="s">
        <v>83</v>
      </c>
      <c r="G2802" s="4" t="s">
        <v>20</v>
      </c>
      <c r="H2802" s="5">
        <v>-500000</v>
      </c>
      <c r="I2802" s="4" t="s">
        <v>21</v>
      </c>
      <c r="J2802" s="5">
        <f t="shared" si="43"/>
        <v>2113550</v>
      </c>
      <c r="K2802" s="4" t="s">
        <v>52</v>
      </c>
      <c r="L2802" s="6">
        <v>4.2271000000000001</v>
      </c>
      <c r="M2802" s="6">
        <v>0.2366</v>
      </c>
      <c r="N2802" s="6">
        <v>4.2127999999999997</v>
      </c>
      <c r="O2802" s="6">
        <v>1</v>
      </c>
      <c r="P2802" s="5">
        <v>7125</v>
      </c>
      <c r="Q2802" s="4" t="s">
        <v>1391</v>
      </c>
    </row>
    <row r="2803" spans="1:17" x14ac:dyDescent="0.3">
      <c r="A2803" s="2" t="s">
        <v>1389</v>
      </c>
      <c r="B2803" s="3">
        <v>158206</v>
      </c>
      <c r="C2803" s="3">
        <v>218933</v>
      </c>
      <c r="D2803" s="4" t="s">
        <v>17</v>
      </c>
      <c r="E2803" s="4" t="s">
        <v>1044</v>
      </c>
      <c r="F2803" s="4" t="s">
        <v>32</v>
      </c>
      <c r="G2803" s="4" t="s">
        <v>20</v>
      </c>
      <c r="H2803" s="5">
        <v>-700</v>
      </c>
      <c r="I2803" s="4" t="s">
        <v>21</v>
      </c>
      <c r="J2803" s="5">
        <f t="shared" si="43"/>
        <v>2966.5299999999997</v>
      </c>
      <c r="K2803" s="4" t="s">
        <v>50</v>
      </c>
      <c r="L2803" s="6">
        <v>4.2378999999999998</v>
      </c>
      <c r="M2803" s="6">
        <v>0.23599999999999999</v>
      </c>
      <c r="N2803" s="6">
        <v>4.2279</v>
      </c>
      <c r="O2803" s="6">
        <v>1</v>
      </c>
      <c r="P2803" s="5">
        <v>6.72</v>
      </c>
      <c r="Q2803" s="4" t="s">
        <v>1390</v>
      </c>
    </row>
    <row r="2804" spans="1:17" x14ac:dyDescent="0.3">
      <c r="A2804" s="2" t="s">
        <v>1389</v>
      </c>
      <c r="B2804" s="3">
        <v>158207</v>
      </c>
      <c r="C2804" s="3">
        <v>218937</v>
      </c>
      <c r="D2804" s="4" t="s">
        <v>17</v>
      </c>
      <c r="E2804" s="4" t="s">
        <v>1180</v>
      </c>
      <c r="F2804" s="4" t="s">
        <v>19</v>
      </c>
      <c r="G2804" s="4" t="s">
        <v>91</v>
      </c>
      <c r="H2804" s="5">
        <v>33884.959999999999</v>
      </c>
      <c r="I2804" s="4" t="s">
        <v>21</v>
      </c>
      <c r="J2804" s="5">
        <f t="shared" si="43"/>
        <v>-163732.12672</v>
      </c>
      <c r="K2804" s="4" t="s">
        <v>50</v>
      </c>
      <c r="L2804" s="6">
        <v>4.8319999999999999</v>
      </c>
      <c r="M2804" s="6">
        <v>0.20699999999999999</v>
      </c>
      <c r="N2804" s="6">
        <v>4.8582999999999998</v>
      </c>
      <c r="O2804" s="6">
        <v>1</v>
      </c>
      <c r="P2804" s="5">
        <v>891.17444799997611</v>
      </c>
      <c r="Q2804" s="4" t="s">
        <v>1390</v>
      </c>
    </row>
    <row r="2805" spans="1:17" x14ac:dyDescent="0.3">
      <c r="A2805" s="2" t="s">
        <v>1389</v>
      </c>
      <c r="B2805" s="3">
        <v>158208</v>
      </c>
      <c r="C2805" s="3">
        <v>218948</v>
      </c>
      <c r="D2805" s="4" t="s">
        <v>17</v>
      </c>
      <c r="E2805" s="4" t="s">
        <v>1154</v>
      </c>
      <c r="F2805" s="4" t="s">
        <v>32</v>
      </c>
      <c r="G2805" s="4" t="s">
        <v>453</v>
      </c>
      <c r="H2805" s="5">
        <v>-54000</v>
      </c>
      <c r="I2805" s="4" t="s">
        <v>21</v>
      </c>
      <c r="J2805" s="5">
        <f t="shared" si="43"/>
        <v>140929.19999999998</v>
      </c>
      <c r="K2805" s="4" t="s">
        <v>50</v>
      </c>
      <c r="L2805" s="6">
        <v>2.6097999999999999</v>
      </c>
      <c r="M2805" s="6">
        <v>0.38319999999999999</v>
      </c>
      <c r="N2805" s="6">
        <v>2.6074999999999999</v>
      </c>
      <c r="O2805" s="6">
        <v>1</v>
      </c>
      <c r="P2805" s="5">
        <v>113.4</v>
      </c>
      <c r="Q2805" s="4" t="s">
        <v>1390</v>
      </c>
    </row>
    <row r="2806" spans="1:17" x14ac:dyDescent="0.3">
      <c r="A2806" s="2" t="s">
        <v>1389</v>
      </c>
      <c r="B2806" s="3">
        <v>158212</v>
      </c>
      <c r="C2806" s="3">
        <v>218953</v>
      </c>
      <c r="D2806" s="4" t="s">
        <v>17</v>
      </c>
      <c r="E2806" s="4" t="s">
        <v>1099</v>
      </c>
      <c r="F2806" s="4" t="s">
        <v>19</v>
      </c>
      <c r="G2806" s="4" t="s">
        <v>20</v>
      </c>
      <c r="H2806" s="5">
        <v>5900</v>
      </c>
      <c r="I2806" s="4" t="s">
        <v>21</v>
      </c>
      <c r="J2806" s="5">
        <f t="shared" si="43"/>
        <v>-24859.06</v>
      </c>
      <c r="K2806" s="4" t="s">
        <v>50</v>
      </c>
      <c r="L2806" s="6">
        <v>4.2134</v>
      </c>
      <c r="M2806" s="6">
        <v>0.23730000000000001</v>
      </c>
      <c r="N2806" s="6">
        <v>4.2279</v>
      </c>
      <c r="O2806" s="6">
        <v>1</v>
      </c>
      <c r="P2806" s="5">
        <v>85.549999999999272</v>
      </c>
      <c r="Q2806" s="4" t="s">
        <v>1390</v>
      </c>
    </row>
    <row r="2807" spans="1:17" x14ac:dyDescent="0.3">
      <c r="A2807" s="2" t="s">
        <v>1389</v>
      </c>
      <c r="B2807" s="3">
        <v>158213</v>
      </c>
      <c r="C2807" s="3">
        <v>905421</v>
      </c>
      <c r="D2807" s="4" t="s">
        <v>81</v>
      </c>
      <c r="E2807" s="4" t="s">
        <v>861</v>
      </c>
      <c r="F2807" s="4" t="s">
        <v>83</v>
      </c>
      <c r="G2807" s="4" t="s">
        <v>20</v>
      </c>
      <c r="H2807" s="5">
        <v>-16942</v>
      </c>
      <c r="I2807" s="4" t="s">
        <v>21</v>
      </c>
      <c r="J2807" s="5">
        <f t="shared" si="43"/>
        <v>72145.8128</v>
      </c>
      <c r="K2807" s="4" t="s">
        <v>52</v>
      </c>
      <c r="L2807" s="6">
        <v>4.2584</v>
      </c>
      <c r="M2807" s="6">
        <v>0.23480000000000001</v>
      </c>
      <c r="N2807" s="6">
        <v>4.2127999999999997</v>
      </c>
      <c r="O2807" s="6">
        <v>1</v>
      </c>
      <c r="P2807" s="5">
        <v>772.55240000000003</v>
      </c>
      <c r="Q2807" s="4" t="s">
        <v>1390</v>
      </c>
    </row>
    <row r="2808" spans="1:17" x14ac:dyDescent="0.3">
      <c r="A2808" s="2" t="s">
        <v>1389</v>
      </c>
      <c r="B2808" s="3">
        <v>158214</v>
      </c>
      <c r="C2808" s="3">
        <v>218955</v>
      </c>
      <c r="D2808" s="4" t="s">
        <v>17</v>
      </c>
      <c r="E2808" s="4" t="s">
        <v>981</v>
      </c>
      <c r="F2808" s="4" t="s">
        <v>19</v>
      </c>
      <c r="G2808" s="4" t="s">
        <v>20</v>
      </c>
      <c r="H2808" s="5">
        <v>100000</v>
      </c>
      <c r="I2808" s="4" t="s">
        <v>21</v>
      </c>
      <c r="J2808" s="5">
        <f t="shared" si="43"/>
        <v>-422100</v>
      </c>
      <c r="K2808" s="4" t="s">
        <v>50</v>
      </c>
      <c r="L2808" s="6">
        <v>4.2210000000000001</v>
      </c>
      <c r="M2808" s="6">
        <v>0.2369</v>
      </c>
      <c r="N2808" s="6">
        <v>4.2279</v>
      </c>
      <c r="O2808" s="6">
        <v>1</v>
      </c>
      <c r="P2808" s="5">
        <v>690</v>
      </c>
      <c r="Q2808" s="4" t="s">
        <v>1390</v>
      </c>
    </row>
    <row r="2809" spans="1:17" x14ac:dyDescent="0.3">
      <c r="A2809" s="2" t="s">
        <v>1389</v>
      </c>
      <c r="B2809" s="3">
        <v>158215</v>
      </c>
      <c r="C2809" s="3">
        <v>905431</v>
      </c>
      <c r="D2809" s="4" t="s">
        <v>81</v>
      </c>
      <c r="E2809" s="4" t="s">
        <v>733</v>
      </c>
      <c r="F2809" s="4" t="s">
        <v>83</v>
      </c>
      <c r="G2809" s="4" t="s">
        <v>20</v>
      </c>
      <c r="H2809" s="5">
        <v>-500000</v>
      </c>
      <c r="I2809" s="4" t="s">
        <v>21</v>
      </c>
      <c r="J2809" s="5">
        <f t="shared" si="43"/>
        <v>2113700</v>
      </c>
      <c r="K2809" s="4" t="s">
        <v>52</v>
      </c>
      <c r="L2809" s="6">
        <v>4.2274000000000003</v>
      </c>
      <c r="M2809" s="6">
        <v>0.2366</v>
      </c>
      <c r="N2809" s="6">
        <v>4.2127999999999997</v>
      </c>
      <c r="O2809" s="6">
        <v>1</v>
      </c>
      <c r="P2809" s="5">
        <v>7275</v>
      </c>
      <c r="Q2809" s="4" t="s">
        <v>1391</v>
      </c>
    </row>
    <row r="2810" spans="1:17" x14ac:dyDescent="0.3">
      <c r="A2810" s="2" t="s">
        <v>1389</v>
      </c>
      <c r="B2810" s="3">
        <v>158216</v>
      </c>
      <c r="C2810" s="3">
        <v>218960</v>
      </c>
      <c r="D2810" s="4" t="s">
        <v>17</v>
      </c>
      <c r="E2810" s="4" t="s">
        <v>920</v>
      </c>
      <c r="F2810" s="4" t="s">
        <v>32</v>
      </c>
      <c r="G2810" s="4" t="s">
        <v>20</v>
      </c>
      <c r="H2810" s="5">
        <v>-12155.44</v>
      </c>
      <c r="I2810" s="4" t="s">
        <v>21</v>
      </c>
      <c r="J2810" s="5">
        <f t="shared" si="43"/>
        <v>51411.43348</v>
      </c>
      <c r="K2810" s="4" t="s">
        <v>50</v>
      </c>
      <c r="L2810" s="6">
        <v>4.2294999999999998</v>
      </c>
      <c r="M2810" s="6">
        <v>0.2364</v>
      </c>
      <c r="N2810" s="6">
        <v>4.2279</v>
      </c>
      <c r="O2810" s="6">
        <v>1</v>
      </c>
      <c r="P2810" s="5">
        <v>14.585224</v>
      </c>
      <c r="Q2810" s="4" t="s">
        <v>1390</v>
      </c>
    </row>
    <row r="2811" spans="1:17" x14ac:dyDescent="0.3">
      <c r="A2811" s="2" t="s">
        <v>1389</v>
      </c>
      <c r="B2811" s="3">
        <v>158217</v>
      </c>
      <c r="C2811" s="3">
        <v>218961</v>
      </c>
      <c r="D2811" s="4" t="s">
        <v>17</v>
      </c>
      <c r="E2811" s="4" t="s">
        <v>800</v>
      </c>
      <c r="F2811" s="4" t="s">
        <v>19</v>
      </c>
      <c r="G2811" s="4" t="s">
        <v>20</v>
      </c>
      <c r="H2811" s="5">
        <v>250000</v>
      </c>
      <c r="I2811" s="4" t="s">
        <v>21</v>
      </c>
      <c r="J2811" s="5">
        <f t="shared" si="43"/>
        <v>-1053875</v>
      </c>
      <c r="K2811" s="4" t="s">
        <v>50</v>
      </c>
      <c r="L2811" s="6">
        <v>4.2154999999999996</v>
      </c>
      <c r="M2811" s="6">
        <v>0.23719999999999999</v>
      </c>
      <c r="N2811" s="6">
        <v>4.2279</v>
      </c>
      <c r="O2811" s="6">
        <v>1</v>
      </c>
      <c r="P2811" s="5">
        <v>3100</v>
      </c>
      <c r="Q2811" s="4" t="s">
        <v>1390</v>
      </c>
    </row>
    <row r="2812" spans="1:17" x14ac:dyDescent="0.3">
      <c r="A2812" s="2" t="s">
        <v>1389</v>
      </c>
      <c r="B2812" s="3">
        <v>158219</v>
      </c>
      <c r="C2812" s="3">
        <v>218964</v>
      </c>
      <c r="D2812" s="4" t="s">
        <v>17</v>
      </c>
      <c r="E2812" s="4" t="s">
        <v>877</v>
      </c>
      <c r="F2812" s="4" t="s">
        <v>32</v>
      </c>
      <c r="G2812" s="4" t="s">
        <v>34</v>
      </c>
      <c r="H2812" s="5">
        <v>-10000</v>
      </c>
      <c r="I2812" s="4" t="s">
        <v>21</v>
      </c>
      <c r="J2812" s="5">
        <f t="shared" si="43"/>
        <v>36233</v>
      </c>
      <c r="K2812" s="4" t="s">
        <v>50</v>
      </c>
      <c r="L2812" s="6">
        <v>3.6233</v>
      </c>
      <c r="M2812" s="6">
        <v>0.27600000000000002</v>
      </c>
      <c r="N2812" s="6">
        <v>3.6053999999999999</v>
      </c>
      <c r="O2812" s="6">
        <v>1</v>
      </c>
      <c r="P2812" s="5">
        <v>176</v>
      </c>
      <c r="Q2812" s="4" t="s">
        <v>1390</v>
      </c>
    </row>
    <row r="2813" spans="1:17" x14ac:dyDescent="0.3">
      <c r="A2813" s="2" t="s">
        <v>1389</v>
      </c>
      <c r="B2813" s="3">
        <v>158220</v>
      </c>
      <c r="C2813" s="3">
        <v>905468</v>
      </c>
      <c r="D2813" s="4" t="s">
        <v>81</v>
      </c>
      <c r="E2813" s="4" t="s">
        <v>733</v>
      </c>
      <c r="F2813" s="4" t="s">
        <v>83</v>
      </c>
      <c r="G2813" s="4" t="s">
        <v>20</v>
      </c>
      <c r="H2813" s="5">
        <v>-500000</v>
      </c>
      <c r="I2813" s="4" t="s">
        <v>21</v>
      </c>
      <c r="J2813" s="5">
        <f t="shared" si="43"/>
        <v>2113400</v>
      </c>
      <c r="K2813" s="4" t="s">
        <v>52</v>
      </c>
      <c r="L2813" s="6">
        <v>4.2267999999999999</v>
      </c>
      <c r="M2813" s="6">
        <v>0.2366</v>
      </c>
      <c r="N2813" s="6">
        <v>4.2127999999999997</v>
      </c>
      <c r="O2813" s="6">
        <v>1</v>
      </c>
      <c r="P2813" s="5">
        <v>7020</v>
      </c>
      <c r="Q2813" s="4" t="s">
        <v>1391</v>
      </c>
    </row>
    <row r="2814" spans="1:17" x14ac:dyDescent="0.3">
      <c r="A2814" s="2" t="s">
        <v>1389</v>
      </c>
      <c r="B2814" s="3">
        <v>158221</v>
      </c>
      <c r="C2814" s="3">
        <v>905469</v>
      </c>
      <c r="D2814" s="4" t="s">
        <v>81</v>
      </c>
      <c r="E2814" s="4" t="s">
        <v>730</v>
      </c>
      <c r="F2814" s="4" t="s">
        <v>87</v>
      </c>
      <c r="G2814" s="4" t="s">
        <v>20</v>
      </c>
      <c r="H2814" s="5">
        <v>100000</v>
      </c>
      <c r="I2814" s="4" t="s">
        <v>93</v>
      </c>
      <c r="J2814" s="5">
        <f t="shared" si="43"/>
        <v>-92660</v>
      </c>
      <c r="K2814" s="4" t="s">
        <v>52</v>
      </c>
      <c r="L2814" s="6">
        <v>0.92659999999999998</v>
      </c>
      <c r="M2814" s="6">
        <v>1.0791999999999999</v>
      </c>
      <c r="N2814" s="6">
        <v>4.2127999999999997</v>
      </c>
      <c r="O2814" s="6">
        <v>4.5419</v>
      </c>
      <c r="P2814" s="5">
        <v>427.54599999999999</v>
      </c>
      <c r="Q2814" s="4" t="s">
        <v>1396</v>
      </c>
    </row>
    <row r="2815" spans="1:17" x14ac:dyDescent="0.3">
      <c r="A2815" s="2" t="s">
        <v>1389</v>
      </c>
      <c r="B2815" s="3">
        <v>158223</v>
      </c>
      <c r="C2815" s="3">
        <v>905470</v>
      </c>
      <c r="D2815" s="4" t="s">
        <v>81</v>
      </c>
      <c r="E2815" s="4" t="s">
        <v>1077</v>
      </c>
      <c r="F2815" s="4" t="s">
        <v>87</v>
      </c>
      <c r="G2815" s="4" t="s">
        <v>20</v>
      </c>
      <c r="H2815" s="5">
        <v>20000</v>
      </c>
      <c r="I2815" s="4" t="s">
        <v>21</v>
      </c>
      <c r="J2815" s="5">
        <f t="shared" si="43"/>
        <v>-84464</v>
      </c>
      <c r="K2815" s="4" t="s">
        <v>52</v>
      </c>
      <c r="L2815" s="6">
        <v>4.2232000000000003</v>
      </c>
      <c r="M2815" s="6">
        <v>0.23680000000000001</v>
      </c>
      <c r="N2815" s="6">
        <v>4.2127999999999997</v>
      </c>
      <c r="O2815" s="6">
        <v>1</v>
      </c>
      <c r="P2815" s="5">
        <v>-208</v>
      </c>
      <c r="Q2815" s="4" t="s">
        <v>1390</v>
      </c>
    </row>
    <row r="2816" spans="1:17" x14ac:dyDescent="0.3">
      <c r="A2816" s="2" t="s">
        <v>1389</v>
      </c>
      <c r="B2816" s="3">
        <v>158224</v>
      </c>
      <c r="C2816" s="3">
        <v>218967</v>
      </c>
      <c r="D2816" s="4" t="s">
        <v>17</v>
      </c>
      <c r="E2816" s="4" t="s">
        <v>1358</v>
      </c>
      <c r="F2816" s="4" t="s">
        <v>19</v>
      </c>
      <c r="G2816" s="4" t="s">
        <v>20</v>
      </c>
      <c r="H2816" s="5">
        <v>50000</v>
      </c>
      <c r="I2816" s="4" t="s">
        <v>21</v>
      </c>
      <c r="J2816" s="5">
        <f t="shared" si="43"/>
        <v>-210360</v>
      </c>
      <c r="K2816" s="4" t="s">
        <v>50</v>
      </c>
      <c r="L2816" s="6">
        <v>4.2072000000000003</v>
      </c>
      <c r="M2816" s="6">
        <v>0.23769999999999999</v>
      </c>
      <c r="N2816" s="6">
        <v>4.2279</v>
      </c>
      <c r="O2816" s="6">
        <v>1</v>
      </c>
      <c r="P2816" s="5">
        <v>1035</v>
      </c>
      <c r="Q2816" s="4" t="s">
        <v>1390</v>
      </c>
    </row>
    <row r="2817" spans="1:17" x14ac:dyDescent="0.3">
      <c r="A2817" s="2" t="s">
        <v>1389</v>
      </c>
      <c r="B2817" s="3">
        <v>158225</v>
      </c>
      <c r="C2817" s="3">
        <v>905480</v>
      </c>
      <c r="D2817" s="4" t="s">
        <v>81</v>
      </c>
      <c r="E2817" s="4" t="s">
        <v>735</v>
      </c>
      <c r="F2817" s="4" t="s">
        <v>87</v>
      </c>
      <c r="G2817" s="4" t="s">
        <v>34</v>
      </c>
      <c r="H2817" s="5">
        <v>200000</v>
      </c>
      <c r="I2817" s="4" t="s">
        <v>74</v>
      </c>
      <c r="J2817" s="5">
        <f t="shared" si="43"/>
        <v>-1986420</v>
      </c>
      <c r="K2817" s="4" t="s">
        <v>52</v>
      </c>
      <c r="L2817" s="6">
        <v>9.9321000000000002</v>
      </c>
      <c r="M2817" s="6">
        <v>0.1007</v>
      </c>
      <c r="N2817" s="6">
        <v>3.6027999999999998</v>
      </c>
      <c r="O2817" s="6">
        <v>0.36380000000000001</v>
      </c>
      <c r="P2817" s="5">
        <v>-2095.9580000000001</v>
      </c>
      <c r="Q2817" s="4" t="s">
        <v>1394</v>
      </c>
    </row>
    <row r="2818" spans="1:17" x14ac:dyDescent="0.3">
      <c r="A2818" s="2" t="s">
        <v>1389</v>
      </c>
      <c r="B2818" s="3">
        <v>158227</v>
      </c>
      <c r="C2818" s="3">
        <v>218970</v>
      </c>
      <c r="D2818" s="4" t="s">
        <v>17</v>
      </c>
      <c r="E2818" s="4" t="s">
        <v>841</v>
      </c>
      <c r="F2818" s="4" t="s">
        <v>32</v>
      </c>
      <c r="G2818" s="4" t="s">
        <v>20</v>
      </c>
      <c r="H2818" s="5">
        <v>-31400</v>
      </c>
      <c r="I2818" s="4" t="s">
        <v>21</v>
      </c>
      <c r="J2818" s="5">
        <f t="shared" si="43"/>
        <v>132822</v>
      </c>
      <c r="K2818" s="4" t="s">
        <v>50</v>
      </c>
      <c r="L2818" s="6">
        <v>4.2300000000000004</v>
      </c>
      <c r="M2818" s="6">
        <v>0.2364</v>
      </c>
      <c r="N2818" s="6">
        <v>4.2279</v>
      </c>
      <c r="O2818" s="6">
        <v>1</v>
      </c>
      <c r="P2818" s="5">
        <v>65.94</v>
      </c>
      <c r="Q2818" s="4" t="s">
        <v>1390</v>
      </c>
    </row>
    <row r="2819" spans="1:17" x14ac:dyDescent="0.3">
      <c r="A2819" s="2" t="s">
        <v>1389</v>
      </c>
      <c r="B2819" s="3">
        <v>158229</v>
      </c>
      <c r="C2819" s="3">
        <v>905510</v>
      </c>
      <c r="D2819" s="4" t="s">
        <v>81</v>
      </c>
      <c r="E2819" s="4" t="s">
        <v>734</v>
      </c>
      <c r="F2819" s="4" t="s">
        <v>83</v>
      </c>
      <c r="G2819" s="4" t="s">
        <v>20</v>
      </c>
      <c r="H2819" s="5">
        <v>-100000</v>
      </c>
      <c r="I2819" s="4" t="s">
        <v>34</v>
      </c>
      <c r="J2819" s="5">
        <f t="shared" si="43"/>
        <v>117270.00000000001</v>
      </c>
      <c r="K2819" s="4" t="s">
        <v>52</v>
      </c>
      <c r="L2819" s="6">
        <v>1.1727000000000001</v>
      </c>
      <c r="M2819" s="6">
        <v>0.85270000000000001</v>
      </c>
      <c r="N2819" s="6">
        <v>4.2127999999999997</v>
      </c>
      <c r="O2819" s="6">
        <v>3.6027999999999998</v>
      </c>
      <c r="P2819" s="5">
        <v>1238.3699999999999</v>
      </c>
      <c r="Q2819" s="4" t="s">
        <v>1393</v>
      </c>
    </row>
    <row r="2820" spans="1:17" x14ac:dyDescent="0.3">
      <c r="A2820" s="2" t="s">
        <v>1389</v>
      </c>
      <c r="B2820" s="3">
        <v>158231</v>
      </c>
      <c r="C2820" s="3">
        <v>218983</v>
      </c>
      <c r="D2820" s="4" t="s">
        <v>17</v>
      </c>
      <c r="E2820" s="4" t="s">
        <v>1337</v>
      </c>
      <c r="F2820" s="4" t="s">
        <v>32</v>
      </c>
      <c r="G2820" s="4" t="s">
        <v>20</v>
      </c>
      <c r="H2820" s="5">
        <v>-2000</v>
      </c>
      <c r="I2820" s="4" t="s">
        <v>21</v>
      </c>
      <c r="J2820" s="5">
        <f t="shared" ref="J2820:J2883" si="44">-H2820*L2820</f>
        <v>8469</v>
      </c>
      <c r="K2820" s="4" t="s">
        <v>50</v>
      </c>
      <c r="L2820" s="6">
        <v>4.2344999999999997</v>
      </c>
      <c r="M2820" s="6">
        <v>0.23619999999999999</v>
      </c>
      <c r="N2820" s="6">
        <v>4.2279</v>
      </c>
      <c r="O2820" s="6">
        <v>1</v>
      </c>
      <c r="P2820" s="5">
        <v>13.2</v>
      </c>
      <c r="Q2820" s="4" t="s">
        <v>1390</v>
      </c>
    </row>
    <row r="2821" spans="1:17" x14ac:dyDescent="0.3">
      <c r="A2821" s="2" t="s">
        <v>1389</v>
      </c>
      <c r="B2821" s="3">
        <v>158232</v>
      </c>
      <c r="C2821" s="3">
        <v>905545</v>
      </c>
      <c r="D2821" s="4" t="s">
        <v>81</v>
      </c>
      <c r="E2821" s="4" t="s">
        <v>855</v>
      </c>
      <c r="F2821" s="4" t="s">
        <v>87</v>
      </c>
      <c r="G2821" s="4" t="s">
        <v>20</v>
      </c>
      <c r="H2821" s="5">
        <v>15000</v>
      </c>
      <c r="I2821" s="4" t="s">
        <v>21</v>
      </c>
      <c r="J2821" s="5">
        <f t="shared" si="44"/>
        <v>-63366</v>
      </c>
      <c r="K2821" s="4" t="s">
        <v>52</v>
      </c>
      <c r="L2821" s="6">
        <v>4.2244000000000002</v>
      </c>
      <c r="M2821" s="6">
        <v>0.23669999999999999</v>
      </c>
      <c r="N2821" s="6">
        <v>4.2127999999999997</v>
      </c>
      <c r="O2821" s="6">
        <v>1</v>
      </c>
      <c r="P2821" s="5">
        <v>-174</v>
      </c>
      <c r="Q2821" s="4" t="s">
        <v>1390</v>
      </c>
    </row>
    <row r="2822" spans="1:17" x14ac:dyDescent="0.3">
      <c r="A2822" s="2" t="s">
        <v>1389</v>
      </c>
      <c r="B2822" s="3">
        <v>158233</v>
      </c>
      <c r="C2822" s="3">
        <v>218987</v>
      </c>
      <c r="D2822" s="4" t="s">
        <v>17</v>
      </c>
      <c r="E2822" s="4" t="s">
        <v>1271</v>
      </c>
      <c r="F2822" s="4" t="s">
        <v>19</v>
      </c>
      <c r="G2822" s="4" t="s">
        <v>20</v>
      </c>
      <c r="H2822" s="5">
        <v>15000</v>
      </c>
      <c r="I2822" s="4" t="s">
        <v>21</v>
      </c>
      <c r="J2822" s="5">
        <f t="shared" si="44"/>
        <v>-63360</v>
      </c>
      <c r="K2822" s="4" t="s">
        <v>50</v>
      </c>
      <c r="L2822" s="6">
        <v>4.2240000000000002</v>
      </c>
      <c r="M2822" s="6">
        <v>0.23669999999999999</v>
      </c>
      <c r="N2822" s="6">
        <v>4.2279</v>
      </c>
      <c r="O2822" s="6">
        <v>1</v>
      </c>
      <c r="P2822" s="5">
        <v>58.5</v>
      </c>
      <c r="Q2822" s="4" t="s">
        <v>1390</v>
      </c>
    </row>
    <row r="2823" spans="1:17" x14ac:dyDescent="0.3">
      <c r="A2823" s="2" t="s">
        <v>1389</v>
      </c>
      <c r="B2823" s="3">
        <v>158235</v>
      </c>
      <c r="C2823" s="3">
        <v>905552</v>
      </c>
      <c r="D2823" s="4" t="s">
        <v>81</v>
      </c>
      <c r="E2823" s="4" t="s">
        <v>734</v>
      </c>
      <c r="F2823" s="4" t="s">
        <v>83</v>
      </c>
      <c r="G2823" s="4" t="s">
        <v>20</v>
      </c>
      <c r="H2823" s="5">
        <v>-100000</v>
      </c>
      <c r="I2823" s="4" t="s">
        <v>34</v>
      </c>
      <c r="J2823" s="5">
        <f t="shared" si="44"/>
        <v>117350</v>
      </c>
      <c r="K2823" s="4" t="s">
        <v>52</v>
      </c>
      <c r="L2823" s="6">
        <v>1.1735</v>
      </c>
      <c r="M2823" s="6">
        <v>0.85219999999999996</v>
      </c>
      <c r="N2823" s="6">
        <v>4.2127999999999997</v>
      </c>
      <c r="O2823" s="6">
        <v>3.6027999999999998</v>
      </c>
      <c r="P2823" s="5">
        <v>1490.566</v>
      </c>
      <c r="Q2823" s="4" t="s">
        <v>1393</v>
      </c>
    </row>
    <row r="2824" spans="1:17" x14ac:dyDescent="0.3">
      <c r="A2824" s="2" t="s">
        <v>1389</v>
      </c>
      <c r="B2824" s="3">
        <v>158236</v>
      </c>
      <c r="C2824" s="3">
        <v>905553</v>
      </c>
      <c r="D2824" s="4" t="s">
        <v>81</v>
      </c>
      <c r="E2824" s="4" t="s">
        <v>734</v>
      </c>
      <c r="F2824" s="4" t="s">
        <v>83</v>
      </c>
      <c r="G2824" s="4" t="s">
        <v>20</v>
      </c>
      <c r="H2824" s="5">
        <v>-100000</v>
      </c>
      <c r="I2824" s="4" t="s">
        <v>34</v>
      </c>
      <c r="J2824" s="5">
        <f t="shared" si="44"/>
        <v>117340</v>
      </c>
      <c r="K2824" s="4" t="s">
        <v>52</v>
      </c>
      <c r="L2824" s="6">
        <v>1.1734</v>
      </c>
      <c r="M2824" s="6">
        <v>0.85219999999999996</v>
      </c>
      <c r="N2824" s="6">
        <v>4.2127999999999997</v>
      </c>
      <c r="O2824" s="6">
        <v>3.6027999999999998</v>
      </c>
      <c r="P2824" s="5">
        <v>1483.3604</v>
      </c>
      <c r="Q2824" s="4" t="s">
        <v>1393</v>
      </c>
    </row>
    <row r="2825" spans="1:17" x14ac:dyDescent="0.3">
      <c r="A2825" s="2" t="s">
        <v>1389</v>
      </c>
      <c r="B2825" s="3">
        <v>158237</v>
      </c>
      <c r="C2825" s="3">
        <v>218990</v>
      </c>
      <c r="D2825" s="4" t="s">
        <v>17</v>
      </c>
      <c r="E2825" s="4" t="s">
        <v>1048</v>
      </c>
      <c r="F2825" s="4" t="s">
        <v>32</v>
      </c>
      <c r="G2825" s="4" t="s">
        <v>20</v>
      </c>
      <c r="H2825" s="5">
        <v>-13000</v>
      </c>
      <c r="I2825" s="4" t="s">
        <v>21</v>
      </c>
      <c r="J2825" s="5">
        <f t="shared" si="44"/>
        <v>55087.5</v>
      </c>
      <c r="K2825" s="4" t="s">
        <v>50</v>
      </c>
      <c r="L2825" s="6">
        <v>4.2374999999999998</v>
      </c>
      <c r="M2825" s="6">
        <v>0.23599999999999999</v>
      </c>
      <c r="N2825" s="6">
        <v>4.2279</v>
      </c>
      <c r="O2825" s="6">
        <v>1</v>
      </c>
      <c r="P2825" s="5">
        <v>124.8</v>
      </c>
      <c r="Q2825" s="4" t="s">
        <v>1390</v>
      </c>
    </row>
    <row r="2826" spans="1:17" x14ac:dyDescent="0.3">
      <c r="A2826" s="2" t="s">
        <v>1389</v>
      </c>
      <c r="B2826" s="3">
        <v>158238</v>
      </c>
      <c r="C2826" s="3">
        <v>905581</v>
      </c>
      <c r="D2826" s="4" t="s">
        <v>81</v>
      </c>
      <c r="E2826" s="4" t="s">
        <v>725</v>
      </c>
      <c r="F2826" s="4" t="s">
        <v>83</v>
      </c>
      <c r="G2826" s="4" t="s">
        <v>20</v>
      </c>
      <c r="H2826" s="5">
        <v>-500000</v>
      </c>
      <c r="I2826" s="4" t="s">
        <v>21</v>
      </c>
      <c r="J2826" s="5">
        <f t="shared" si="44"/>
        <v>2113900</v>
      </c>
      <c r="K2826" s="4" t="s">
        <v>52</v>
      </c>
      <c r="L2826" s="6">
        <v>4.2278000000000002</v>
      </c>
      <c r="M2826" s="6">
        <v>0.23649999999999999</v>
      </c>
      <c r="N2826" s="6">
        <v>4.2127999999999997</v>
      </c>
      <c r="O2826" s="6">
        <v>1</v>
      </c>
      <c r="P2826" s="5">
        <v>7505</v>
      </c>
      <c r="Q2826" s="4" t="s">
        <v>1392</v>
      </c>
    </row>
    <row r="2827" spans="1:17" x14ac:dyDescent="0.3">
      <c r="A2827" s="2" t="s">
        <v>1389</v>
      </c>
      <c r="B2827" s="3">
        <v>158239</v>
      </c>
      <c r="C2827" s="3">
        <v>218994</v>
      </c>
      <c r="D2827" s="4" t="s">
        <v>17</v>
      </c>
      <c r="E2827" s="4" t="s">
        <v>1259</v>
      </c>
      <c r="F2827" s="4" t="s">
        <v>19</v>
      </c>
      <c r="G2827" s="4" t="s">
        <v>20</v>
      </c>
      <c r="H2827" s="5">
        <v>55000</v>
      </c>
      <c r="I2827" s="4" t="s">
        <v>21</v>
      </c>
      <c r="J2827" s="5">
        <f t="shared" si="44"/>
        <v>-231825</v>
      </c>
      <c r="K2827" s="4" t="s">
        <v>50</v>
      </c>
      <c r="L2827" s="6">
        <v>4.2149999999999999</v>
      </c>
      <c r="M2827" s="6">
        <v>0.23719999999999999</v>
      </c>
      <c r="N2827" s="6">
        <v>4.2279</v>
      </c>
      <c r="O2827" s="6">
        <v>1</v>
      </c>
      <c r="P2827" s="5">
        <v>709.5</v>
      </c>
      <c r="Q2827" s="4" t="s">
        <v>1390</v>
      </c>
    </row>
    <row r="2828" spans="1:17" x14ac:dyDescent="0.3">
      <c r="A2828" s="2" t="s">
        <v>1389</v>
      </c>
      <c r="B2828" s="3">
        <v>158241</v>
      </c>
      <c r="C2828" s="3">
        <v>218998</v>
      </c>
      <c r="D2828" s="4" t="s">
        <v>17</v>
      </c>
      <c r="E2828" s="4" t="s">
        <v>1050</v>
      </c>
      <c r="F2828" s="4" t="s">
        <v>32</v>
      </c>
      <c r="G2828" s="4" t="s">
        <v>34</v>
      </c>
      <c r="H2828" s="5">
        <v>-20000</v>
      </c>
      <c r="I2828" s="4" t="s">
        <v>21</v>
      </c>
      <c r="J2828" s="5">
        <f t="shared" si="44"/>
        <v>72082</v>
      </c>
      <c r="K2828" s="4" t="s">
        <v>50</v>
      </c>
      <c r="L2828" s="6">
        <v>3.6040999999999999</v>
      </c>
      <c r="M2828" s="6">
        <v>0.27750000000000002</v>
      </c>
      <c r="N2828" s="6">
        <v>3.6053999999999999</v>
      </c>
      <c r="O2828" s="6">
        <v>1</v>
      </c>
      <c r="P2828" s="5">
        <v>-26</v>
      </c>
      <c r="Q2828" s="4" t="s">
        <v>1390</v>
      </c>
    </row>
    <row r="2829" spans="1:17" x14ac:dyDescent="0.3">
      <c r="A2829" s="2" t="s">
        <v>1389</v>
      </c>
      <c r="B2829" s="3">
        <v>158243</v>
      </c>
      <c r="C2829" s="3">
        <v>219010</v>
      </c>
      <c r="D2829" s="4" t="s">
        <v>17</v>
      </c>
      <c r="E2829" s="4" t="s">
        <v>1261</v>
      </c>
      <c r="F2829" s="4" t="s">
        <v>19</v>
      </c>
      <c r="G2829" s="4" t="s">
        <v>20</v>
      </c>
      <c r="H2829" s="5">
        <v>83000</v>
      </c>
      <c r="I2829" s="4" t="s">
        <v>21</v>
      </c>
      <c r="J2829" s="5">
        <f t="shared" si="44"/>
        <v>-350260</v>
      </c>
      <c r="K2829" s="4" t="s">
        <v>50</v>
      </c>
      <c r="L2829" s="6">
        <v>4.22</v>
      </c>
      <c r="M2829" s="6">
        <v>0.23699999999999999</v>
      </c>
      <c r="N2829" s="6">
        <v>4.2279</v>
      </c>
      <c r="O2829" s="6">
        <v>1</v>
      </c>
      <c r="P2829" s="5">
        <v>655.70000000001164</v>
      </c>
      <c r="Q2829" s="4" t="s">
        <v>1390</v>
      </c>
    </row>
    <row r="2830" spans="1:17" x14ac:dyDescent="0.3">
      <c r="A2830" s="2" t="s">
        <v>1389</v>
      </c>
      <c r="B2830" s="3">
        <v>158244</v>
      </c>
      <c r="C2830" s="3">
        <v>219013</v>
      </c>
      <c r="D2830" s="4" t="s">
        <v>17</v>
      </c>
      <c r="E2830" s="4" t="s">
        <v>1284</v>
      </c>
      <c r="F2830" s="4" t="s">
        <v>19</v>
      </c>
      <c r="G2830" s="4" t="s">
        <v>20</v>
      </c>
      <c r="H2830" s="5">
        <v>40000</v>
      </c>
      <c r="I2830" s="4" t="s">
        <v>21</v>
      </c>
      <c r="J2830" s="5">
        <f t="shared" si="44"/>
        <v>-168695.99999999997</v>
      </c>
      <c r="K2830" s="4" t="s">
        <v>50</v>
      </c>
      <c r="L2830" s="6">
        <v>4.2173999999999996</v>
      </c>
      <c r="M2830" s="6">
        <v>0.23710000000000001</v>
      </c>
      <c r="N2830" s="6">
        <v>4.2279</v>
      </c>
      <c r="O2830" s="6">
        <v>1</v>
      </c>
      <c r="P2830" s="5">
        <v>420.0000000000291</v>
      </c>
      <c r="Q2830" s="4" t="s">
        <v>1390</v>
      </c>
    </row>
    <row r="2831" spans="1:17" x14ac:dyDescent="0.3">
      <c r="A2831" s="2" t="s">
        <v>1389</v>
      </c>
      <c r="B2831" s="3">
        <v>158246</v>
      </c>
      <c r="C2831" s="3">
        <v>219015</v>
      </c>
      <c r="D2831" s="4" t="s">
        <v>17</v>
      </c>
      <c r="E2831" s="4" t="s">
        <v>968</v>
      </c>
      <c r="F2831" s="4" t="s">
        <v>19</v>
      </c>
      <c r="G2831" s="4" t="s">
        <v>20</v>
      </c>
      <c r="H2831" s="5">
        <v>20000</v>
      </c>
      <c r="I2831" s="4" t="s">
        <v>21</v>
      </c>
      <c r="J2831" s="5">
        <f t="shared" si="44"/>
        <v>-84330</v>
      </c>
      <c r="K2831" s="4" t="s">
        <v>50</v>
      </c>
      <c r="L2831" s="6">
        <v>4.2164999999999999</v>
      </c>
      <c r="M2831" s="6">
        <v>0.23719999999999999</v>
      </c>
      <c r="N2831" s="6">
        <v>4.2279</v>
      </c>
      <c r="O2831" s="6">
        <v>1</v>
      </c>
      <c r="P2831" s="5">
        <v>228</v>
      </c>
      <c r="Q2831" s="4" t="s">
        <v>1390</v>
      </c>
    </row>
    <row r="2832" spans="1:17" x14ac:dyDescent="0.3">
      <c r="A2832" s="2" t="s">
        <v>1389</v>
      </c>
      <c r="B2832" s="3">
        <v>158248</v>
      </c>
      <c r="C2832" s="3">
        <v>905660</v>
      </c>
      <c r="D2832" s="4" t="s">
        <v>81</v>
      </c>
      <c r="E2832" s="4" t="s">
        <v>734</v>
      </c>
      <c r="F2832" s="4" t="s">
        <v>83</v>
      </c>
      <c r="G2832" s="4" t="s">
        <v>20</v>
      </c>
      <c r="H2832" s="5">
        <v>-100000</v>
      </c>
      <c r="I2832" s="4" t="s">
        <v>34</v>
      </c>
      <c r="J2832" s="5">
        <f t="shared" si="44"/>
        <v>117380</v>
      </c>
      <c r="K2832" s="4" t="s">
        <v>52</v>
      </c>
      <c r="L2832" s="6">
        <v>1.1738</v>
      </c>
      <c r="M2832" s="6">
        <v>0.85189999999999999</v>
      </c>
      <c r="N2832" s="6">
        <v>4.2127999999999997</v>
      </c>
      <c r="O2832" s="6">
        <v>3.6027999999999998</v>
      </c>
      <c r="P2832" s="5">
        <v>1623.8696</v>
      </c>
      <c r="Q2832" s="4" t="s">
        <v>1393</v>
      </c>
    </row>
    <row r="2833" spans="1:17" x14ac:dyDescent="0.3">
      <c r="A2833" s="2" t="s">
        <v>1389</v>
      </c>
      <c r="B2833" s="3">
        <v>158253</v>
      </c>
      <c r="C2833" s="3">
        <v>905674</v>
      </c>
      <c r="D2833" s="4" t="s">
        <v>81</v>
      </c>
      <c r="E2833" s="4" t="s">
        <v>734</v>
      </c>
      <c r="F2833" s="4" t="s">
        <v>83</v>
      </c>
      <c r="G2833" s="4" t="s">
        <v>20</v>
      </c>
      <c r="H2833" s="5">
        <v>-100000</v>
      </c>
      <c r="I2833" s="4" t="s">
        <v>34</v>
      </c>
      <c r="J2833" s="5">
        <f t="shared" si="44"/>
        <v>117419.99999999999</v>
      </c>
      <c r="K2833" s="4" t="s">
        <v>52</v>
      </c>
      <c r="L2833" s="6">
        <v>1.1741999999999999</v>
      </c>
      <c r="M2833" s="6">
        <v>0.85160000000000002</v>
      </c>
      <c r="N2833" s="6">
        <v>4.2127999999999997</v>
      </c>
      <c r="O2833" s="6">
        <v>3.6027999999999998</v>
      </c>
      <c r="P2833" s="5">
        <v>1775.1872000000001</v>
      </c>
      <c r="Q2833" s="4" t="s">
        <v>1393</v>
      </c>
    </row>
    <row r="2834" spans="1:17" x14ac:dyDescent="0.3">
      <c r="A2834" s="2" t="s">
        <v>1389</v>
      </c>
      <c r="B2834" s="3">
        <v>158255</v>
      </c>
      <c r="C2834" s="3">
        <v>219023</v>
      </c>
      <c r="D2834" s="4" t="s">
        <v>17</v>
      </c>
      <c r="E2834" s="4" t="s">
        <v>1047</v>
      </c>
      <c r="F2834" s="4" t="s">
        <v>32</v>
      </c>
      <c r="G2834" s="4" t="s">
        <v>34</v>
      </c>
      <c r="H2834" s="5">
        <v>-100000</v>
      </c>
      <c r="I2834" s="4" t="s">
        <v>21</v>
      </c>
      <c r="J2834" s="5">
        <f t="shared" si="44"/>
        <v>360500</v>
      </c>
      <c r="K2834" s="4" t="s">
        <v>50</v>
      </c>
      <c r="L2834" s="6">
        <v>3.605</v>
      </c>
      <c r="M2834" s="6">
        <v>0.27739999999999998</v>
      </c>
      <c r="N2834" s="6">
        <v>3.6053999999999999</v>
      </c>
      <c r="O2834" s="6">
        <v>1</v>
      </c>
      <c r="P2834" s="5">
        <v>-40</v>
      </c>
      <c r="Q2834" s="4" t="s">
        <v>1390</v>
      </c>
    </row>
    <row r="2835" spans="1:17" x14ac:dyDescent="0.3">
      <c r="A2835" s="2" t="s">
        <v>1389</v>
      </c>
      <c r="B2835" s="3">
        <v>158256</v>
      </c>
      <c r="C2835" s="3">
        <v>905687</v>
      </c>
      <c r="D2835" s="4" t="s">
        <v>81</v>
      </c>
      <c r="E2835" s="4" t="s">
        <v>736</v>
      </c>
      <c r="F2835" s="4" t="s">
        <v>87</v>
      </c>
      <c r="G2835" s="4" t="s">
        <v>74</v>
      </c>
      <c r="H2835" s="5">
        <v>200000</v>
      </c>
      <c r="I2835" s="4" t="s">
        <v>21</v>
      </c>
      <c r="J2835" s="5">
        <f t="shared" si="44"/>
        <v>-72560</v>
      </c>
      <c r="K2835" s="4" t="s">
        <v>52</v>
      </c>
      <c r="L2835" s="6">
        <v>0.36280000000000001</v>
      </c>
      <c r="M2835" s="6">
        <v>2.7563</v>
      </c>
      <c r="N2835" s="6">
        <v>0.36380000000000001</v>
      </c>
      <c r="O2835" s="6">
        <v>1</v>
      </c>
      <c r="P2835" s="5">
        <v>200</v>
      </c>
      <c r="Q2835" s="4" t="s">
        <v>1390</v>
      </c>
    </row>
    <row r="2836" spans="1:17" x14ac:dyDescent="0.3">
      <c r="A2836" s="2" t="s">
        <v>1389</v>
      </c>
      <c r="B2836" s="3">
        <v>158272</v>
      </c>
      <c r="C2836" s="3">
        <v>905697</v>
      </c>
      <c r="D2836" s="4" t="s">
        <v>81</v>
      </c>
      <c r="E2836" s="4" t="s">
        <v>736</v>
      </c>
      <c r="F2836" s="4" t="s">
        <v>87</v>
      </c>
      <c r="G2836" s="4" t="s">
        <v>89</v>
      </c>
      <c r="H2836" s="5">
        <v>210000</v>
      </c>
      <c r="I2836" s="4" t="s">
        <v>21</v>
      </c>
      <c r="J2836" s="5">
        <f t="shared" si="44"/>
        <v>-118797</v>
      </c>
      <c r="K2836" s="4" t="s">
        <v>52</v>
      </c>
      <c r="L2836" s="6">
        <v>0.56569999999999998</v>
      </c>
      <c r="M2836" s="6">
        <v>1.7677</v>
      </c>
      <c r="N2836" s="6">
        <v>0.56399999999999995</v>
      </c>
      <c r="O2836" s="6">
        <v>1</v>
      </c>
      <c r="P2836" s="5">
        <v>-357</v>
      </c>
      <c r="Q2836" s="4" t="s">
        <v>1390</v>
      </c>
    </row>
    <row r="2837" spans="1:17" x14ac:dyDescent="0.3">
      <c r="A2837" s="2" t="s">
        <v>1389</v>
      </c>
      <c r="B2837" s="3">
        <v>158275</v>
      </c>
      <c r="C2837" s="3">
        <v>219031</v>
      </c>
      <c r="D2837" s="4" t="s">
        <v>17</v>
      </c>
      <c r="E2837" s="4" t="s">
        <v>1316</v>
      </c>
      <c r="F2837" s="4" t="s">
        <v>32</v>
      </c>
      <c r="G2837" s="4" t="s">
        <v>20</v>
      </c>
      <c r="H2837" s="5">
        <v>-100000</v>
      </c>
      <c r="I2837" s="4" t="s">
        <v>21</v>
      </c>
      <c r="J2837" s="5">
        <f t="shared" si="44"/>
        <v>422539.99999999994</v>
      </c>
      <c r="K2837" s="4" t="s">
        <v>50</v>
      </c>
      <c r="L2837" s="6">
        <v>4.2253999999999996</v>
      </c>
      <c r="M2837" s="6">
        <v>0.23669999999999999</v>
      </c>
      <c r="N2837" s="6">
        <v>4.2279</v>
      </c>
      <c r="O2837" s="6">
        <v>1</v>
      </c>
      <c r="P2837" s="5">
        <v>-290</v>
      </c>
      <c r="Q2837" s="4" t="s">
        <v>1390</v>
      </c>
    </row>
    <row r="2838" spans="1:17" x14ac:dyDescent="0.3">
      <c r="A2838" s="2" t="s">
        <v>1389</v>
      </c>
      <c r="B2838" s="3">
        <v>158276</v>
      </c>
      <c r="C2838" s="3">
        <v>219033</v>
      </c>
      <c r="D2838" s="4" t="s">
        <v>17</v>
      </c>
      <c r="E2838" s="4" t="s">
        <v>780</v>
      </c>
      <c r="F2838" s="4" t="s">
        <v>19</v>
      </c>
      <c r="G2838" s="4" t="s">
        <v>20</v>
      </c>
      <c r="H2838" s="5">
        <v>55523.91</v>
      </c>
      <c r="I2838" s="4" t="s">
        <v>21</v>
      </c>
      <c r="J2838" s="5">
        <f t="shared" si="44"/>
        <v>-233589.08937</v>
      </c>
      <c r="K2838" s="4" t="s">
        <v>50</v>
      </c>
      <c r="L2838" s="6">
        <v>4.2069999999999999</v>
      </c>
      <c r="M2838" s="6">
        <v>0.23769999999999999</v>
      </c>
      <c r="N2838" s="6">
        <v>4.2279</v>
      </c>
      <c r="O2838" s="6">
        <v>1</v>
      </c>
      <c r="P2838" s="5">
        <v>1160.4497190000257</v>
      </c>
      <c r="Q2838" s="4" t="s">
        <v>1390</v>
      </c>
    </row>
    <row r="2839" spans="1:17" x14ac:dyDescent="0.3">
      <c r="A2839" s="2" t="s">
        <v>1389</v>
      </c>
      <c r="B2839" s="3">
        <v>158277</v>
      </c>
      <c r="C2839" s="3">
        <v>219034</v>
      </c>
      <c r="D2839" s="4" t="s">
        <v>17</v>
      </c>
      <c r="E2839" s="4" t="s">
        <v>1119</v>
      </c>
      <c r="F2839" s="4" t="s">
        <v>32</v>
      </c>
      <c r="G2839" s="4" t="s">
        <v>20</v>
      </c>
      <c r="H2839" s="5">
        <v>-22000</v>
      </c>
      <c r="I2839" s="4" t="s">
        <v>21</v>
      </c>
      <c r="J2839" s="5">
        <f t="shared" si="44"/>
        <v>93181</v>
      </c>
      <c r="K2839" s="4" t="s">
        <v>50</v>
      </c>
      <c r="L2839" s="6">
        <v>4.2355</v>
      </c>
      <c r="M2839" s="6">
        <v>0.2361</v>
      </c>
      <c r="N2839" s="6">
        <v>4.2279</v>
      </c>
      <c r="O2839" s="6">
        <v>1</v>
      </c>
      <c r="P2839" s="5">
        <v>156.19999999999999</v>
      </c>
      <c r="Q2839" s="4" t="s">
        <v>1390</v>
      </c>
    </row>
    <row r="2840" spans="1:17" x14ac:dyDescent="0.3">
      <c r="A2840" s="2" t="s">
        <v>1389</v>
      </c>
      <c r="B2840" s="3">
        <v>158278</v>
      </c>
      <c r="C2840" s="3">
        <v>219035</v>
      </c>
      <c r="D2840" s="4" t="s">
        <v>17</v>
      </c>
      <c r="E2840" s="4" t="s">
        <v>790</v>
      </c>
      <c r="F2840" s="4" t="s">
        <v>32</v>
      </c>
      <c r="G2840" s="4" t="s">
        <v>20</v>
      </c>
      <c r="H2840" s="5">
        <v>-192775.2</v>
      </c>
      <c r="I2840" s="4" t="s">
        <v>21</v>
      </c>
      <c r="J2840" s="5">
        <f t="shared" si="44"/>
        <v>816402.97200000007</v>
      </c>
      <c r="K2840" s="4" t="s">
        <v>50</v>
      </c>
      <c r="L2840" s="6">
        <v>4.2350000000000003</v>
      </c>
      <c r="M2840" s="6">
        <v>0.2361</v>
      </c>
      <c r="N2840" s="6">
        <v>4.2279</v>
      </c>
      <c r="O2840" s="6">
        <v>1</v>
      </c>
      <c r="P2840" s="5">
        <v>1368.70192</v>
      </c>
      <c r="Q2840" s="4" t="s">
        <v>1390</v>
      </c>
    </row>
    <row r="2841" spans="1:17" x14ac:dyDescent="0.3">
      <c r="A2841" s="2" t="s">
        <v>1389</v>
      </c>
      <c r="B2841" s="3">
        <v>158279</v>
      </c>
      <c r="C2841" s="3">
        <v>219036</v>
      </c>
      <c r="D2841" s="4" t="s">
        <v>17</v>
      </c>
      <c r="E2841" s="4" t="s">
        <v>990</v>
      </c>
      <c r="F2841" s="4" t="s">
        <v>32</v>
      </c>
      <c r="G2841" s="4" t="s">
        <v>20</v>
      </c>
      <c r="H2841" s="5">
        <v>-300000</v>
      </c>
      <c r="I2841" s="4" t="s">
        <v>21</v>
      </c>
      <c r="J2841" s="5">
        <f t="shared" si="44"/>
        <v>1269600</v>
      </c>
      <c r="K2841" s="4" t="s">
        <v>50</v>
      </c>
      <c r="L2841" s="6">
        <v>4.2320000000000002</v>
      </c>
      <c r="M2841" s="6">
        <v>0.23630000000000001</v>
      </c>
      <c r="N2841" s="6">
        <v>4.2279</v>
      </c>
      <c r="O2841" s="6">
        <v>1</v>
      </c>
      <c r="P2841" s="5">
        <v>1230</v>
      </c>
      <c r="Q2841" s="4" t="s">
        <v>1390</v>
      </c>
    </row>
    <row r="2842" spans="1:17" x14ac:dyDescent="0.3">
      <c r="A2842" s="2" t="s">
        <v>1389</v>
      </c>
      <c r="B2842" s="3">
        <v>158280</v>
      </c>
      <c r="C2842" s="3">
        <v>905792</v>
      </c>
      <c r="D2842" s="4" t="s">
        <v>81</v>
      </c>
      <c r="E2842" s="4" t="s">
        <v>733</v>
      </c>
      <c r="F2842" s="4" t="s">
        <v>87</v>
      </c>
      <c r="G2842" s="4" t="s">
        <v>20</v>
      </c>
      <c r="H2842" s="5">
        <v>500000</v>
      </c>
      <c r="I2842" s="4" t="s">
        <v>21</v>
      </c>
      <c r="J2842" s="5">
        <f t="shared" si="44"/>
        <v>-2111550</v>
      </c>
      <c r="K2842" s="4" t="s">
        <v>52</v>
      </c>
      <c r="L2842" s="6">
        <v>4.2230999999999996</v>
      </c>
      <c r="M2842" s="6">
        <v>0.23680000000000001</v>
      </c>
      <c r="N2842" s="6">
        <v>4.2127999999999997</v>
      </c>
      <c r="O2842" s="6">
        <v>1</v>
      </c>
      <c r="P2842" s="5">
        <v>-5140</v>
      </c>
      <c r="Q2842" s="4" t="s">
        <v>1391</v>
      </c>
    </row>
    <row r="2843" spans="1:17" x14ac:dyDescent="0.3">
      <c r="A2843" s="2" t="s">
        <v>1389</v>
      </c>
      <c r="B2843" s="3">
        <v>158281</v>
      </c>
      <c r="C2843" s="3">
        <v>219037</v>
      </c>
      <c r="D2843" s="4" t="s">
        <v>17</v>
      </c>
      <c r="E2843" s="4" t="s">
        <v>816</v>
      </c>
      <c r="F2843" s="4" t="s">
        <v>32</v>
      </c>
      <c r="G2843" s="4" t="s">
        <v>34</v>
      </c>
      <c r="H2843" s="5">
        <v>-20000</v>
      </c>
      <c r="I2843" s="4" t="s">
        <v>21</v>
      </c>
      <c r="J2843" s="5">
        <f t="shared" si="44"/>
        <v>72260</v>
      </c>
      <c r="K2843" s="4" t="s">
        <v>50</v>
      </c>
      <c r="L2843" s="6">
        <v>3.613</v>
      </c>
      <c r="M2843" s="6">
        <v>0.27679999999999999</v>
      </c>
      <c r="N2843" s="6">
        <v>3.6053999999999999</v>
      </c>
      <c r="O2843" s="6">
        <v>1</v>
      </c>
      <c r="P2843" s="5">
        <v>152</v>
      </c>
      <c r="Q2843" s="4" t="s">
        <v>1390</v>
      </c>
    </row>
    <row r="2844" spans="1:17" x14ac:dyDescent="0.3">
      <c r="A2844" s="2" t="s">
        <v>1389</v>
      </c>
      <c r="B2844" s="3">
        <v>158282</v>
      </c>
      <c r="C2844" s="3">
        <v>905799</v>
      </c>
      <c r="D2844" s="4" t="s">
        <v>81</v>
      </c>
      <c r="E2844" s="4" t="s">
        <v>733</v>
      </c>
      <c r="F2844" s="4" t="s">
        <v>87</v>
      </c>
      <c r="G2844" s="4" t="s">
        <v>20</v>
      </c>
      <c r="H2844" s="5">
        <v>500000</v>
      </c>
      <c r="I2844" s="4" t="s">
        <v>21</v>
      </c>
      <c r="J2844" s="5">
        <f t="shared" si="44"/>
        <v>-2111450</v>
      </c>
      <c r="K2844" s="4" t="s">
        <v>52</v>
      </c>
      <c r="L2844" s="6">
        <v>4.2229000000000001</v>
      </c>
      <c r="M2844" s="6">
        <v>0.23680000000000001</v>
      </c>
      <c r="N2844" s="6">
        <v>4.2127999999999997</v>
      </c>
      <c r="O2844" s="6">
        <v>1</v>
      </c>
      <c r="P2844" s="5">
        <v>-5025</v>
      </c>
      <c r="Q2844" s="4" t="s">
        <v>1391</v>
      </c>
    </row>
    <row r="2845" spans="1:17" x14ac:dyDescent="0.3">
      <c r="A2845" s="2" t="s">
        <v>1389</v>
      </c>
      <c r="B2845" s="3">
        <v>158283</v>
      </c>
      <c r="C2845" s="3">
        <v>219040</v>
      </c>
      <c r="D2845" s="4" t="s">
        <v>17</v>
      </c>
      <c r="E2845" s="4" t="s">
        <v>921</v>
      </c>
      <c r="F2845" s="4" t="s">
        <v>19</v>
      </c>
      <c r="G2845" s="4" t="s">
        <v>20</v>
      </c>
      <c r="H2845" s="5">
        <v>60000</v>
      </c>
      <c r="I2845" s="4" t="s">
        <v>21</v>
      </c>
      <c r="J2845" s="5">
        <f t="shared" si="44"/>
        <v>-252960</v>
      </c>
      <c r="K2845" s="4" t="s">
        <v>50</v>
      </c>
      <c r="L2845" s="6">
        <v>4.2160000000000002</v>
      </c>
      <c r="M2845" s="6">
        <v>0.23719999999999999</v>
      </c>
      <c r="N2845" s="6">
        <v>4.2279</v>
      </c>
      <c r="O2845" s="6">
        <v>1</v>
      </c>
      <c r="P2845" s="5">
        <v>714</v>
      </c>
      <c r="Q2845" s="4" t="s">
        <v>1390</v>
      </c>
    </row>
    <row r="2846" spans="1:17" x14ac:dyDescent="0.3">
      <c r="A2846" s="2" t="s">
        <v>1389</v>
      </c>
      <c r="B2846" s="3">
        <v>158284</v>
      </c>
      <c r="C2846" s="3">
        <v>219042</v>
      </c>
      <c r="D2846" s="4" t="s">
        <v>17</v>
      </c>
      <c r="E2846" s="4" t="s">
        <v>1087</v>
      </c>
      <c r="F2846" s="4" t="s">
        <v>19</v>
      </c>
      <c r="G2846" s="4" t="s">
        <v>20</v>
      </c>
      <c r="H2846" s="5">
        <v>300000</v>
      </c>
      <c r="I2846" s="4" t="s">
        <v>21</v>
      </c>
      <c r="J2846" s="5">
        <f t="shared" si="44"/>
        <v>-1265100</v>
      </c>
      <c r="K2846" s="4" t="s">
        <v>50</v>
      </c>
      <c r="L2846" s="6">
        <v>4.2169999999999996</v>
      </c>
      <c r="M2846" s="6">
        <v>0.23710000000000001</v>
      </c>
      <c r="N2846" s="6">
        <v>4.2279</v>
      </c>
      <c r="O2846" s="6">
        <v>1</v>
      </c>
      <c r="P2846" s="5">
        <v>3270</v>
      </c>
      <c r="Q2846" s="4" t="s">
        <v>1390</v>
      </c>
    </row>
    <row r="2847" spans="1:17" x14ac:dyDescent="0.3">
      <c r="A2847" s="2" t="s">
        <v>1389</v>
      </c>
      <c r="B2847" s="3">
        <v>158285</v>
      </c>
      <c r="C2847" s="3">
        <v>905818</v>
      </c>
      <c r="D2847" s="4" t="s">
        <v>81</v>
      </c>
      <c r="E2847" s="4" t="s">
        <v>732</v>
      </c>
      <c r="F2847" s="4" t="s">
        <v>83</v>
      </c>
      <c r="G2847" s="4" t="s">
        <v>20</v>
      </c>
      <c r="H2847" s="5">
        <v>-500000</v>
      </c>
      <c r="I2847" s="4" t="s">
        <v>21</v>
      </c>
      <c r="J2847" s="5">
        <f t="shared" si="44"/>
        <v>2111850</v>
      </c>
      <c r="K2847" s="4" t="s">
        <v>52</v>
      </c>
      <c r="L2847" s="6">
        <v>4.2237</v>
      </c>
      <c r="M2847" s="6">
        <v>0.23680000000000001</v>
      </c>
      <c r="N2847" s="6">
        <v>4.2127999999999997</v>
      </c>
      <c r="O2847" s="6">
        <v>1</v>
      </c>
      <c r="P2847" s="5">
        <v>5450</v>
      </c>
      <c r="Q2847" s="4" t="s">
        <v>1394</v>
      </c>
    </row>
    <row r="2848" spans="1:17" x14ac:dyDescent="0.3">
      <c r="A2848" s="2" t="s">
        <v>1389</v>
      </c>
      <c r="B2848" s="3">
        <v>158290</v>
      </c>
      <c r="C2848" s="3">
        <v>905823</v>
      </c>
      <c r="D2848" s="4" t="s">
        <v>81</v>
      </c>
      <c r="E2848" s="4" t="s">
        <v>733</v>
      </c>
      <c r="F2848" s="4" t="s">
        <v>83</v>
      </c>
      <c r="G2848" s="4" t="s">
        <v>20</v>
      </c>
      <c r="H2848" s="5">
        <v>-500000</v>
      </c>
      <c r="I2848" s="4" t="s">
        <v>21</v>
      </c>
      <c r="J2848" s="5">
        <f t="shared" si="44"/>
        <v>2111700</v>
      </c>
      <c r="K2848" s="4" t="s">
        <v>52</v>
      </c>
      <c r="L2848" s="6">
        <v>4.2233999999999998</v>
      </c>
      <c r="M2848" s="6">
        <v>0.23680000000000001</v>
      </c>
      <c r="N2848" s="6">
        <v>4.2127999999999997</v>
      </c>
      <c r="O2848" s="6">
        <v>1</v>
      </c>
      <c r="P2848" s="5">
        <v>5315</v>
      </c>
      <c r="Q2848" s="4" t="s">
        <v>1391</v>
      </c>
    </row>
    <row r="2849" spans="1:17" x14ac:dyDescent="0.3">
      <c r="A2849" s="2" t="s">
        <v>1389</v>
      </c>
      <c r="B2849" s="3">
        <v>158291</v>
      </c>
      <c r="C2849" s="3">
        <v>905826</v>
      </c>
      <c r="D2849" s="4" t="s">
        <v>81</v>
      </c>
      <c r="E2849" s="4" t="s">
        <v>733</v>
      </c>
      <c r="F2849" s="4" t="s">
        <v>83</v>
      </c>
      <c r="G2849" s="4" t="s">
        <v>20</v>
      </c>
      <c r="H2849" s="5">
        <v>-500000</v>
      </c>
      <c r="I2849" s="4" t="s">
        <v>21</v>
      </c>
      <c r="J2849" s="5">
        <f t="shared" si="44"/>
        <v>2111650</v>
      </c>
      <c r="K2849" s="4" t="s">
        <v>52</v>
      </c>
      <c r="L2849" s="6">
        <v>4.2233000000000001</v>
      </c>
      <c r="M2849" s="6">
        <v>0.23680000000000001</v>
      </c>
      <c r="N2849" s="6">
        <v>4.2127999999999997</v>
      </c>
      <c r="O2849" s="6">
        <v>1</v>
      </c>
      <c r="P2849" s="5">
        <v>5265</v>
      </c>
      <c r="Q2849" s="4" t="s">
        <v>1391</v>
      </c>
    </row>
    <row r="2850" spans="1:17" x14ac:dyDescent="0.3">
      <c r="A2850" s="2" t="s">
        <v>1389</v>
      </c>
      <c r="B2850" s="3">
        <v>158292</v>
      </c>
      <c r="C2850" s="3">
        <v>905829</v>
      </c>
      <c r="D2850" s="4" t="s">
        <v>81</v>
      </c>
      <c r="E2850" s="4" t="s">
        <v>734</v>
      </c>
      <c r="F2850" s="4" t="s">
        <v>83</v>
      </c>
      <c r="G2850" s="4" t="s">
        <v>20</v>
      </c>
      <c r="H2850" s="5">
        <v>-300000</v>
      </c>
      <c r="I2850" s="4" t="s">
        <v>34</v>
      </c>
      <c r="J2850" s="5">
        <f t="shared" si="44"/>
        <v>351750.00000000006</v>
      </c>
      <c r="K2850" s="4" t="s">
        <v>52</v>
      </c>
      <c r="L2850" s="6">
        <v>1.1725000000000001</v>
      </c>
      <c r="M2850" s="6">
        <v>0.85289999999999999</v>
      </c>
      <c r="N2850" s="6">
        <v>4.2127999999999997</v>
      </c>
      <c r="O2850" s="6">
        <v>3.6027999999999998</v>
      </c>
      <c r="P2850" s="5">
        <v>3434.0916000000002</v>
      </c>
      <c r="Q2850" s="4" t="s">
        <v>1393</v>
      </c>
    </row>
    <row r="2851" spans="1:17" x14ac:dyDescent="0.3">
      <c r="A2851" s="2" t="s">
        <v>1389</v>
      </c>
      <c r="B2851" s="3">
        <v>158293</v>
      </c>
      <c r="C2851" s="3">
        <v>219044</v>
      </c>
      <c r="D2851" s="4" t="s">
        <v>17</v>
      </c>
      <c r="E2851" s="4" t="s">
        <v>980</v>
      </c>
      <c r="F2851" s="4" t="s">
        <v>32</v>
      </c>
      <c r="G2851" s="4" t="s">
        <v>20</v>
      </c>
      <c r="H2851" s="5">
        <v>-50000</v>
      </c>
      <c r="I2851" s="4" t="s">
        <v>21</v>
      </c>
      <c r="J2851" s="5">
        <f t="shared" si="44"/>
        <v>211375</v>
      </c>
      <c r="K2851" s="4" t="s">
        <v>50</v>
      </c>
      <c r="L2851" s="6">
        <v>4.2275</v>
      </c>
      <c r="M2851" s="6">
        <v>0.23649999999999999</v>
      </c>
      <c r="N2851" s="6">
        <v>4.2279</v>
      </c>
      <c r="O2851" s="6">
        <v>1</v>
      </c>
      <c r="P2851" s="5">
        <v>-45</v>
      </c>
      <c r="Q2851" s="4" t="s">
        <v>1390</v>
      </c>
    </row>
    <row r="2852" spans="1:17" x14ac:dyDescent="0.3">
      <c r="A2852" s="2" t="s">
        <v>1389</v>
      </c>
      <c r="B2852" s="3">
        <v>158294</v>
      </c>
      <c r="C2852" s="3">
        <v>905850</v>
      </c>
      <c r="D2852" s="4" t="s">
        <v>81</v>
      </c>
      <c r="E2852" s="4" t="s">
        <v>730</v>
      </c>
      <c r="F2852" s="4" t="s">
        <v>83</v>
      </c>
      <c r="G2852" s="4" t="s">
        <v>20</v>
      </c>
      <c r="H2852" s="5">
        <v>-100000</v>
      </c>
      <c r="I2852" s="4" t="s">
        <v>110</v>
      </c>
      <c r="J2852" s="5">
        <f t="shared" si="44"/>
        <v>173240</v>
      </c>
      <c r="K2852" s="4" t="s">
        <v>52</v>
      </c>
      <c r="L2852" s="6">
        <v>1.7323999999999999</v>
      </c>
      <c r="M2852" s="6">
        <v>0.57720000000000005</v>
      </c>
      <c r="N2852" s="6">
        <v>4.2127999999999997</v>
      </c>
      <c r="O2852" s="6">
        <v>2.4504999999999999</v>
      </c>
      <c r="P2852" s="5">
        <v>3242.1695</v>
      </c>
      <c r="Q2852" s="4" t="s">
        <v>1396</v>
      </c>
    </row>
    <row r="2853" spans="1:17" x14ac:dyDescent="0.3">
      <c r="A2853" s="2" t="s">
        <v>1389</v>
      </c>
      <c r="B2853" s="3">
        <v>158296</v>
      </c>
      <c r="C2853" s="3">
        <v>905859</v>
      </c>
      <c r="D2853" s="4" t="s">
        <v>81</v>
      </c>
      <c r="E2853" s="4" t="s">
        <v>739</v>
      </c>
      <c r="F2853" s="4" t="s">
        <v>83</v>
      </c>
      <c r="G2853" s="4" t="s">
        <v>20</v>
      </c>
      <c r="H2853" s="5">
        <v>-100000</v>
      </c>
      <c r="I2853" s="4" t="s">
        <v>91</v>
      </c>
      <c r="J2853" s="5">
        <f t="shared" si="44"/>
        <v>87180</v>
      </c>
      <c r="K2853" s="4" t="s">
        <v>52</v>
      </c>
      <c r="L2853" s="6">
        <v>0.87180000000000002</v>
      </c>
      <c r="M2853" s="6">
        <v>1.147</v>
      </c>
      <c r="N2853" s="6">
        <v>4.2127999999999997</v>
      </c>
      <c r="O2853" s="6">
        <v>4.8433999999999999</v>
      </c>
      <c r="P2853" s="5">
        <v>977.29880000000003</v>
      </c>
      <c r="Q2853" s="4" t="s">
        <v>1391</v>
      </c>
    </row>
    <row r="2854" spans="1:17" x14ac:dyDescent="0.3">
      <c r="A2854" s="2" t="s">
        <v>1389</v>
      </c>
      <c r="B2854" s="3">
        <v>158297</v>
      </c>
      <c r="C2854" s="3">
        <v>905880</v>
      </c>
      <c r="D2854" s="4" t="s">
        <v>81</v>
      </c>
      <c r="E2854" s="4" t="s">
        <v>739</v>
      </c>
      <c r="F2854" s="4" t="s">
        <v>87</v>
      </c>
      <c r="G2854" s="4" t="s">
        <v>20</v>
      </c>
      <c r="H2854" s="5">
        <v>250000</v>
      </c>
      <c r="I2854" s="4" t="s">
        <v>84</v>
      </c>
      <c r="J2854" s="5">
        <f t="shared" si="44"/>
        <v>-2659150</v>
      </c>
      <c r="K2854" s="4" t="s">
        <v>52</v>
      </c>
      <c r="L2854" s="6">
        <v>10.6366</v>
      </c>
      <c r="M2854" s="6">
        <v>9.4E-2</v>
      </c>
      <c r="N2854" s="6">
        <v>4.2127999999999997</v>
      </c>
      <c r="O2854" s="6">
        <v>0.39750000000000002</v>
      </c>
      <c r="P2854" s="5">
        <v>-3809.1437500000002</v>
      </c>
      <c r="Q2854" s="4" t="s">
        <v>1391</v>
      </c>
    </row>
    <row r="2855" spans="1:17" x14ac:dyDescent="0.3">
      <c r="A2855" s="2" t="s">
        <v>1389</v>
      </c>
      <c r="B2855" s="3">
        <v>158298</v>
      </c>
      <c r="C2855" s="3">
        <v>219046</v>
      </c>
      <c r="D2855" s="4" t="s">
        <v>17</v>
      </c>
      <c r="E2855" s="4" t="s">
        <v>1042</v>
      </c>
      <c r="F2855" s="4" t="s">
        <v>19</v>
      </c>
      <c r="G2855" s="4" t="s">
        <v>20</v>
      </c>
      <c r="H2855" s="5">
        <v>85806</v>
      </c>
      <c r="I2855" s="4" t="s">
        <v>21</v>
      </c>
      <c r="J2855" s="5">
        <f t="shared" si="44"/>
        <v>-361758.09600000002</v>
      </c>
      <c r="K2855" s="4" t="s">
        <v>50</v>
      </c>
      <c r="L2855" s="6">
        <v>4.2160000000000002</v>
      </c>
      <c r="M2855" s="6">
        <v>0.23719999999999999</v>
      </c>
      <c r="N2855" s="6">
        <v>4.2279</v>
      </c>
      <c r="O2855" s="6">
        <v>1</v>
      </c>
      <c r="P2855" s="5">
        <v>1021.0913999999757</v>
      </c>
      <c r="Q2855" s="4" t="s">
        <v>1390</v>
      </c>
    </row>
    <row r="2856" spans="1:17" x14ac:dyDescent="0.3">
      <c r="A2856" s="2" t="s">
        <v>1389</v>
      </c>
      <c r="B2856" s="3">
        <v>158299</v>
      </c>
      <c r="C2856" s="3">
        <v>905901</v>
      </c>
      <c r="D2856" s="4" t="s">
        <v>81</v>
      </c>
      <c r="E2856" s="4" t="s">
        <v>725</v>
      </c>
      <c r="F2856" s="4" t="s">
        <v>87</v>
      </c>
      <c r="G2856" s="4" t="s">
        <v>20</v>
      </c>
      <c r="H2856" s="5">
        <v>500000</v>
      </c>
      <c r="I2856" s="4" t="s">
        <v>21</v>
      </c>
      <c r="J2856" s="5">
        <f t="shared" si="44"/>
        <v>-2111250</v>
      </c>
      <c r="K2856" s="4" t="s">
        <v>52</v>
      </c>
      <c r="L2856" s="6">
        <v>4.2225000000000001</v>
      </c>
      <c r="M2856" s="6">
        <v>0.23680000000000001</v>
      </c>
      <c r="N2856" s="6">
        <v>4.2127999999999997</v>
      </c>
      <c r="O2856" s="6">
        <v>1</v>
      </c>
      <c r="P2856" s="5">
        <v>-4830</v>
      </c>
      <c r="Q2856" s="4" t="s">
        <v>1392</v>
      </c>
    </row>
    <row r="2857" spans="1:17" x14ac:dyDescent="0.3">
      <c r="A2857" s="2" t="s">
        <v>1389</v>
      </c>
      <c r="B2857" s="3">
        <v>158300</v>
      </c>
      <c r="C2857" s="3">
        <v>905902</v>
      </c>
      <c r="D2857" s="4" t="s">
        <v>81</v>
      </c>
      <c r="E2857" s="4" t="s">
        <v>725</v>
      </c>
      <c r="F2857" s="4" t="s">
        <v>87</v>
      </c>
      <c r="G2857" s="4" t="s">
        <v>20</v>
      </c>
      <c r="H2857" s="5">
        <v>500000</v>
      </c>
      <c r="I2857" s="4" t="s">
        <v>21</v>
      </c>
      <c r="J2857" s="5">
        <f t="shared" si="44"/>
        <v>-2111200</v>
      </c>
      <c r="K2857" s="4" t="s">
        <v>52</v>
      </c>
      <c r="L2857" s="6">
        <v>4.2224000000000004</v>
      </c>
      <c r="M2857" s="6">
        <v>0.23680000000000001</v>
      </c>
      <c r="N2857" s="6">
        <v>4.2127999999999997</v>
      </c>
      <c r="O2857" s="6">
        <v>1</v>
      </c>
      <c r="P2857" s="5">
        <v>-4820</v>
      </c>
      <c r="Q2857" s="4" t="s">
        <v>1392</v>
      </c>
    </row>
    <row r="2858" spans="1:17" x14ac:dyDescent="0.3">
      <c r="A2858" s="2" t="s">
        <v>1389</v>
      </c>
      <c r="B2858" s="3">
        <v>158301</v>
      </c>
      <c r="C2858" s="3">
        <v>905903</v>
      </c>
      <c r="D2858" s="4" t="s">
        <v>81</v>
      </c>
      <c r="E2858" s="4" t="s">
        <v>732</v>
      </c>
      <c r="F2858" s="4" t="s">
        <v>83</v>
      </c>
      <c r="G2858" s="4" t="s">
        <v>20</v>
      </c>
      <c r="H2858" s="5">
        <v>-900000</v>
      </c>
      <c r="I2858" s="4" t="s">
        <v>21</v>
      </c>
      <c r="J2858" s="5">
        <f t="shared" si="44"/>
        <v>3799980</v>
      </c>
      <c r="K2858" s="4" t="s">
        <v>52</v>
      </c>
      <c r="L2858" s="6">
        <v>4.2222</v>
      </c>
      <c r="M2858" s="6">
        <v>0.23680000000000001</v>
      </c>
      <c r="N2858" s="6">
        <v>4.2127999999999997</v>
      </c>
      <c r="O2858" s="6">
        <v>1</v>
      </c>
      <c r="P2858" s="5">
        <v>8460</v>
      </c>
      <c r="Q2858" s="4" t="s">
        <v>1394</v>
      </c>
    </row>
    <row r="2859" spans="1:17" x14ac:dyDescent="0.3">
      <c r="A2859" s="2" t="s">
        <v>1389</v>
      </c>
      <c r="B2859" s="3">
        <v>158302</v>
      </c>
      <c r="C2859" s="3">
        <v>219049</v>
      </c>
      <c r="D2859" s="4" t="s">
        <v>17</v>
      </c>
      <c r="E2859" s="4" t="s">
        <v>1089</v>
      </c>
      <c r="F2859" s="4" t="s">
        <v>19</v>
      </c>
      <c r="G2859" s="4" t="s">
        <v>20</v>
      </c>
      <c r="H2859" s="5">
        <v>30000</v>
      </c>
      <c r="I2859" s="4" t="s">
        <v>21</v>
      </c>
      <c r="J2859" s="5">
        <f t="shared" si="44"/>
        <v>-126210</v>
      </c>
      <c r="K2859" s="4" t="s">
        <v>50</v>
      </c>
      <c r="L2859" s="6">
        <v>4.2069999999999999</v>
      </c>
      <c r="M2859" s="6">
        <v>0.23769999999999999</v>
      </c>
      <c r="N2859" s="6">
        <v>4.2279</v>
      </c>
      <c r="O2859" s="6">
        <v>1</v>
      </c>
      <c r="P2859" s="5">
        <v>627</v>
      </c>
      <c r="Q2859" s="4" t="s">
        <v>1390</v>
      </c>
    </row>
    <row r="2860" spans="1:17" x14ac:dyDescent="0.3">
      <c r="A2860" s="2" t="s">
        <v>1389</v>
      </c>
      <c r="B2860" s="3">
        <v>158303</v>
      </c>
      <c r="C2860" s="3">
        <v>219050</v>
      </c>
      <c r="D2860" s="4" t="s">
        <v>17</v>
      </c>
      <c r="E2860" s="4" t="s">
        <v>1316</v>
      </c>
      <c r="F2860" s="4" t="s">
        <v>32</v>
      </c>
      <c r="G2860" s="4" t="s">
        <v>20</v>
      </c>
      <c r="H2860" s="5">
        <v>-100000</v>
      </c>
      <c r="I2860" s="4" t="s">
        <v>21</v>
      </c>
      <c r="J2860" s="5">
        <f t="shared" si="44"/>
        <v>422340</v>
      </c>
      <c r="K2860" s="4" t="s">
        <v>50</v>
      </c>
      <c r="L2860" s="6">
        <v>4.2233999999999998</v>
      </c>
      <c r="M2860" s="6">
        <v>0.23680000000000001</v>
      </c>
      <c r="N2860" s="6">
        <v>4.2279</v>
      </c>
      <c r="O2860" s="6">
        <v>1</v>
      </c>
      <c r="P2860" s="5">
        <v>-490</v>
      </c>
      <c r="Q2860" s="4" t="s">
        <v>1390</v>
      </c>
    </row>
    <row r="2861" spans="1:17" x14ac:dyDescent="0.3">
      <c r="A2861" s="2" t="s">
        <v>1389</v>
      </c>
      <c r="B2861" s="3">
        <v>158307</v>
      </c>
      <c r="C2861" s="3">
        <v>219053</v>
      </c>
      <c r="D2861" s="4" t="s">
        <v>17</v>
      </c>
      <c r="E2861" s="4" t="s">
        <v>1316</v>
      </c>
      <c r="F2861" s="4" t="s">
        <v>32</v>
      </c>
      <c r="G2861" s="4" t="s">
        <v>20</v>
      </c>
      <c r="H2861" s="5">
        <v>-100000</v>
      </c>
      <c r="I2861" s="4" t="s">
        <v>21</v>
      </c>
      <c r="J2861" s="5">
        <f t="shared" si="44"/>
        <v>422240.00000000006</v>
      </c>
      <c r="K2861" s="4" t="s">
        <v>50</v>
      </c>
      <c r="L2861" s="6">
        <v>4.2224000000000004</v>
      </c>
      <c r="M2861" s="6">
        <v>0.23680000000000001</v>
      </c>
      <c r="N2861" s="6">
        <v>4.2279</v>
      </c>
      <c r="O2861" s="6">
        <v>1</v>
      </c>
      <c r="P2861" s="5">
        <v>-590</v>
      </c>
      <c r="Q2861" s="4" t="s">
        <v>1390</v>
      </c>
    </row>
    <row r="2862" spans="1:17" x14ac:dyDescent="0.3">
      <c r="A2862" s="2" t="s">
        <v>1389</v>
      </c>
      <c r="B2862" s="3">
        <v>158308</v>
      </c>
      <c r="C2862" s="3">
        <v>905925</v>
      </c>
      <c r="D2862" s="4" t="s">
        <v>81</v>
      </c>
      <c r="E2862" s="4" t="s">
        <v>734</v>
      </c>
      <c r="F2862" s="4" t="s">
        <v>83</v>
      </c>
      <c r="G2862" s="4" t="s">
        <v>20</v>
      </c>
      <c r="H2862" s="5">
        <v>-300000</v>
      </c>
      <c r="I2862" s="4" t="s">
        <v>34</v>
      </c>
      <c r="J2862" s="5">
        <f t="shared" si="44"/>
        <v>351840</v>
      </c>
      <c r="K2862" s="4" t="s">
        <v>52</v>
      </c>
      <c r="L2862" s="6">
        <v>1.1728000000000001</v>
      </c>
      <c r="M2862" s="6">
        <v>0.85270000000000001</v>
      </c>
      <c r="N2862" s="6">
        <v>4.2127999999999997</v>
      </c>
      <c r="O2862" s="6">
        <v>3.6027999999999998</v>
      </c>
      <c r="P2862" s="5">
        <v>3736.7267999999999</v>
      </c>
      <c r="Q2862" s="4" t="s">
        <v>1393</v>
      </c>
    </row>
    <row r="2863" spans="1:17" x14ac:dyDescent="0.3">
      <c r="A2863" s="2" t="s">
        <v>1389</v>
      </c>
      <c r="B2863" s="3">
        <v>158309</v>
      </c>
      <c r="C2863" s="3">
        <v>905926</v>
      </c>
      <c r="D2863" s="4" t="s">
        <v>81</v>
      </c>
      <c r="E2863" s="4" t="s">
        <v>734</v>
      </c>
      <c r="F2863" s="4" t="s">
        <v>83</v>
      </c>
      <c r="G2863" s="4" t="s">
        <v>20</v>
      </c>
      <c r="H2863" s="5">
        <v>-300000</v>
      </c>
      <c r="I2863" s="4" t="s">
        <v>34</v>
      </c>
      <c r="J2863" s="5">
        <f t="shared" si="44"/>
        <v>351840</v>
      </c>
      <c r="K2863" s="4" t="s">
        <v>52</v>
      </c>
      <c r="L2863" s="6">
        <v>1.1728000000000001</v>
      </c>
      <c r="M2863" s="6">
        <v>0.85270000000000001</v>
      </c>
      <c r="N2863" s="6">
        <v>4.2127999999999997</v>
      </c>
      <c r="O2863" s="6">
        <v>3.6027999999999998</v>
      </c>
      <c r="P2863" s="5">
        <v>3769.152</v>
      </c>
      <c r="Q2863" s="4" t="s">
        <v>1393</v>
      </c>
    </row>
    <row r="2864" spans="1:17" x14ac:dyDescent="0.3">
      <c r="A2864" s="2" t="s">
        <v>1389</v>
      </c>
      <c r="B2864" s="3">
        <v>158310</v>
      </c>
      <c r="C2864" s="3">
        <v>905927</v>
      </c>
      <c r="D2864" s="4" t="s">
        <v>81</v>
      </c>
      <c r="E2864" s="4" t="s">
        <v>734</v>
      </c>
      <c r="F2864" s="4" t="s">
        <v>87</v>
      </c>
      <c r="G2864" s="4" t="s">
        <v>20</v>
      </c>
      <c r="H2864" s="5">
        <v>100000</v>
      </c>
      <c r="I2864" s="4" t="s">
        <v>34</v>
      </c>
      <c r="J2864" s="5">
        <f t="shared" si="44"/>
        <v>-117270.00000000001</v>
      </c>
      <c r="K2864" s="4" t="s">
        <v>52</v>
      </c>
      <c r="L2864" s="6">
        <v>1.1727000000000001</v>
      </c>
      <c r="M2864" s="6">
        <v>0.85270000000000001</v>
      </c>
      <c r="N2864" s="6">
        <v>4.2127999999999997</v>
      </c>
      <c r="O2864" s="6">
        <v>3.6027999999999998</v>
      </c>
      <c r="P2864" s="5">
        <v>-1227.5616</v>
      </c>
      <c r="Q2864" s="4" t="s">
        <v>1393</v>
      </c>
    </row>
    <row r="2865" spans="1:17" x14ac:dyDescent="0.3">
      <c r="A2865" s="2" t="s">
        <v>1389</v>
      </c>
      <c r="B2865" s="3">
        <v>158311</v>
      </c>
      <c r="C2865" s="3">
        <v>905928</v>
      </c>
      <c r="D2865" s="4" t="s">
        <v>81</v>
      </c>
      <c r="E2865" s="4" t="s">
        <v>734</v>
      </c>
      <c r="F2865" s="4" t="s">
        <v>87</v>
      </c>
      <c r="G2865" s="4" t="s">
        <v>20</v>
      </c>
      <c r="H2865" s="5">
        <v>100000</v>
      </c>
      <c r="I2865" s="4" t="s">
        <v>34</v>
      </c>
      <c r="J2865" s="5">
        <f t="shared" si="44"/>
        <v>-117260.00000000001</v>
      </c>
      <c r="K2865" s="4" t="s">
        <v>52</v>
      </c>
      <c r="L2865" s="6">
        <v>1.1726000000000001</v>
      </c>
      <c r="M2865" s="6">
        <v>0.8528</v>
      </c>
      <c r="N2865" s="6">
        <v>4.2127999999999997</v>
      </c>
      <c r="O2865" s="6">
        <v>3.6027999999999998</v>
      </c>
      <c r="P2865" s="5">
        <v>-1202.3420000000001</v>
      </c>
      <c r="Q2865" s="4" t="s">
        <v>1393</v>
      </c>
    </row>
    <row r="2866" spans="1:17" x14ac:dyDescent="0.3">
      <c r="A2866" s="2" t="s">
        <v>1389</v>
      </c>
      <c r="B2866" s="3">
        <v>158312</v>
      </c>
      <c r="C2866" s="3">
        <v>905929</v>
      </c>
      <c r="D2866" s="4" t="s">
        <v>81</v>
      </c>
      <c r="E2866" s="4" t="s">
        <v>734</v>
      </c>
      <c r="F2866" s="4" t="s">
        <v>87</v>
      </c>
      <c r="G2866" s="4" t="s">
        <v>20</v>
      </c>
      <c r="H2866" s="5">
        <v>100000</v>
      </c>
      <c r="I2866" s="4" t="s">
        <v>34</v>
      </c>
      <c r="J2866" s="5">
        <f t="shared" si="44"/>
        <v>-117260.00000000001</v>
      </c>
      <c r="K2866" s="4" t="s">
        <v>52</v>
      </c>
      <c r="L2866" s="6">
        <v>1.1726000000000001</v>
      </c>
      <c r="M2866" s="6">
        <v>0.8528</v>
      </c>
      <c r="N2866" s="6">
        <v>4.2127999999999997</v>
      </c>
      <c r="O2866" s="6">
        <v>3.6027999999999998</v>
      </c>
      <c r="P2866" s="5">
        <v>-1184.328</v>
      </c>
      <c r="Q2866" s="4" t="s">
        <v>1393</v>
      </c>
    </row>
    <row r="2867" spans="1:17" x14ac:dyDescent="0.3">
      <c r="A2867" s="2" t="s">
        <v>1389</v>
      </c>
      <c r="B2867" s="3">
        <v>158313</v>
      </c>
      <c r="C2867" s="3">
        <v>905930</v>
      </c>
      <c r="D2867" s="4" t="s">
        <v>81</v>
      </c>
      <c r="E2867" s="4" t="s">
        <v>734</v>
      </c>
      <c r="F2867" s="4" t="s">
        <v>87</v>
      </c>
      <c r="G2867" s="4" t="s">
        <v>20</v>
      </c>
      <c r="H2867" s="5">
        <v>100000</v>
      </c>
      <c r="I2867" s="4" t="s">
        <v>34</v>
      </c>
      <c r="J2867" s="5">
        <f t="shared" si="44"/>
        <v>-117260.00000000001</v>
      </c>
      <c r="K2867" s="4" t="s">
        <v>52</v>
      </c>
      <c r="L2867" s="6">
        <v>1.1726000000000001</v>
      </c>
      <c r="M2867" s="6">
        <v>0.8528</v>
      </c>
      <c r="N2867" s="6">
        <v>4.2127999999999997</v>
      </c>
      <c r="O2867" s="6">
        <v>3.6027999999999998</v>
      </c>
      <c r="P2867" s="5">
        <v>-1198.7392</v>
      </c>
      <c r="Q2867" s="4" t="s">
        <v>1393</v>
      </c>
    </row>
    <row r="2868" spans="1:17" x14ac:dyDescent="0.3">
      <c r="A2868" s="2" t="s">
        <v>1389</v>
      </c>
      <c r="B2868" s="3">
        <v>158314</v>
      </c>
      <c r="C2868" s="3">
        <v>219054</v>
      </c>
      <c r="D2868" s="4" t="s">
        <v>17</v>
      </c>
      <c r="E2868" s="4" t="s">
        <v>1138</v>
      </c>
      <c r="F2868" s="4" t="s">
        <v>19</v>
      </c>
      <c r="G2868" s="4" t="s">
        <v>20</v>
      </c>
      <c r="H2868" s="5">
        <v>63000</v>
      </c>
      <c r="I2868" s="4" t="s">
        <v>34</v>
      </c>
      <c r="J2868" s="5">
        <f t="shared" si="44"/>
        <v>-73804.5</v>
      </c>
      <c r="K2868" s="4" t="s">
        <v>50</v>
      </c>
      <c r="L2868" s="6">
        <v>1.1715</v>
      </c>
      <c r="M2868" s="6">
        <v>0.85360000000000003</v>
      </c>
      <c r="N2868" s="6">
        <v>4.2279</v>
      </c>
      <c r="O2868" s="6">
        <v>3.6053999999999999</v>
      </c>
      <c r="P2868" s="5">
        <v>262.95569999999134</v>
      </c>
      <c r="Q2868" s="4" t="s">
        <v>1390</v>
      </c>
    </row>
    <row r="2869" spans="1:17" x14ac:dyDescent="0.3">
      <c r="A2869" s="2" t="s">
        <v>1389</v>
      </c>
      <c r="B2869" s="3">
        <v>158315</v>
      </c>
      <c r="C2869" s="3">
        <v>219055</v>
      </c>
      <c r="D2869" s="4" t="s">
        <v>17</v>
      </c>
      <c r="E2869" s="4" t="s">
        <v>1138</v>
      </c>
      <c r="F2869" s="4" t="s">
        <v>19</v>
      </c>
      <c r="G2869" s="4" t="s">
        <v>20</v>
      </c>
      <c r="H2869" s="5">
        <v>1000</v>
      </c>
      <c r="I2869" s="4" t="s">
        <v>34</v>
      </c>
      <c r="J2869" s="5">
        <f t="shared" si="44"/>
        <v>-1171.5</v>
      </c>
      <c r="K2869" s="4" t="s">
        <v>50</v>
      </c>
      <c r="L2869" s="6">
        <v>1.1715</v>
      </c>
      <c r="M2869" s="6">
        <v>0.85360000000000003</v>
      </c>
      <c r="N2869" s="6">
        <v>4.2279</v>
      </c>
      <c r="O2869" s="6">
        <v>3.6053999999999999</v>
      </c>
      <c r="P2869" s="5">
        <v>4.1738999999997759</v>
      </c>
      <c r="Q2869" s="4" t="s">
        <v>1390</v>
      </c>
    </row>
    <row r="2870" spans="1:17" x14ac:dyDescent="0.3">
      <c r="A2870" s="2" t="s">
        <v>1389</v>
      </c>
      <c r="B2870" s="3">
        <v>158316</v>
      </c>
      <c r="C2870" s="3">
        <v>219058</v>
      </c>
      <c r="D2870" s="4" t="s">
        <v>17</v>
      </c>
      <c r="E2870" s="4" t="s">
        <v>1134</v>
      </c>
      <c r="F2870" s="4" t="s">
        <v>32</v>
      </c>
      <c r="G2870" s="4" t="s">
        <v>20</v>
      </c>
      <c r="H2870" s="5">
        <v>-20000</v>
      </c>
      <c r="I2870" s="4" t="s">
        <v>21</v>
      </c>
      <c r="J2870" s="5">
        <f t="shared" si="44"/>
        <v>84460</v>
      </c>
      <c r="K2870" s="4" t="s">
        <v>50</v>
      </c>
      <c r="L2870" s="6">
        <v>4.2229999999999999</v>
      </c>
      <c r="M2870" s="6">
        <v>0.23680000000000001</v>
      </c>
      <c r="N2870" s="6">
        <v>4.2279</v>
      </c>
      <c r="O2870" s="6">
        <v>1</v>
      </c>
      <c r="P2870" s="5">
        <v>-98</v>
      </c>
      <c r="Q2870" s="4" t="s">
        <v>1390</v>
      </c>
    </row>
    <row r="2871" spans="1:17" x14ac:dyDescent="0.3">
      <c r="A2871" s="2" t="s">
        <v>1389</v>
      </c>
      <c r="B2871" s="3">
        <v>158318</v>
      </c>
      <c r="C2871" s="3">
        <v>905954</v>
      </c>
      <c r="D2871" s="4" t="s">
        <v>81</v>
      </c>
      <c r="E2871" s="4" t="s">
        <v>725</v>
      </c>
      <c r="F2871" s="4" t="s">
        <v>87</v>
      </c>
      <c r="G2871" s="4" t="s">
        <v>20</v>
      </c>
      <c r="H2871" s="5">
        <v>500000</v>
      </c>
      <c r="I2871" s="4" t="s">
        <v>21</v>
      </c>
      <c r="J2871" s="5">
        <f t="shared" si="44"/>
        <v>-2110200</v>
      </c>
      <c r="K2871" s="4" t="s">
        <v>52</v>
      </c>
      <c r="L2871" s="6">
        <v>4.2203999999999997</v>
      </c>
      <c r="M2871" s="6">
        <v>0.2369</v>
      </c>
      <c r="N2871" s="6">
        <v>4.2127999999999997</v>
      </c>
      <c r="O2871" s="6">
        <v>1</v>
      </c>
      <c r="P2871" s="5">
        <v>-3795</v>
      </c>
      <c r="Q2871" s="4" t="s">
        <v>1392</v>
      </c>
    </row>
    <row r="2872" spans="1:17" x14ac:dyDescent="0.3">
      <c r="A2872" s="2" t="s">
        <v>1389</v>
      </c>
      <c r="B2872" s="3">
        <v>158319</v>
      </c>
      <c r="C2872" s="3">
        <v>905955</v>
      </c>
      <c r="D2872" s="4" t="s">
        <v>81</v>
      </c>
      <c r="E2872" s="4" t="s">
        <v>730</v>
      </c>
      <c r="F2872" s="4" t="s">
        <v>87</v>
      </c>
      <c r="G2872" s="4" t="s">
        <v>20</v>
      </c>
      <c r="H2872" s="5">
        <v>500000</v>
      </c>
      <c r="I2872" s="4" t="s">
        <v>21</v>
      </c>
      <c r="J2872" s="5">
        <f t="shared" si="44"/>
        <v>-2110150</v>
      </c>
      <c r="K2872" s="4" t="s">
        <v>52</v>
      </c>
      <c r="L2872" s="6">
        <v>4.2202999999999999</v>
      </c>
      <c r="M2872" s="6">
        <v>0.2369</v>
      </c>
      <c r="N2872" s="6">
        <v>4.2127999999999997</v>
      </c>
      <c r="O2872" s="6">
        <v>1</v>
      </c>
      <c r="P2872" s="5">
        <v>-3750</v>
      </c>
      <c r="Q2872" s="4" t="s">
        <v>1396</v>
      </c>
    </row>
    <row r="2873" spans="1:17" x14ac:dyDescent="0.3">
      <c r="A2873" s="2" t="s">
        <v>1389</v>
      </c>
      <c r="B2873" s="3">
        <v>158320</v>
      </c>
      <c r="C2873" s="3">
        <v>905956</v>
      </c>
      <c r="D2873" s="4" t="s">
        <v>81</v>
      </c>
      <c r="E2873" s="4" t="s">
        <v>726</v>
      </c>
      <c r="F2873" s="4" t="s">
        <v>87</v>
      </c>
      <c r="G2873" s="4" t="s">
        <v>20</v>
      </c>
      <c r="H2873" s="5">
        <v>500000</v>
      </c>
      <c r="I2873" s="4" t="s">
        <v>21</v>
      </c>
      <c r="J2873" s="5">
        <f t="shared" si="44"/>
        <v>-2110250</v>
      </c>
      <c r="K2873" s="4" t="s">
        <v>52</v>
      </c>
      <c r="L2873" s="6">
        <v>4.2205000000000004</v>
      </c>
      <c r="M2873" s="6">
        <v>0.2369</v>
      </c>
      <c r="N2873" s="6">
        <v>4.2127999999999997</v>
      </c>
      <c r="O2873" s="6">
        <v>1</v>
      </c>
      <c r="P2873" s="5">
        <v>-3870</v>
      </c>
      <c r="Q2873" s="4" t="s">
        <v>1390</v>
      </c>
    </row>
    <row r="2874" spans="1:17" x14ac:dyDescent="0.3">
      <c r="A2874" s="2" t="s">
        <v>1389</v>
      </c>
      <c r="B2874" s="3">
        <v>158321</v>
      </c>
      <c r="C2874" s="3">
        <v>905957</v>
      </c>
      <c r="D2874" s="4" t="s">
        <v>81</v>
      </c>
      <c r="E2874" s="4" t="s">
        <v>730</v>
      </c>
      <c r="F2874" s="4" t="s">
        <v>87</v>
      </c>
      <c r="G2874" s="4" t="s">
        <v>20</v>
      </c>
      <c r="H2874" s="5">
        <v>500000</v>
      </c>
      <c r="I2874" s="4" t="s">
        <v>21</v>
      </c>
      <c r="J2874" s="5">
        <f t="shared" si="44"/>
        <v>-2110250</v>
      </c>
      <c r="K2874" s="4" t="s">
        <v>52</v>
      </c>
      <c r="L2874" s="6">
        <v>4.2205000000000004</v>
      </c>
      <c r="M2874" s="6">
        <v>0.2369</v>
      </c>
      <c r="N2874" s="6">
        <v>4.2127999999999997</v>
      </c>
      <c r="O2874" s="6">
        <v>1</v>
      </c>
      <c r="P2874" s="5">
        <v>-3870</v>
      </c>
      <c r="Q2874" s="4" t="s">
        <v>1396</v>
      </c>
    </row>
    <row r="2875" spans="1:17" x14ac:dyDescent="0.3">
      <c r="A2875" s="2" t="s">
        <v>1389</v>
      </c>
      <c r="B2875" s="3">
        <v>158322</v>
      </c>
      <c r="C2875" s="3">
        <v>219060</v>
      </c>
      <c r="D2875" s="4" t="s">
        <v>17</v>
      </c>
      <c r="E2875" s="4" t="s">
        <v>1092</v>
      </c>
      <c r="F2875" s="4" t="s">
        <v>32</v>
      </c>
      <c r="G2875" s="4" t="s">
        <v>34</v>
      </c>
      <c r="H2875" s="5">
        <v>-18850</v>
      </c>
      <c r="I2875" s="4" t="s">
        <v>21</v>
      </c>
      <c r="J2875" s="5">
        <f t="shared" si="44"/>
        <v>67984.41</v>
      </c>
      <c r="K2875" s="4" t="s">
        <v>50</v>
      </c>
      <c r="L2875" s="6">
        <v>3.6065999999999998</v>
      </c>
      <c r="M2875" s="6">
        <v>0.27729999999999999</v>
      </c>
      <c r="N2875" s="6">
        <v>3.6053999999999999</v>
      </c>
      <c r="O2875" s="6">
        <v>1</v>
      </c>
      <c r="P2875" s="5">
        <v>22.62</v>
      </c>
      <c r="Q2875" s="4" t="s">
        <v>1390</v>
      </c>
    </row>
    <row r="2876" spans="1:17" x14ac:dyDescent="0.3">
      <c r="A2876" s="2" t="s">
        <v>1389</v>
      </c>
      <c r="B2876" s="3">
        <v>158323</v>
      </c>
      <c r="C2876" s="3">
        <v>905961</v>
      </c>
      <c r="D2876" s="4" t="s">
        <v>81</v>
      </c>
      <c r="E2876" s="4" t="s">
        <v>734</v>
      </c>
      <c r="F2876" s="4" t="s">
        <v>87</v>
      </c>
      <c r="G2876" s="4" t="s">
        <v>20</v>
      </c>
      <c r="H2876" s="5">
        <v>500000</v>
      </c>
      <c r="I2876" s="4" t="s">
        <v>21</v>
      </c>
      <c r="J2876" s="5">
        <f t="shared" si="44"/>
        <v>-2110250</v>
      </c>
      <c r="K2876" s="4" t="s">
        <v>52</v>
      </c>
      <c r="L2876" s="6">
        <v>4.2205000000000004</v>
      </c>
      <c r="M2876" s="6">
        <v>0.2369</v>
      </c>
      <c r="N2876" s="6">
        <v>4.2127999999999997</v>
      </c>
      <c r="O2876" s="6">
        <v>1</v>
      </c>
      <c r="P2876" s="5">
        <v>-3850</v>
      </c>
      <c r="Q2876" s="4" t="s">
        <v>1393</v>
      </c>
    </row>
    <row r="2877" spans="1:17" x14ac:dyDescent="0.3">
      <c r="A2877" s="2" t="s">
        <v>1389</v>
      </c>
      <c r="B2877" s="3">
        <v>158324</v>
      </c>
      <c r="C2877" s="3">
        <v>219061</v>
      </c>
      <c r="D2877" s="4" t="s">
        <v>17</v>
      </c>
      <c r="E2877" s="4" t="s">
        <v>1201</v>
      </c>
      <c r="F2877" s="4" t="s">
        <v>32</v>
      </c>
      <c r="G2877" s="4" t="s">
        <v>20</v>
      </c>
      <c r="H2877" s="5">
        <v>-1000000</v>
      </c>
      <c r="I2877" s="4" t="s">
        <v>21</v>
      </c>
      <c r="J2877" s="5">
        <f t="shared" si="44"/>
        <v>4222900</v>
      </c>
      <c r="K2877" s="4" t="s">
        <v>50</v>
      </c>
      <c r="L2877" s="6">
        <v>4.2229000000000001</v>
      </c>
      <c r="M2877" s="6">
        <v>0.23680000000000001</v>
      </c>
      <c r="N2877" s="6">
        <v>4.2279</v>
      </c>
      <c r="O2877" s="6">
        <v>1</v>
      </c>
      <c r="P2877" s="5">
        <v>-5400</v>
      </c>
      <c r="Q2877" s="4" t="s">
        <v>1390</v>
      </c>
    </row>
    <row r="2878" spans="1:17" x14ac:dyDescent="0.3">
      <c r="A2878" s="2" t="s">
        <v>1389</v>
      </c>
      <c r="B2878" s="3">
        <v>158325</v>
      </c>
      <c r="C2878" s="3">
        <v>219062</v>
      </c>
      <c r="D2878" s="4" t="s">
        <v>17</v>
      </c>
      <c r="E2878" s="4" t="s">
        <v>1201</v>
      </c>
      <c r="F2878" s="4" t="s">
        <v>32</v>
      </c>
      <c r="G2878" s="4" t="s">
        <v>20</v>
      </c>
      <c r="H2878" s="5">
        <v>-1000000</v>
      </c>
      <c r="I2878" s="4" t="s">
        <v>21</v>
      </c>
      <c r="J2878" s="5">
        <f t="shared" si="44"/>
        <v>4222900</v>
      </c>
      <c r="K2878" s="4" t="s">
        <v>50</v>
      </c>
      <c r="L2878" s="6">
        <v>4.2229000000000001</v>
      </c>
      <c r="M2878" s="6">
        <v>0.23680000000000001</v>
      </c>
      <c r="N2878" s="6">
        <v>4.2279</v>
      </c>
      <c r="O2878" s="6">
        <v>1</v>
      </c>
      <c r="P2878" s="5">
        <v>-5400</v>
      </c>
      <c r="Q2878" s="4" t="s">
        <v>1390</v>
      </c>
    </row>
    <row r="2879" spans="1:17" x14ac:dyDescent="0.3">
      <c r="A2879" s="2" t="s">
        <v>1389</v>
      </c>
      <c r="B2879" s="3">
        <v>158326</v>
      </c>
      <c r="C2879" s="3">
        <v>219063</v>
      </c>
      <c r="D2879" s="4" t="s">
        <v>17</v>
      </c>
      <c r="E2879" s="4" t="s">
        <v>1092</v>
      </c>
      <c r="F2879" s="4" t="s">
        <v>32</v>
      </c>
      <c r="G2879" s="4" t="s">
        <v>20</v>
      </c>
      <c r="H2879" s="5">
        <v>-1000</v>
      </c>
      <c r="I2879" s="4" t="s">
        <v>21</v>
      </c>
      <c r="J2879" s="5">
        <f t="shared" si="44"/>
        <v>4226.7</v>
      </c>
      <c r="K2879" s="4" t="s">
        <v>51</v>
      </c>
      <c r="L2879" s="6">
        <v>4.2267000000000001</v>
      </c>
      <c r="M2879" s="6">
        <v>0.2366</v>
      </c>
      <c r="N2879" s="6">
        <v>4.2271000000000001</v>
      </c>
      <c r="O2879" s="6">
        <v>1</v>
      </c>
      <c r="P2879" s="5">
        <v>-0.6</v>
      </c>
      <c r="Q2879" s="4" t="s">
        <v>1390</v>
      </c>
    </row>
    <row r="2880" spans="1:17" x14ac:dyDescent="0.3">
      <c r="A2880" s="2" t="s">
        <v>1389</v>
      </c>
      <c r="B2880" s="3">
        <v>158330</v>
      </c>
      <c r="C2880" s="3">
        <v>219066</v>
      </c>
      <c r="D2880" s="4" t="s">
        <v>17</v>
      </c>
      <c r="E2880" s="4" t="s">
        <v>757</v>
      </c>
      <c r="F2880" s="4" t="s">
        <v>19</v>
      </c>
      <c r="G2880" s="4" t="s">
        <v>20</v>
      </c>
      <c r="H2880" s="5">
        <v>8000</v>
      </c>
      <c r="I2880" s="4" t="s">
        <v>21</v>
      </c>
      <c r="J2880" s="5">
        <f t="shared" si="44"/>
        <v>-33680</v>
      </c>
      <c r="K2880" s="4" t="s">
        <v>50</v>
      </c>
      <c r="L2880" s="6">
        <v>4.21</v>
      </c>
      <c r="M2880" s="6">
        <v>0.23749999999999999</v>
      </c>
      <c r="N2880" s="6">
        <v>4.2279</v>
      </c>
      <c r="O2880" s="6">
        <v>1</v>
      </c>
      <c r="P2880" s="5">
        <v>143.19999999999709</v>
      </c>
      <c r="Q2880" s="4" t="s">
        <v>1390</v>
      </c>
    </row>
    <row r="2881" spans="1:17" x14ac:dyDescent="0.3">
      <c r="A2881" s="2" t="s">
        <v>1389</v>
      </c>
      <c r="B2881" s="3">
        <v>158331</v>
      </c>
      <c r="C2881" s="3">
        <v>219068</v>
      </c>
      <c r="D2881" s="4" t="s">
        <v>17</v>
      </c>
      <c r="E2881" s="4" t="s">
        <v>883</v>
      </c>
      <c r="F2881" s="4" t="s">
        <v>32</v>
      </c>
      <c r="G2881" s="4" t="s">
        <v>20</v>
      </c>
      <c r="H2881" s="5">
        <v>-274706.96000000002</v>
      </c>
      <c r="I2881" s="4" t="s">
        <v>21</v>
      </c>
      <c r="J2881" s="5">
        <f t="shared" si="44"/>
        <v>1162944.4444639999</v>
      </c>
      <c r="K2881" s="4" t="s">
        <v>50</v>
      </c>
      <c r="L2881" s="6">
        <v>4.2333999999999996</v>
      </c>
      <c r="M2881" s="6">
        <v>0.23619999999999999</v>
      </c>
      <c r="N2881" s="6">
        <v>4.2279</v>
      </c>
      <c r="O2881" s="6">
        <v>1</v>
      </c>
      <c r="P2881" s="5">
        <v>1401.0038159999999</v>
      </c>
      <c r="Q2881" s="4" t="s">
        <v>1390</v>
      </c>
    </row>
    <row r="2882" spans="1:17" x14ac:dyDescent="0.3">
      <c r="A2882" s="2" t="s">
        <v>1389</v>
      </c>
      <c r="B2882" s="3">
        <v>158332</v>
      </c>
      <c r="C2882" s="3">
        <v>905992</v>
      </c>
      <c r="D2882" s="4" t="s">
        <v>81</v>
      </c>
      <c r="E2882" s="4" t="s">
        <v>734</v>
      </c>
      <c r="F2882" s="4" t="s">
        <v>87</v>
      </c>
      <c r="G2882" s="4" t="s">
        <v>20</v>
      </c>
      <c r="H2882" s="5">
        <v>200000</v>
      </c>
      <c r="I2882" s="4" t="s">
        <v>21</v>
      </c>
      <c r="J2882" s="5">
        <f t="shared" si="44"/>
        <v>-843699.99999999988</v>
      </c>
      <c r="K2882" s="4" t="s">
        <v>52</v>
      </c>
      <c r="L2882" s="6">
        <v>4.2184999999999997</v>
      </c>
      <c r="M2882" s="6">
        <v>0.23710000000000001</v>
      </c>
      <c r="N2882" s="6">
        <v>4.2127999999999997</v>
      </c>
      <c r="O2882" s="6">
        <v>1</v>
      </c>
      <c r="P2882" s="5">
        <v>-1140</v>
      </c>
      <c r="Q2882" s="4" t="s">
        <v>1393</v>
      </c>
    </row>
    <row r="2883" spans="1:17" x14ac:dyDescent="0.3">
      <c r="A2883" s="2" t="s">
        <v>1389</v>
      </c>
      <c r="B2883" s="3">
        <v>158333</v>
      </c>
      <c r="C2883" s="3">
        <v>219071</v>
      </c>
      <c r="D2883" s="4" t="s">
        <v>17</v>
      </c>
      <c r="E2883" s="4" t="s">
        <v>1316</v>
      </c>
      <c r="F2883" s="4" t="s">
        <v>32</v>
      </c>
      <c r="G2883" s="4" t="s">
        <v>20</v>
      </c>
      <c r="H2883" s="5">
        <v>-100000</v>
      </c>
      <c r="I2883" s="4" t="s">
        <v>21</v>
      </c>
      <c r="J2883" s="5">
        <f t="shared" si="44"/>
        <v>422039.99999999994</v>
      </c>
      <c r="K2883" s="4" t="s">
        <v>50</v>
      </c>
      <c r="L2883" s="6">
        <v>4.2203999999999997</v>
      </c>
      <c r="M2883" s="6">
        <v>0.2369</v>
      </c>
      <c r="N2883" s="6">
        <v>4.2279</v>
      </c>
      <c r="O2883" s="6">
        <v>1</v>
      </c>
      <c r="P2883" s="5">
        <v>-790</v>
      </c>
      <c r="Q2883" s="4" t="s">
        <v>1390</v>
      </c>
    </row>
    <row r="2884" spans="1:17" x14ac:dyDescent="0.3">
      <c r="A2884" s="2" t="s">
        <v>1389</v>
      </c>
      <c r="B2884" s="3">
        <v>158335</v>
      </c>
      <c r="C2884" s="3">
        <v>219072</v>
      </c>
      <c r="D2884" s="4" t="s">
        <v>17</v>
      </c>
      <c r="E2884" s="4" t="s">
        <v>1042</v>
      </c>
      <c r="F2884" s="4" t="s">
        <v>19</v>
      </c>
      <c r="G2884" s="4" t="s">
        <v>20</v>
      </c>
      <c r="H2884" s="5">
        <v>77220</v>
      </c>
      <c r="I2884" s="4" t="s">
        <v>21</v>
      </c>
      <c r="J2884" s="5">
        <f t="shared" ref="J2884:J2947" si="45">-H2884*L2884</f>
        <v>-325188.864</v>
      </c>
      <c r="K2884" s="4" t="s">
        <v>50</v>
      </c>
      <c r="L2884" s="6">
        <v>4.2111999999999998</v>
      </c>
      <c r="M2884" s="6">
        <v>0.23749999999999999</v>
      </c>
      <c r="N2884" s="6">
        <v>4.2279</v>
      </c>
      <c r="O2884" s="6">
        <v>1</v>
      </c>
      <c r="P2884" s="5">
        <v>1289.5740000000224</v>
      </c>
      <c r="Q2884" s="4" t="s">
        <v>1390</v>
      </c>
    </row>
    <row r="2885" spans="1:17" x14ac:dyDescent="0.3">
      <c r="A2885" s="2" t="s">
        <v>1389</v>
      </c>
      <c r="B2885" s="3">
        <v>158340</v>
      </c>
      <c r="C2885" s="3">
        <v>906008</v>
      </c>
      <c r="D2885" s="4" t="s">
        <v>81</v>
      </c>
      <c r="E2885" s="4" t="s">
        <v>735</v>
      </c>
      <c r="F2885" s="4" t="s">
        <v>83</v>
      </c>
      <c r="G2885" s="4" t="s">
        <v>20</v>
      </c>
      <c r="H2885" s="5">
        <v>-68501.06</v>
      </c>
      <c r="I2885" s="4" t="s">
        <v>21</v>
      </c>
      <c r="J2885" s="5">
        <f t="shared" si="45"/>
        <v>288964.87150399998</v>
      </c>
      <c r="K2885" s="4" t="s">
        <v>52</v>
      </c>
      <c r="L2885" s="6">
        <v>4.2183999999999999</v>
      </c>
      <c r="M2885" s="6">
        <v>0.23710000000000001</v>
      </c>
      <c r="N2885" s="6">
        <v>4.2127999999999997</v>
      </c>
      <c r="O2885" s="6">
        <v>1</v>
      </c>
      <c r="P2885" s="5">
        <v>383.60443199999997</v>
      </c>
      <c r="Q2885" s="4" t="s">
        <v>1394</v>
      </c>
    </row>
    <row r="2886" spans="1:17" x14ac:dyDescent="0.3">
      <c r="A2886" s="2" t="s">
        <v>1389</v>
      </c>
      <c r="B2886" s="3">
        <v>158341</v>
      </c>
      <c r="C2886" s="3">
        <v>906009</v>
      </c>
      <c r="D2886" s="4" t="s">
        <v>81</v>
      </c>
      <c r="E2886" s="4" t="s">
        <v>734</v>
      </c>
      <c r="F2886" s="4" t="s">
        <v>87</v>
      </c>
      <c r="G2886" s="4" t="s">
        <v>34</v>
      </c>
      <c r="H2886" s="5">
        <v>22429.41</v>
      </c>
      <c r="I2886" s="4" t="s">
        <v>21</v>
      </c>
      <c r="J2886" s="5">
        <f t="shared" si="45"/>
        <v>-80849.051286000002</v>
      </c>
      <c r="K2886" s="4" t="s">
        <v>52</v>
      </c>
      <c r="L2886" s="6">
        <v>3.6046</v>
      </c>
      <c r="M2886" s="6">
        <v>0.27739999999999998</v>
      </c>
      <c r="N2886" s="6">
        <v>3.6027999999999998</v>
      </c>
      <c r="O2886" s="6">
        <v>1</v>
      </c>
      <c r="P2886" s="5">
        <v>-40.151651999999999</v>
      </c>
      <c r="Q2886" s="4" t="s">
        <v>1393</v>
      </c>
    </row>
    <row r="2887" spans="1:17" x14ac:dyDescent="0.3">
      <c r="A2887" s="2" t="s">
        <v>1389</v>
      </c>
      <c r="B2887" s="3">
        <v>158342</v>
      </c>
      <c r="C2887" s="3">
        <v>906010</v>
      </c>
      <c r="D2887" s="4" t="s">
        <v>81</v>
      </c>
      <c r="E2887" s="4" t="s">
        <v>734</v>
      </c>
      <c r="F2887" s="4" t="s">
        <v>87</v>
      </c>
      <c r="G2887" s="4" t="s">
        <v>93</v>
      </c>
      <c r="H2887" s="5">
        <v>1640.72</v>
      </c>
      <c r="I2887" s="4" t="s">
        <v>21</v>
      </c>
      <c r="J2887" s="5">
        <f t="shared" si="45"/>
        <v>-7458.0568320000002</v>
      </c>
      <c r="K2887" s="4" t="s">
        <v>52</v>
      </c>
      <c r="L2887" s="6">
        <v>4.5456000000000003</v>
      </c>
      <c r="M2887" s="6">
        <v>0.22</v>
      </c>
      <c r="N2887" s="6">
        <v>4.5419</v>
      </c>
      <c r="O2887" s="6">
        <v>1</v>
      </c>
      <c r="P2887" s="5">
        <v>-6.0538319999999999</v>
      </c>
      <c r="Q2887" s="4" t="s">
        <v>1393</v>
      </c>
    </row>
    <row r="2888" spans="1:17" x14ac:dyDescent="0.3">
      <c r="A2888" s="2" t="s">
        <v>1389</v>
      </c>
      <c r="B2888" s="3">
        <v>158343</v>
      </c>
      <c r="C2888" s="3">
        <v>906011</v>
      </c>
      <c r="D2888" s="4" t="s">
        <v>81</v>
      </c>
      <c r="E2888" s="4" t="s">
        <v>735</v>
      </c>
      <c r="F2888" s="4" t="s">
        <v>83</v>
      </c>
      <c r="G2888" s="4" t="s">
        <v>91</v>
      </c>
      <c r="H2888" s="5">
        <v>-1306.57</v>
      </c>
      <c r="I2888" s="4" t="s">
        <v>21</v>
      </c>
      <c r="J2888" s="5">
        <f t="shared" si="45"/>
        <v>6323.2761719999999</v>
      </c>
      <c r="K2888" s="4" t="s">
        <v>52</v>
      </c>
      <c r="L2888" s="6">
        <v>4.8395999999999999</v>
      </c>
      <c r="M2888" s="6">
        <v>0.20660000000000001</v>
      </c>
      <c r="N2888" s="6">
        <v>4.8433999999999999</v>
      </c>
      <c r="O2888" s="6">
        <v>1</v>
      </c>
      <c r="P2888" s="5">
        <v>-4.961138</v>
      </c>
      <c r="Q2888" s="4" t="s">
        <v>1394</v>
      </c>
    </row>
    <row r="2889" spans="1:17" x14ac:dyDescent="0.3">
      <c r="A2889" s="2" t="s">
        <v>1389</v>
      </c>
      <c r="B2889" s="3">
        <v>158344</v>
      </c>
      <c r="C2889" s="3">
        <v>906016</v>
      </c>
      <c r="D2889" s="4" t="s">
        <v>81</v>
      </c>
      <c r="E2889" s="4" t="s">
        <v>743</v>
      </c>
      <c r="F2889" s="4" t="s">
        <v>87</v>
      </c>
      <c r="G2889" s="4" t="s">
        <v>34</v>
      </c>
      <c r="H2889" s="5">
        <v>59857.9</v>
      </c>
      <c r="I2889" s="4" t="s">
        <v>21</v>
      </c>
      <c r="J2889" s="5">
        <f t="shared" si="45"/>
        <v>-215811.67266000001</v>
      </c>
      <c r="K2889" s="4" t="s">
        <v>52</v>
      </c>
      <c r="L2889" s="6">
        <v>3.6053999999999999</v>
      </c>
      <c r="M2889" s="6">
        <v>0.27739999999999998</v>
      </c>
      <c r="N2889" s="6">
        <v>3.6027999999999998</v>
      </c>
      <c r="O2889" s="6">
        <v>1</v>
      </c>
      <c r="P2889" s="5">
        <v>-154.43788000000001</v>
      </c>
      <c r="Q2889" s="4" t="s">
        <v>1395</v>
      </c>
    </row>
    <row r="2890" spans="1:17" x14ac:dyDescent="0.3">
      <c r="A2890" s="2" t="s">
        <v>1389</v>
      </c>
      <c r="B2890" s="3">
        <v>158345</v>
      </c>
      <c r="C2890" s="3">
        <v>906017</v>
      </c>
      <c r="D2890" s="4" t="s">
        <v>81</v>
      </c>
      <c r="E2890" s="4" t="s">
        <v>735</v>
      </c>
      <c r="F2890" s="4" t="s">
        <v>83</v>
      </c>
      <c r="G2890" s="4" t="s">
        <v>20</v>
      </c>
      <c r="H2890" s="5">
        <v>-27329.96</v>
      </c>
      <c r="I2890" s="4" t="s">
        <v>21</v>
      </c>
      <c r="J2890" s="5">
        <f t="shared" si="45"/>
        <v>115187.58241199999</v>
      </c>
      <c r="K2890" s="4" t="s">
        <v>52</v>
      </c>
      <c r="L2890" s="6">
        <v>4.2146999999999997</v>
      </c>
      <c r="M2890" s="6">
        <v>0.23730000000000001</v>
      </c>
      <c r="N2890" s="6">
        <v>4.2127999999999997</v>
      </c>
      <c r="O2890" s="6">
        <v>1</v>
      </c>
      <c r="P2890" s="5">
        <v>51.924512</v>
      </c>
      <c r="Q2890" s="4" t="s">
        <v>1394</v>
      </c>
    </row>
    <row r="2891" spans="1:17" x14ac:dyDescent="0.3">
      <c r="A2891" s="2" t="s">
        <v>1389</v>
      </c>
      <c r="B2891" s="3">
        <v>158346</v>
      </c>
      <c r="C2891" s="3">
        <v>906018</v>
      </c>
      <c r="D2891" s="4" t="s">
        <v>81</v>
      </c>
      <c r="E2891" s="4" t="s">
        <v>735</v>
      </c>
      <c r="F2891" s="4" t="s">
        <v>83</v>
      </c>
      <c r="G2891" s="4" t="s">
        <v>91</v>
      </c>
      <c r="H2891" s="5">
        <v>-2231.0100000000002</v>
      </c>
      <c r="I2891" s="4" t="s">
        <v>21</v>
      </c>
      <c r="J2891" s="5">
        <f t="shared" si="45"/>
        <v>10796.749794000001</v>
      </c>
      <c r="K2891" s="4" t="s">
        <v>52</v>
      </c>
      <c r="L2891" s="6">
        <v>4.8394000000000004</v>
      </c>
      <c r="M2891" s="6">
        <v>0.20660000000000001</v>
      </c>
      <c r="N2891" s="6">
        <v>4.8433999999999999</v>
      </c>
      <c r="O2891" s="6">
        <v>1</v>
      </c>
      <c r="P2891" s="5">
        <v>-8.9238339999999994</v>
      </c>
      <c r="Q2891" s="4" t="s">
        <v>1394</v>
      </c>
    </row>
    <row r="2892" spans="1:17" x14ac:dyDescent="0.3">
      <c r="A2892" s="2" t="s">
        <v>1389</v>
      </c>
      <c r="B2892" s="3">
        <v>158347</v>
      </c>
      <c r="C2892" s="3">
        <v>906019</v>
      </c>
      <c r="D2892" s="4" t="s">
        <v>81</v>
      </c>
      <c r="E2892" s="4" t="s">
        <v>743</v>
      </c>
      <c r="F2892" s="4" t="s">
        <v>87</v>
      </c>
      <c r="G2892" s="4" t="s">
        <v>93</v>
      </c>
      <c r="H2892" s="5">
        <v>5862.65</v>
      </c>
      <c r="I2892" s="4" t="s">
        <v>21</v>
      </c>
      <c r="J2892" s="5">
        <f t="shared" si="45"/>
        <v>-26567.771004999999</v>
      </c>
      <c r="K2892" s="4" t="s">
        <v>52</v>
      </c>
      <c r="L2892" s="6">
        <v>4.5316999999999998</v>
      </c>
      <c r="M2892" s="6">
        <v>0.22070000000000001</v>
      </c>
      <c r="N2892" s="6">
        <v>4.5419</v>
      </c>
      <c r="O2892" s="6">
        <v>1</v>
      </c>
      <c r="P2892" s="5">
        <v>59.860035000000003</v>
      </c>
      <c r="Q2892" s="4" t="s">
        <v>1395</v>
      </c>
    </row>
    <row r="2893" spans="1:17" x14ac:dyDescent="0.3">
      <c r="A2893" s="2" t="s">
        <v>1389</v>
      </c>
      <c r="B2893" s="3">
        <v>158348</v>
      </c>
      <c r="C2893" s="3">
        <v>219074</v>
      </c>
      <c r="D2893" s="4" t="s">
        <v>17</v>
      </c>
      <c r="E2893" s="4" t="s">
        <v>1316</v>
      </c>
      <c r="F2893" s="4" t="s">
        <v>32</v>
      </c>
      <c r="G2893" s="4" t="s">
        <v>20</v>
      </c>
      <c r="H2893" s="5">
        <v>-100000</v>
      </c>
      <c r="I2893" s="4" t="s">
        <v>21</v>
      </c>
      <c r="J2893" s="5">
        <f t="shared" si="45"/>
        <v>421540</v>
      </c>
      <c r="K2893" s="4" t="s">
        <v>50</v>
      </c>
      <c r="L2893" s="6">
        <v>4.2153999999999998</v>
      </c>
      <c r="M2893" s="6">
        <v>0.23719999999999999</v>
      </c>
      <c r="N2893" s="6">
        <v>4.2279</v>
      </c>
      <c r="O2893" s="6">
        <v>1</v>
      </c>
      <c r="P2893" s="5">
        <v>-1290</v>
      </c>
      <c r="Q2893" s="4" t="s">
        <v>1390</v>
      </c>
    </row>
    <row r="2894" spans="1:17" x14ac:dyDescent="0.3">
      <c r="A2894" s="2" t="s">
        <v>1389</v>
      </c>
      <c r="B2894" s="3">
        <v>158349</v>
      </c>
      <c r="C2894" s="3">
        <v>906027</v>
      </c>
      <c r="D2894" s="4" t="s">
        <v>81</v>
      </c>
      <c r="E2894" s="4" t="s">
        <v>734</v>
      </c>
      <c r="F2894" s="4" t="s">
        <v>83</v>
      </c>
      <c r="G2894" s="4" t="s">
        <v>91</v>
      </c>
      <c r="H2894" s="5">
        <v>-775.02</v>
      </c>
      <c r="I2894" s="4" t="s">
        <v>21</v>
      </c>
      <c r="J2894" s="5">
        <f t="shared" si="45"/>
        <v>3748.8492420000002</v>
      </c>
      <c r="K2894" s="4" t="s">
        <v>53</v>
      </c>
      <c r="L2894" s="6">
        <v>4.8371000000000004</v>
      </c>
      <c r="M2894" s="6">
        <v>0.20669999999999999</v>
      </c>
      <c r="N2894" s="6">
        <v>4.8478000000000003</v>
      </c>
      <c r="O2894" s="6">
        <v>1</v>
      </c>
      <c r="P2894" s="5">
        <v>-8.2919560000000008</v>
      </c>
      <c r="Q2894" s="4" t="s">
        <v>1393</v>
      </c>
    </row>
    <row r="2895" spans="1:17" x14ac:dyDescent="0.3">
      <c r="A2895" s="2" t="s">
        <v>1389</v>
      </c>
      <c r="B2895" s="3">
        <v>158350</v>
      </c>
      <c r="C2895" s="3">
        <v>906028</v>
      </c>
      <c r="D2895" s="4" t="s">
        <v>81</v>
      </c>
      <c r="E2895" s="4" t="s">
        <v>735</v>
      </c>
      <c r="F2895" s="4" t="s">
        <v>87</v>
      </c>
      <c r="G2895" s="4" t="s">
        <v>20</v>
      </c>
      <c r="H2895" s="5">
        <v>20595.599999999999</v>
      </c>
      <c r="I2895" s="4" t="s">
        <v>21</v>
      </c>
      <c r="J2895" s="5">
        <f t="shared" si="45"/>
        <v>-86775.441479999994</v>
      </c>
      <c r="K2895" s="4" t="s">
        <v>53</v>
      </c>
      <c r="L2895" s="6">
        <v>4.2133000000000003</v>
      </c>
      <c r="M2895" s="6">
        <v>0.23730000000000001</v>
      </c>
      <c r="N2895" s="6">
        <v>4.2050000000000001</v>
      </c>
      <c r="O2895" s="6">
        <v>1</v>
      </c>
      <c r="P2895" s="5">
        <v>-170.94200000000001</v>
      </c>
      <c r="Q2895" s="4" t="s">
        <v>1394</v>
      </c>
    </row>
    <row r="2896" spans="1:17" x14ac:dyDescent="0.3">
      <c r="A2896" s="2" t="s">
        <v>1389</v>
      </c>
      <c r="B2896" s="3">
        <v>158351</v>
      </c>
      <c r="C2896" s="3">
        <v>906029</v>
      </c>
      <c r="D2896" s="4" t="s">
        <v>81</v>
      </c>
      <c r="E2896" s="4" t="s">
        <v>735</v>
      </c>
      <c r="F2896" s="4" t="s">
        <v>87</v>
      </c>
      <c r="G2896" s="4" t="s">
        <v>34</v>
      </c>
      <c r="H2896" s="5">
        <v>15354.93</v>
      </c>
      <c r="I2896" s="4" t="s">
        <v>21</v>
      </c>
      <c r="J2896" s="5">
        <f t="shared" si="45"/>
        <v>-55366.806594000001</v>
      </c>
      <c r="K2896" s="4" t="s">
        <v>53</v>
      </c>
      <c r="L2896" s="6">
        <v>3.6057999999999999</v>
      </c>
      <c r="M2896" s="6">
        <v>0.27729999999999999</v>
      </c>
      <c r="N2896" s="6">
        <v>3.5831</v>
      </c>
      <c r="O2896" s="6">
        <v>1</v>
      </c>
      <c r="P2896" s="5">
        <v>-348.560317</v>
      </c>
      <c r="Q2896" s="4" t="s">
        <v>1394</v>
      </c>
    </row>
    <row r="2897" spans="1:17" x14ac:dyDescent="0.3">
      <c r="A2897" s="2" t="s">
        <v>1389</v>
      </c>
      <c r="B2897" s="3">
        <v>158352</v>
      </c>
      <c r="C2897" s="3">
        <v>906030</v>
      </c>
      <c r="D2897" s="4" t="s">
        <v>81</v>
      </c>
      <c r="E2897" s="4" t="s">
        <v>734</v>
      </c>
      <c r="F2897" s="4" t="s">
        <v>83</v>
      </c>
      <c r="G2897" s="4" t="s">
        <v>93</v>
      </c>
      <c r="H2897" s="5">
        <v>-599</v>
      </c>
      <c r="I2897" s="4" t="s">
        <v>21</v>
      </c>
      <c r="J2897" s="5">
        <f t="shared" si="45"/>
        <v>2711.4933000000001</v>
      </c>
      <c r="K2897" s="4" t="s">
        <v>53</v>
      </c>
      <c r="L2897" s="6">
        <v>4.5266999999999999</v>
      </c>
      <c r="M2897" s="6">
        <v>0.22090000000000001</v>
      </c>
      <c r="N2897" s="6">
        <v>4.5297999999999998</v>
      </c>
      <c r="O2897" s="6">
        <v>1</v>
      </c>
      <c r="P2897" s="5">
        <v>-1.8302</v>
      </c>
      <c r="Q2897" s="4" t="s">
        <v>1393</v>
      </c>
    </row>
    <row r="2898" spans="1:17" x14ac:dyDescent="0.3">
      <c r="A2898" s="2" t="s">
        <v>1389</v>
      </c>
      <c r="B2898" s="3">
        <v>158353</v>
      </c>
      <c r="C2898" s="3">
        <v>906035</v>
      </c>
      <c r="D2898" s="4" t="s">
        <v>81</v>
      </c>
      <c r="E2898" s="4" t="s">
        <v>743</v>
      </c>
      <c r="F2898" s="4" t="s">
        <v>87</v>
      </c>
      <c r="G2898" s="4" t="s">
        <v>91</v>
      </c>
      <c r="H2898" s="5">
        <v>658.11</v>
      </c>
      <c r="I2898" s="4" t="s">
        <v>21</v>
      </c>
      <c r="J2898" s="5">
        <f t="shared" si="45"/>
        <v>-3188.9378160000001</v>
      </c>
      <c r="K2898" s="4" t="s">
        <v>53</v>
      </c>
      <c r="L2898" s="6">
        <v>4.8456000000000001</v>
      </c>
      <c r="M2898" s="6">
        <v>0.2064</v>
      </c>
      <c r="N2898" s="6">
        <v>4.8478000000000003</v>
      </c>
      <c r="O2898" s="6">
        <v>1</v>
      </c>
      <c r="P2898" s="5">
        <v>1.4356580000000001</v>
      </c>
      <c r="Q2898" s="4" t="s">
        <v>1395</v>
      </c>
    </row>
    <row r="2899" spans="1:17" x14ac:dyDescent="0.3">
      <c r="A2899" s="2" t="s">
        <v>1389</v>
      </c>
      <c r="B2899" s="3">
        <v>158354</v>
      </c>
      <c r="C2899" s="3">
        <v>906036</v>
      </c>
      <c r="D2899" s="4" t="s">
        <v>81</v>
      </c>
      <c r="E2899" s="4" t="s">
        <v>730</v>
      </c>
      <c r="F2899" s="4" t="s">
        <v>87</v>
      </c>
      <c r="G2899" s="4" t="s">
        <v>20</v>
      </c>
      <c r="H2899" s="5">
        <v>54478.27</v>
      </c>
      <c r="I2899" s="4" t="s">
        <v>21</v>
      </c>
      <c r="J2899" s="5">
        <f t="shared" si="45"/>
        <v>-229762.10372499999</v>
      </c>
      <c r="K2899" s="4" t="s">
        <v>53</v>
      </c>
      <c r="L2899" s="6">
        <v>4.2175000000000002</v>
      </c>
      <c r="M2899" s="6">
        <v>0.23710000000000001</v>
      </c>
      <c r="N2899" s="6">
        <v>4.2050000000000001</v>
      </c>
      <c r="O2899" s="6">
        <v>1</v>
      </c>
      <c r="P2899" s="5">
        <v>-683.15464999999995</v>
      </c>
      <c r="Q2899" s="4" t="s">
        <v>1396</v>
      </c>
    </row>
    <row r="2900" spans="1:17" x14ac:dyDescent="0.3">
      <c r="A2900" s="2" t="s">
        <v>1389</v>
      </c>
      <c r="B2900" s="3">
        <v>158355</v>
      </c>
      <c r="C2900" s="3">
        <v>906037</v>
      </c>
      <c r="D2900" s="4" t="s">
        <v>81</v>
      </c>
      <c r="E2900" s="4" t="s">
        <v>730</v>
      </c>
      <c r="F2900" s="4" t="s">
        <v>87</v>
      </c>
      <c r="G2900" s="4" t="s">
        <v>34</v>
      </c>
      <c r="H2900" s="5">
        <v>4494.05</v>
      </c>
      <c r="I2900" s="4" t="s">
        <v>21</v>
      </c>
      <c r="J2900" s="5">
        <f t="shared" si="45"/>
        <v>-16212.734780000001</v>
      </c>
      <c r="K2900" s="4" t="s">
        <v>53</v>
      </c>
      <c r="L2900" s="6">
        <v>3.6076000000000001</v>
      </c>
      <c r="M2900" s="6">
        <v>0.2772</v>
      </c>
      <c r="N2900" s="6">
        <v>3.5831</v>
      </c>
      <c r="O2900" s="6">
        <v>1</v>
      </c>
      <c r="P2900" s="5">
        <v>-110.279445</v>
      </c>
      <c r="Q2900" s="4" t="s">
        <v>1396</v>
      </c>
    </row>
    <row r="2901" spans="1:17" x14ac:dyDescent="0.3">
      <c r="A2901" s="2" t="s">
        <v>1389</v>
      </c>
      <c r="B2901" s="3">
        <v>158356</v>
      </c>
      <c r="C2901" s="3">
        <v>906038</v>
      </c>
      <c r="D2901" s="4" t="s">
        <v>81</v>
      </c>
      <c r="E2901" s="4" t="s">
        <v>743</v>
      </c>
      <c r="F2901" s="4" t="s">
        <v>87</v>
      </c>
      <c r="G2901" s="4" t="s">
        <v>93</v>
      </c>
      <c r="H2901" s="5">
        <v>100</v>
      </c>
      <c r="I2901" s="4" t="s">
        <v>21</v>
      </c>
      <c r="J2901" s="5">
        <f t="shared" si="45"/>
        <v>-453.97999999999996</v>
      </c>
      <c r="K2901" s="4" t="s">
        <v>53</v>
      </c>
      <c r="L2901" s="6">
        <v>4.5397999999999996</v>
      </c>
      <c r="M2901" s="6">
        <v>0.2203</v>
      </c>
      <c r="N2901" s="6">
        <v>4.5297999999999998</v>
      </c>
      <c r="O2901" s="6">
        <v>1</v>
      </c>
      <c r="P2901" s="5">
        <v>-1</v>
      </c>
      <c r="Q2901" s="4" t="s">
        <v>1395</v>
      </c>
    </row>
    <row r="2902" spans="1:17" x14ac:dyDescent="0.3">
      <c r="A2902" s="2" t="s">
        <v>1389</v>
      </c>
      <c r="B2902" s="3">
        <v>158357</v>
      </c>
      <c r="C2902" s="3">
        <v>219076</v>
      </c>
      <c r="D2902" s="4" t="s">
        <v>17</v>
      </c>
      <c r="E2902" s="4" t="s">
        <v>727</v>
      </c>
      <c r="F2902" s="4" t="s">
        <v>19</v>
      </c>
      <c r="G2902" s="4" t="s">
        <v>20</v>
      </c>
      <c r="H2902" s="5">
        <v>5700</v>
      </c>
      <c r="I2902" s="4" t="s">
        <v>21</v>
      </c>
      <c r="J2902" s="5">
        <f t="shared" si="45"/>
        <v>-24032.34</v>
      </c>
      <c r="K2902" s="4" t="s">
        <v>51</v>
      </c>
      <c r="L2902" s="6">
        <v>4.2161999999999997</v>
      </c>
      <c r="M2902" s="6">
        <v>0.23719999999999999</v>
      </c>
      <c r="N2902" s="6">
        <v>4.2271000000000001</v>
      </c>
      <c r="O2902" s="6">
        <v>1</v>
      </c>
      <c r="P2902" s="5">
        <v>62.130000000001019</v>
      </c>
      <c r="Q2902" s="4" t="s">
        <v>1397</v>
      </c>
    </row>
    <row r="2903" spans="1:17" x14ac:dyDescent="0.3">
      <c r="A2903" s="2" t="s">
        <v>1389</v>
      </c>
      <c r="B2903" s="3">
        <v>158358</v>
      </c>
      <c r="C2903" s="3">
        <v>219077</v>
      </c>
      <c r="D2903" s="4" t="s">
        <v>17</v>
      </c>
      <c r="E2903" s="4" t="s">
        <v>727</v>
      </c>
      <c r="F2903" s="4" t="s">
        <v>19</v>
      </c>
      <c r="G2903" s="4" t="s">
        <v>20</v>
      </c>
      <c r="H2903" s="5">
        <v>30000</v>
      </c>
      <c r="I2903" s="4" t="s">
        <v>21</v>
      </c>
      <c r="J2903" s="5">
        <f t="shared" si="45"/>
        <v>-126492</v>
      </c>
      <c r="K2903" s="4" t="s">
        <v>51</v>
      </c>
      <c r="L2903" s="6">
        <v>4.2164000000000001</v>
      </c>
      <c r="M2903" s="6">
        <v>0.23719999999999999</v>
      </c>
      <c r="N2903" s="6">
        <v>4.2271000000000001</v>
      </c>
      <c r="O2903" s="6">
        <v>1</v>
      </c>
      <c r="P2903" s="5">
        <v>321</v>
      </c>
      <c r="Q2903" s="4" t="s">
        <v>1397</v>
      </c>
    </row>
    <row r="2904" spans="1:17" x14ac:dyDescent="0.3">
      <c r="A2904" s="2" t="s">
        <v>1389</v>
      </c>
      <c r="B2904" s="3">
        <v>158359</v>
      </c>
      <c r="C2904" s="3">
        <v>219078</v>
      </c>
      <c r="D2904" s="4" t="s">
        <v>17</v>
      </c>
      <c r="E2904" s="4" t="s">
        <v>727</v>
      </c>
      <c r="F2904" s="4" t="s">
        <v>32</v>
      </c>
      <c r="G2904" s="4" t="s">
        <v>20</v>
      </c>
      <c r="H2904" s="5">
        <v>-21200</v>
      </c>
      <c r="I2904" s="4" t="s">
        <v>21</v>
      </c>
      <c r="J2904" s="5">
        <f t="shared" si="45"/>
        <v>89364.36</v>
      </c>
      <c r="K2904" s="4" t="s">
        <v>51</v>
      </c>
      <c r="L2904" s="6">
        <v>4.2153</v>
      </c>
      <c r="M2904" s="6">
        <v>0.23719999999999999</v>
      </c>
      <c r="N2904" s="6">
        <v>4.2271000000000001</v>
      </c>
      <c r="O2904" s="6">
        <v>1</v>
      </c>
      <c r="P2904" s="5">
        <v>-272.08</v>
      </c>
      <c r="Q2904" s="4" t="s">
        <v>1397</v>
      </c>
    </row>
    <row r="2905" spans="1:17" x14ac:dyDescent="0.3">
      <c r="A2905" s="2" t="s">
        <v>1389</v>
      </c>
      <c r="B2905" s="3">
        <v>158360</v>
      </c>
      <c r="C2905" s="3">
        <v>219079</v>
      </c>
      <c r="D2905" s="4" t="s">
        <v>17</v>
      </c>
      <c r="E2905" s="4" t="s">
        <v>727</v>
      </c>
      <c r="F2905" s="4" t="s">
        <v>19</v>
      </c>
      <c r="G2905" s="4" t="s">
        <v>20</v>
      </c>
      <c r="H2905" s="5">
        <v>8289</v>
      </c>
      <c r="I2905" s="4" t="s">
        <v>21</v>
      </c>
      <c r="J2905" s="5">
        <f t="shared" si="45"/>
        <v>-34947.252899999999</v>
      </c>
      <c r="K2905" s="4" t="s">
        <v>51</v>
      </c>
      <c r="L2905" s="6">
        <v>4.2161</v>
      </c>
      <c r="M2905" s="6">
        <v>0.23719999999999999</v>
      </c>
      <c r="N2905" s="6">
        <v>4.2271000000000001</v>
      </c>
      <c r="O2905" s="6">
        <v>1</v>
      </c>
      <c r="P2905" s="5">
        <v>91.179000000003725</v>
      </c>
      <c r="Q2905" s="4" t="s">
        <v>1397</v>
      </c>
    </row>
    <row r="2906" spans="1:17" x14ac:dyDescent="0.3">
      <c r="A2906" s="2" t="s">
        <v>1389</v>
      </c>
      <c r="B2906" s="3">
        <v>158361</v>
      </c>
      <c r="C2906" s="3">
        <v>219080</v>
      </c>
      <c r="D2906" s="4" t="s">
        <v>17</v>
      </c>
      <c r="E2906" s="4" t="s">
        <v>727</v>
      </c>
      <c r="F2906" s="4" t="s">
        <v>19</v>
      </c>
      <c r="G2906" s="4" t="s">
        <v>20</v>
      </c>
      <c r="H2906" s="5">
        <v>13000</v>
      </c>
      <c r="I2906" s="4" t="s">
        <v>21</v>
      </c>
      <c r="J2906" s="5">
        <f t="shared" si="45"/>
        <v>-54808</v>
      </c>
      <c r="K2906" s="4" t="s">
        <v>51</v>
      </c>
      <c r="L2906" s="6">
        <v>4.2160000000000002</v>
      </c>
      <c r="M2906" s="6">
        <v>0.23719999999999999</v>
      </c>
      <c r="N2906" s="6">
        <v>4.2271000000000001</v>
      </c>
      <c r="O2906" s="6">
        <v>1</v>
      </c>
      <c r="P2906" s="5">
        <v>144.30000000000291</v>
      </c>
      <c r="Q2906" s="4" t="s">
        <v>1397</v>
      </c>
    </row>
    <row r="2907" spans="1:17" x14ac:dyDescent="0.3">
      <c r="A2907" s="2" t="s">
        <v>1389</v>
      </c>
      <c r="B2907" s="3">
        <v>158362</v>
      </c>
      <c r="C2907" s="3">
        <v>219081</v>
      </c>
      <c r="D2907" s="4" t="s">
        <v>17</v>
      </c>
      <c r="E2907" s="4" t="s">
        <v>727</v>
      </c>
      <c r="F2907" s="4" t="s">
        <v>19</v>
      </c>
      <c r="G2907" s="4" t="s">
        <v>20</v>
      </c>
      <c r="H2907" s="5">
        <v>2500</v>
      </c>
      <c r="I2907" s="4" t="s">
        <v>21</v>
      </c>
      <c r="J2907" s="5">
        <f t="shared" si="45"/>
        <v>-10537.25</v>
      </c>
      <c r="K2907" s="4" t="s">
        <v>51</v>
      </c>
      <c r="L2907" s="6">
        <v>4.2149000000000001</v>
      </c>
      <c r="M2907" s="6">
        <v>0.23730000000000001</v>
      </c>
      <c r="N2907" s="6">
        <v>4.2271000000000001</v>
      </c>
      <c r="O2907" s="6">
        <v>1</v>
      </c>
      <c r="P2907" s="5">
        <v>30.5</v>
      </c>
      <c r="Q2907" s="4" t="s">
        <v>1397</v>
      </c>
    </row>
    <row r="2908" spans="1:17" x14ac:dyDescent="0.3">
      <c r="A2908" s="2" t="s">
        <v>1389</v>
      </c>
      <c r="B2908" s="3">
        <v>158363</v>
      </c>
      <c r="C2908" s="3">
        <v>219082</v>
      </c>
      <c r="D2908" s="4" t="s">
        <v>17</v>
      </c>
      <c r="E2908" s="4" t="s">
        <v>734</v>
      </c>
      <c r="F2908" s="4" t="s">
        <v>32</v>
      </c>
      <c r="G2908" s="4" t="s">
        <v>20</v>
      </c>
      <c r="H2908" s="5">
        <v>-12000</v>
      </c>
      <c r="I2908" s="4" t="s">
        <v>21</v>
      </c>
      <c r="J2908" s="5">
        <f t="shared" si="45"/>
        <v>50564.4</v>
      </c>
      <c r="K2908" s="4" t="s">
        <v>51</v>
      </c>
      <c r="L2908" s="6">
        <v>4.2137000000000002</v>
      </c>
      <c r="M2908" s="6">
        <v>0.23730000000000001</v>
      </c>
      <c r="N2908" s="6">
        <v>4.2271000000000001</v>
      </c>
      <c r="O2908" s="6">
        <v>1</v>
      </c>
      <c r="P2908" s="5">
        <v>-171.65</v>
      </c>
      <c r="Q2908" s="4" t="s">
        <v>1393</v>
      </c>
    </row>
    <row r="2909" spans="1:17" x14ac:dyDescent="0.3">
      <c r="A2909" s="2" t="s">
        <v>1389</v>
      </c>
      <c r="B2909" s="3">
        <v>158364</v>
      </c>
      <c r="C2909" s="3">
        <v>219083</v>
      </c>
      <c r="D2909" s="4" t="s">
        <v>17</v>
      </c>
      <c r="E2909" s="4" t="s">
        <v>743</v>
      </c>
      <c r="F2909" s="4" t="s">
        <v>32</v>
      </c>
      <c r="G2909" s="4" t="s">
        <v>20</v>
      </c>
      <c r="H2909" s="5">
        <v>-7000</v>
      </c>
      <c r="I2909" s="4" t="s">
        <v>21</v>
      </c>
      <c r="J2909" s="5">
        <f t="shared" si="45"/>
        <v>29500.800000000003</v>
      </c>
      <c r="K2909" s="4" t="s">
        <v>51</v>
      </c>
      <c r="L2909" s="6">
        <v>4.2144000000000004</v>
      </c>
      <c r="M2909" s="6">
        <v>0.23730000000000001</v>
      </c>
      <c r="N2909" s="6">
        <v>4.2271000000000001</v>
      </c>
      <c r="O2909" s="6">
        <v>1</v>
      </c>
      <c r="P2909" s="5">
        <v>-95.59</v>
      </c>
      <c r="Q2909" s="4" t="s">
        <v>1395</v>
      </c>
    </row>
    <row r="2910" spans="1:17" x14ac:dyDescent="0.3">
      <c r="A2910" s="2" t="s">
        <v>1389</v>
      </c>
      <c r="B2910" s="3">
        <v>158365</v>
      </c>
      <c r="C2910" s="3">
        <v>219086</v>
      </c>
      <c r="D2910" s="4" t="s">
        <v>17</v>
      </c>
      <c r="E2910" s="4" t="s">
        <v>727</v>
      </c>
      <c r="F2910" s="4" t="s">
        <v>19</v>
      </c>
      <c r="G2910" s="4" t="s">
        <v>20</v>
      </c>
      <c r="H2910" s="5">
        <v>1000</v>
      </c>
      <c r="I2910" s="4" t="s">
        <v>21</v>
      </c>
      <c r="J2910" s="5">
        <f t="shared" si="45"/>
        <v>-4214.7</v>
      </c>
      <c r="K2910" s="4" t="s">
        <v>51</v>
      </c>
      <c r="L2910" s="6">
        <v>4.2146999999999997</v>
      </c>
      <c r="M2910" s="6">
        <v>0.23730000000000001</v>
      </c>
      <c r="N2910" s="6">
        <v>4.2271000000000001</v>
      </c>
      <c r="O2910" s="6">
        <v>1</v>
      </c>
      <c r="P2910" s="5">
        <v>12.400000000000546</v>
      </c>
      <c r="Q2910" s="4" t="s">
        <v>1397</v>
      </c>
    </row>
    <row r="2911" spans="1:17" x14ac:dyDescent="0.3">
      <c r="A2911" s="2" t="s">
        <v>1389</v>
      </c>
      <c r="B2911" s="3">
        <v>158366</v>
      </c>
      <c r="C2911" s="3">
        <v>906062</v>
      </c>
      <c r="D2911" s="4" t="s">
        <v>81</v>
      </c>
      <c r="E2911" s="4" t="s">
        <v>743</v>
      </c>
      <c r="F2911" s="4" t="s">
        <v>83</v>
      </c>
      <c r="G2911" s="4" t="s">
        <v>20</v>
      </c>
      <c r="H2911" s="5">
        <v>-21705.919999999998</v>
      </c>
      <c r="I2911" s="4" t="s">
        <v>21</v>
      </c>
      <c r="J2911" s="5">
        <f t="shared" si="45"/>
        <v>91468.746880000006</v>
      </c>
      <c r="K2911" s="4" t="s">
        <v>53</v>
      </c>
      <c r="L2911" s="6">
        <v>4.2140000000000004</v>
      </c>
      <c r="M2911" s="6">
        <v>0.23730000000000001</v>
      </c>
      <c r="N2911" s="6">
        <v>4.2050000000000001</v>
      </c>
      <c r="O2911" s="6">
        <v>1</v>
      </c>
      <c r="P2911" s="5">
        <v>195.78639999999999</v>
      </c>
      <c r="Q2911" s="4" t="s">
        <v>1395</v>
      </c>
    </row>
    <row r="2912" spans="1:17" x14ac:dyDescent="0.3">
      <c r="A2912" s="2" t="s">
        <v>1389</v>
      </c>
      <c r="B2912" s="3">
        <v>158367</v>
      </c>
      <c r="C2912" s="3">
        <v>906063</v>
      </c>
      <c r="D2912" s="4" t="s">
        <v>81</v>
      </c>
      <c r="E2912" s="4" t="s">
        <v>743</v>
      </c>
      <c r="F2912" s="4" t="s">
        <v>83</v>
      </c>
      <c r="G2912" s="4" t="s">
        <v>93</v>
      </c>
      <c r="H2912" s="5">
        <v>-1530</v>
      </c>
      <c r="I2912" s="4" t="s">
        <v>21</v>
      </c>
      <c r="J2912" s="5">
        <f t="shared" si="45"/>
        <v>6938.8559999999998</v>
      </c>
      <c r="K2912" s="4" t="s">
        <v>53</v>
      </c>
      <c r="L2912" s="6">
        <v>4.5351999999999997</v>
      </c>
      <c r="M2912" s="6">
        <v>0.2205</v>
      </c>
      <c r="N2912" s="6">
        <v>4.5297999999999998</v>
      </c>
      <c r="O2912" s="6">
        <v>1</v>
      </c>
      <c r="P2912" s="5">
        <v>8.2360000000000007</v>
      </c>
      <c r="Q2912" s="4" t="s">
        <v>1395</v>
      </c>
    </row>
    <row r="2913" spans="1:17" x14ac:dyDescent="0.3">
      <c r="A2913" s="2" t="s">
        <v>1389</v>
      </c>
      <c r="B2913" s="3">
        <v>158368</v>
      </c>
      <c r="C2913" s="3">
        <v>906064</v>
      </c>
      <c r="D2913" s="4" t="s">
        <v>81</v>
      </c>
      <c r="E2913" s="4" t="s">
        <v>734</v>
      </c>
      <c r="F2913" s="4" t="s">
        <v>83</v>
      </c>
      <c r="G2913" s="4" t="s">
        <v>91</v>
      </c>
      <c r="H2913" s="5">
        <v>-2190.1</v>
      </c>
      <c r="I2913" s="4" t="s">
        <v>21</v>
      </c>
      <c r="J2913" s="5">
        <f t="shared" si="45"/>
        <v>10601.836079999999</v>
      </c>
      <c r="K2913" s="4" t="s">
        <v>53</v>
      </c>
      <c r="L2913" s="6">
        <v>4.8407999999999998</v>
      </c>
      <c r="M2913" s="6">
        <v>0.20660000000000001</v>
      </c>
      <c r="N2913" s="6">
        <v>4.8478000000000003</v>
      </c>
      <c r="O2913" s="6">
        <v>1</v>
      </c>
      <c r="P2913" s="5">
        <v>-15.326779999999999</v>
      </c>
      <c r="Q2913" s="4" t="s">
        <v>1393</v>
      </c>
    </row>
    <row r="2914" spans="1:17" x14ac:dyDescent="0.3">
      <c r="A2914" s="2" t="s">
        <v>1389</v>
      </c>
      <c r="B2914" s="3">
        <v>158369</v>
      </c>
      <c r="C2914" s="3">
        <v>906065</v>
      </c>
      <c r="D2914" s="4" t="s">
        <v>81</v>
      </c>
      <c r="E2914" s="4" t="s">
        <v>730</v>
      </c>
      <c r="F2914" s="4" t="s">
        <v>87</v>
      </c>
      <c r="G2914" s="4" t="s">
        <v>34</v>
      </c>
      <c r="H2914" s="5">
        <v>4317.22</v>
      </c>
      <c r="I2914" s="4" t="s">
        <v>21</v>
      </c>
      <c r="J2914" s="5">
        <f t="shared" si="45"/>
        <v>-15571.780818000001</v>
      </c>
      <c r="K2914" s="4" t="s">
        <v>53</v>
      </c>
      <c r="L2914" s="6">
        <v>3.6069</v>
      </c>
      <c r="M2914" s="6">
        <v>0.2772</v>
      </c>
      <c r="N2914" s="6">
        <v>3.5831</v>
      </c>
      <c r="O2914" s="6">
        <v>1</v>
      </c>
      <c r="P2914" s="5">
        <v>-102.579018</v>
      </c>
      <c r="Q2914" s="4" t="s">
        <v>1396</v>
      </c>
    </row>
    <row r="2915" spans="1:17" x14ac:dyDescent="0.3">
      <c r="A2915" s="2" t="s">
        <v>1389</v>
      </c>
      <c r="B2915" s="3">
        <v>158370</v>
      </c>
      <c r="C2915" s="3">
        <v>219092</v>
      </c>
      <c r="D2915" s="4" t="s">
        <v>17</v>
      </c>
      <c r="E2915" s="4" t="s">
        <v>1192</v>
      </c>
      <c r="F2915" s="4" t="s">
        <v>19</v>
      </c>
      <c r="G2915" s="4" t="s">
        <v>34</v>
      </c>
      <c r="H2915" s="5">
        <v>38280.17</v>
      </c>
      <c r="I2915" s="4" t="s">
        <v>21</v>
      </c>
      <c r="J2915" s="5">
        <f t="shared" si="45"/>
        <v>-137923.45251</v>
      </c>
      <c r="K2915" s="4" t="s">
        <v>51</v>
      </c>
      <c r="L2915" s="6">
        <v>3.6030000000000002</v>
      </c>
      <c r="M2915" s="6">
        <v>0.27750000000000002</v>
      </c>
      <c r="N2915" s="6">
        <v>3.6118000000000001</v>
      </c>
      <c r="O2915" s="6">
        <v>1</v>
      </c>
      <c r="P2915" s="5">
        <v>336.86549599998398</v>
      </c>
      <c r="Q2915" s="4" t="s">
        <v>1390</v>
      </c>
    </row>
    <row r="2916" spans="1:17" x14ac:dyDescent="0.3">
      <c r="A2916" s="2" t="s">
        <v>1389</v>
      </c>
      <c r="B2916" s="3">
        <v>158371</v>
      </c>
      <c r="C2916" s="3">
        <v>219097</v>
      </c>
      <c r="D2916" s="4" t="s">
        <v>17</v>
      </c>
      <c r="E2916" s="4" t="s">
        <v>1092</v>
      </c>
      <c r="F2916" s="4" t="s">
        <v>32</v>
      </c>
      <c r="G2916" s="4" t="s">
        <v>20</v>
      </c>
      <c r="H2916" s="5">
        <v>-1000</v>
      </c>
      <c r="I2916" s="4" t="s">
        <v>21</v>
      </c>
      <c r="J2916" s="5">
        <f t="shared" si="45"/>
        <v>4226.7</v>
      </c>
      <c r="K2916" s="4" t="s">
        <v>51</v>
      </c>
      <c r="L2916" s="6">
        <v>4.2267000000000001</v>
      </c>
      <c r="M2916" s="6">
        <v>0.2366</v>
      </c>
      <c r="N2916" s="6">
        <v>4.2271000000000001</v>
      </c>
      <c r="O2916" s="6">
        <v>1</v>
      </c>
      <c r="P2916" s="5">
        <v>-1.2</v>
      </c>
      <c r="Q2916" s="4" t="s">
        <v>1390</v>
      </c>
    </row>
    <row r="2917" spans="1:17" x14ac:dyDescent="0.3">
      <c r="A2917" s="2" t="s">
        <v>1389</v>
      </c>
      <c r="B2917" s="3">
        <v>158372</v>
      </c>
      <c r="C2917" s="3">
        <v>219098</v>
      </c>
      <c r="D2917" s="4" t="s">
        <v>17</v>
      </c>
      <c r="E2917" s="4" t="s">
        <v>1224</v>
      </c>
      <c r="F2917" s="4" t="s">
        <v>32</v>
      </c>
      <c r="G2917" s="4" t="s">
        <v>20</v>
      </c>
      <c r="H2917" s="5">
        <v>-10000</v>
      </c>
      <c r="I2917" s="4" t="s">
        <v>21</v>
      </c>
      <c r="J2917" s="5">
        <f t="shared" si="45"/>
        <v>42196</v>
      </c>
      <c r="K2917" s="4" t="s">
        <v>51</v>
      </c>
      <c r="L2917" s="6">
        <v>4.2195999999999998</v>
      </c>
      <c r="M2917" s="6">
        <v>0.23699999999999999</v>
      </c>
      <c r="N2917" s="6">
        <v>4.2271000000000001</v>
      </c>
      <c r="O2917" s="6">
        <v>1</v>
      </c>
      <c r="P2917" s="5">
        <v>-83</v>
      </c>
      <c r="Q2917" s="4" t="s">
        <v>1390</v>
      </c>
    </row>
    <row r="2918" spans="1:17" x14ac:dyDescent="0.3">
      <c r="A2918" s="2" t="s">
        <v>1389</v>
      </c>
      <c r="B2918" s="3">
        <v>158373</v>
      </c>
      <c r="C2918" s="3">
        <v>219099</v>
      </c>
      <c r="D2918" s="4" t="s">
        <v>17</v>
      </c>
      <c r="E2918" s="4" t="s">
        <v>1224</v>
      </c>
      <c r="F2918" s="4" t="s">
        <v>32</v>
      </c>
      <c r="G2918" s="4" t="s">
        <v>20</v>
      </c>
      <c r="H2918" s="5">
        <v>-10000</v>
      </c>
      <c r="I2918" s="4" t="s">
        <v>21</v>
      </c>
      <c r="J2918" s="5">
        <f t="shared" si="45"/>
        <v>42196.999999999993</v>
      </c>
      <c r="K2918" s="4" t="s">
        <v>51</v>
      </c>
      <c r="L2918" s="6">
        <v>4.2196999999999996</v>
      </c>
      <c r="M2918" s="6">
        <v>0.23699999999999999</v>
      </c>
      <c r="N2918" s="6">
        <v>4.2271000000000001</v>
      </c>
      <c r="O2918" s="6">
        <v>1</v>
      </c>
      <c r="P2918" s="5">
        <v>-82</v>
      </c>
      <c r="Q2918" s="4" t="s">
        <v>1390</v>
      </c>
    </row>
    <row r="2919" spans="1:17" x14ac:dyDescent="0.3">
      <c r="A2919" s="2" t="s">
        <v>1389</v>
      </c>
      <c r="B2919" s="3">
        <v>158374</v>
      </c>
      <c r="C2919" s="3">
        <v>219101</v>
      </c>
      <c r="D2919" s="4" t="s">
        <v>17</v>
      </c>
      <c r="E2919" s="4" t="s">
        <v>1246</v>
      </c>
      <c r="F2919" s="4" t="s">
        <v>19</v>
      </c>
      <c r="G2919" s="4" t="s">
        <v>20</v>
      </c>
      <c r="H2919" s="5">
        <v>5000</v>
      </c>
      <c r="I2919" s="4" t="s">
        <v>21</v>
      </c>
      <c r="J2919" s="5">
        <f t="shared" si="45"/>
        <v>-21015</v>
      </c>
      <c r="K2919" s="4" t="s">
        <v>51</v>
      </c>
      <c r="L2919" s="6">
        <v>4.2030000000000003</v>
      </c>
      <c r="M2919" s="6">
        <v>0.2379</v>
      </c>
      <c r="N2919" s="6">
        <v>4.2271000000000001</v>
      </c>
      <c r="O2919" s="6">
        <v>1</v>
      </c>
      <c r="P2919" s="5">
        <v>120.5</v>
      </c>
      <c r="Q2919" s="4" t="s">
        <v>1390</v>
      </c>
    </row>
    <row r="2920" spans="1:17" x14ac:dyDescent="0.3">
      <c r="A2920" s="2" t="s">
        <v>1389</v>
      </c>
      <c r="B2920" s="3">
        <v>158375</v>
      </c>
      <c r="C2920" s="3">
        <v>906146</v>
      </c>
      <c r="D2920" s="4" t="s">
        <v>81</v>
      </c>
      <c r="E2920" s="4" t="s">
        <v>1114</v>
      </c>
      <c r="F2920" s="4" t="s">
        <v>83</v>
      </c>
      <c r="G2920" s="4" t="s">
        <v>20</v>
      </c>
      <c r="H2920" s="5">
        <v>-100000</v>
      </c>
      <c r="I2920" s="4" t="s">
        <v>21</v>
      </c>
      <c r="J2920" s="5">
        <f t="shared" si="45"/>
        <v>422300</v>
      </c>
      <c r="K2920" s="4" t="s">
        <v>53</v>
      </c>
      <c r="L2920" s="6">
        <v>4.2229999999999999</v>
      </c>
      <c r="M2920" s="6">
        <v>0.23680000000000001</v>
      </c>
      <c r="N2920" s="6">
        <v>4.2050000000000001</v>
      </c>
      <c r="O2920" s="6">
        <v>1</v>
      </c>
      <c r="P2920" s="5">
        <v>1800</v>
      </c>
      <c r="Q2920" s="4" t="s">
        <v>1390</v>
      </c>
    </row>
    <row r="2921" spans="1:17" x14ac:dyDescent="0.3">
      <c r="A2921" s="2" t="s">
        <v>1389</v>
      </c>
      <c r="B2921" s="3">
        <v>158376</v>
      </c>
      <c r="C2921" s="3">
        <v>219107</v>
      </c>
      <c r="D2921" s="4" t="s">
        <v>17</v>
      </c>
      <c r="E2921" s="4" t="s">
        <v>951</v>
      </c>
      <c r="F2921" s="4" t="s">
        <v>32</v>
      </c>
      <c r="G2921" s="4" t="s">
        <v>20</v>
      </c>
      <c r="H2921" s="5">
        <v>-23950</v>
      </c>
      <c r="I2921" s="4" t="s">
        <v>21</v>
      </c>
      <c r="J2921" s="5">
        <f t="shared" si="45"/>
        <v>101021.1</v>
      </c>
      <c r="K2921" s="4" t="s">
        <v>51</v>
      </c>
      <c r="L2921" s="6">
        <v>4.218</v>
      </c>
      <c r="M2921" s="6">
        <v>0.23710000000000001</v>
      </c>
      <c r="N2921" s="6">
        <v>4.2271000000000001</v>
      </c>
      <c r="O2921" s="6">
        <v>1</v>
      </c>
      <c r="P2921" s="5">
        <v>-237.10499999999999</v>
      </c>
      <c r="Q2921" s="4" t="s">
        <v>1390</v>
      </c>
    </row>
    <row r="2922" spans="1:17" x14ac:dyDescent="0.3">
      <c r="A2922" s="2" t="s">
        <v>1389</v>
      </c>
      <c r="B2922" s="3">
        <v>158377</v>
      </c>
      <c r="C2922" s="3">
        <v>906183</v>
      </c>
      <c r="D2922" s="4" t="s">
        <v>81</v>
      </c>
      <c r="E2922" s="4" t="s">
        <v>1114</v>
      </c>
      <c r="F2922" s="4" t="s">
        <v>83</v>
      </c>
      <c r="G2922" s="4" t="s">
        <v>20</v>
      </c>
      <c r="H2922" s="5">
        <v>-200000</v>
      </c>
      <c r="I2922" s="4" t="s">
        <v>21</v>
      </c>
      <c r="J2922" s="5">
        <f t="shared" si="45"/>
        <v>844000</v>
      </c>
      <c r="K2922" s="4" t="s">
        <v>53</v>
      </c>
      <c r="L2922" s="6">
        <v>4.22</v>
      </c>
      <c r="M2922" s="6">
        <v>0.23699999999999999</v>
      </c>
      <c r="N2922" s="6">
        <v>4.2050000000000001</v>
      </c>
      <c r="O2922" s="6">
        <v>1</v>
      </c>
      <c r="P2922" s="5">
        <v>3000</v>
      </c>
      <c r="Q2922" s="4" t="s">
        <v>1390</v>
      </c>
    </row>
    <row r="2923" spans="1:17" x14ac:dyDescent="0.3">
      <c r="A2923" s="2" t="s">
        <v>1389</v>
      </c>
      <c r="B2923" s="3">
        <v>158378</v>
      </c>
      <c r="C2923" s="3">
        <v>219117</v>
      </c>
      <c r="D2923" s="4" t="s">
        <v>17</v>
      </c>
      <c r="E2923" s="4" t="s">
        <v>951</v>
      </c>
      <c r="F2923" s="4" t="s">
        <v>32</v>
      </c>
      <c r="G2923" s="4" t="s">
        <v>20</v>
      </c>
      <c r="H2923" s="5">
        <v>-1000</v>
      </c>
      <c r="I2923" s="4" t="s">
        <v>21</v>
      </c>
      <c r="J2923" s="5">
        <f t="shared" si="45"/>
        <v>4217.8</v>
      </c>
      <c r="K2923" s="4" t="s">
        <v>51</v>
      </c>
      <c r="L2923" s="6">
        <v>4.2178000000000004</v>
      </c>
      <c r="M2923" s="6">
        <v>0.23710000000000001</v>
      </c>
      <c r="N2923" s="6">
        <v>4.2271000000000001</v>
      </c>
      <c r="O2923" s="6">
        <v>1</v>
      </c>
      <c r="P2923" s="5">
        <v>-10.1</v>
      </c>
      <c r="Q2923" s="4" t="s">
        <v>1390</v>
      </c>
    </row>
    <row r="2924" spans="1:17" x14ac:dyDescent="0.3">
      <c r="A2924" s="2" t="s">
        <v>1389</v>
      </c>
      <c r="B2924" s="3">
        <v>158379</v>
      </c>
      <c r="C2924" s="3">
        <v>219118</v>
      </c>
      <c r="D2924" s="4" t="s">
        <v>17</v>
      </c>
      <c r="E2924" s="4" t="s">
        <v>1245</v>
      </c>
      <c r="F2924" s="4" t="s">
        <v>32</v>
      </c>
      <c r="G2924" s="4" t="s">
        <v>34</v>
      </c>
      <c r="H2924" s="5">
        <v>-250000</v>
      </c>
      <c r="I2924" s="4" t="s">
        <v>21</v>
      </c>
      <c r="J2924" s="5">
        <f t="shared" si="45"/>
        <v>902375</v>
      </c>
      <c r="K2924" s="4" t="s">
        <v>51</v>
      </c>
      <c r="L2924" s="6">
        <v>3.6095000000000002</v>
      </c>
      <c r="M2924" s="6">
        <v>0.27700000000000002</v>
      </c>
      <c r="N2924" s="6">
        <v>3.6118000000000001</v>
      </c>
      <c r="O2924" s="6">
        <v>1</v>
      </c>
      <c r="P2924" s="5">
        <v>-575</v>
      </c>
      <c r="Q2924" s="4" t="s">
        <v>1390</v>
      </c>
    </row>
    <row r="2925" spans="1:17" x14ac:dyDescent="0.3">
      <c r="A2925" s="2" t="s">
        <v>1389</v>
      </c>
      <c r="B2925" s="3">
        <v>158380</v>
      </c>
      <c r="C2925" s="3">
        <v>219119</v>
      </c>
      <c r="D2925" s="4" t="s">
        <v>17</v>
      </c>
      <c r="E2925" s="4" t="s">
        <v>1284</v>
      </c>
      <c r="F2925" s="4" t="s">
        <v>19</v>
      </c>
      <c r="G2925" s="4" t="s">
        <v>20</v>
      </c>
      <c r="H2925" s="5">
        <v>200000</v>
      </c>
      <c r="I2925" s="4" t="s">
        <v>21</v>
      </c>
      <c r="J2925" s="5">
        <f t="shared" si="45"/>
        <v>-841360.00000000012</v>
      </c>
      <c r="K2925" s="4" t="s">
        <v>51</v>
      </c>
      <c r="L2925" s="6">
        <v>4.2068000000000003</v>
      </c>
      <c r="M2925" s="6">
        <v>0.23769999999999999</v>
      </c>
      <c r="N2925" s="6">
        <v>4.2271000000000001</v>
      </c>
      <c r="O2925" s="6">
        <v>1</v>
      </c>
      <c r="P2925" s="5">
        <v>4059.9999999998836</v>
      </c>
      <c r="Q2925" s="4" t="s">
        <v>1390</v>
      </c>
    </row>
    <row r="2926" spans="1:17" x14ac:dyDescent="0.3">
      <c r="A2926" s="2" t="s">
        <v>1389</v>
      </c>
      <c r="B2926" s="3">
        <v>158381</v>
      </c>
      <c r="C2926" s="3">
        <v>219135</v>
      </c>
      <c r="D2926" s="4" t="s">
        <v>17</v>
      </c>
      <c r="E2926" s="4" t="s">
        <v>1170</v>
      </c>
      <c r="F2926" s="4" t="s">
        <v>32</v>
      </c>
      <c r="G2926" s="4" t="s">
        <v>20</v>
      </c>
      <c r="H2926" s="5">
        <v>-50000</v>
      </c>
      <c r="I2926" s="4" t="s">
        <v>21</v>
      </c>
      <c r="J2926" s="5">
        <f t="shared" si="45"/>
        <v>210964.99999999997</v>
      </c>
      <c r="K2926" s="4" t="s">
        <v>51</v>
      </c>
      <c r="L2926" s="6">
        <v>4.2192999999999996</v>
      </c>
      <c r="M2926" s="6">
        <v>0.23699999999999999</v>
      </c>
      <c r="N2926" s="6">
        <v>4.2271000000000001</v>
      </c>
      <c r="O2926" s="6">
        <v>1</v>
      </c>
      <c r="P2926" s="5">
        <v>-430</v>
      </c>
      <c r="Q2926" s="4" t="s">
        <v>1390</v>
      </c>
    </row>
    <row r="2927" spans="1:17" x14ac:dyDescent="0.3">
      <c r="A2927" s="2" t="s">
        <v>1389</v>
      </c>
      <c r="B2927" s="3">
        <v>158382</v>
      </c>
      <c r="C2927" s="3">
        <v>219136</v>
      </c>
      <c r="D2927" s="4" t="s">
        <v>17</v>
      </c>
      <c r="E2927" s="4" t="s">
        <v>1129</v>
      </c>
      <c r="F2927" s="4" t="s">
        <v>19</v>
      </c>
      <c r="G2927" s="4" t="s">
        <v>20</v>
      </c>
      <c r="H2927" s="5">
        <v>30000</v>
      </c>
      <c r="I2927" s="4" t="s">
        <v>21</v>
      </c>
      <c r="J2927" s="5">
        <f t="shared" si="45"/>
        <v>-123524.99999999999</v>
      </c>
      <c r="K2927" s="4" t="s">
        <v>51</v>
      </c>
      <c r="L2927" s="6">
        <v>4.1174999999999997</v>
      </c>
      <c r="M2927" s="6">
        <v>0.2429</v>
      </c>
      <c r="N2927" s="6">
        <v>4.2271000000000001</v>
      </c>
      <c r="O2927" s="6">
        <v>1</v>
      </c>
      <c r="P2927" s="5">
        <v>3288.0000000000146</v>
      </c>
      <c r="Q2927" s="4" t="s">
        <v>1390</v>
      </c>
    </row>
    <row r="2928" spans="1:17" x14ac:dyDescent="0.3">
      <c r="A2928" s="2" t="s">
        <v>1389</v>
      </c>
      <c r="B2928" s="3">
        <v>158383</v>
      </c>
      <c r="C2928" s="3">
        <v>906247</v>
      </c>
      <c r="D2928" s="4" t="s">
        <v>81</v>
      </c>
      <c r="E2928" s="4" t="s">
        <v>1092</v>
      </c>
      <c r="F2928" s="4" t="s">
        <v>83</v>
      </c>
      <c r="G2928" s="4" t="s">
        <v>34</v>
      </c>
      <c r="H2928" s="5">
        <v>-5000</v>
      </c>
      <c r="I2928" s="4" t="s">
        <v>21</v>
      </c>
      <c r="J2928" s="5">
        <f t="shared" si="45"/>
        <v>18069</v>
      </c>
      <c r="K2928" s="4" t="s">
        <v>53</v>
      </c>
      <c r="L2928" s="6">
        <v>3.6137999999999999</v>
      </c>
      <c r="M2928" s="6">
        <v>0.2767</v>
      </c>
      <c r="N2928" s="6">
        <v>3.5831</v>
      </c>
      <c r="O2928" s="6">
        <v>1</v>
      </c>
      <c r="P2928" s="5">
        <v>153.5</v>
      </c>
      <c r="Q2928" s="4" t="s">
        <v>1390</v>
      </c>
    </row>
    <row r="2929" spans="1:17" x14ac:dyDescent="0.3">
      <c r="A2929" s="2" t="s">
        <v>1389</v>
      </c>
      <c r="B2929" s="3">
        <v>158384</v>
      </c>
      <c r="C2929" s="3">
        <v>906257</v>
      </c>
      <c r="D2929" s="4" t="s">
        <v>81</v>
      </c>
      <c r="E2929" s="4" t="s">
        <v>732</v>
      </c>
      <c r="F2929" s="4" t="s">
        <v>83</v>
      </c>
      <c r="G2929" s="4" t="s">
        <v>20</v>
      </c>
      <c r="H2929" s="5">
        <v>-500000</v>
      </c>
      <c r="I2929" s="4" t="s">
        <v>21</v>
      </c>
      <c r="J2929" s="5">
        <f t="shared" si="45"/>
        <v>2108200</v>
      </c>
      <c r="K2929" s="4" t="s">
        <v>53</v>
      </c>
      <c r="L2929" s="6">
        <v>4.2164000000000001</v>
      </c>
      <c r="M2929" s="6">
        <v>0.23719999999999999</v>
      </c>
      <c r="N2929" s="6">
        <v>4.2050000000000001</v>
      </c>
      <c r="O2929" s="6">
        <v>1</v>
      </c>
      <c r="P2929" s="5">
        <v>5715</v>
      </c>
      <c r="Q2929" s="4" t="s">
        <v>1394</v>
      </c>
    </row>
    <row r="2930" spans="1:17" x14ac:dyDescent="0.3">
      <c r="A2930" s="2" t="s">
        <v>1389</v>
      </c>
      <c r="B2930" s="3">
        <v>158386</v>
      </c>
      <c r="C2930" s="3">
        <v>906265</v>
      </c>
      <c r="D2930" s="4" t="s">
        <v>81</v>
      </c>
      <c r="E2930" s="4" t="s">
        <v>732</v>
      </c>
      <c r="F2930" s="4" t="s">
        <v>83</v>
      </c>
      <c r="G2930" s="4" t="s">
        <v>20</v>
      </c>
      <c r="H2930" s="5">
        <v>-500000</v>
      </c>
      <c r="I2930" s="4" t="s">
        <v>21</v>
      </c>
      <c r="J2930" s="5">
        <f t="shared" si="45"/>
        <v>2108900</v>
      </c>
      <c r="K2930" s="4" t="s">
        <v>53</v>
      </c>
      <c r="L2930" s="6">
        <v>4.2178000000000004</v>
      </c>
      <c r="M2930" s="6">
        <v>0.23710000000000001</v>
      </c>
      <c r="N2930" s="6">
        <v>4.2050000000000001</v>
      </c>
      <c r="O2930" s="6">
        <v>1</v>
      </c>
      <c r="P2930" s="5">
        <v>6400</v>
      </c>
      <c r="Q2930" s="4" t="s">
        <v>1394</v>
      </c>
    </row>
    <row r="2931" spans="1:17" x14ac:dyDescent="0.3">
      <c r="A2931" s="2" t="s">
        <v>1389</v>
      </c>
      <c r="B2931" s="3">
        <v>158389</v>
      </c>
      <c r="C2931" s="3">
        <v>219141</v>
      </c>
      <c r="D2931" s="4" t="s">
        <v>17</v>
      </c>
      <c r="E2931" s="4" t="s">
        <v>1005</v>
      </c>
      <c r="F2931" s="4" t="s">
        <v>32</v>
      </c>
      <c r="G2931" s="4" t="s">
        <v>34</v>
      </c>
      <c r="H2931" s="5">
        <v>-14073.83</v>
      </c>
      <c r="I2931" s="4" t="s">
        <v>21</v>
      </c>
      <c r="J2931" s="5">
        <f t="shared" si="45"/>
        <v>50860.006853999999</v>
      </c>
      <c r="K2931" s="4" t="s">
        <v>51</v>
      </c>
      <c r="L2931" s="6">
        <v>3.6137999999999999</v>
      </c>
      <c r="M2931" s="6">
        <v>0.2767</v>
      </c>
      <c r="N2931" s="6">
        <v>3.6118000000000001</v>
      </c>
      <c r="O2931" s="6">
        <v>1</v>
      </c>
      <c r="P2931" s="5">
        <v>28.150805999999999</v>
      </c>
      <c r="Q2931" s="4" t="s">
        <v>1390</v>
      </c>
    </row>
    <row r="2932" spans="1:17" x14ac:dyDescent="0.3">
      <c r="A2932" s="2" t="s">
        <v>1389</v>
      </c>
      <c r="B2932" s="3">
        <v>158390</v>
      </c>
      <c r="C2932" s="3">
        <v>219142</v>
      </c>
      <c r="D2932" s="4" t="s">
        <v>17</v>
      </c>
      <c r="E2932" s="4" t="s">
        <v>757</v>
      </c>
      <c r="F2932" s="4" t="s">
        <v>19</v>
      </c>
      <c r="G2932" s="4" t="s">
        <v>20</v>
      </c>
      <c r="H2932" s="5">
        <v>8000</v>
      </c>
      <c r="I2932" s="4" t="s">
        <v>21</v>
      </c>
      <c r="J2932" s="5">
        <f t="shared" si="45"/>
        <v>-33624</v>
      </c>
      <c r="K2932" s="4" t="s">
        <v>51</v>
      </c>
      <c r="L2932" s="6">
        <v>4.2030000000000003</v>
      </c>
      <c r="M2932" s="6">
        <v>0.2379</v>
      </c>
      <c r="N2932" s="6">
        <v>4.2271000000000001</v>
      </c>
      <c r="O2932" s="6">
        <v>1</v>
      </c>
      <c r="P2932" s="5">
        <v>192.80000000000291</v>
      </c>
      <c r="Q2932" s="4" t="s">
        <v>1390</v>
      </c>
    </row>
    <row r="2933" spans="1:17" x14ac:dyDescent="0.3">
      <c r="A2933" s="2" t="s">
        <v>1389</v>
      </c>
      <c r="B2933" s="3">
        <v>158392</v>
      </c>
      <c r="C2933" s="3">
        <v>219143</v>
      </c>
      <c r="D2933" s="4" t="s">
        <v>17</v>
      </c>
      <c r="E2933" s="4" t="s">
        <v>1314</v>
      </c>
      <c r="F2933" s="4" t="s">
        <v>19</v>
      </c>
      <c r="G2933" s="4" t="s">
        <v>20</v>
      </c>
      <c r="H2933" s="5">
        <v>7000</v>
      </c>
      <c r="I2933" s="4" t="s">
        <v>21</v>
      </c>
      <c r="J2933" s="5">
        <f t="shared" si="45"/>
        <v>-29412.600000000002</v>
      </c>
      <c r="K2933" s="4" t="s">
        <v>51</v>
      </c>
      <c r="L2933" s="6">
        <v>4.2018000000000004</v>
      </c>
      <c r="M2933" s="6">
        <v>0.23799999999999999</v>
      </c>
      <c r="N2933" s="6">
        <v>4.2271000000000001</v>
      </c>
      <c r="O2933" s="6">
        <v>1</v>
      </c>
      <c r="P2933" s="5">
        <v>177.09999999999854</v>
      </c>
      <c r="Q2933" s="4" t="s">
        <v>1390</v>
      </c>
    </row>
    <row r="2934" spans="1:17" x14ac:dyDescent="0.3">
      <c r="A2934" s="2" t="s">
        <v>1389</v>
      </c>
      <c r="B2934" s="3">
        <v>158394</v>
      </c>
      <c r="C2934" s="3">
        <v>219144</v>
      </c>
      <c r="D2934" s="4" t="s">
        <v>17</v>
      </c>
      <c r="E2934" s="4" t="s">
        <v>973</v>
      </c>
      <c r="F2934" s="4" t="s">
        <v>32</v>
      </c>
      <c r="G2934" s="4" t="s">
        <v>20</v>
      </c>
      <c r="H2934" s="5">
        <v>-45000</v>
      </c>
      <c r="I2934" s="4" t="s">
        <v>21</v>
      </c>
      <c r="J2934" s="5">
        <f t="shared" si="45"/>
        <v>190124.99999999997</v>
      </c>
      <c r="K2934" s="4" t="s">
        <v>51</v>
      </c>
      <c r="L2934" s="6">
        <v>4.2249999999999996</v>
      </c>
      <c r="M2934" s="6">
        <v>0.23669999999999999</v>
      </c>
      <c r="N2934" s="6">
        <v>4.2271000000000001</v>
      </c>
      <c r="O2934" s="6">
        <v>1</v>
      </c>
      <c r="P2934" s="5">
        <v>-94.5</v>
      </c>
      <c r="Q2934" s="4" t="s">
        <v>1390</v>
      </c>
    </row>
    <row r="2935" spans="1:17" x14ac:dyDescent="0.3">
      <c r="A2935" s="2" t="s">
        <v>1389</v>
      </c>
      <c r="B2935" s="3">
        <v>158395</v>
      </c>
      <c r="C2935" s="3">
        <v>219146</v>
      </c>
      <c r="D2935" s="4" t="s">
        <v>17</v>
      </c>
      <c r="E2935" s="4" t="s">
        <v>767</v>
      </c>
      <c r="F2935" s="4" t="s">
        <v>32</v>
      </c>
      <c r="G2935" s="4" t="s">
        <v>20</v>
      </c>
      <c r="H2935" s="5">
        <v>-7928.6</v>
      </c>
      <c r="I2935" s="4" t="s">
        <v>21</v>
      </c>
      <c r="J2935" s="5">
        <f t="shared" si="45"/>
        <v>33514.192200000005</v>
      </c>
      <c r="K2935" s="4" t="s">
        <v>51</v>
      </c>
      <c r="L2935" s="6">
        <v>4.2270000000000003</v>
      </c>
      <c r="M2935" s="6">
        <v>0.2366</v>
      </c>
      <c r="N2935" s="6">
        <v>4.2271000000000001</v>
      </c>
      <c r="O2935" s="6">
        <v>1</v>
      </c>
      <c r="P2935" s="5">
        <v>-0.79505999999999999</v>
      </c>
      <c r="Q2935" s="4" t="s">
        <v>1390</v>
      </c>
    </row>
    <row r="2936" spans="1:17" x14ac:dyDescent="0.3">
      <c r="A2936" s="2" t="s">
        <v>1389</v>
      </c>
      <c r="B2936" s="3">
        <v>158396</v>
      </c>
      <c r="C2936" s="3">
        <v>906292</v>
      </c>
      <c r="D2936" s="4" t="s">
        <v>81</v>
      </c>
      <c r="E2936" s="4" t="s">
        <v>725</v>
      </c>
      <c r="F2936" s="4" t="s">
        <v>87</v>
      </c>
      <c r="G2936" s="4" t="s">
        <v>20</v>
      </c>
      <c r="H2936" s="5">
        <v>100000</v>
      </c>
      <c r="I2936" s="4" t="s">
        <v>91</v>
      </c>
      <c r="J2936" s="5">
        <f t="shared" si="45"/>
        <v>-87100</v>
      </c>
      <c r="K2936" s="4" t="s">
        <v>53</v>
      </c>
      <c r="L2936" s="6">
        <v>0.871</v>
      </c>
      <c r="M2936" s="6">
        <v>1.1480999999999999</v>
      </c>
      <c r="N2936" s="6">
        <v>4.2050000000000001</v>
      </c>
      <c r="O2936" s="6">
        <v>4.8478000000000003</v>
      </c>
      <c r="P2936" s="5">
        <v>-1762.7711999999999</v>
      </c>
      <c r="Q2936" s="4" t="s">
        <v>1392</v>
      </c>
    </row>
    <row r="2937" spans="1:17" x14ac:dyDescent="0.3">
      <c r="A2937" s="2" t="s">
        <v>1389</v>
      </c>
      <c r="B2937" s="3">
        <v>158397</v>
      </c>
      <c r="C2937" s="3">
        <v>906296</v>
      </c>
      <c r="D2937" s="4" t="s">
        <v>81</v>
      </c>
      <c r="E2937" s="4" t="s">
        <v>744</v>
      </c>
      <c r="F2937" s="4" t="s">
        <v>87</v>
      </c>
      <c r="G2937" s="4" t="s">
        <v>20</v>
      </c>
      <c r="H2937" s="5">
        <v>100000</v>
      </c>
      <c r="I2937" s="4" t="s">
        <v>74</v>
      </c>
      <c r="J2937" s="5">
        <f t="shared" si="45"/>
        <v>-1158610</v>
      </c>
      <c r="K2937" s="4" t="s">
        <v>53</v>
      </c>
      <c r="L2937" s="6">
        <v>11.5861</v>
      </c>
      <c r="M2937" s="6">
        <v>8.6300000000000002E-2</v>
      </c>
      <c r="N2937" s="6">
        <v>4.2050000000000001</v>
      </c>
      <c r="O2937" s="6">
        <v>0.36320000000000002</v>
      </c>
      <c r="P2937" s="5">
        <v>-305.33600000000001</v>
      </c>
      <c r="Q2937" s="4" t="s">
        <v>1395</v>
      </c>
    </row>
    <row r="2938" spans="1:17" x14ac:dyDescent="0.3">
      <c r="A2938" s="2" t="s">
        <v>1389</v>
      </c>
      <c r="B2938" s="3">
        <v>158398</v>
      </c>
      <c r="C2938" s="3">
        <v>906297</v>
      </c>
      <c r="D2938" s="4" t="s">
        <v>81</v>
      </c>
      <c r="E2938" s="4" t="s">
        <v>737</v>
      </c>
      <c r="F2938" s="4" t="s">
        <v>83</v>
      </c>
      <c r="G2938" s="4" t="s">
        <v>20</v>
      </c>
      <c r="H2938" s="5">
        <v>-500000</v>
      </c>
      <c r="I2938" s="4" t="s">
        <v>21</v>
      </c>
      <c r="J2938" s="5">
        <f t="shared" si="45"/>
        <v>2108450</v>
      </c>
      <c r="K2938" s="4" t="s">
        <v>53</v>
      </c>
      <c r="L2938" s="6">
        <v>4.2168999999999999</v>
      </c>
      <c r="M2938" s="6">
        <v>0.23710000000000001</v>
      </c>
      <c r="N2938" s="6">
        <v>4.2050000000000001</v>
      </c>
      <c r="O2938" s="6">
        <v>1</v>
      </c>
      <c r="P2938" s="5">
        <v>5965</v>
      </c>
      <c r="Q2938" s="4" t="s">
        <v>1399</v>
      </c>
    </row>
    <row r="2939" spans="1:17" x14ac:dyDescent="0.3">
      <c r="A2939" s="2" t="s">
        <v>1389</v>
      </c>
      <c r="B2939" s="3">
        <v>158399</v>
      </c>
      <c r="C2939" s="3">
        <v>906298</v>
      </c>
      <c r="D2939" s="4" t="s">
        <v>81</v>
      </c>
      <c r="E2939" s="4" t="s">
        <v>734</v>
      </c>
      <c r="F2939" s="4" t="s">
        <v>83</v>
      </c>
      <c r="G2939" s="4" t="s">
        <v>20</v>
      </c>
      <c r="H2939" s="5">
        <v>-100000</v>
      </c>
      <c r="I2939" s="4" t="s">
        <v>34</v>
      </c>
      <c r="J2939" s="5">
        <f t="shared" si="45"/>
        <v>116900</v>
      </c>
      <c r="K2939" s="4" t="s">
        <v>53</v>
      </c>
      <c r="L2939" s="6">
        <v>1.169</v>
      </c>
      <c r="M2939" s="6">
        <v>0.85550000000000004</v>
      </c>
      <c r="N2939" s="6">
        <v>4.2050000000000001</v>
      </c>
      <c r="O2939" s="6">
        <v>3.5831</v>
      </c>
      <c r="P2939" s="5">
        <v>-1646.3593000000001</v>
      </c>
      <c r="Q2939" s="4" t="s">
        <v>1393</v>
      </c>
    </row>
    <row r="2940" spans="1:17" x14ac:dyDescent="0.3">
      <c r="A2940" s="2" t="s">
        <v>1389</v>
      </c>
      <c r="B2940" s="3">
        <v>158400</v>
      </c>
      <c r="C2940" s="3">
        <v>906299</v>
      </c>
      <c r="D2940" s="4" t="s">
        <v>81</v>
      </c>
      <c r="E2940" s="4" t="s">
        <v>734</v>
      </c>
      <c r="F2940" s="4" t="s">
        <v>83</v>
      </c>
      <c r="G2940" s="4" t="s">
        <v>20</v>
      </c>
      <c r="H2940" s="5">
        <v>-100000</v>
      </c>
      <c r="I2940" s="4" t="s">
        <v>34</v>
      </c>
      <c r="J2940" s="5">
        <f t="shared" si="45"/>
        <v>116890</v>
      </c>
      <c r="K2940" s="4" t="s">
        <v>53</v>
      </c>
      <c r="L2940" s="6">
        <v>1.1689000000000001</v>
      </c>
      <c r="M2940" s="6">
        <v>0.85550000000000004</v>
      </c>
      <c r="N2940" s="6">
        <v>4.2050000000000001</v>
      </c>
      <c r="O2940" s="6">
        <v>3.5831</v>
      </c>
      <c r="P2940" s="5">
        <v>-1653.5255</v>
      </c>
      <c r="Q2940" s="4" t="s">
        <v>1393</v>
      </c>
    </row>
    <row r="2941" spans="1:17" x14ac:dyDescent="0.3">
      <c r="A2941" s="2" t="s">
        <v>1389</v>
      </c>
      <c r="B2941" s="3">
        <v>158401</v>
      </c>
      <c r="C2941" s="3">
        <v>219161</v>
      </c>
      <c r="D2941" s="4" t="s">
        <v>17</v>
      </c>
      <c r="E2941" s="4" t="s">
        <v>891</v>
      </c>
      <c r="F2941" s="4" t="s">
        <v>32</v>
      </c>
      <c r="G2941" s="4" t="s">
        <v>34</v>
      </c>
      <c r="H2941" s="5">
        <v>-63000</v>
      </c>
      <c r="I2941" s="4" t="s">
        <v>21</v>
      </c>
      <c r="J2941" s="5">
        <f t="shared" si="45"/>
        <v>227398.5</v>
      </c>
      <c r="K2941" s="4" t="s">
        <v>51</v>
      </c>
      <c r="L2941" s="6">
        <v>3.6095000000000002</v>
      </c>
      <c r="M2941" s="6">
        <v>0.27700000000000002</v>
      </c>
      <c r="N2941" s="6">
        <v>3.6118000000000001</v>
      </c>
      <c r="O2941" s="6">
        <v>1</v>
      </c>
      <c r="P2941" s="5">
        <v>-144.9</v>
      </c>
      <c r="Q2941" s="4" t="s">
        <v>1390</v>
      </c>
    </row>
    <row r="2942" spans="1:17" x14ac:dyDescent="0.3">
      <c r="A2942" s="2" t="s">
        <v>1389</v>
      </c>
      <c r="B2942" s="3">
        <v>158402</v>
      </c>
      <c r="C2942" s="3">
        <v>906346</v>
      </c>
      <c r="D2942" s="4" t="s">
        <v>81</v>
      </c>
      <c r="E2942" s="4" t="s">
        <v>734</v>
      </c>
      <c r="F2942" s="4" t="s">
        <v>83</v>
      </c>
      <c r="G2942" s="4" t="s">
        <v>20</v>
      </c>
      <c r="H2942" s="5">
        <v>-100000</v>
      </c>
      <c r="I2942" s="4" t="s">
        <v>34</v>
      </c>
      <c r="J2942" s="5">
        <f t="shared" si="45"/>
        <v>116900</v>
      </c>
      <c r="K2942" s="4" t="s">
        <v>53</v>
      </c>
      <c r="L2942" s="6">
        <v>1.169</v>
      </c>
      <c r="M2942" s="6">
        <v>0.85540000000000005</v>
      </c>
      <c r="N2942" s="6">
        <v>4.2050000000000001</v>
      </c>
      <c r="O2942" s="6">
        <v>3.5831</v>
      </c>
      <c r="P2942" s="5">
        <v>-1617.6945000000001</v>
      </c>
      <c r="Q2942" s="4" t="s">
        <v>1393</v>
      </c>
    </row>
    <row r="2943" spans="1:17" x14ac:dyDescent="0.3">
      <c r="A2943" s="2" t="s">
        <v>1389</v>
      </c>
      <c r="B2943" s="3">
        <v>158404</v>
      </c>
      <c r="C2943" s="3">
        <v>219166</v>
      </c>
      <c r="D2943" s="4" t="s">
        <v>17</v>
      </c>
      <c r="E2943" s="4" t="s">
        <v>958</v>
      </c>
      <c r="F2943" s="4" t="s">
        <v>19</v>
      </c>
      <c r="G2943" s="4" t="s">
        <v>20</v>
      </c>
      <c r="H2943" s="5">
        <v>20000</v>
      </c>
      <c r="I2943" s="4" t="s">
        <v>21</v>
      </c>
      <c r="J2943" s="5">
        <f t="shared" si="45"/>
        <v>-84016</v>
      </c>
      <c r="K2943" s="4" t="s">
        <v>51</v>
      </c>
      <c r="L2943" s="6">
        <v>4.2008000000000001</v>
      </c>
      <c r="M2943" s="6">
        <v>0.23799999999999999</v>
      </c>
      <c r="N2943" s="6">
        <v>4.2271000000000001</v>
      </c>
      <c r="O2943" s="6">
        <v>1</v>
      </c>
      <c r="P2943" s="5">
        <v>526</v>
      </c>
      <c r="Q2943" s="4" t="s">
        <v>1390</v>
      </c>
    </row>
    <row r="2944" spans="1:17" x14ac:dyDescent="0.3">
      <c r="A2944" s="2" t="s">
        <v>1389</v>
      </c>
      <c r="B2944" s="3">
        <v>158406</v>
      </c>
      <c r="C2944" s="3">
        <v>219171</v>
      </c>
      <c r="D2944" s="4" t="s">
        <v>17</v>
      </c>
      <c r="E2944" s="4" t="s">
        <v>1096</v>
      </c>
      <c r="F2944" s="4" t="s">
        <v>19</v>
      </c>
      <c r="G2944" s="4" t="s">
        <v>20</v>
      </c>
      <c r="H2944" s="5">
        <v>4500</v>
      </c>
      <c r="I2944" s="4" t="s">
        <v>34</v>
      </c>
      <c r="J2944" s="5">
        <f t="shared" si="45"/>
        <v>-5256</v>
      </c>
      <c r="K2944" s="4" t="s">
        <v>51</v>
      </c>
      <c r="L2944" s="6">
        <v>1.1679999999999999</v>
      </c>
      <c r="M2944" s="6">
        <v>0.85619999999999996</v>
      </c>
      <c r="N2944" s="6">
        <v>4.2271000000000001</v>
      </c>
      <c r="O2944" s="6">
        <v>3.6118000000000001</v>
      </c>
      <c r="P2944" s="5">
        <v>38.329200000000128</v>
      </c>
      <c r="Q2944" s="4" t="s">
        <v>1390</v>
      </c>
    </row>
    <row r="2945" spans="1:17" x14ac:dyDescent="0.3">
      <c r="A2945" s="2" t="s">
        <v>1389</v>
      </c>
      <c r="B2945" s="3">
        <v>158407</v>
      </c>
      <c r="C2945" s="3">
        <v>219172</v>
      </c>
      <c r="D2945" s="4" t="s">
        <v>17</v>
      </c>
      <c r="E2945" s="4" t="s">
        <v>1224</v>
      </c>
      <c r="F2945" s="4" t="s">
        <v>32</v>
      </c>
      <c r="G2945" s="4" t="s">
        <v>20</v>
      </c>
      <c r="H2945" s="5">
        <v>-10000</v>
      </c>
      <c r="I2945" s="4" t="s">
        <v>21</v>
      </c>
      <c r="J2945" s="5">
        <f t="shared" si="45"/>
        <v>42162</v>
      </c>
      <c r="K2945" s="4" t="s">
        <v>51</v>
      </c>
      <c r="L2945" s="6">
        <v>4.2161999999999997</v>
      </c>
      <c r="M2945" s="6">
        <v>0.23719999999999999</v>
      </c>
      <c r="N2945" s="6">
        <v>4.2271000000000001</v>
      </c>
      <c r="O2945" s="6">
        <v>1</v>
      </c>
      <c r="P2945" s="5">
        <v>-117</v>
      </c>
      <c r="Q2945" s="4" t="s">
        <v>1390</v>
      </c>
    </row>
    <row r="2946" spans="1:17" x14ac:dyDescent="0.3">
      <c r="A2946" s="2" t="s">
        <v>1389</v>
      </c>
      <c r="B2946" s="3">
        <v>158408</v>
      </c>
      <c r="C2946" s="3">
        <v>219173</v>
      </c>
      <c r="D2946" s="4" t="s">
        <v>17</v>
      </c>
      <c r="E2946" s="4" t="s">
        <v>1224</v>
      </c>
      <c r="F2946" s="4" t="s">
        <v>32</v>
      </c>
      <c r="G2946" s="4" t="s">
        <v>20</v>
      </c>
      <c r="H2946" s="5">
        <v>-10000</v>
      </c>
      <c r="I2946" s="4" t="s">
        <v>21</v>
      </c>
      <c r="J2946" s="5">
        <f t="shared" si="45"/>
        <v>42162</v>
      </c>
      <c r="K2946" s="4" t="s">
        <v>51</v>
      </c>
      <c r="L2946" s="6">
        <v>4.2161999999999997</v>
      </c>
      <c r="M2946" s="6">
        <v>0.23719999999999999</v>
      </c>
      <c r="N2946" s="6">
        <v>4.2271000000000001</v>
      </c>
      <c r="O2946" s="6">
        <v>1</v>
      </c>
      <c r="P2946" s="5">
        <v>-117</v>
      </c>
      <c r="Q2946" s="4" t="s">
        <v>1390</v>
      </c>
    </row>
    <row r="2947" spans="1:17" x14ac:dyDescent="0.3">
      <c r="A2947" s="2" t="s">
        <v>1389</v>
      </c>
      <c r="B2947" s="3">
        <v>158409</v>
      </c>
      <c r="C2947" s="3">
        <v>219174</v>
      </c>
      <c r="D2947" s="4" t="s">
        <v>17</v>
      </c>
      <c r="E2947" s="4" t="s">
        <v>1224</v>
      </c>
      <c r="F2947" s="4" t="s">
        <v>32</v>
      </c>
      <c r="G2947" s="4" t="s">
        <v>20</v>
      </c>
      <c r="H2947" s="5">
        <v>-10000</v>
      </c>
      <c r="I2947" s="4" t="s">
        <v>21</v>
      </c>
      <c r="J2947" s="5">
        <f t="shared" si="45"/>
        <v>42162</v>
      </c>
      <c r="K2947" s="4" t="s">
        <v>51</v>
      </c>
      <c r="L2947" s="6">
        <v>4.2161999999999997</v>
      </c>
      <c r="M2947" s="6">
        <v>0.23719999999999999</v>
      </c>
      <c r="N2947" s="6">
        <v>4.2271000000000001</v>
      </c>
      <c r="O2947" s="6">
        <v>1</v>
      </c>
      <c r="P2947" s="5">
        <v>-117</v>
      </c>
      <c r="Q2947" s="4" t="s">
        <v>1390</v>
      </c>
    </row>
    <row r="2948" spans="1:17" x14ac:dyDescent="0.3">
      <c r="A2948" s="2" t="s">
        <v>1389</v>
      </c>
      <c r="B2948" s="3">
        <v>158410</v>
      </c>
      <c r="C2948" s="3">
        <v>906403</v>
      </c>
      <c r="D2948" s="4" t="s">
        <v>81</v>
      </c>
      <c r="E2948" s="4" t="s">
        <v>733</v>
      </c>
      <c r="F2948" s="4" t="s">
        <v>87</v>
      </c>
      <c r="G2948" s="4" t="s">
        <v>34</v>
      </c>
      <c r="H2948" s="5">
        <v>1000000</v>
      </c>
      <c r="I2948" s="4" t="s">
        <v>21</v>
      </c>
      <c r="J2948" s="5">
        <f t="shared" ref="J2948:J3011" si="46">-H2948*L2948</f>
        <v>-3603200</v>
      </c>
      <c r="K2948" s="4" t="s">
        <v>53</v>
      </c>
      <c r="L2948" s="6">
        <v>3.6032000000000002</v>
      </c>
      <c r="M2948" s="6">
        <v>0.27750000000000002</v>
      </c>
      <c r="N2948" s="6">
        <v>3.5831</v>
      </c>
      <c r="O2948" s="6">
        <v>1</v>
      </c>
      <c r="P2948" s="5">
        <v>-20100</v>
      </c>
      <c r="Q2948" s="4" t="s">
        <v>1391</v>
      </c>
    </row>
    <row r="2949" spans="1:17" x14ac:dyDescent="0.3">
      <c r="A2949" s="2" t="s">
        <v>1389</v>
      </c>
      <c r="B2949" s="3">
        <v>158411</v>
      </c>
      <c r="C2949" s="3">
        <v>219180</v>
      </c>
      <c r="D2949" s="4" t="s">
        <v>17</v>
      </c>
      <c r="E2949" s="4" t="s">
        <v>1047</v>
      </c>
      <c r="F2949" s="4" t="s">
        <v>32</v>
      </c>
      <c r="G2949" s="4" t="s">
        <v>34</v>
      </c>
      <c r="H2949" s="5">
        <v>-900000</v>
      </c>
      <c r="I2949" s="4" t="s">
        <v>21</v>
      </c>
      <c r="J2949" s="5">
        <f t="shared" si="46"/>
        <v>3248100</v>
      </c>
      <c r="K2949" s="4" t="s">
        <v>51</v>
      </c>
      <c r="L2949" s="6">
        <v>3.609</v>
      </c>
      <c r="M2949" s="6">
        <v>0.27710000000000001</v>
      </c>
      <c r="N2949" s="6">
        <v>3.6118000000000001</v>
      </c>
      <c r="O2949" s="6">
        <v>1</v>
      </c>
      <c r="P2949" s="5">
        <v>-2520</v>
      </c>
      <c r="Q2949" s="4" t="s">
        <v>1390</v>
      </c>
    </row>
    <row r="2950" spans="1:17" x14ac:dyDescent="0.3">
      <c r="A2950" s="2" t="s">
        <v>1389</v>
      </c>
      <c r="B2950" s="3">
        <v>158412</v>
      </c>
      <c r="C2950" s="3">
        <v>219182</v>
      </c>
      <c r="D2950" s="4" t="s">
        <v>17</v>
      </c>
      <c r="E2950" s="4" t="s">
        <v>857</v>
      </c>
      <c r="F2950" s="4" t="s">
        <v>32</v>
      </c>
      <c r="G2950" s="4" t="s">
        <v>34</v>
      </c>
      <c r="H2950" s="5">
        <v>-13123.87</v>
      </c>
      <c r="I2950" s="4" t="s">
        <v>21</v>
      </c>
      <c r="J2950" s="5">
        <f t="shared" si="46"/>
        <v>47307.614189</v>
      </c>
      <c r="K2950" s="4" t="s">
        <v>52</v>
      </c>
      <c r="L2950" s="6">
        <v>3.6046999999999998</v>
      </c>
      <c r="M2950" s="6">
        <v>0.27739999999999998</v>
      </c>
      <c r="N2950" s="6">
        <v>3.6027999999999998</v>
      </c>
      <c r="O2950" s="6">
        <v>1</v>
      </c>
      <c r="P2950" s="5">
        <v>24.931163999999999</v>
      </c>
      <c r="Q2950" s="4" t="s">
        <v>1390</v>
      </c>
    </row>
    <row r="2951" spans="1:17" x14ac:dyDescent="0.3">
      <c r="A2951" s="2" t="s">
        <v>1389</v>
      </c>
      <c r="B2951" s="3">
        <v>158413</v>
      </c>
      <c r="C2951" s="3">
        <v>219184</v>
      </c>
      <c r="D2951" s="4" t="s">
        <v>17</v>
      </c>
      <c r="E2951" s="4" t="s">
        <v>942</v>
      </c>
      <c r="F2951" s="4" t="s">
        <v>32</v>
      </c>
      <c r="G2951" s="4" t="s">
        <v>20</v>
      </c>
      <c r="H2951" s="5">
        <v>-47461.97</v>
      </c>
      <c r="I2951" s="4" t="s">
        <v>21</v>
      </c>
      <c r="J2951" s="5">
        <f t="shared" si="46"/>
        <v>202401.571065</v>
      </c>
      <c r="K2951" s="4" t="s">
        <v>51</v>
      </c>
      <c r="L2951" s="6">
        <v>4.2645</v>
      </c>
      <c r="M2951" s="6">
        <v>0.23449999999999999</v>
      </c>
      <c r="N2951" s="6">
        <v>4.2271000000000001</v>
      </c>
      <c r="O2951" s="6">
        <v>1</v>
      </c>
      <c r="P2951" s="5">
        <v>-626.49338699999998</v>
      </c>
      <c r="Q2951" s="4" t="s">
        <v>1390</v>
      </c>
    </row>
    <row r="2952" spans="1:17" x14ac:dyDescent="0.3">
      <c r="A2952" s="2" t="s">
        <v>1389</v>
      </c>
      <c r="B2952" s="3">
        <v>158414</v>
      </c>
      <c r="C2952" s="3">
        <v>906441</v>
      </c>
      <c r="D2952" s="4" t="s">
        <v>81</v>
      </c>
      <c r="E2952" s="4" t="s">
        <v>1114</v>
      </c>
      <c r="F2952" s="4" t="s">
        <v>83</v>
      </c>
      <c r="G2952" s="4" t="s">
        <v>20</v>
      </c>
      <c r="H2952" s="5">
        <v>-160000</v>
      </c>
      <c r="I2952" s="4" t="s">
        <v>21</v>
      </c>
      <c r="J2952" s="5">
        <f t="shared" si="46"/>
        <v>674352</v>
      </c>
      <c r="K2952" s="4" t="s">
        <v>53</v>
      </c>
      <c r="L2952" s="6">
        <v>4.2146999999999997</v>
      </c>
      <c r="M2952" s="6">
        <v>0.23730000000000001</v>
      </c>
      <c r="N2952" s="6">
        <v>4.2050000000000001</v>
      </c>
      <c r="O2952" s="6">
        <v>1</v>
      </c>
      <c r="P2952" s="5">
        <v>1552</v>
      </c>
      <c r="Q2952" s="4" t="s">
        <v>1390</v>
      </c>
    </row>
    <row r="2953" spans="1:17" x14ac:dyDescent="0.3">
      <c r="A2953" s="2" t="s">
        <v>1389</v>
      </c>
      <c r="B2953" s="3">
        <v>158417</v>
      </c>
      <c r="C2953" s="3">
        <v>219201</v>
      </c>
      <c r="D2953" s="4" t="s">
        <v>17</v>
      </c>
      <c r="E2953" s="4" t="s">
        <v>1224</v>
      </c>
      <c r="F2953" s="4" t="s">
        <v>32</v>
      </c>
      <c r="G2953" s="4" t="s">
        <v>20</v>
      </c>
      <c r="H2953" s="5">
        <v>-10000</v>
      </c>
      <c r="I2953" s="4" t="s">
        <v>21</v>
      </c>
      <c r="J2953" s="5">
        <f t="shared" si="46"/>
        <v>42144.000000000007</v>
      </c>
      <c r="K2953" s="4" t="s">
        <v>51</v>
      </c>
      <c r="L2953" s="6">
        <v>4.2144000000000004</v>
      </c>
      <c r="M2953" s="6">
        <v>0.23730000000000001</v>
      </c>
      <c r="N2953" s="6">
        <v>4.2271000000000001</v>
      </c>
      <c r="O2953" s="6">
        <v>1</v>
      </c>
      <c r="P2953" s="5">
        <v>-135</v>
      </c>
      <c r="Q2953" s="4" t="s">
        <v>1390</v>
      </c>
    </row>
    <row r="2954" spans="1:17" x14ac:dyDescent="0.3">
      <c r="A2954" s="2" t="s">
        <v>1389</v>
      </c>
      <c r="B2954" s="3">
        <v>158418</v>
      </c>
      <c r="C2954" s="3">
        <v>906499</v>
      </c>
      <c r="D2954" s="4" t="s">
        <v>81</v>
      </c>
      <c r="E2954" s="4" t="s">
        <v>730</v>
      </c>
      <c r="F2954" s="4" t="s">
        <v>87</v>
      </c>
      <c r="G2954" s="4" t="s">
        <v>20</v>
      </c>
      <c r="H2954" s="5">
        <v>500000</v>
      </c>
      <c r="I2954" s="4" t="s">
        <v>21</v>
      </c>
      <c r="J2954" s="5">
        <f t="shared" si="46"/>
        <v>-2106000</v>
      </c>
      <c r="K2954" s="4" t="s">
        <v>53</v>
      </c>
      <c r="L2954" s="6">
        <v>4.2119999999999997</v>
      </c>
      <c r="M2954" s="6">
        <v>0.2374</v>
      </c>
      <c r="N2954" s="6">
        <v>4.2050000000000001</v>
      </c>
      <c r="O2954" s="6">
        <v>1</v>
      </c>
      <c r="P2954" s="5">
        <v>-3515</v>
      </c>
      <c r="Q2954" s="4" t="s">
        <v>1396</v>
      </c>
    </row>
    <row r="2955" spans="1:17" x14ac:dyDescent="0.3">
      <c r="A2955" s="2" t="s">
        <v>1389</v>
      </c>
      <c r="B2955" s="3">
        <v>158419</v>
      </c>
      <c r="C2955" s="3">
        <v>906500</v>
      </c>
      <c r="D2955" s="4" t="s">
        <v>81</v>
      </c>
      <c r="E2955" s="4" t="s">
        <v>725</v>
      </c>
      <c r="F2955" s="4" t="s">
        <v>87</v>
      </c>
      <c r="G2955" s="4" t="s">
        <v>20</v>
      </c>
      <c r="H2955" s="5">
        <v>500000</v>
      </c>
      <c r="I2955" s="4" t="s">
        <v>21</v>
      </c>
      <c r="J2955" s="5">
        <f t="shared" si="46"/>
        <v>-2106050</v>
      </c>
      <c r="K2955" s="4" t="s">
        <v>53</v>
      </c>
      <c r="L2955" s="6">
        <v>4.2121000000000004</v>
      </c>
      <c r="M2955" s="6">
        <v>0.2374</v>
      </c>
      <c r="N2955" s="6">
        <v>4.2050000000000001</v>
      </c>
      <c r="O2955" s="6">
        <v>1</v>
      </c>
      <c r="P2955" s="5">
        <v>-3540</v>
      </c>
      <c r="Q2955" s="4" t="s">
        <v>1392</v>
      </c>
    </row>
    <row r="2956" spans="1:17" x14ac:dyDescent="0.3">
      <c r="A2956" s="2" t="s">
        <v>1389</v>
      </c>
      <c r="B2956" s="3">
        <v>158420</v>
      </c>
      <c r="C2956" s="3">
        <v>906501</v>
      </c>
      <c r="D2956" s="4" t="s">
        <v>81</v>
      </c>
      <c r="E2956" s="4" t="s">
        <v>725</v>
      </c>
      <c r="F2956" s="4" t="s">
        <v>87</v>
      </c>
      <c r="G2956" s="4" t="s">
        <v>20</v>
      </c>
      <c r="H2956" s="5">
        <v>500000</v>
      </c>
      <c r="I2956" s="4" t="s">
        <v>21</v>
      </c>
      <c r="J2956" s="5">
        <f t="shared" si="46"/>
        <v>-2106050</v>
      </c>
      <c r="K2956" s="4" t="s">
        <v>53</v>
      </c>
      <c r="L2956" s="6">
        <v>4.2121000000000004</v>
      </c>
      <c r="M2956" s="6">
        <v>0.2374</v>
      </c>
      <c r="N2956" s="6">
        <v>4.2050000000000001</v>
      </c>
      <c r="O2956" s="6">
        <v>1</v>
      </c>
      <c r="P2956" s="5">
        <v>-3530</v>
      </c>
      <c r="Q2956" s="4" t="s">
        <v>1392</v>
      </c>
    </row>
    <row r="2957" spans="1:17" x14ac:dyDescent="0.3">
      <c r="A2957" s="2" t="s">
        <v>1389</v>
      </c>
      <c r="B2957" s="3">
        <v>158421</v>
      </c>
      <c r="C2957" s="3">
        <v>906502</v>
      </c>
      <c r="D2957" s="4" t="s">
        <v>81</v>
      </c>
      <c r="E2957" s="4" t="s">
        <v>735</v>
      </c>
      <c r="F2957" s="4" t="s">
        <v>87</v>
      </c>
      <c r="G2957" s="4" t="s">
        <v>20</v>
      </c>
      <c r="H2957" s="5">
        <v>500000</v>
      </c>
      <c r="I2957" s="4" t="s">
        <v>21</v>
      </c>
      <c r="J2957" s="5">
        <f t="shared" si="46"/>
        <v>-2106000</v>
      </c>
      <c r="K2957" s="4" t="s">
        <v>53</v>
      </c>
      <c r="L2957" s="6">
        <v>4.2119999999999997</v>
      </c>
      <c r="M2957" s="6">
        <v>0.2374</v>
      </c>
      <c r="N2957" s="6">
        <v>4.2050000000000001</v>
      </c>
      <c r="O2957" s="6">
        <v>1</v>
      </c>
      <c r="P2957" s="5">
        <v>-3500</v>
      </c>
      <c r="Q2957" s="4" t="s">
        <v>1394</v>
      </c>
    </row>
    <row r="2958" spans="1:17" x14ac:dyDescent="0.3">
      <c r="A2958" s="2" t="s">
        <v>1389</v>
      </c>
      <c r="B2958" s="3">
        <v>158422</v>
      </c>
      <c r="C2958" s="3">
        <v>906503</v>
      </c>
      <c r="D2958" s="4" t="s">
        <v>81</v>
      </c>
      <c r="E2958" s="4" t="s">
        <v>730</v>
      </c>
      <c r="F2958" s="4" t="s">
        <v>87</v>
      </c>
      <c r="G2958" s="4" t="s">
        <v>20</v>
      </c>
      <c r="H2958" s="5">
        <v>500000</v>
      </c>
      <c r="I2958" s="4" t="s">
        <v>21</v>
      </c>
      <c r="J2958" s="5">
        <f t="shared" si="46"/>
        <v>-2106000</v>
      </c>
      <c r="K2958" s="4" t="s">
        <v>53</v>
      </c>
      <c r="L2958" s="6">
        <v>4.2119999999999997</v>
      </c>
      <c r="M2958" s="6">
        <v>0.2374</v>
      </c>
      <c r="N2958" s="6">
        <v>4.2050000000000001</v>
      </c>
      <c r="O2958" s="6">
        <v>1</v>
      </c>
      <c r="P2958" s="5">
        <v>-3510</v>
      </c>
      <c r="Q2958" s="4" t="s">
        <v>1396</v>
      </c>
    </row>
    <row r="2959" spans="1:17" x14ac:dyDescent="0.3">
      <c r="A2959" s="2" t="s">
        <v>1389</v>
      </c>
      <c r="B2959" s="3">
        <v>158423</v>
      </c>
      <c r="C2959" s="3">
        <v>906504</v>
      </c>
      <c r="D2959" s="4" t="s">
        <v>81</v>
      </c>
      <c r="E2959" s="4" t="s">
        <v>725</v>
      </c>
      <c r="F2959" s="4" t="s">
        <v>87</v>
      </c>
      <c r="G2959" s="4" t="s">
        <v>20</v>
      </c>
      <c r="H2959" s="5">
        <v>500000</v>
      </c>
      <c r="I2959" s="4" t="s">
        <v>21</v>
      </c>
      <c r="J2959" s="5">
        <f t="shared" si="46"/>
        <v>-2106050</v>
      </c>
      <c r="K2959" s="4" t="s">
        <v>53</v>
      </c>
      <c r="L2959" s="6">
        <v>4.2121000000000004</v>
      </c>
      <c r="M2959" s="6">
        <v>0.2374</v>
      </c>
      <c r="N2959" s="6">
        <v>4.2050000000000001</v>
      </c>
      <c r="O2959" s="6">
        <v>1</v>
      </c>
      <c r="P2959" s="5">
        <v>-3550</v>
      </c>
      <c r="Q2959" s="4" t="s">
        <v>1392</v>
      </c>
    </row>
    <row r="2960" spans="1:17" x14ac:dyDescent="0.3">
      <c r="A2960" s="2" t="s">
        <v>1389</v>
      </c>
      <c r="B2960" s="3">
        <v>158424</v>
      </c>
      <c r="C2960" s="3">
        <v>219205</v>
      </c>
      <c r="D2960" s="4" t="s">
        <v>17</v>
      </c>
      <c r="E2960" s="4" t="s">
        <v>1224</v>
      </c>
      <c r="F2960" s="4" t="s">
        <v>32</v>
      </c>
      <c r="G2960" s="4" t="s">
        <v>20</v>
      </c>
      <c r="H2960" s="5">
        <v>-10000</v>
      </c>
      <c r="I2960" s="4" t="s">
        <v>21</v>
      </c>
      <c r="J2960" s="5">
        <f t="shared" si="46"/>
        <v>42148</v>
      </c>
      <c r="K2960" s="4" t="s">
        <v>51</v>
      </c>
      <c r="L2960" s="6">
        <v>4.2148000000000003</v>
      </c>
      <c r="M2960" s="6">
        <v>0.23730000000000001</v>
      </c>
      <c r="N2960" s="6">
        <v>4.2271000000000001</v>
      </c>
      <c r="O2960" s="6">
        <v>1</v>
      </c>
      <c r="P2960" s="5">
        <v>-131</v>
      </c>
      <c r="Q2960" s="4" t="s">
        <v>1390</v>
      </c>
    </row>
    <row r="2961" spans="1:17" x14ac:dyDescent="0.3">
      <c r="A2961" s="2" t="s">
        <v>1389</v>
      </c>
      <c r="B2961" s="3">
        <v>158425</v>
      </c>
      <c r="C2961" s="3">
        <v>906508</v>
      </c>
      <c r="D2961" s="4" t="s">
        <v>81</v>
      </c>
      <c r="E2961" s="4" t="s">
        <v>730</v>
      </c>
      <c r="F2961" s="4" t="s">
        <v>87</v>
      </c>
      <c r="G2961" s="4" t="s">
        <v>20</v>
      </c>
      <c r="H2961" s="5">
        <v>500000</v>
      </c>
      <c r="I2961" s="4" t="s">
        <v>21</v>
      </c>
      <c r="J2961" s="5">
        <f t="shared" si="46"/>
        <v>-2106250</v>
      </c>
      <c r="K2961" s="4" t="s">
        <v>53</v>
      </c>
      <c r="L2961" s="6">
        <v>4.2125000000000004</v>
      </c>
      <c r="M2961" s="6">
        <v>0.2374</v>
      </c>
      <c r="N2961" s="6">
        <v>4.2050000000000001</v>
      </c>
      <c r="O2961" s="6">
        <v>1</v>
      </c>
      <c r="P2961" s="5">
        <v>-3745</v>
      </c>
      <c r="Q2961" s="4" t="s">
        <v>1396</v>
      </c>
    </row>
    <row r="2962" spans="1:17" x14ac:dyDescent="0.3">
      <c r="A2962" s="2" t="s">
        <v>1389</v>
      </c>
      <c r="B2962" s="3">
        <v>158426</v>
      </c>
      <c r="C2962" s="3">
        <v>906509</v>
      </c>
      <c r="D2962" s="4" t="s">
        <v>81</v>
      </c>
      <c r="E2962" s="4" t="s">
        <v>725</v>
      </c>
      <c r="F2962" s="4" t="s">
        <v>87</v>
      </c>
      <c r="G2962" s="4" t="s">
        <v>20</v>
      </c>
      <c r="H2962" s="5">
        <v>500000</v>
      </c>
      <c r="I2962" s="4" t="s">
        <v>21</v>
      </c>
      <c r="J2962" s="5">
        <f t="shared" si="46"/>
        <v>-2106250</v>
      </c>
      <c r="K2962" s="4" t="s">
        <v>53</v>
      </c>
      <c r="L2962" s="6">
        <v>4.2125000000000004</v>
      </c>
      <c r="M2962" s="6">
        <v>0.2374</v>
      </c>
      <c r="N2962" s="6">
        <v>4.2050000000000001</v>
      </c>
      <c r="O2962" s="6">
        <v>1</v>
      </c>
      <c r="P2962" s="5">
        <v>-3740</v>
      </c>
      <c r="Q2962" s="4" t="s">
        <v>1392</v>
      </c>
    </row>
    <row r="2963" spans="1:17" x14ac:dyDescent="0.3">
      <c r="A2963" s="2" t="s">
        <v>1389</v>
      </c>
      <c r="B2963" s="3">
        <v>158427</v>
      </c>
      <c r="C2963" s="3">
        <v>219207</v>
      </c>
      <c r="D2963" s="4" t="s">
        <v>17</v>
      </c>
      <c r="E2963" s="4" t="s">
        <v>1201</v>
      </c>
      <c r="F2963" s="4" t="s">
        <v>32</v>
      </c>
      <c r="G2963" s="4" t="s">
        <v>20</v>
      </c>
      <c r="H2963" s="5">
        <v>-1000000</v>
      </c>
      <c r="I2963" s="4" t="s">
        <v>21</v>
      </c>
      <c r="J2963" s="5">
        <f t="shared" si="46"/>
        <v>4214800</v>
      </c>
      <c r="K2963" s="4" t="s">
        <v>51</v>
      </c>
      <c r="L2963" s="6">
        <v>4.2148000000000003</v>
      </c>
      <c r="M2963" s="6">
        <v>0.23730000000000001</v>
      </c>
      <c r="N2963" s="6">
        <v>4.2271000000000001</v>
      </c>
      <c r="O2963" s="6">
        <v>1</v>
      </c>
      <c r="P2963" s="5">
        <v>-13100</v>
      </c>
      <c r="Q2963" s="4" t="s">
        <v>1390</v>
      </c>
    </row>
    <row r="2964" spans="1:17" x14ac:dyDescent="0.3">
      <c r="A2964" s="2" t="s">
        <v>1389</v>
      </c>
      <c r="B2964" s="3">
        <v>158428</v>
      </c>
      <c r="C2964" s="3">
        <v>219208</v>
      </c>
      <c r="D2964" s="4" t="s">
        <v>17</v>
      </c>
      <c r="E2964" s="4" t="s">
        <v>1201</v>
      </c>
      <c r="F2964" s="4" t="s">
        <v>32</v>
      </c>
      <c r="G2964" s="4" t="s">
        <v>20</v>
      </c>
      <c r="H2964" s="5">
        <v>-1000000</v>
      </c>
      <c r="I2964" s="4" t="s">
        <v>21</v>
      </c>
      <c r="J2964" s="5">
        <f t="shared" si="46"/>
        <v>4214800</v>
      </c>
      <c r="K2964" s="4" t="s">
        <v>51</v>
      </c>
      <c r="L2964" s="6">
        <v>4.2148000000000003</v>
      </c>
      <c r="M2964" s="6">
        <v>0.23730000000000001</v>
      </c>
      <c r="N2964" s="6">
        <v>4.2271000000000001</v>
      </c>
      <c r="O2964" s="6">
        <v>1</v>
      </c>
      <c r="P2964" s="5">
        <v>-13100</v>
      </c>
      <c r="Q2964" s="4" t="s">
        <v>1390</v>
      </c>
    </row>
    <row r="2965" spans="1:17" x14ac:dyDescent="0.3">
      <c r="A2965" s="2" t="s">
        <v>1389</v>
      </c>
      <c r="B2965" s="3">
        <v>158429</v>
      </c>
      <c r="C2965" s="3">
        <v>219209</v>
      </c>
      <c r="D2965" s="4" t="s">
        <v>17</v>
      </c>
      <c r="E2965" s="4" t="s">
        <v>1201</v>
      </c>
      <c r="F2965" s="4" t="s">
        <v>32</v>
      </c>
      <c r="G2965" s="4" t="s">
        <v>20</v>
      </c>
      <c r="H2965" s="5">
        <v>-1000000</v>
      </c>
      <c r="I2965" s="4" t="s">
        <v>21</v>
      </c>
      <c r="J2965" s="5">
        <f t="shared" si="46"/>
        <v>4214800</v>
      </c>
      <c r="K2965" s="4" t="s">
        <v>51</v>
      </c>
      <c r="L2965" s="6">
        <v>4.2148000000000003</v>
      </c>
      <c r="M2965" s="6">
        <v>0.23730000000000001</v>
      </c>
      <c r="N2965" s="6">
        <v>4.2271000000000001</v>
      </c>
      <c r="O2965" s="6">
        <v>1</v>
      </c>
      <c r="P2965" s="5">
        <v>-13100</v>
      </c>
      <c r="Q2965" s="4" t="s">
        <v>1390</v>
      </c>
    </row>
    <row r="2966" spans="1:17" x14ac:dyDescent="0.3">
      <c r="A2966" s="2" t="s">
        <v>1389</v>
      </c>
      <c r="B2966" s="3">
        <v>158430</v>
      </c>
      <c r="C2966" s="3">
        <v>219210</v>
      </c>
      <c r="D2966" s="4" t="s">
        <v>17</v>
      </c>
      <c r="E2966" s="4" t="s">
        <v>1201</v>
      </c>
      <c r="F2966" s="4" t="s">
        <v>32</v>
      </c>
      <c r="G2966" s="4" t="s">
        <v>20</v>
      </c>
      <c r="H2966" s="5">
        <v>-1000000</v>
      </c>
      <c r="I2966" s="4" t="s">
        <v>21</v>
      </c>
      <c r="J2966" s="5">
        <f t="shared" si="46"/>
        <v>4215300</v>
      </c>
      <c r="K2966" s="4" t="s">
        <v>51</v>
      </c>
      <c r="L2966" s="6">
        <v>4.2153</v>
      </c>
      <c r="M2966" s="6">
        <v>0.23719999999999999</v>
      </c>
      <c r="N2966" s="6">
        <v>4.2271000000000001</v>
      </c>
      <c r="O2966" s="6">
        <v>1</v>
      </c>
      <c r="P2966" s="5">
        <v>-12600</v>
      </c>
      <c r="Q2966" s="4" t="s">
        <v>1390</v>
      </c>
    </row>
    <row r="2967" spans="1:17" x14ac:dyDescent="0.3">
      <c r="A2967" s="2" t="s">
        <v>1389</v>
      </c>
      <c r="B2967" s="3">
        <v>158431</v>
      </c>
      <c r="C2967" s="3">
        <v>219217</v>
      </c>
      <c r="D2967" s="4" t="s">
        <v>17</v>
      </c>
      <c r="E2967" s="4" t="s">
        <v>735</v>
      </c>
      <c r="F2967" s="4" t="s">
        <v>19</v>
      </c>
      <c r="G2967" s="4" t="s">
        <v>20</v>
      </c>
      <c r="H2967" s="5">
        <v>1660</v>
      </c>
      <c r="I2967" s="4" t="s">
        <v>21</v>
      </c>
      <c r="J2967" s="5">
        <f t="shared" si="46"/>
        <v>-6991.5880000000006</v>
      </c>
      <c r="K2967" s="4" t="s">
        <v>51</v>
      </c>
      <c r="L2967" s="6">
        <v>4.2118000000000002</v>
      </c>
      <c r="M2967" s="6">
        <v>0.2374</v>
      </c>
      <c r="N2967" s="6">
        <v>4.2271000000000001</v>
      </c>
      <c r="O2967" s="6">
        <v>1</v>
      </c>
      <c r="P2967" s="5">
        <v>25.397999999999229</v>
      </c>
      <c r="Q2967" s="4" t="s">
        <v>1394</v>
      </c>
    </row>
    <row r="2968" spans="1:17" x14ac:dyDescent="0.3">
      <c r="A2968" s="2" t="s">
        <v>1389</v>
      </c>
      <c r="B2968" s="3">
        <v>158432</v>
      </c>
      <c r="C2968" s="3">
        <v>219220</v>
      </c>
      <c r="D2968" s="4" t="s">
        <v>17</v>
      </c>
      <c r="E2968" s="4" t="s">
        <v>1302</v>
      </c>
      <c r="F2968" s="4" t="s">
        <v>32</v>
      </c>
      <c r="G2968" s="4" t="s">
        <v>20</v>
      </c>
      <c r="H2968" s="5">
        <v>-5000</v>
      </c>
      <c r="I2968" s="4" t="s">
        <v>21</v>
      </c>
      <c r="J2968" s="5">
        <f t="shared" si="46"/>
        <v>21092.5</v>
      </c>
      <c r="K2968" s="4" t="s">
        <v>52</v>
      </c>
      <c r="L2968" s="6">
        <v>4.2184999999999997</v>
      </c>
      <c r="M2968" s="6">
        <v>0.23710000000000001</v>
      </c>
      <c r="N2968" s="6">
        <v>4.2127999999999997</v>
      </c>
      <c r="O2968" s="6">
        <v>1</v>
      </c>
      <c r="P2968" s="5">
        <v>25.5</v>
      </c>
      <c r="Q2968" s="4" t="s">
        <v>1390</v>
      </c>
    </row>
    <row r="2969" spans="1:17" x14ac:dyDescent="0.3">
      <c r="A2969" s="2" t="s">
        <v>1389</v>
      </c>
      <c r="B2969" s="3">
        <v>158433</v>
      </c>
      <c r="C2969" s="3">
        <v>219222</v>
      </c>
      <c r="D2969" s="4" t="s">
        <v>17</v>
      </c>
      <c r="E2969" s="4" t="s">
        <v>1273</v>
      </c>
      <c r="F2969" s="4" t="s">
        <v>19</v>
      </c>
      <c r="G2969" s="4" t="s">
        <v>20</v>
      </c>
      <c r="H2969" s="5">
        <v>5000</v>
      </c>
      <c r="I2969" s="4" t="s">
        <v>21</v>
      </c>
      <c r="J2969" s="5">
        <f t="shared" si="46"/>
        <v>-21000</v>
      </c>
      <c r="K2969" s="4" t="s">
        <v>51</v>
      </c>
      <c r="L2969" s="6">
        <v>4.2</v>
      </c>
      <c r="M2969" s="6">
        <v>0.23810000000000001</v>
      </c>
      <c r="N2969" s="6">
        <v>4.2271000000000001</v>
      </c>
      <c r="O2969" s="6">
        <v>1</v>
      </c>
      <c r="P2969" s="5">
        <v>135.5</v>
      </c>
      <c r="Q2969" s="4" t="s">
        <v>1390</v>
      </c>
    </row>
    <row r="2970" spans="1:17" x14ac:dyDescent="0.3">
      <c r="A2970" s="2" t="s">
        <v>1389</v>
      </c>
      <c r="B2970" s="3">
        <v>158434</v>
      </c>
      <c r="C2970" s="3">
        <v>219224</v>
      </c>
      <c r="D2970" s="4" t="s">
        <v>17</v>
      </c>
      <c r="E2970" s="4" t="s">
        <v>1302</v>
      </c>
      <c r="F2970" s="4" t="s">
        <v>32</v>
      </c>
      <c r="G2970" s="4" t="s">
        <v>20</v>
      </c>
      <c r="H2970" s="5">
        <v>-3000</v>
      </c>
      <c r="I2970" s="4" t="s">
        <v>21</v>
      </c>
      <c r="J2970" s="5">
        <f t="shared" si="46"/>
        <v>12659.099999999999</v>
      </c>
      <c r="K2970" s="4" t="s">
        <v>52</v>
      </c>
      <c r="L2970" s="6">
        <v>4.2196999999999996</v>
      </c>
      <c r="M2970" s="6">
        <v>0.23699999999999999</v>
      </c>
      <c r="N2970" s="6">
        <v>4.2127999999999997</v>
      </c>
      <c r="O2970" s="6">
        <v>1</v>
      </c>
      <c r="P2970" s="5">
        <v>18.899999999999999</v>
      </c>
      <c r="Q2970" s="4" t="s">
        <v>1390</v>
      </c>
    </row>
    <row r="2971" spans="1:17" x14ac:dyDescent="0.3">
      <c r="A2971" s="2" t="s">
        <v>1389</v>
      </c>
      <c r="B2971" s="3">
        <v>158437</v>
      </c>
      <c r="C2971" s="3">
        <v>906585</v>
      </c>
      <c r="D2971" s="4" t="s">
        <v>81</v>
      </c>
      <c r="E2971" s="4" t="s">
        <v>742</v>
      </c>
      <c r="F2971" s="4" t="s">
        <v>87</v>
      </c>
      <c r="G2971" s="4" t="s">
        <v>20</v>
      </c>
      <c r="H2971" s="5">
        <v>500000</v>
      </c>
      <c r="I2971" s="4" t="s">
        <v>21</v>
      </c>
      <c r="J2971" s="5">
        <f t="shared" si="46"/>
        <v>-2106050</v>
      </c>
      <c r="K2971" s="4" t="s">
        <v>53</v>
      </c>
      <c r="L2971" s="6">
        <v>4.2121000000000004</v>
      </c>
      <c r="M2971" s="6">
        <v>0.2374</v>
      </c>
      <c r="N2971" s="6">
        <v>4.2050000000000001</v>
      </c>
      <c r="O2971" s="6">
        <v>1</v>
      </c>
      <c r="P2971" s="5">
        <v>-3550</v>
      </c>
      <c r="Q2971" s="4" t="s">
        <v>1396</v>
      </c>
    </row>
    <row r="2972" spans="1:17" x14ac:dyDescent="0.3">
      <c r="A2972" s="2" t="s">
        <v>1389</v>
      </c>
      <c r="B2972" s="3">
        <v>158438</v>
      </c>
      <c r="C2972" s="3">
        <v>219234</v>
      </c>
      <c r="D2972" s="4" t="s">
        <v>17</v>
      </c>
      <c r="E2972" s="4" t="s">
        <v>1120</v>
      </c>
      <c r="F2972" s="4" t="s">
        <v>19</v>
      </c>
      <c r="G2972" s="4" t="s">
        <v>20</v>
      </c>
      <c r="H2972" s="5">
        <v>150000</v>
      </c>
      <c r="I2972" s="4" t="s">
        <v>21</v>
      </c>
      <c r="J2972" s="5">
        <f t="shared" si="46"/>
        <v>-629520</v>
      </c>
      <c r="K2972" s="4" t="s">
        <v>51</v>
      </c>
      <c r="L2972" s="6">
        <v>4.1967999999999996</v>
      </c>
      <c r="M2972" s="6">
        <v>0.23830000000000001</v>
      </c>
      <c r="N2972" s="6">
        <v>4.2271000000000001</v>
      </c>
      <c r="O2972" s="6">
        <v>1</v>
      </c>
      <c r="P2972" s="5">
        <v>4545</v>
      </c>
      <c r="Q2972" s="4" t="s">
        <v>1390</v>
      </c>
    </row>
    <row r="2973" spans="1:17" x14ac:dyDescent="0.3">
      <c r="A2973" s="2" t="s">
        <v>1389</v>
      </c>
      <c r="B2973" s="3">
        <v>158440</v>
      </c>
      <c r="C2973" s="3">
        <v>906599</v>
      </c>
      <c r="D2973" s="4" t="s">
        <v>81</v>
      </c>
      <c r="E2973" s="4" t="s">
        <v>1092</v>
      </c>
      <c r="F2973" s="4" t="s">
        <v>83</v>
      </c>
      <c r="G2973" s="4" t="s">
        <v>34</v>
      </c>
      <c r="H2973" s="5">
        <v>-5000</v>
      </c>
      <c r="I2973" s="4" t="s">
        <v>21</v>
      </c>
      <c r="J2973" s="5">
        <f t="shared" si="46"/>
        <v>18038.5</v>
      </c>
      <c r="K2973" s="4" t="s">
        <v>53</v>
      </c>
      <c r="L2973" s="6">
        <v>3.6076999999999999</v>
      </c>
      <c r="M2973" s="6">
        <v>0.2772</v>
      </c>
      <c r="N2973" s="6">
        <v>3.5831</v>
      </c>
      <c r="O2973" s="6">
        <v>1</v>
      </c>
      <c r="P2973" s="5">
        <v>123</v>
      </c>
      <c r="Q2973" s="4" t="s">
        <v>1390</v>
      </c>
    </row>
    <row r="2974" spans="1:17" x14ac:dyDescent="0.3">
      <c r="A2974" s="2" t="s">
        <v>1389</v>
      </c>
      <c r="B2974" s="3">
        <v>158441</v>
      </c>
      <c r="C2974" s="3">
        <v>906600</v>
      </c>
      <c r="D2974" s="4" t="s">
        <v>81</v>
      </c>
      <c r="E2974" s="4" t="s">
        <v>734</v>
      </c>
      <c r="F2974" s="4" t="s">
        <v>83</v>
      </c>
      <c r="G2974" s="4" t="s">
        <v>20</v>
      </c>
      <c r="H2974" s="5">
        <v>-100000</v>
      </c>
      <c r="I2974" s="4" t="s">
        <v>34</v>
      </c>
      <c r="J2974" s="5">
        <f t="shared" si="46"/>
        <v>116940</v>
      </c>
      <c r="K2974" s="4" t="s">
        <v>53</v>
      </c>
      <c r="L2974" s="6">
        <v>1.1694</v>
      </c>
      <c r="M2974" s="6">
        <v>0.85519999999999996</v>
      </c>
      <c r="N2974" s="6">
        <v>4.2050000000000001</v>
      </c>
      <c r="O2974" s="6">
        <v>3.5831</v>
      </c>
      <c r="P2974" s="5">
        <v>-1499.4521999999999</v>
      </c>
      <c r="Q2974" s="4" t="s">
        <v>1393</v>
      </c>
    </row>
    <row r="2975" spans="1:17" x14ac:dyDescent="0.3">
      <c r="A2975" s="2" t="s">
        <v>1389</v>
      </c>
      <c r="B2975" s="3">
        <v>158442</v>
      </c>
      <c r="C2975" s="3">
        <v>219236</v>
      </c>
      <c r="D2975" s="4" t="s">
        <v>17</v>
      </c>
      <c r="E2975" s="4" t="s">
        <v>1092</v>
      </c>
      <c r="F2975" s="4" t="s">
        <v>32</v>
      </c>
      <c r="G2975" s="4" t="s">
        <v>20</v>
      </c>
      <c r="H2975" s="5">
        <v>-1000</v>
      </c>
      <c r="I2975" s="4" t="s">
        <v>21</v>
      </c>
      <c r="J2975" s="5">
        <f t="shared" si="46"/>
        <v>4217.7</v>
      </c>
      <c r="K2975" s="4" t="s">
        <v>51</v>
      </c>
      <c r="L2975" s="6">
        <v>4.2176999999999998</v>
      </c>
      <c r="M2975" s="6">
        <v>0.23710000000000001</v>
      </c>
      <c r="N2975" s="6">
        <v>4.2271000000000001</v>
      </c>
      <c r="O2975" s="6">
        <v>1</v>
      </c>
      <c r="P2975" s="5">
        <v>-10.199999999999999</v>
      </c>
      <c r="Q2975" s="4" t="s">
        <v>1390</v>
      </c>
    </row>
    <row r="2976" spans="1:17" x14ac:dyDescent="0.3">
      <c r="A2976" s="2" t="s">
        <v>1389</v>
      </c>
      <c r="B2976" s="3">
        <v>158443</v>
      </c>
      <c r="C2976" s="3">
        <v>219239</v>
      </c>
      <c r="D2976" s="4" t="s">
        <v>17</v>
      </c>
      <c r="E2976" s="4" t="s">
        <v>847</v>
      </c>
      <c r="F2976" s="4" t="s">
        <v>32</v>
      </c>
      <c r="G2976" s="4" t="s">
        <v>101</v>
      </c>
      <c r="H2976" s="5">
        <v>-2000000</v>
      </c>
      <c r="I2976" s="4" t="s">
        <v>21</v>
      </c>
      <c r="J2976" s="5">
        <f t="shared" si="46"/>
        <v>347400</v>
      </c>
      <c r="K2976" s="4" t="s">
        <v>51</v>
      </c>
      <c r="L2976" s="6">
        <v>0.17369999999999999</v>
      </c>
      <c r="M2976" s="6">
        <v>5.7571000000000003</v>
      </c>
      <c r="N2976" s="6">
        <v>0.1736</v>
      </c>
      <c r="O2976" s="6">
        <v>1</v>
      </c>
      <c r="P2976" s="5">
        <v>200</v>
      </c>
      <c r="Q2976" s="4" t="s">
        <v>1390</v>
      </c>
    </row>
    <row r="2977" spans="1:17" x14ac:dyDescent="0.3">
      <c r="A2977" s="2" t="s">
        <v>1389</v>
      </c>
      <c r="B2977" s="3">
        <v>158444</v>
      </c>
      <c r="C2977" s="3">
        <v>906629</v>
      </c>
      <c r="D2977" s="4" t="s">
        <v>81</v>
      </c>
      <c r="E2977" s="4" t="s">
        <v>735</v>
      </c>
      <c r="F2977" s="4" t="s">
        <v>83</v>
      </c>
      <c r="G2977" s="4" t="s">
        <v>20</v>
      </c>
      <c r="H2977" s="5">
        <v>-100000</v>
      </c>
      <c r="I2977" s="4" t="s">
        <v>80</v>
      </c>
      <c r="J2977" s="5">
        <f t="shared" si="46"/>
        <v>815279.99999999988</v>
      </c>
      <c r="K2977" s="4" t="s">
        <v>53</v>
      </c>
      <c r="L2977" s="6">
        <v>8.1527999999999992</v>
      </c>
      <c r="M2977" s="6">
        <v>0.1227</v>
      </c>
      <c r="N2977" s="6">
        <v>4.2050000000000001</v>
      </c>
      <c r="O2977" s="6">
        <v>0.51449999999999996</v>
      </c>
      <c r="P2977" s="5">
        <v>-1036.3820000000001</v>
      </c>
      <c r="Q2977" s="4" t="s">
        <v>1394</v>
      </c>
    </row>
    <row r="2978" spans="1:17" x14ac:dyDescent="0.3">
      <c r="A2978" s="2" t="s">
        <v>1389</v>
      </c>
      <c r="B2978" s="3">
        <v>158445</v>
      </c>
      <c r="C2978" s="3">
        <v>906636</v>
      </c>
      <c r="D2978" s="4" t="s">
        <v>81</v>
      </c>
      <c r="E2978" s="4" t="s">
        <v>734</v>
      </c>
      <c r="F2978" s="4" t="s">
        <v>83</v>
      </c>
      <c r="G2978" s="4" t="s">
        <v>20</v>
      </c>
      <c r="H2978" s="5">
        <v>-100000</v>
      </c>
      <c r="I2978" s="4" t="s">
        <v>34</v>
      </c>
      <c r="J2978" s="5">
        <f t="shared" si="46"/>
        <v>116960</v>
      </c>
      <c r="K2978" s="4" t="s">
        <v>53</v>
      </c>
      <c r="L2978" s="6">
        <v>1.1696</v>
      </c>
      <c r="M2978" s="6">
        <v>0.85499999999999998</v>
      </c>
      <c r="N2978" s="6">
        <v>4.2050000000000001</v>
      </c>
      <c r="O2978" s="6">
        <v>3.5831</v>
      </c>
      <c r="P2978" s="5">
        <v>-1424.2071000000001</v>
      </c>
      <c r="Q2978" s="4" t="s">
        <v>1393</v>
      </c>
    </row>
    <row r="2979" spans="1:17" x14ac:dyDescent="0.3">
      <c r="A2979" s="2" t="s">
        <v>1389</v>
      </c>
      <c r="B2979" s="3">
        <v>158446</v>
      </c>
      <c r="C2979" s="3">
        <v>906640</v>
      </c>
      <c r="D2979" s="4" t="s">
        <v>81</v>
      </c>
      <c r="E2979" s="4" t="s">
        <v>730</v>
      </c>
      <c r="F2979" s="4" t="s">
        <v>83</v>
      </c>
      <c r="G2979" s="4" t="s">
        <v>20</v>
      </c>
      <c r="H2979" s="5">
        <v>-100000</v>
      </c>
      <c r="I2979" s="4" t="s">
        <v>34</v>
      </c>
      <c r="J2979" s="5">
        <f t="shared" si="46"/>
        <v>116960</v>
      </c>
      <c r="K2979" s="4" t="s">
        <v>53</v>
      </c>
      <c r="L2979" s="6">
        <v>1.1696</v>
      </c>
      <c r="M2979" s="6">
        <v>0.85499999999999998</v>
      </c>
      <c r="N2979" s="6">
        <v>4.2050000000000001</v>
      </c>
      <c r="O2979" s="6">
        <v>3.5831</v>
      </c>
      <c r="P2979" s="5">
        <v>-1417.0409</v>
      </c>
      <c r="Q2979" s="4" t="s">
        <v>1396</v>
      </c>
    </row>
    <row r="2980" spans="1:17" x14ac:dyDescent="0.3">
      <c r="A2980" s="2" t="s">
        <v>1389</v>
      </c>
      <c r="B2980" s="3">
        <v>158447</v>
      </c>
      <c r="C2980" s="3">
        <v>906641</v>
      </c>
      <c r="D2980" s="4" t="s">
        <v>81</v>
      </c>
      <c r="E2980" s="4" t="s">
        <v>734</v>
      </c>
      <c r="F2980" s="4" t="s">
        <v>87</v>
      </c>
      <c r="G2980" s="4" t="s">
        <v>20</v>
      </c>
      <c r="H2980" s="5">
        <v>200000</v>
      </c>
      <c r="I2980" s="4" t="s">
        <v>21</v>
      </c>
      <c r="J2980" s="5">
        <f t="shared" si="46"/>
        <v>-842099.99999999988</v>
      </c>
      <c r="K2980" s="4" t="s">
        <v>53</v>
      </c>
      <c r="L2980" s="6">
        <v>4.2104999999999997</v>
      </c>
      <c r="M2980" s="6">
        <v>0.23749999999999999</v>
      </c>
      <c r="N2980" s="6">
        <v>4.2050000000000001</v>
      </c>
      <c r="O2980" s="6">
        <v>1</v>
      </c>
      <c r="P2980" s="5">
        <v>-1100</v>
      </c>
      <c r="Q2980" s="4" t="s">
        <v>1393</v>
      </c>
    </row>
    <row r="2981" spans="1:17" x14ac:dyDescent="0.3">
      <c r="A2981" s="2" t="s">
        <v>1389</v>
      </c>
      <c r="B2981" s="3">
        <v>158448</v>
      </c>
      <c r="C2981" s="3">
        <v>906654</v>
      </c>
      <c r="D2981" s="4" t="s">
        <v>81</v>
      </c>
      <c r="E2981" s="4" t="s">
        <v>1092</v>
      </c>
      <c r="F2981" s="4" t="s">
        <v>83</v>
      </c>
      <c r="G2981" s="4" t="s">
        <v>34</v>
      </c>
      <c r="H2981" s="5">
        <v>-5000</v>
      </c>
      <c r="I2981" s="4" t="s">
        <v>21</v>
      </c>
      <c r="J2981" s="5">
        <f t="shared" si="46"/>
        <v>18029.5</v>
      </c>
      <c r="K2981" s="4" t="s">
        <v>53</v>
      </c>
      <c r="L2981" s="6">
        <v>3.6059000000000001</v>
      </c>
      <c r="M2981" s="6">
        <v>0.27729999999999999</v>
      </c>
      <c r="N2981" s="6">
        <v>3.5831</v>
      </c>
      <c r="O2981" s="6">
        <v>1</v>
      </c>
      <c r="P2981" s="5">
        <v>114</v>
      </c>
      <c r="Q2981" s="4" t="s">
        <v>1390</v>
      </c>
    </row>
    <row r="2982" spans="1:17" x14ac:dyDescent="0.3">
      <c r="A2982" s="2" t="s">
        <v>1389</v>
      </c>
      <c r="B2982" s="3">
        <v>158449</v>
      </c>
      <c r="C2982" s="3">
        <v>906661</v>
      </c>
      <c r="D2982" s="4" t="s">
        <v>81</v>
      </c>
      <c r="E2982" s="4" t="s">
        <v>1262</v>
      </c>
      <c r="F2982" s="4" t="s">
        <v>87</v>
      </c>
      <c r="G2982" s="4" t="s">
        <v>20</v>
      </c>
      <c r="H2982" s="5">
        <v>7300</v>
      </c>
      <c r="I2982" s="4" t="s">
        <v>21</v>
      </c>
      <c r="J2982" s="5">
        <f t="shared" si="46"/>
        <v>-30700.149999999998</v>
      </c>
      <c r="K2982" s="4" t="s">
        <v>53</v>
      </c>
      <c r="L2982" s="6">
        <v>4.2054999999999998</v>
      </c>
      <c r="M2982" s="6">
        <v>0.23780000000000001</v>
      </c>
      <c r="N2982" s="6">
        <v>4.2050000000000001</v>
      </c>
      <c r="O2982" s="6">
        <v>1</v>
      </c>
      <c r="P2982" s="5">
        <v>-3.65</v>
      </c>
      <c r="Q2982" s="4" t="s">
        <v>1390</v>
      </c>
    </row>
    <row r="2983" spans="1:17" x14ac:dyDescent="0.3">
      <c r="A2983" s="2" t="s">
        <v>1389</v>
      </c>
      <c r="B2983" s="3">
        <v>158451</v>
      </c>
      <c r="C2983" s="3">
        <v>906665</v>
      </c>
      <c r="D2983" s="4" t="s">
        <v>81</v>
      </c>
      <c r="E2983" s="4" t="s">
        <v>733</v>
      </c>
      <c r="F2983" s="4" t="s">
        <v>87</v>
      </c>
      <c r="G2983" s="4" t="s">
        <v>20</v>
      </c>
      <c r="H2983" s="5">
        <v>50000</v>
      </c>
      <c r="I2983" s="4" t="s">
        <v>598</v>
      </c>
      <c r="J2983" s="5">
        <f t="shared" si="46"/>
        <v>-19174900</v>
      </c>
      <c r="K2983" s="4" t="s">
        <v>53</v>
      </c>
      <c r="L2983" s="6">
        <v>383.49799999999999</v>
      </c>
      <c r="M2983" s="6">
        <v>2.5999999999999999E-3</v>
      </c>
      <c r="N2983" s="6">
        <v>4.2050000000000001</v>
      </c>
      <c r="O2983" s="6">
        <v>1.0992E-2</v>
      </c>
      <c r="P2983" s="5">
        <v>-520.50080000000889</v>
      </c>
      <c r="Q2983" s="4" t="s">
        <v>1391</v>
      </c>
    </row>
    <row r="2984" spans="1:17" x14ac:dyDescent="0.3">
      <c r="A2984" s="2" t="s">
        <v>1389</v>
      </c>
      <c r="B2984" s="3">
        <v>158454</v>
      </c>
      <c r="C2984" s="3">
        <v>219249</v>
      </c>
      <c r="D2984" s="4" t="s">
        <v>17</v>
      </c>
      <c r="E2984" s="4" t="s">
        <v>1042</v>
      </c>
      <c r="F2984" s="4" t="s">
        <v>19</v>
      </c>
      <c r="G2984" s="4" t="s">
        <v>20</v>
      </c>
      <c r="H2984" s="5">
        <v>219778.54</v>
      </c>
      <c r="I2984" s="4" t="s">
        <v>21</v>
      </c>
      <c r="J2984" s="5">
        <f t="shared" si="46"/>
        <v>-924212.71640799998</v>
      </c>
      <c r="K2984" s="4" t="s">
        <v>51</v>
      </c>
      <c r="L2984" s="6">
        <v>4.2051999999999996</v>
      </c>
      <c r="M2984" s="6">
        <v>0.23780000000000001</v>
      </c>
      <c r="N2984" s="6">
        <v>4.2271000000000001</v>
      </c>
      <c r="O2984" s="6">
        <v>1</v>
      </c>
      <c r="P2984" s="5">
        <v>4813.1500260001048</v>
      </c>
      <c r="Q2984" s="4" t="s">
        <v>1390</v>
      </c>
    </row>
    <row r="2985" spans="1:17" x14ac:dyDescent="0.3">
      <c r="A2985" s="2" t="s">
        <v>1389</v>
      </c>
      <c r="B2985" s="3">
        <v>158455</v>
      </c>
      <c r="C2985" s="3">
        <v>219250</v>
      </c>
      <c r="D2985" s="4" t="s">
        <v>17</v>
      </c>
      <c r="E2985" s="4" t="s">
        <v>891</v>
      </c>
      <c r="F2985" s="4" t="s">
        <v>32</v>
      </c>
      <c r="G2985" s="4" t="s">
        <v>34</v>
      </c>
      <c r="H2985" s="5">
        <v>-37000</v>
      </c>
      <c r="I2985" s="4" t="s">
        <v>21</v>
      </c>
      <c r="J2985" s="5">
        <f t="shared" si="46"/>
        <v>133385</v>
      </c>
      <c r="K2985" s="4" t="s">
        <v>51</v>
      </c>
      <c r="L2985" s="6">
        <v>3.605</v>
      </c>
      <c r="M2985" s="6">
        <v>0.27739999999999998</v>
      </c>
      <c r="N2985" s="6">
        <v>3.6118000000000001</v>
      </c>
      <c r="O2985" s="6">
        <v>1</v>
      </c>
      <c r="P2985" s="5">
        <v>-251.6</v>
      </c>
      <c r="Q2985" s="4" t="s">
        <v>1390</v>
      </c>
    </row>
    <row r="2986" spans="1:17" x14ac:dyDescent="0.3">
      <c r="A2986" s="2" t="s">
        <v>1389</v>
      </c>
      <c r="B2986" s="3">
        <v>158456</v>
      </c>
      <c r="C2986" s="3">
        <v>906681</v>
      </c>
      <c r="D2986" s="4" t="s">
        <v>81</v>
      </c>
      <c r="E2986" s="4" t="s">
        <v>734</v>
      </c>
      <c r="F2986" s="4" t="s">
        <v>87</v>
      </c>
      <c r="G2986" s="4" t="s">
        <v>34</v>
      </c>
      <c r="H2986" s="5">
        <v>200000</v>
      </c>
      <c r="I2986" s="4" t="s">
        <v>21</v>
      </c>
      <c r="J2986" s="5">
        <f t="shared" si="46"/>
        <v>-719600</v>
      </c>
      <c r="K2986" s="4" t="s">
        <v>53</v>
      </c>
      <c r="L2986" s="6">
        <v>3.5979999999999999</v>
      </c>
      <c r="M2986" s="6">
        <v>0.27789999999999998</v>
      </c>
      <c r="N2986" s="6">
        <v>3.5831</v>
      </c>
      <c r="O2986" s="6">
        <v>1</v>
      </c>
      <c r="P2986" s="5">
        <v>-2980</v>
      </c>
      <c r="Q2986" s="4" t="s">
        <v>1393</v>
      </c>
    </row>
    <row r="2987" spans="1:17" x14ac:dyDescent="0.3">
      <c r="A2987" s="2" t="s">
        <v>1389</v>
      </c>
      <c r="B2987" s="3">
        <v>158457</v>
      </c>
      <c r="C2987" s="3">
        <v>219252</v>
      </c>
      <c r="D2987" s="4" t="s">
        <v>17</v>
      </c>
      <c r="E2987" s="4" t="s">
        <v>1316</v>
      </c>
      <c r="F2987" s="4" t="s">
        <v>32</v>
      </c>
      <c r="G2987" s="4" t="s">
        <v>20</v>
      </c>
      <c r="H2987" s="5">
        <v>-100000</v>
      </c>
      <c r="I2987" s="4" t="s">
        <v>21</v>
      </c>
      <c r="J2987" s="5">
        <f t="shared" si="46"/>
        <v>421180</v>
      </c>
      <c r="K2987" s="4" t="s">
        <v>51</v>
      </c>
      <c r="L2987" s="6">
        <v>4.2118000000000002</v>
      </c>
      <c r="M2987" s="6">
        <v>0.2374</v>
      </c>
      <c r="N2987" s="6">
        <v>4.2271000000000001</v>
      </c>
      <c r="O2987" s="6">
        <v>1</v>
      </c>
      <c r="P2987" s="5">
        <v>-1610</v>
      </c>
      <c r="Q2987" s="4" t="s">
        <v>1390</v>
      </c>
    </row>
    <row r="2988" spans="1:17" x14ac:dyDescent="0.3">
      <c r="A2988" s="2" t="s">
        <v>1389</v>
      </c>
      <c r="B2988" s="3">
        <v>158458</v>
      </c>
      <c r="C2988" s="3">
        <v>906685</v>
      </c>
      <c r="D2988" s="4" t="s">
        <v>81</v>
      </c>
      <c r="E2988" s="4" t="s">
        <v>1327</v>
      </c>
      <c r="F2988" s="4" t="s">
        <v>83</v>
      </c>
      <c r="G2988" s="4" t="s">
        <v>20</v>
      </c>
      <c r="H2988" s="5">
        <v>-20000</v>
      </c>
      <c r="I2988" s="4" t="s">
        <v>21</v>
      </c>
      <c r="J2988" s="5">
        <f t="shared" si="46"/>
        <v>84346</v>
      </c>
      <c r="K2988" s="4" t="s">
        <v>53</v>
      </c>
      <c r="L2988" s="6">
        <v>4.2172999999999998</v>
      </c>
      <c r="M2988" s="6">
        <v>0.23710000000000001</v>
      </c>
      <c r="N2988" s="6">
        <v>4.2050000000000001</v>
      </c>
      <c r="O2988" s="6">
        <v>1</v>
      </c>
      <c r="P2988" s="5">
        <v>246</v>
      </c>
      <c r="Q2988" s="4" t="s">
        <v>1390</v>
      </c>
    </row>
    <row r="2989" spans="1:17" x14ac:dyDescent="0.3">
      <c r="A2989" s="2" t="s">
        <v>1389</v>
      </c>
      <c r="B2989" s="3">
        <v>158461</v>
      </c>
      <c r="C2989" s="3">
        <v>219260</v>
      </c>
      <c r="D2989" s="4" t="s">
        <v>17</v>
      </c>
      <c r="E2989" s="4" t="s">
        <v>1057</v>
      </c>
      <c r="F2989" s="4" t="s">
        <v>19</v>
      </c>
      <c r="G2989" s="4" t="s">
        <v>20</v>
      </c>
      <c r="H2989" s="5">
        <v>30000</v>
      </c>
      <c r="I2989" s="4" t="s">
        <v>21</v>
      </c>
      <c r="J2989" s="5">
        <f t="shared" si="46"/>
        <v>-126207</v>
      </c>
      <c r="K2989" s="4" t="s">
        <v>51</v>
      </c>
      <c r="L2989" s="6">
        <v>4.2069000000000001</v>
      </c>
      <c r="M2989" s="6">
        <v>0.23769999999999999</v>
      </c>
      <c r="N2989" s="6">
        <v>4.2271000000000001</v>
      </c>
      <c r="O2989" s="6">
        <v>1</v>
      </c>
      <c r="P2989" s="5">
        <v>606</v>
      </c>
      <c r="Q2989" s="4" t="s">
        <v>1390</v>
      </c>
    </row>
    <row r="2990" spans="1:17" x14ac:dyDescent="0.3">
      <c r="A2990" s="2" t="s">
        <v>1389</v>
      </c>
      <c r="B2990" s="3">
        <v>158463</v>
      </c>
      <c r="C2990" s="3">
        <v>219263</v>
      </c>
      <c r="D2990" s="4" t="s">
        <v>17</v>
      </c>
      <c r="E2990" s="4" t="s">
        <v>1221</v>
      </c>
      <c r="F2990" s="4" t="s">
        <v>32</v>
      </c>
      <c r="G2990" s="4" t="s">
        <v>34</v>
      </c>
      <c r="H2990" s="5">
        <v>-200000</v>
      </c>
      <c r="I2990" s="4" t="s">
        <v>21</v>
      </c>
      <c r="J2990" s="5">
        <f t="shared" si="46"/>
        <v>720000</v>
      </c>
      <c r="K2990" s="4" t="s">
        <v>51</v>
      </c>
      <c r="L2990" s="6">
        <v>3.6</v>
      </c>
      <c r="M2990" s="6">
        <v>0.27779999999999999</v>
      </c>
      <c r="N2990" s="6">
        <v>3.6118000000000001</v>
      </c>
      <c r="O2990" s="6">
        <v>1</v>
      </c>
      <c r="P2990" s="5">
        <v>-2360</v>
      </c>
      <c r="Q2990" s="4" t="s">
        <v>1390</v>
      </c>
    </row>
    <row r="2991" spans="1:17" x14ac:dyDescent="0.3">
      <c r="A2991" s="2" t="s">
        <v>1389</v>
      </c>
      <c r="B2991" s="3">
        <v>158464</v>
      </c>
      <c r="C2991" s="3">
        <v>906720</v>
      </c>
      <c r="D2991" s="4" t="s">
        <v>81</v>
      </c>
      <c r="E2991" s="4" t="s">
        <v>1302</v>
      </c>
      <c r="F2991" s="4" t="s">
        <v>83</v>
      </c>
      <c r="G2991" s="4" t="s">
        <v>20</v>
      </c>
      <c r="H2991" s="5">
        <v>-10000</v>
      </c>
      <c r="I2991" s="4" t="s">
        <v>21</v>
      </c>
      <c r="J2991" s="5">
        <f t="shared" si="46"/>
        <v>42170</v>
      </c>
      <c r="K2991" s="4" t="s">
        <v>53</v>
      </c>
      <c r="L2991" s="6">
        <v>4.2169999999999996</v>
      </c>
      <c r="M2991" s="6">
        <v>0.23710000000000001</v>
      </c>
      <c r="N2991" s="6">
        <v>4.2050000000000001</v>
      </c>
      <c r="O2991" s="6">
        <v>1</v>
      </c>
      <c r="P2991" s="5">
        <v>120</v>
      </c>
      <c r="Q2991" s="4" t="s">
        <v>1390</v>
      </c>
    </row>
    <row r="2992" spans="1:17" x14ac:dyDescent="0.3">
      <c r="A2992" s="2" t="s">
        <v>1389</v>
      </c>
      <c r="B2992" s="3">
        <v>158465</v>
      </c>
      <c r="C2992" s="3">
        <v>219265</v>
      </c>
      <c r="D2992" s="4" t="s">
        <v>17</v>
      </c>
      <c r="E2992" s="4" t="s">
        <v>1192</v>
      </c>
      <c r="F2992" s="4" t="s">
        <v>19</v>
      </c>
      <c r="G2992" s="4" t="s">
        <v>34</v>
      </c>
      <c r="H2992" s="5">
        <v>100055.59</v>
      </c>
      <c r="I2992" s="4" t="s">
        <v>21</v>
      </c>
      <c r="J2992" s="5">
        <f t="shared" si="46"/>
        <v>-359799.90164</v>
      </c>
      <c r="K2992" s="4" t="s">
        <v>51</v>
      </c>
      <c r="L2992" s="6">
        <v>3.5960000000000001</v>
      </c>
      <c r="M2992" s="6">
        <v>0.27810000000000001</v>
      </c>
      <c r="N2992" s="6">
        <v>3.6118000000000001</v>
      </c>
      <c r="O2992" s="6">
        <v>1</v>
      </c>
      <c r="P2992" s="5">
        <v>1580.878321999975</v>
      </c>
      <c r="Q2992" s="4" t="s">
        <v>1390</v>
      </c>
    </row>
    <row r="2993" spans="1:17" x14ac:dyDescent="0.3">
      <c r="A2993" s="2" t="s">
        <v>1389</v>
      </c>
      <c r="B2993" s="3">
        <v>158467</v>
      </c>
      <c r="C2993" s="3">
        <v>219266</v>
      </c>
      <c r="D2993" s="4" t="s">
        <v>17</v>
      </c>
      <c r="E2993" s="4" t="s">
        <v>1341</v>
      </c>
      <c r="F2993" s="4" t="s">
        <v>19</v>
      </c>
      <c r="G2993" s="4" t="s">
        <v>21</v>
      </c>
      <c r="H2993" s="5">
        <v>450000</v>
      </c>
      <c r="I2993" s="4" t="s">
        <v>20</v>
      </c>
      <c r="J2993" s="5">
        <f t="shared" si="46"/>
        <v>-1900214.9999999998</v>
      </c>
      <c r="K2993" s="4" t="s">
        <v>51</v>
      </c>
      <c r="L2993" s="6">
        <v>4.2226999999999997</v>
      </c>
      <c r="M2993" s="6">
        <v>0.23680000000000001</v>
      </c>
      <c r="N2993" s="6">
        <v>1</v>
      </c>
      <c r="O2993" s="6">
        <v>4.2271000000000001</v>
      </c>
      <c r="P2993" s="5">
        <v>-7582398.8264999995</v>
      </c>
      <c r="Q2993" s="4" t="s">
        <v>1390</v>
      </c>
    </row>
    <row r="2994" spans="1:17" x14ac:dyDescent="0.3">
      <c r="A2994" s="2" t="s">
        <v>1389</v>
      </c>
      <c r="B2994" s="3">
        <v>158469</v>
      </c>
      <c r="C2994" s="3">
        <v>219268</v>
      </c>
      <c r="D2994" s="4" t="s">
        <v>17</v>
      </c>
      <c r="E2994" s="4" t="s">
        <v>843</v>
      </c>
      <c r="F2994" s="4" t="s">
        <v>32</v>
      </c>
      <c r="G2994" s="4" t="s">
        <v>20</v>
      </c>
      <c r="H2994" s="5">
        <v>-19600</v>
      </c>
      <c r="I2994" s="4" t="s">
        <v>21</v>
      </c>
      <c r="J2994" s="5">
        <f t="shared" si="46"/>
        <v>82663</v>
      </c>
      <c r="K2994" s="4" t="s">
        <v>51</v>
      </c>
      <c r="L2994" s="6">
        <v>4.2175000000000002</v>
      </c>
      <c r="M2994" s="6">
        <v>0.23710000000000001</v>
      </c>
      <c r="N2994" s="6">
        <v>4.2271000000000001</v>
      </c>
      <c r="O2994" s="6">
        <v>1</v>
      </c>
      <c r="P2994" s="5">
        <v>-188.16</v>
      </c>
      <c r="Q2994" s="4" t="s">
        <v>1390</v>
      </c>
    </row>
    <row r="2995" spans="1:17" x14ac:dyDescent="0.3">
      <c r="A2995" s="2" t="s">
        <v>1389</v>
      </c>
      <c r="B2995" s="3">
        <v>158472</v>
      </c>
      <c r="C2995" s="3">
        <v>219271</v>
      </c>
      <c r="D2995" s="4" t="s">
        <v>17</v>
      </c>
      <c r="E2995" s="4" t="s">
        <v>887</v>
      </c>
      <c r="F2995" s="4" t="s">
        <v>32</v>
      </c>
      <c r="G2995" s="4" t="s">
        <v>34</v>
      </c>
      <c r="H2995" s="5">
        <v>-20000</v>
      </c>
      <c r="I2995" s="4" t="s">
        <v>21</v>
      </c>
      <c r="J2995" s="5">
        <f t="shared" si="46"/>
        <v>72120</v>
      </c>
      <c r="K2995" s="4" t="s">
        <v>51</v>
      </c>
      <c r="L2995" s="6">
        <v>3.6059999999999999</v>
      </c>
      <c r="M2995" s="6">
        <v>0.27729999999999999</v>
      </c>
      <c r="N2995" s="6">
        <v>3.6118000000000001</v>
      </c>
      <c r="O2995" s="6">
        <v>1</v>
      </c>
      <c r="P2995" s="5">
        <v>-116</v>
      </c>
      <c r="Q2995" s="4" t="s">
        <v>1390</v>
      </c>
    </row>
    <row r="2996" spans="1:17" x14ac:dyDescent="0.3">
      <c r="A2996" s="2" t="s">
        <v>1389</v>
      </c>
      <c r="B2996" s="3">
        <v>158473</v>
      </c>
      <c r="C2996" s="3">
        <v>219274</v>
      </c>
      <c r="D2996" s="4" t="s">
        <v>17</v>
      </c>
      <c r="E2996" s="4" t="s">
        <v>887</v>
      </c>
      <c r="F2996" s="4" t="s">
        <v>19</v>
      </c>
      <c r="G2996" s="4" t="s">
        <v>20</v>
      </c>
      <c r="H2996" s="5">
        <v>1000</v>
      </c>
      <c r="I2996" s="4" t="s">
        <v>21</v>
      </c>
      <c r="J2996" s="5">
        <f t="shared" si="46"/>
        <v>-4193.8</v>
      </c>
      <c r="K2996" s="4" t="s">
        <v>51</v>
      </c>
      <c r="L2996" s="6">
        <v>4.1938000000000004</v>
      </c>
      <c r="M2996" s="6">
        <v>0.2384</v>
      </c>
      <c r="N2996" s="6">
        <v>4.2271000000000001</v>
      </c>
      <c r="O2996" s="6">
        <v>1</v>
      </c>
      <c r="P2996" s="5">
        <v>33.300000000000182</v>
      </c>
      <c r="Q2996" s="4" t="s">
        <v>1390</v>
      </c>
    </row>
    <row r="2997" spans="1:17" x14ac:dyDescent="0.3">
      <c r="A2997" s="2" t="s">
        <v>1389</v>
      </c>
      <c r="B2997" s="3">
        <v>158474</v>
      </c>
      <c r="C2997" s="3">
        <v>906762</v>
      </c>
      <c r="D2997" s="4" t="s">
        <v>81</v>
      </c>
      <c r="E2997" s="4" t="s">
        <v>734</v>
      </c>
      <c r="F2997" s="4" t="s">
        <v>87</v>
      </c>
      <c r="G2997" s="4" t="s">
        <v>34</v>
      </c>
      <c r="H2997" s="5">
        <v>300000</v>
      </c>
      <c r="I2997" s="4" t="s">
        <v>21</v>
      </c>
      <c r="J2997" s="5">
        <f t="shared" si="46"/>
        <v>-1078950</v>
      </c>
      <c r="K2997" s="4" t="s">
        <v>53</v>
      </c>
      <c r="L2997" s="6">
        <v>3.5964999999999998</v>
      </c>
      <c r="M2997" s="6">
        <v>0.27800000000000002</v>
      </c>
      <c r="N2997" s="6">
        <v>3.5831</v>
      </c>
      <c r="O2997" s="6">
        <v>1</v>
      </c>
      <c r="P2997" s="5">
        <v>-4020</v>
      </c>
      <c r="Q2997" s="4" t="s">
        <v>1393</v>
      </c>
    </row>
    <row r="2998" spans="1:17" x14ac:dyDescent="0.3">
      <c r="A2998" s="2" t="s">
        <v>1389</v>
      </c>
      <c r="B2998" s="3">
        <v>158475</v>
      </c>
      <c r="C2998" s="3">
        <v>906763</v>
      </c>
      <c r="D2998" s="4" t="s">
        <v>81</v>
      </c>
      <c r="E2998" s="4" t="s">
        <v>734</v>
      </c>
      <c r="F2998" s="4" t="s">
        <v>87</v>
      </c>
      <c r="G2998" s="4" t="s">
        <v>34</v>
      </c>
      <c r="H2998" s="5">
        <v>300000</v>
      </c>
      <c r="I2998" s="4" t="s">
        <v>21</v>
      </c>
      <c r="J2998" s="5">
        <f t="shared" si="46"/>
        <v>-1078950</v>
      </c>
      <c r="K2998" s="4" t="s">
        <v>53</v>
      </c>
      <c r="L2998" s="6">
        <v>3.5964999999999998</v>
      </c>
      <c r="M2998" s="6">
        <v>0.27800000000000002</v>
      </c>
      <c r="N2998" s="6">
        <v>3.5831</v>
      </c>
      <c r="O2998" s="6">
        <v>1</v>
      </c>
      <c r="P2998" s="5">
        <v>-4020</v>
      </c>
      <c r="Q2998" s="4" t="s">
        <v>1393</v>
      </c>
    </row>
    <row r="2999" spans="1:17" x14ac:dyDescent="0.3">
      <c r="A2999" s="2" t="s">
        <v>1389</v>
      </c>
      <c r="B2999" s="3">
        <v>158477</v>
      </c>
      <c r="C2999" s="3">
        <v>906771</v>
      </c>
      <c r="D2999" s="4" t="s">
        <v>81</v>
      </c>
      <c r="E2999" s="4" t="s">
        <v>730</v>
      </c>
      <c r="F2999" s="4" t="s">
        <v>87</v>
      </c>
      <c r="G2999" s="4" t="s">
        <v>20</v>
      </c>
      <c r="H2999" s="5">
        <v>100000</v>
      </c>
      <c r="I2999" s="4" t="s">
        <v>74</v>
      </c>
      <c r="J2999" s="5">
        <f t="shared" si="46"/>
        <v>-1156750</v>
      </c>
      <c r="K2999" s="4" t="s">
        <v>53</v>
      </c>
      <c r="L2999" s="6">
        <v>11.567500000000001</v>
      </c>
      <c r="M2999" s="6">
        <v>8.6400000000000005E-2</v>
      </c>
      <c r="N2999" s="6">
        <v>4.2050000000000001</v>
      </c>
      <c r="O2999" s="6">
        <v>0.36320000000000002</v>
      </c>
      <c r="P2999" s="5">
        <v>368.4</v>
      </c>
      <c r="Q2999" s="4" t="s">
        <v>1396</v>
      </c>
    </row>
    <row r="3000" spans="1:17" x14ac:dyDescent="0.3">
      <c r="A3000" s="2" t="s">
        <v>1389</v>
      </c>
      <c r="B3000" s="3">
        <v>158478</v>
      </c>
      <c r="C3000" s="3">
        <v>906775</v>
      </c>
      <c r="D3000" s="4" t="s">
        <v>81</v>
      </c>
      <c r="E3000" s="4" t="s">
        <v>730</v>
      </c>
      <c r="F3000" s="4" t="s">
        <v>87</v>
      </c>
      <c r="G3000" s="4" t="s">
        <v>20</v>
      </c>
      <c r="H3000" s="5">
        <v>100000</v>
      </c>
      <c r="I3000" s="4" t="s">
        <v>74</v>
      </c>
      <c r="J3000" s="5">
        <f t="shared" si="46"/>
        <v>-1156750</v>
      </c>
      <c r="K3000" s="4" t="s">
        <v>53</v>
      </c>
      <c r="L3000" s="6">
        <v>11.567500000000001</v>
      </c>
      <c r="M3000" s="6">
        <v>8.6400000000000005E-2</v>
      </c>
      <c r="N3000" s="6">
        <v>4.2050000000000001</v>
      </c>
      <c r="O3000" s="6">
        <v>0.36320000000000002</v>
      </c>
      <c r="P3000" s="5">
        <v>368.4</v>
      </c>
      <c r="Q3000" s="4" t="s">
        <v>1396</v>
      </c>
    </row>
    <row r="3001" spans="1:17" x14ac:dyDescent="0.3">
      <c r="A3001" s="2" t="s">
        <v>1389</v>
      </c>
      <c r="B3001" s="3">
        <v>158479</v>
      </c>
      <c r="C3001" s="3">
        <v>906776</v>
      </c>
      <c r="D3001" s="4" t="s">
        <v>81</v>
      </c>
      <c r="E3001" s="4" t="s">
        <v>734</v>
      </c>
      <c r="F3001" s="4" t="s">
        <v>83</v>
      </c>
      <c r="G3001" s="4" t="s">
        <v>20</v>
      </c>
      <c r="H3001" s="5">
        <v>-100000</v>
      </c>
      <c r="I3001" s="4" t="s">
        <v>34</v>
      </c>
      <c r="J3001" s="5">
        <f t="shared" si="46"/>
        <v>117040.00000000001</v>
      </c>
      <c r="K3001" s="4" t="s">
        <v>53</v>
      </c>
      <c r="L3001" s="6">
        <v>1.1704000000000001</v>
      </c>
      <c r="M3001" s="6">
        <v>0.85440000000000005</v>
      </c>
      <c r="N3001" s="6">
        <v>4.2050000000000001</v>
      </c>
      <c r="O3001" s="6">
        <v>3.5831</v>
      </c>
      <c r="P3001" s="5">
        <v>-1137.5590999999999</v>
      </c>
      <c r="Q3001" s="4" t="s">
        <v>1393</v>
      </c>
    </row>
    <row r="3002" spans="1:17" x14ac:dyDescent="0.3">
      <c r="A3002" s="2" t="s">
        <v>1389</v>
      </c>
      <c r="B3002" s="3">
        <v>158481</v>
      </c>
      <c r="C3002" s="3">
        <v>219279</v>
      </c>
      <c r="D3002" s="4" t="s">
        <v>17</v>
      </c>
      <c r="E3002" s="4" t="s">
        <v>1316</v>
      </c>
      <c r="F3002" s="4" t="s">
        <v>32</v>
      </c>
      <c r="G3002" s="4" t="s">
        <v>20</v>
      </c>
      <c r="H3002" s="5">
        <v>-100000</v>
      </c>
      <c r="I3002" s="4" t="s">
        <v>21</v>
      </c>
      <c r="J3002" s="5">
        <f t="shared" si="46"/>
        <v>421080</v>
      </c>
      <c r="K3002" s="4" t="s">
        <v>51</v>
      </c>
      <c r="L3002" s="6">
        <v>4.2107999999999999</v>
      </c>
      <c r="M3002" s="6">
        <v>0.23749999999999999</v>
      </c>
      <c r="N3002" s="6">
        <v>4.2271000000000001</v>
      </c>
      <c r="O3002" s="6">
        <v>1</v>
      </c>
      <c r="P3002" s="5">
        <v>-1710</v>
      </c>
      <c r="Q3002" s="4" t="s">
        <v>1390</v>
      </c>
    </row>
    <row r="3003" spans="1:17" x14ac:dyDescent="0.3">
      <c r="A3003" s="2" t="s">
        <v>1389</v>
      </c>
      <c r="B3003" s="3">
        <v>158482</v>
      </c>
      <c r="C3003" s="3">
        <v>219280</v>
      </c>
      <c r="D3003" s="4" t="s">
        <v>17</v>
      </c>
      <c r="E3003" s="4" t="s">
        <v>1316</v>
      </c>
      <c r="F3003" s="4" t="s">
        <v>32</v>
      </c>
      <c r="G3003" s="4" t="s">
        <v>20</v>
      </c>
      <c r="H3003" s="5">
        <v>-100000</v>
      </c>
      <c r="I3003" s="4" t="s">
        <v>21</v>
      </c>
      <c r="J3003" s="5">
        <f t="shared" si="46"/>
        <v>421080</v>
      </c>
      <c r="K3003" s="4" t="s">
        <v>51</v>
      </c>
      <c r="L3003" s="6">
        <v>4.2107999999999999</v>
      </c>
      <c r="M3003" s="6">
        <v>0.23749999999999999</v>
      </c>
      <c r="N3003" s="6">
        <v>4.2271000000000001</v>
      </c>
      <c r="O3003" s="6">
        <v>1</v>
      </c>
      <c r="P3003" s="5">
        <v>-1710</v>
      </c>
      <c r="Q3003" s="4" t="s">
        <v>1390</v>
      </c>
    </row>
    <row r="3004" spans="1:17" x14ac:dyDescent="0.3">
      <c r="A3004" s="2" t="s">
        <v>1389</v>
      </c>
      <c r="B3004" s="3">
        <v>158483</v>
      </c>
      <c r="C3004" s="3">
        <v>219281</v>
      </c>
      <c r="D3004" s="4" t="s">
        <v>17</v>
      </c>
      <c r="E3004" s="4" t="s">
        <v>1316</v>
      </c>
      <c r="F3004" s="4" t="s">
        <v>32</v>
      </c>
      <c r="G3004" s="4" t="s">
        <v>20</v>
      </c>
      <c r="H3004" s="5">
        <v>-100000</v>
      </c>
      <c r="I3004" s="4" t="s">
        <v>21</v>
      </c>
      <c r="J3004" s="5">
        <f t="shared" si="46"/>
        <v>421080</v>
      </c>
      <c r="K3004" s="4" t="s">
        <v>51</v>
      </c>
      <c r="L3004" s="6">
        <v>4.2107999999999999</v>
      </c>
      <c r="M3004" s="6">
        <v>0.23749999999999999</v>
      </c>
      <c r="N3004" s="6">
        <v>4.2271000000000001</v>
      </c>
      <c r="O3004" s="6">
        <v>1</v>
      </c>
      <c r="P3004" s="5">
        <v>-1710</v>
      </c>
      <c r="Q3004" s="4" t="s">
        <v>1390</v>
      </c>
    </row>
    <row r="3005" spans="1:17" x14ac:dyDescent="0.3">
      <c r="A3005" s="2" t="s">
        <v>1389</v>
      </c>
      <c r="B3005" s="3">
        <v>158484</v>
      </c>
      <c r="C3005" s="3">
        <v>219282</v>
      </c>
      <c r="D3005" s="4" t="s">
        <v>17</v>
      </c>
      <c r="E3005" s="4" t="s">
        <v>1224</v>
      </c>
      <c r="F3005" s="4" t="s">
        <v>32</v>
      </c>
      <c r="G3005" s="4" t="s">
        <v>20</v>
      </c>
      <c r="H3005" s="5">
        <v>-10000</v>
      </c>
      <c r="I3005" s="4" t="s">
        <v>21</v>
      </c>
      <c r="J3005" s="5">
        <f t="shared" si="46"/>
        <v>42111</v>
      </c>
      <c r="K3005" s="4" t="s">
        <v>51</v>
      </c>
      <c r="L3005" s="6">
        <v>4.2111000000000001</v>
      </c>
      <c r="M3005" s="6">
        <v>0.23749999999999999</v>
      </c>
      <c r="N3005" s="6">
        <v>4.2271000000000001</v>
      </c>
      <c r="O3005" s="6">
        <v>1</v>
      </c>
      <c r="P3005" s="5">
        <v>-168</v>
      </c>
      <c r="Q3005" s="4" t="s">
        <v>1390</v>
      </c>
    </row>
    <row r="3006" spans="1:17" x14ac:dyDescent="0.3">
      <c r="A3006" s="2" t="s">
        <v>1389</v>
      </c>
      <c r="B3006" s="3">
        <v>158485</v>
      </c>
      <c r="C3006" s="3">
        <v>219284</v>
      </c>
      <c r="D3006" s="4" t="s">
        <v>17</v>
      </c>
      <c r="E3006" s="4" t="s">
        <v>1224</v>
      </c>
      <c r="F3006" s="4" t="s">
        <v>32</v>
      </c>
      <c r="G3006" s="4" t="s">
        <v>20</v>
      </c>
      <c r="H3006" s="5">
        <v>-10000</v>
      </c>
      <c r="I3006" s="4" t="s">
        <v>21</v>
      </c>
      <c r="J3006" s="5">
        <f t="shared" si="46"/>
        <v>42111</v>
      </c>
      <c r="K3006" s="4" t="s">
        <v>52</v>
      </c>
      <c r="L3006" s="6">
        <v>4.2111000000000001</v>
      </c>
      <c r="M3006" s="6">
        <v>0.23749999999999999</v>
      </c>
      <c r="N3006" s="6">
        <v>4.2127999999999997</v>
      </c>
      <c r="O3006" s="6">
        <v>1</v>
      </c>
      <c r="P3006" s="5">
        <v>-23</v>
      </c>
      <c r="Q3006" s="4" t="s">
        <v>1390</v>
      </c>
    </row>
    <row r="3007" spans="1:17" x14ac:dyDescent="0.3">
      <c r="A3007" s="2" t="s">
        <v>1389</v>
      </c>
      <c r="B3007" s="3">
        <v>158486</v>
      </c>
      <c r="C3007" s="3">
        <v>219285</v>
      </c>
      <c r="D3007" s="4" t="s">
        <v>17</v>
      </c>
      <c r="E3007" s="4" t="s">
        <v>1224</v>
      </c>
      <c r="F3007" s="4" t="s">
        <v>32</v>
      </c>
      <c r="G3007" s="4" t="s">
        <v>20</v>
      </c>
      <c r="H3007" s="5">
        <v>-10000</v>
      </c>
      <c r="I3007" s="4" t="s">
        <v>21</v>
      </c>
      <c r="J3007" s="5">
        <f t="shared" si="46"/>
        <v>42111</v>
      </c>
      <c r="K3007" s="4" t="s">
        <v>52</v>
      </c>
      <c r="L3007" s="6">
        <v>4.2111000000000001</v>
      </c>
      <c r="M3007" s="6">
        <v>0.23749999999999999</v>
      </c>
      <c r="N3007" s="6">
        <v>4.2127999999999997</v>
      </c>
      <c r="O3007" s="6">
        <v>1</v>
      </c>
      <c r="P3007" s="5">
        <v>-23</v>
      </c>
      <c r="Q3007" s="4" t="s">
        <v>1390</v>
      </c>
    </row>
    <row r="3008" spans="1:17" x14ac:dyDescent="0.3">
      <c r="A3008" s="2" t="s">
        <v>1389</v>
      </c>
      <c r="B3008" s="3">
        <v>158489</v>
      </c>
      <c r="C3008" s="3">
        <v>219290</v>
      </c>
      <c r="D3008" s="4" t="s">
        <v>17</v>
      </c>
      <c r="E3008" s="4" t="s">
        <v>1372</v>
      </c>
      <c r="F3008" s="4" t="s">
        <v>32</v>
      </c>
      <c r="G3008" s="4" t="s">
        <v>20</v>
      </c>
      <c r="H3008" s="5">
        <v>-10000</v>
      </c>
      <c r="I3008" s="4" t="s">
        <v>21</v>
      </c>
      <c r="J3008" s="5">
        <f t="shared" si="46"/>
        <v>42208</v>
      </c>
      <c r="K3008" s="4" t="s">
        <v>51</v>
      </c>
      <c r="L3008" s="6">
        <v>4.2207999999999997</v>
      </c>
      <c r="M3008" s="6">
        <v>0.2369</v>
      </c>
      <c r="N3008" s="6">
        <v>4.2271000000000001</v>
      </c>
      <c r="O3008" s="6">
        <v>1</v>
      </c>
      <c r="P3008" s="5">
        <v>-71</v>
      </c>
      <c r="Q3008" s="4" t="s">
        <v>1390</v>
      </c>
    </row>
    <row r="3009" spans="1:17" x14ac:dyDescent="0.3">
      <c r="A3009" s="2" t="s">
        <v>1389</v>
      </c>
      <c r="B3009" s="3">
        <v>158492</v>
      </c>
      <c r="C3009" s="3">
        <v>906828</v>
      </c>
      <c r="D3009" s="4" t="s">
        <v>81</v>
      </c>
      <c r="E3009" s="4" t="s">
        <v>725</v>
      </c>
      <c r="F3009" s="4" t="s">
        <v>87</v>
      </c>
      <c r="G3009" s="4" t="s">
        <v>20</v>
      </c>
      <c r="H3009" s="5">
        <v>500000</v>
      </c>
      <c r="I3009" s="4" t="s">
        <v>21</v>
      </c>
      <c r="J3009" s="5">
        <f t="shared" si="46"/>
        <v>-2104650</v>
      </c>
      <c r="K3009" s="4" t="s">
        <v>53</v>
      </c>
      <c r="L3009" s="6">
        <v>4.2092999999999998</v>
      </c>
      <c r="M3009" s="6">
        <v>0.23760000000000001</v>
      </c>
      <c r="N3009" s="6">
        <v>4.2050000000000001</v>
      </c>
      <c r="O3009" s="6">
        <v>1</v>
      </c>
      <c r="P3009" s="5">
        <v>-2135</v>
      </c>
      <c r="Q3009" s="4" t="s">
        <v>1392</v>
      </c>
    </row>
    <row r="3010" spans="1:17" x14ac:dyDescent="0.3">
      <c r="A3010" s="2" t="s">
        <v>1389</v>
      </c>
      <c r="B3010" s="3">
        <v>158493</v>
      </c>
      <c r="C3010" s="3">
        <v>906847</v>
      </c>
      <c r="D3010" s="4" t="s">
        <v>81</v>
      </c>
      <c r="E3010" s="4" t="s">
        <v>725</v>
      </c>
      <c r="F3010" s="4" t="s">
        <v>87</v>
      </c>
      <c r="G3010" s="4" t="s">
        <v>20</v>
      </c>
      <c r="H3010" s="5">
        <v>500000</v>
      </c>
      <c r="I3010" s="4" t="s">
        <v>21</v>
      </c>
      <c r="J3010" s="5">
        <f t="shared" si="46"/>
        <v>-2104200</v>
      </c>
      <c r="K3010" s="4" t="s">
        <v>53</v>
      </c>
      <c r="L3010" s="6">
        <v>4.2084000000000001</v>
      </c>
      <c r="M3010" s="6">
        <v>0.23760000000000001</v>
      </c>
      <c r="N3010" s="6">
        <v>4.2050000000000001</v>
      </c>
      <c r="O3010" s="6">
        <v>1</v>
      </c>
      <c r="P3010" s="5">
        <v>-1680</v>
      </c>
      <c r="Q3010" s="4" t="s">
        <v>1392</v>
      </c>
    </row>
    <row r="3011" spans="1:17" x14ac:dyDescent="0.3">
      <c r="A3011" s="2" t="s">
        <v>1389</v>
      </c>
      <c r="B3011" s="3">
        <v>158494</v>
      </c>
      <c r="C3011" s="3">
        <v>906849</v>
      </c>
      <c r="D3011" s="4" t="s">
        <v>81</v>
      </c>
      <c r="E3011" s="4" t="s">
        <v>725</v>
      </c>
      <c r="F3011" s="4" t="s">
        <v>87</v>
      </c>
      <c r="G3011" s="4" t="s">
        <v>20</v>
      </c>
      <c r="H3011" s="5">
        <v>500000</v>
      </c>
      <c r="I3011" s="4" t="s">
        <v>21</v>
      </c>
      <c r="J3011" s="5">
        <f t="shared" si="46"/>
        <v>-2104200</v>
      </c>
      <c r="K3011" s="4" t="s">
        <v>53</v>
      </c>
      <c r="L3011" s="6">
        <v>4.2084000000000001</v>
      </c>
      <c r="M3011" s="6">
        <v>0.23760000000000001</v>
      </c>
      <c r="N3011" s="6">
        <v>4.2050000000000001</v>
      </c>
      <c r="O3011" s="6">
        <v>1</v>
      </c>
      <c r="P3011" s="5">
        <v>-1675</v>
      </c>
      <c r="Q3011" s="4" t="s">
        <v>1392</v>
      </c>
    </row>
    <row r="3012" spans="1:17" x14ac:dyDescent="0.3">
      <c r="A3012" s="2" t="s">
        <v>1389</v>
      </c>
      <c r="B3012" s="3">
        <v>158495</v>
      </c>
      <c r="C3012" s="3">
        <v>906852</v>
      </c>
      <c r="D3012" s="4" t="s">
        <v>81</v>
      </c>
      <c r="E3012" s="4" t="s">
        <v>734</v>
      </c>
      <c r="F3012" s="4" t="s">
        <v>87</v>
      </c>
      <c r="G3012" s="4" t="s">
        <v>20</v>
      </c>
      <c r="H3012" s="5">
        <v>500000</v>
      </c>
      <c r="I3012" s="4" t="s">
        <v>21</v>
      </c>
      <c r="J3012" s="5">
        <f t="shared" ref="J3012:J3075" si="47">-H3012*L3012</f>
        <v>-2104150</v>
      </c>
      <c r="K3012" s="4" t="s">
        <v>53</v>
      </c>
      <c r="L3012" s="6">
        <v>4.2083000000000004</v>
      </c>
      <c r="M3012" s="6">
        <v>0.23760000000000001</v>
      </c>
      <c r="N3012" s="6">
        <v>4.2050000000000001</v>
      </c>
      <c r="O3012" s="6">
        <v>1</v>
      </c>
      <c r="P3012" s="5">
        <v>-1650</v>
      </c>
      <c r="Q3012" s="4" t="s">
        <v>1393</v>
      </c>
    </row>
    <row r="3013" spans="1:17" x14ac:dyDescent="0.3">
      <c r="A3013" s="2" t="s">
        <v>1389</v>
      </c>
      <c r="B3013" s="3">
        <v>158496</v>
      </c>
      <c r="C3013" s="3">
        <v>219305</v>
      </c>
      <c r="D3013" s="4" t="s">
        <v>17</v>
      </c>
      <c r="E3013" s="4" t="s">
        <v>1316</v>
      </c>
      <c r="F3013" s="4" t="s">
        <v>32</v>
      </c>
      <c r="G3013" s="4" t="s">
        <v>20</v>
      </c>
      <c r="H3013" s="5">
        <v>-100000</v>
      </c>
      <c r="I3013" s="4" t="s">
        <v>21</v>
      </c>
      <c r="J3013" s="5">
        <f t="shared" si="47"/>
        <v>420980.00000000006</v>
      </c>
      <c r="K3013" s="4" t="s">
        <v>51</v>
      </c>
      <c r="L3013" s="6">
        <v>4.2098000000000004</v>
      </c>
      <c r="M3013" s="6">
        <v>0.23749999999999999</v>
      </c>
      <c r="N3013" s="6">
        <v>4.2271000000000001</v>
      </c>
      <c r="O3013" s="6">
        <v>1</v>
      </c>
      <c r="P3013" s="5">
        <v>-1810</v>
      </c>
      <c r="Q3013" s="4" t="s">
        <v>1390</v>
      </c>
    </row>
    <row r="3014" spans="1:17" x14ac:dyDescent="0.3">
      <c r="A3014" s="2" t="s">
        <v>1389</v>
      </c>
      <c r="B3014" s="3">
        <v>158497</v>
      </c>
      <c r="C3014" s="3">
        <v>906866</v>
      </c>
      <c r="D3014" s="4" t="s">
        <v>81</v>
      </c>
      <c r="E3014" s="4" t="s">
        <v>734</v>
      </c>
      <c r="F3014" s="4" t="s">
        <v>87</v>
      </c>
      <c r="G3014" s="4" t="s">
        <v>20</v>
      </c>
      <c r="H3014" s="5">
        <v>1000000</v>
      </c>
      <c r="I3014" s="4" t="s">
        <v>21</v>
      </c>
      <c r="J3014" s="5">
        <f t="shared" si="47"/>
        <v>-4207500</v>
      </c>
      <c r="K3014" s="4" t="s">
        <v>53</v>
      </c>
      <c r="L3014" s="6">
        <v>4.2074999999999996</v>
      </c>
      <c r="M3014" s="6">
        <v>0.23769999999999999</v>
      </c>
      <c r="N3014" s="6">
        <v>4.2050000000000001</v>
      </c>
      <c r="O3014" s="6">
        <v>1</v>
      </c>
      <c r="P3014" s="5">
        <v>-2500</v>
      </c>
      <c r="Q3014" s="4" t="s">
        <v>1393</v>
      </c>
    </row>
    <row r="3015" spans="1:17" x14ac:dyDescent="0.3">
      <c r="A3015" s="2" t="s">
        <v>1389</v>
      </c>
      <c r="B3015" s="3">
        <v>158498</v>
      </c>
      <c r="C3015" s="3">
        <v>906867</v>
      </c>
      <c r="D3015" s="4" t="s">
        <v>81</v>
      </c>
      <c r="E3015" s="4" t="s">
        <v>732</v>
      </c>
      <c r="F3015" s="4" t="s">
        <v>83</v>
      </c>
      <c r="G3015" s="4" t="s">
        <v>20</v>
      </c>
      <c r="H3015" s="5">
        <v>-500000</v>
      </c>
      <c r="I3015" s="4" t="s">
        <v>21</v>
      </c>
      <c r="J3015" s="5">
        <f t="shared" si="47"/>
        <v>2103950</v>
      </c>
      <c r="K3015" s="4" t="s">
        <v>53</v>
      </c>
      <c r="L3015" s="6">
        <v>4.2079000000000004</v>
      </c>
      <c r="M3015" s="6">
        <v>0.23760000000000001</v>
      </c>
      <c r="N3015" s="6">
        <v>4.2050000000000001</v>
      </c>
      <c r="O3015" s="6">
        <v>1</v>
      </c>
      <c r="P3015" s="5">
        <v>1450</v>
      </c>
      <c r="Q3015" s="4" t="s">
        <v>1394</v>
      </c>
    </row>
    <row r="3016" spans="1:17" x14ac:dyDescent="0.3">
      <c r="A3016" s="2" t="s">
        <v>1389</v>
      </c>
      <c r="B3016" s="3">
        <v>158500</v>
      </c>
      <c r="C3016" s="3">
        <v>906868</v>
      </c>
      <c r="D3016" s="4" t="s">
        <v>81</v>
      </c>
      <c r="E3016" s="4" t="s">
        <v>732</v>
      </c>
      <c r="F3016" s="4" t="s">
        <v>83</v>
      </c>
      <c r="G3016" s="4" t="s">
        <v>20</v>
      </c>
      <c r="H3016" s="5">
        <v>-500000</v>
      </c>
      <c r="I3016" s="4" t="s">
        <v>21</v>
      </c>
      <c r="J3016" s="5">
        <f t="shared" si="47"/>
        <v>2104000</v>
      </c>
      <c r="K3016" s="4" t="s">
        <v>53</v>
      </c>
      <c r="L3016" s="6">
        <v>4.2080000000000002</v>
      </c>
      <c r="M3016" s="6">
        <v>0.23760000000000001</v>
      </c>
      <c r="N3016" s="6">
        <v>4.2050000000000001</v>
      </c>
      <c r="O3016" s="6">
        <v>1</v>
      </c>
      <c r="P3016" s="5">
        <v>1500</v>
      </c>
      <c r="Q3016" s="4" t="s">
        <v>1394</v>
      </c>
    </row>
    <row r="3017" spans="1:17" x14ac:dyDescent="0.3">
      <c r="A3017" s="2" t="s">
        <v>1389</v>
      </c>
      <c r="B3017" s="3">
        <v>158501</v>
      </c>
      <c r="C3017" s="3">
        <v>906869</v>
      </c>
      <c r="D3017" s="4" t="s">
        <v>81</v>
      </c>
      <c r="E3017" s="4" t="s">
        <v>1114</v>
      </c>
      <c r="F3017" s="4" t="s">
        <v>83</v>
      </c>
      <c r="G3017" s="4" t="s">
        <v>20</v>
      </c>
      <c r="H3017" s="5">
        <v>-70000</v>
      </c>
      <c r="I3017" s="4" t="s">
        <v>21</v>
      </c>
      <c r="J3017" s="5">
        <f t="shared" si="47"/>
        <v>294721</v>
      </c>
      <c r="K3017" s="4" t="s">
        <v>53</v>
      </c>
      <c r="L3017" s="6">
        <v>4.2103000000000002</v>
      </c>
      <c r="M3017" s="6">
        <v>0.23749999999999999</v>
      </c>
      <c r="N3017" s="6">
        <v>4.2050000000000001</v>
      </c>
      <c r="O3017" s="6">
        <v>1</v>
      </c>
      <c r="P3017" s="5">
        <v>371</v>
      </c>
      <c r="Q3017" s="4" t="s">
        <v>1390</v>
      </c>
    </row>
    <row r="3018" spans="1:17" x14ac:dyDescent="0.3">
      <c r="A3018" s="2" t="s">
        <v>1389</v>
      </c>
      <c r="B3018" s="3">
        <v>158502</v>
      </c>
      <c r="C3018" s="3">
        <v>906876</v>
      </c>
      <c r="D3018" s="4" t="s">
        <v>81</v>
      </c>
      <c r="E3018" s="4" t="s">
        <v>734</v>
      </c>
      <c r="F3018" s="4" t="s">
        <v>87</v>
      </c>
      <c r="G3018" s="4" t="s">
        <v>20</v>
      </c>
      <c r="H3018" s="5">
        <v>1000000</v>
      </c>
      <c r="I3018" s="4" t="s">
        <v>21</v>
      </c>
      <c r="J3018" s="5">
        <f t="shared" si="47"/>
        <v>-4207500</v>
      </c>
      <c r="K3018" s="4" t="s">
        <v>53</v>
      </c>
      <c r="L3018" s="6">
        <v>4.2074999999999996</v>
      </c>
      <c r="M3018" s="6">
        <v>0.23769999999999999</v>
      </c>
      <c r="N3018" s="6">
        <v>4.2050000000000001</v>
      </c>
      <c r="O3018" s="6">
        <v>1</v>
      </c>
      <c r="P3018" s="5">
        <v>-2500</v>
      </c>
      <c r="Q3018" s="4" t="s">
        <v>1393</v>
      </c>
    </row>
    <row r="3019" spans="1:17" x14ac:dyDescent="0.3">
      <c r="A3019" s="2" t="s">
        <v>1389</v>
      </c>
      <c r="B3019" s="3">
        <v>158503</v>
      </c>
      <c r="C3019" s="3">
        <v>906877</v>
      </c>
      <c r="D3019" s="4" t="s">
        <v>81</v>
      </c>
      <c r="E3019" s="4" t="s">
        <v>1199</v>
      </c>
      <c r="F3019" s="4" t="s">
        <v>83</v>
      </c>
      <c r="G3019" s="4" t="s">
        <v>20</v>
      </c>
      <c r="H3019" s="5">
        <v>-200000</v>
      </c>
      <c r="I3019" s="4" t="s">
        <v>21</v>
      </c>
      <c r="J3019" s="5">
        <f t="shared" si="47"/>
        <v>841879.99999999988</v>
      </c>
      <c r="K3019" s="4" t="s">
        <v>53</v>
      </c>
      <c r="L3019" s="6">
        <v>4.2093999999999996</v>
      </c>
      <c r="M3019" s="6">
        <v>0.23760000000000001</v>
      </c>
      <c r="N3019" s="6">
        <v>4.2050000000000001</v>
      </c>
      <c r="O3019" s="6">
        <v>1</v>
      </c>
      <c r="P3019" s="5">
        <v>880</v>
      </c>
      <c r="Q3019" s="4" t="s">
        <v>1390</v>
      </c>
    </row>
    <row r="3020" spans="1:17" x14ac:dyDescent="0.3">
      <c r="A3020" s="2" t="s">
        <v>1389</v>
      </c>
      <c r="B3020" s="3">
        <v>158504</v>
      </c>
      <c r="C3020" s="3">
        <v>219309</v>
      </c>
      <c r="D3020" s="4" t="s">
        <v>17</v>
      </c>
      <c r="E3020" s="4" t="s">
        <v>839</v>
      </c>
      <c r="F3020" s="4" t="s">
        <v>32</v>
      </c>
      <c r="G3020" s="4" t="s">
        <v>34</v>
      </c>
      <c r="H3020" s="5">
        <v>-28000</v>
      </c>
      <c r="I3020" s="4" t="s">
        <v>21</v>
      </c>
      <c r="J3020" s="5">
        <f t="shared" si="47"/>
        <v>100996</v>
      </c>
      <c r="K3020" s="4" t="s">
        <v>51</v>
      </c>
      <c r="L3020" s="6">
        <v>3.6070000000000002</v>
      </c>
      <c r="M3020" s="6">
        <v>0.2772</v>
      </c>
      <c r="N3020" s="6">
        <v>3.6118000000000001</v>
      </c>
      <c r="O3020" s="6">
        <v>1</v>
      </c>
      <c r="P3020" s="5">
        <v>-134.4</v>
      </c>
      <c r="Q3020" s="4" t="s">
        <v>1390</v>
      </c>
    </row>
    <row r="3021" spans="1:17" x14ac:dyDescent="0.3">
      <c r="A3021" s="2" t="s">
        <v>1389</v>
      </c>
      <c r="B3021" s="3">
        <v>158505</v>
      </c>
      <c r="C3021" s="3">
        <v>219310</v>
      </c>
      <c r="D3021" s="4" t="s">
        <v>17</v>
      </c>
      <c r="E3021" s="4" t="s">
        <v>909</v>
      </c>
      <c r="F3021" s="4" t="s">
        <v>19</v>
      </c>
      <c r="G3021" s="4" t="s">
        <v>20</v>
      </c>
      <c r="H3021" s="5">
        <v>400000</v>
      </c>
      <c r="I3021" s="4" t="s">
        <v>21</v>
      </c>
      <c r="J3021" s="5">
        <f t="shared" si="47"/>
        <v>-1682000</v>
      </c>
      <c r="K3021" s="4" t="s">
        <v>51</v>
      </c>
      <c r="L3021" s="6">
        <v>4.2050000000000001</v>
      </c>
      <c r="M3021" s="6">
        <v>0.23780000000000001</v>
      </c>
      <c r="N3021" s="6">
        <v>4.2271000000000001</v>
      </c>
      <c r="O3021" s="6">
        <v>1</v>
      </c>
      <c r="P3021" s="5">
        <v>8840</v>
      </c>
      <c r="Q3021" s="4" t="s">
        <v>1390</v>
      </c>
    </row>
    <row r="3022" spans="1:17" x14ac:dyDescent="0.3">
      <c r="A3022" s="2" t="s">
        <v>1389</v>
      </c>
      <c r="B3022" s="3">
        <v>158506</v>
      </c>
      <c r="C3022" s="3">
        <v>219313</v>
      </c>
      <c r="D3022" s="4" t="s">
        <v>17</v>
      </c>
      <c r="E3022" s="4" t="s">
        <v>772</v>
      </c>
      <c r="F3022" s="4" t="s">
        <v>19</v>
      </c>
      <c r="G3022" s="4" t="s">
        <v>20</v>
      </c>
      <c r="H3022" s="5">
        <v>25000</v>
      </c>
      <c r="I3022" s="4" t="s">
        <v>21</v>
      </c>
      <c r="J3022" s="5">
        <f t="shared" si="47"/>
        <v>-105032.5</v>
      </c>
      <c r="K3022" s="4" t="s">
        <v>51</v>
      </c>
      <c r="L3022" s="6">
        <v>4.2012999999999998</v>
      </c>
      <c r="M3022" s="6">
        <v>0.23799999999999999</v>
      </c>
      <c r="N3022" s="6">
        <v>4.2271000000000001</v>
      </c>
      <c r="O3022" s="6">
        <v>1</v>
      </c>
      <c r="P3022" s="5">
        <v>645</v>
      </c>
      <c r="Q3022" s="4" t="s">
        <v>1390</v>
      </c>
    </row>
    <row r="3023" spans="1:17" x14ac:dyDescent="0.3">
      <c r="A3023" s="2" t="s">
        <v>1389</v>
      </c>
      <c r="B3023" s="3">
        <v>158507</v>
      </c>
      <c r="C3023" s="3">
        <v>906904</v>
      </c>
      <c r="D3023" s="4" t="s">
        <v>81</v>
      </c>
      <c r="E3023" s="4" t="s">
        <v>1134</v>
      </c>
      <c r="F3023" s="4" t="s">
        <v>83</v>
      </c>
      <c r="G3023" s="4" t="s">
        <v>20</v>
      </c>
      <c r="H3023" s="5">
        <v>-100000</v>
      </c>
      <c r="I3023" s="4" t="s">
        <v>21</v>
      </c>
      <c r="J3023" s="5">
        <f t="shared" si="47"/>
        <v>421000</v>
      </c>
      <c r="K3023" s="4" t="s">
        <v>53</v>
      </c>
      <c r="L3023" s="6">
        <v>4.21</v>
      </c>
      <c r="M3023" s="6">
        <v>0.23749999999999999</v>
      </c>
      <c r="N3023" s="6">
        <v>4.2050000000000001</v>
      </c>
      <c r="O3023" s="6">
        <v>1</v>
      </c>
      <c r="P3023" s="5">
        <v>500</v>
      </c>
      <c r="Q3023" s="4" t="s">
        <v>1390</v>
      </c>
    </row>
    <row r="3024" spans="1:17" x14ac:dyDescent="0.3">
      <c r="A3024" s="2" t="s">
        <v>1389</v>
      </c>
      <c r="B3024" s="3">
        <v>158509</v>
      </c>
      <c r="C3024" s="3">
        <v>219318</v>
      </c>
      <c r="D3024" s="4" t="s">
        <v>17</v>
      </c>
      <c r="E3024" s="4" t="s">
        <v>1316</v>
      </c>
      <c r="F3024" s="4" t="s">
        <v>32</v>
      </c>
      <c r="G3024" s="4" t="s">
        <v>20</v>
      </c>
      <c r="H3024" s="5">
        <v>-100000</v>
      </c>
      <c r="I3024" s="4" t="s">
        <v>21</v>
      </c>
      <c r="J3024" s="5">
        <f t="shared" si="47"/>
        <v>420880</v>
      </c>
      <c r="K3024" s="4" t="s">
        <v>51</v>
      </c>
      <c r="L3024" s="6">
        <v>4.2088000000000001</v>
      </c>
      <c r="M3024" s="6">
        <v>0.23760000000000001</v>
      </c>
      <c r="N3024" s="6">
        <v>4.2271000000000001</v>
      </c>
      <c r="O3024" s="6">
        <v>1</v>
      </c>
      <c r="P3024" s="5">
        <v>-1910</v>
      </c>
      <c r="Q3024" s="4" t="s">
        <v>1390</v>
      </c>
    </row>
    <row r="3025" spans="1:17" x14ac:dyDescent="0.3">
      <c r="A3025" s="2" t="s">
        <v>1389</v>
      </c>
      <c r="B3025" s="3">
        <v>158511</v>
      </c>
      <c r="C3025" s="3">
        <v>219320</v>
      </c>
      <c r="D3025" s="4" t="s">
        <v>17</v>
      </c>
      <c r="E3025" s="4" t="s">
        <v>1316</v>
      </c>
      <c r="F3025" s="4" t="s">
        <v>32</v>
      </c>
      <c r="G3025" s="4" t="s">
        <v>20</v>
      </c>
      <c r="H3025" s="5">
        <v>-100000</v>
      </c>
      <c r="I3025" s="4" t="s">
        <v>21</v>
      </c>
      <c r="J3025" s="5">
        <f t="shared" si="47"/>
        <v>420780</v>
      </c>
      <c r="K3025" s="4" t="s">
        <v>51</v>
      </c>
      <c r="L3025" s="6">
        <v>4.2077999999999998</v>
      </c>
      <c r="M3025" s="6">
        <v>0.23769999999999999</v>
      </c>
      <c r="N3025" s="6">
        <v>4.2271000000000001</v>
      </c>
      <c r="O3025" s="6">
        <v>1</v>
      </c>
      <c r="P3025" s="5">
        <v>-2010</v>
      </c>
      <c r="Q3025" s="4" t="s">
        <v>1390</v>
      </c>
    </row>
    <row r="3026" spans="1:17" x14ac:dyDescent="0.3">
      <c r="A3026" s="2" t="s">
        <v>1389</v>
      </c>
      <c r="B3026" s="3">
        <v>158512</v>
      </c>
      <c r="C3026" s="3">
        <v>906923</v>
      </c>
      <c r="D3026" s="4" t="s">
        <v>81</v>
      </c>
      <c r="E3026" s="4" t="s">
        <v>742</v>
      </c>
      <c r="F3026" s="4" t="s">
        <v>87</v>
      </c>
      <c r="G3026" s="4" t="s">
        <v>34</v>
      </c>
      <c r="H3026" s="5">
        <v>500000</v>
      </c>
      <c r="I3026" s="4" t="s">
        <v>21</v>
      </c>
      <c r="J3026" s="5">
        <f t="shared" si="47"/>
        <v>-1796650</v>
      </c>
      <c r="K3026" s="4" t="s">
        <v>53</v>
      </c>
      <c r="L3026" s="6">
        <v>3.5933000000000002</v>
      </c>
      <c r="M3026" s="6">
        <v>0.27829999999999999</v>
      </c>
      <c r="N3026" s="6">
        <v>3.5831</v>
      </c>
      <c r="O3026" s="6">
        <v>1</v>
      </c>
      <c r="P3026" s="5">
        <v>-5100</v>
      </c>
      <c r="Q3026" s="4" t="s">
        <v>1396</v>
      </c>
    </row>
    <row r="3027" spans="1:17" x14ac:dyDescent="0.3">
      <c r="A3027" s="2" t="s">
        <v>1389</v>
      </c>
      <c r="B3027" s="3">
        <v>158513</v>
      </c>
      <c r="C3027" s="3">
        <v>219322</v>
      </c>
      <c r="D3027" s="4" t="s">
        <v>17</v>
      </c>
      <c r="E3027" s="4" t="s">
        <v>753</v>
      </c>
      <c r="F3027" s="4" t="s">
        <v>32</v>
      </c>
      <c r="G3027" s="4" t="s">
        <v>20</v>
      </c>
      <c r="H3027" s="5">
        <v>-30000</v>
      </c>
      <c r="I3027" s="4" t="s">
        <v>21</v>
      </c>
      <c r="J3027" s="5">
        <f t="shared" si="47"/>
        <v>126297</v>
      </c>
      <c r="K3027" s="4" t="s">
        <v>51</v>
      </c>
      <c r="L3027" s="6">
        <v>4.2099000000000002</v>
      </c>
      <c r="M3027" s="6">
        <v>0.23749999999999999</v>
      </c>
      <c r="N3027" s="6">
        <v>4.2271000000000001</v>
      </c>
      <c r="O3027" s="6">
        <v>1</v>
      </c>
      <c r="P3027" s="5">
        <v>-516</v>
      </c>
      <c r="Q3027" s="4" t="s">
        <v>1390</v>
      </c>
    </row>
    <row r="3028" spans="1:17" x14ac:dyDescent="0.3">
      <c r="A3028" s="2" t="s">
        <v>1389</v>
      </c>
      <c r="B3028" s="3">
        <v>158514</v>
      </c>
      <c r="C3028" s="3">
        <v>219323</v>
      </c>
      <c r="D3028" s="4" t="s">
        <v>17</v>
      </c>
      <c r="E3028" s="4" t="s">
        <v>1201</v>
      </c>
      <c r="F3028" s="4" t="s">
        <v>32</v>
      </c>
      <c r="G3028" s="4" t="s">
        <v>20</v>
      </c>
      <c r="H3028" s="5">
        <v>-1000000</v>
      </c>
      <c r="I3028" s="4" t="s">
        <v>21</v>
      </c>
      <c r="J3028" s="5">
        <f t="shared" si="47"/>
        <v>4209800</v>
      </c>
      <c r="K3028" s="4" t="s">
        <v>51</v>
      </c>
      <c r="L3028" s="6">
        <v>4.2098000000000004</v>
      </c>
      <c r="M3028" s="6">
        <v>0.23749999999999999</v>
      </c>
      <c r="N3028" s="6">
        <v>4.2271000000000001</v>
      </c>
      <c r="O3028" s="6">
        <v>1</v>
      </c>
      <c r="P3028" s="5">
        <v>-18100</v>
      </c>
      <c r="Q3028" s="4" t="s">
        <v>1390</v>
      </c>
    </row>
    <row r="3029" spans="1:17" x14ac:dyDescent="0.3">
      <c r="A3029" s="2" t="s">
        <v>1389</v>
      </c>
      <c r="B3029" s="3">
        <v>158515</v>
      </c>
      <c r="C3029" s="3">
        <v>219324</v>
      </c>
      <c r="D3029" s="4" t="s">
        <v>17</v>
      </c>
      <c r="E3029" s="4" t="s">
        <v>1221</v>
      </c>
      <c r="F3029" s="4" t="s">
        <v>32</v>
      </c>
      <c r="G3029" s="4" t="s">
        <v>34</v>
      </c>
      <c r="H3029" s="5">
        <v>-100000</v>
      </c>
      <c r="I3029" s="4" t="s">
        <v>21</v>
      </c>
      <c r="J3029" s="5">
        <f t="shared" si="47"/>
        <v>359500</v>
      </c>
      <c r="K3029" s="4" t="s">
        <v>51</v>
      </c>
      <c r="L3029" s="6">
        <v>3.5950000000000002</v>
      </c>
      <c r="M3029" s="6">
        <v>0.2782</v>
      </c>
      <c r="N3029" s="6">
        <v>3.6118000000000001</v>
      </c>
      <c r="O3029" s="6">
        <v>1</v>
      </c>
      <c r="P3029" s="5">
        <v>-1680</v>
      </c>
      <c r="Q3029" s="4" t="s">
        <v>1390</v>
      </c>
    </row>
    <row r="3030" spans="1:17" x14ac:dyDescent="0.3">
      <c r="A3030" s="2" t="s">
        <v>1389</v>
      </c>
      <c r="B3030" s="3">
        <v>158517</v>
      </c>
      <c r="C3030" s="3">
        <v>219326</v>
      </c>
      <c r="D3030" s="4" t="s">
        <v>17</v>
      </c>
      <c r="E3030" s="4" t="s">
        <v>1137</v>
      </c>
      <c r="F3030" s="4" t="s">
        <v>32</v>
      </c>
      <c r="G3030" s="4" t="s">
        <v>34</v>
      </c>
      <c r="H3030" s="5">
        <v>-35100</v>
      </c>
      <c r="I3030" s="4" t="s">
        <v>21</v>
      </c>
      <c r="J3030" s="5">
        <f t="shared" si="47"/>
        <v>126570.59999999999</v>
      </c>
      <c r="K3030" s="4" t="s">
        <v>51</v>
      </c>
      <c r="L3030" s="6">
        <v>3.6059999999999999</v>
      </c>
      <c r="M3030" s="6">
        <v>0.27729999999999999</v>
      </c>
      <c r="N3030" s="6">
        <v>3.6118000000000001</v>
      </c>
      <c r="O3030" s="6">
        <v>1</v>
      </c>
      <c r="P3030" s="5">
        <v>-203.58</v>
      </c>
      <c r="Q3030" s="4" t="s">
        <v>1390</v>
      </c>
    </row>
    <row r="3031" spans="1:17" x14ac:dyDescent="0.3">
      <c r="A3031" s="2" t="s">
        <v>1389</v>
      </c>
      <c r="B3031" s="3">
        <v>158518</v>
      </c>
      <c r="C3031" s="3">
        <v>219327</v>
      </c>
      <c r="D3031" s="4" t="s">
        <v>17</v>
      </c>
      <c r="E3031" s="4" t="s">
        <v>1271</v>
      </c>
      <c r="F3031" s="4" t="s">
        <v>19</v>
      </c>
      <c r="G3031" s="4" t="s">
        <v>20</v>
      </c>
      <c r="H3031" s="5">
        <v>22922.639999999999</v>
      </c>
      <c r="I3031" s="4" t="s">
        <v>91</v>
      </c>
      <c r="J3031" s="5">
        <f t="shared" si="47"/>
        <v>-19942.696799999998</v>
      </c>
      <c r="K3031" s="4" t="s">
        <v>51</v>
      </c>
      <c r="L3031" s="6">
        <v>0.87</v>
      </c>
      <c r="M3031" s="6">
        <v>1.1494</v>
      </c>
      <c r="N3031" s="6">
        <v>4.2271000000000001</v>
      </c>
      <c r="O3031" s="6">
        <v>4.8433999999999999</v>
      </c>
      <c r="P3031" s="5">
        <v>305.83386287999747</v>
      </c>
      <c r="Q3031" s="4" t="s">
        <v>1390</v>
      </c>
    </row>
    <row r="3032" spans="1:17" x14ac:dyDescent="0.3">
      <c r="A3032" s="2" t="s">
        <v>1389</v>
      </c>
      <c r="B3032" s="3">
        <v>158520</v>
      </c>
      <c r="C3032" s="3">
        <v>219334</v>
      </c>
      <c r="D3032" s="4" t="s">
        <v>17</v>
      </c>
      <c r="E3032" s="4" t="s">
        <v>1341</v>
      </c>
      <c r="F3032" s="4" t="s">
        <v>19</v>
      </c>
      <c r="G3032" s="4" t="s">
        <v>21</v>
      </c>
      <c r="H3032" s="5">
        <v>200000</v>
      </c>
      <c r="I3032" s="4" t="s">
        <v>20</v>
      </c>
      <c r="J3032" s="5">
        <f t="shared" si="47"/>
        <v>-843720.00000000012</v>
      </c>
      <c r="K3032" s="4" t="s">
        <v>51</v>
      </c>
      <c r="L3032" s="6">
        <v>4.2186000000000003</v>
      </c>
      <c r="M3032" s="6">
        <v>0.23699999999999999</v>
      </c>
      <c r="N3032" s="6">
        <v>1</v>
      </c>
      <c r="O3032" s="6">
        <v>4.2271000000000001</v>
      </c>
      <c r="P3032" s="5">
        <v>-3366488.8120000004</v>
      </c>
      <c r="Q3032" s="4" t="s">
        <v>1390</v>
      </c>
    </row>
    <row r="3033" spans="1:17" x14ac:dyDescent="0.3">
      <c r="A3033" s="2" t="s">
        <v>1389</v>
      </c>
      <c r="B3033" s="3">
        <v>158527</v>
      </c>
      <c r="C3033" s="3">
        <v>906989</v>
      </c>
      <c r="D3033" s="4" t="s">
        <v>81</v>
      </c>
      <c r="E3033" s="4" t="s">
        <v>1134</v>
      </c>
      <c r="F3033" s="4" t="s">
        <v>83</v>
      </c>
      <c r="G3033" s="4" t="s">
        <v>20</v>
      </c>
      <c r="H3033" s="5">
        <v>-50000</v>
      </c>
      <c r="I3033" s="4" t="s">
        <v>21</v>
      </c>
      <c r="J3033" s="5">
        <f t="shared" si="47"/>
        <v>210475</v>
      </c>
      <c r="K3033" s="4" t="s">
        <v>53</v>
      </c>
      <c r="L3033" s="6">
        <v>4.2095000000000002</v>
      </c>
      <c r="M3033" s="6">
        <v>0.23760000000000001</v>
      </c>
      <c r="N3033" s="6">
        <v>4.2050000000000001</v>
      </c>
      <c r="O3033" s="6">
        <v>1</v>
      </c>
      <c r="P3033" s="5">
        <v>225</v>
      </c>
      <c r="Q3033" s="4" t="s">
        <v>1390</v>
      </c>
    </row>
    <row r="3034" spans="1:17" x14ac:dyDescent="0.3">
      <c r="A3034" s="2" t="s">
        <v>1389</v>
      </c>
      <c r="B3034" s="3">
        <v>158528</v>
      </c>
      <c r="C3034" s="3">
        <v>219342</v>
      </c>
      <c r="D3034" s="4" t="s">
        <v>17</v>
      </c>
      <c r="E3034" s="4" t="s">
        <v>841</v>
      </c>
      <c r="F3034" s="4" t="s">
        <v>32</v>
      </c>
      <c r="G3034" s="4" t="s">
        <v>20</v>
      </c>
      <c r="H3034" s="5">
        <v>-14000</v>
      </c>
      <c r="I3034" s="4" t="s">
        <v>21</v>
      </c>
      <c r="J3034" s="5">
        <f t="shared" si="47"/>
        <v>59010</v>
      </c>
      <c r="K3034" s="4" t="s">
        <v>51</v>
      </c>
      <c r="L3034" s="6">
        <v>4.2149999999999999</v>
      </c>
      <c r="M3034" s="6">
        <v>0.23719999999999999</v>
      </c>
      <c r="N3034" s="6">
        <v>4.2271000000000001</v>
      </c>
      <c r="O3034" s="6">
        <v>1</v>
      </c>
      <c r="P3034" s="5">
        <v>-169.4</v>
      </c>
      <c r="Q3034" s="4" t="s">
        <v>1390</v>
      </c>
    </row>
    <row r="3035" spans="1:17" x14ac:dyDescent="0.3">
      <c r="A3035" s="2" t="s">
        <v>1389</v>
      </c>
      <c r="B3035" s="3">
        <v>158529</v>
      </c>
      <c r="C3035" s="3">
        <v>907010</v>
      </c>
      <c r="D3035" s="4" t="s">
        <v>81</v>
      </c>
      <c r="E3035" s="4" t="s">
        <v>725</v>
      </c>
      <c r="F3035" s="4" t="s">
        <v>87</v>
      </c>
      <c r="G3035" s="4" t="s">
        <v>20</v>
      </c>
      <c r="H3035" s="5">
        <v>500000</v>
      </c>
      <c r="I3035" s="4" t="s">
        <v>21</v>
      </c>
      <c r="J3035" s="5">
        <f t="shared" si="47"/>
        <v>-2103200</v>
      </c>
      <c r="K3035" s="4" t="s">
        <v>53</v>
      </c>
      <c r="L3035" s="6">
        <v>4.2064000000000004</v>
      </c>
      <c r="M3035" s="6">
        <v>0.23769999999999999</v>
      </c>
      <c r="N3035" s="6">
        <v>4.2050000000000001</v>
      </c>
      <c r="O3035" s="6">
        <v>1</v>
      </c>
      <c r="P3035" s="5">
        <v>-695</v>
      </c>
      <c r="Q3035" s="4" t="s">
        <v>1392</v>
      </c>
    </row>
    <row r="3036" spans="1:17" x14ac:dyDescent="0.3">
      <c r="A3036" s="2" t="s">
        <v>1389</v>
      </c>
      <c r="B3036" s="3">
        <v>158530</v>
      </c>
      <c r="C3036" s="3">
        <v>907011</v>
      </c>
      <c r="D3036" s="4" t="s">
        <v>81</v>
      </c>
      <c r="E3036" s="4" t="s">
        <v>740</v>
      </c>
      <c r="F3036" s="4" t="s">
        <v>83</v>
      </c>
      <c r="G3036" s="4" t="s">
        <v>20</v>
      </c>
      <c r="H3036" s="5">
        <v>-100000</v>
      </c>
      <c r="I3036" s="4" t="s">
        <v>21</v>
      </c>
      <c r="J3036" s="5">
        <f t="shared" si="47"/>
        <v>420650</v>
      </c>
      <c r="K3036" s="4" t="s">
        <v>53</v>
      </c>
      <c r="L3036" s="6">
        <v>4.2065000000000001</v>
      </c>
      <c r="M3036" s="6">
        <v>0.23769999999999999</v>
      </c>
      <c r="N3036" s="6">
        <v>4.2050000000000001</v>
      </c>
      <c r="O3036" s="6">
        <v>1</v>
      </c>
      <c r="P3036" s="5">
        <v>150</v>
      </c>
      <c r="Q3036" s="4" t="s">
        <v>1390</v>
      </c>
    </row>
    <row r="3037" spans="1:17" x14ac:dyDescent="0.3">
      <c r="A3037" s="2" t="s">
        <v>1389</v>
      </c>
      <c r="B3037" s="3">
        <v>158531</v>
      </c>
      <c r="C3037" s="3">
        <v>907012</v>
      </c>
      <c r="D3037" s="4" t="s">
        <v>81</v>
      </c>
      <c r="E3037" s="4" t="s">
        <v>733</v>
      </c>
      <c r="F3037" s="4" t="s">
        <v>87</v>
      </c>
      <c r="G3037" s="4" t="s">
        <v>34</v>
      </c>
      <c r="H3037" s="5">
        <v>500000</v>
      </c>
      <c r="I3037" s="4" t="s">
        <v>21</v>
      </c>
      <c r="J3037" s="5">
        <f t="shared" si="47"/>
        <v>-1795050</v>
      </c>
      <c r="K3037" s="4" t="s">
        <v>53</v>
      </c>
      <c r="L3037" s="6">
        <v>3.5901000000000001</v>
      </c>
      <c r="M3037" s="6">
        <v>0.27850000000000003</v>
      </c>
      <c r="N3037" s="6">
        <v>3.5831</v>
      </c>
      <c r="O3037" s="6">
        <v>1</v>
      </c>
      <c r="P3037" s="5">
        <v>-3525</v>
      </c>
      <c r="Q3037" s="4" t="s">
        <v>1391</v>
      </c>
    </row>
    <row r="3038" spans="1:17" x14ac:dyDescent="0.3">
      <c r="A3038" s="2" t="s">
        <v>1389</v>
      </c>
      <c r="B3038" s="3">
        <v>158532</v>
      </c>
      <c r="C3038" s="3">
        <v>219350</v>
      </c>
      <c r="D3038" s="4" t="s">
        <v>17</v>
      </c>
      <c r="E3038" s="4" t="s">
        <v>1256</v>
      </c>
      <c r="F3038" s="4" t="s">
        <v>19</v>
      </c>
      <c r="G3038" s="4" t="s">
        <v>20</v>
      </c>
      <c r="H3038" s="5">
        <v>250000</v>
      </c>
      <c r="I3038" s="4" t="s">
        <v>21</v>
      </c>
      <c r="J3038" s="5">
        <f t="shared" si="47"/>
        <v>-1038750.0000000001</v>
      </c>
      <c r="K3038" s="4" t="s">
        <v>51</v>
      </c>
      <c r="L3038" s="6">
        <v>4.1550000000000002</v>
      </c>
      <c r="M3038" s="6">
        <v>0.2407</v>
      </c>
      <c r="N3038" s="6">
        <v>4.2271000000000001</v>
      </c>
      <c r="O3038" s="6">
        <v>1</v>
      </c>
      <c r="P3038" s="5">
        <v>18024.999999999884</v>
      </c>
      <c r="Q3038" s="4" t="s">
        <v>1390</v>
      </c>
    </row>
    <row r="3039" spans="1:17" x14ac:dyDescent="0.3">
      <c r="A3039" s="2" t="s">
        <v>1389</v>
      </c>
      <c r="B3039" s="3">
        <v>158533</v>
      </c>
      <c r="C3039" s="3">
        <v>219352</v>
      </c>
      <c r="D3039" s="4" t="s">
        <v>17</v>
      </c>
      <c r="E3039" s="4" t="s">
        <v>1341</v>
      </c>
      <c r="F3039" s="4" t="s">
        <v>19</v>
      </c>
      <c r="G3039" s="4" t="s">
        <v>91</v>
      </c>
      <c r="H3039" s="5">
        <v>120000</v>
      </c>
      <c r="I3039" s="4" t="s">
        <v>21</v>
      </c>
      <c r="J3039" s="5">
        <f t="shared" si="47"/>
        <v>-576648</v>
      </c>
      <c r="K3039" s="4" t="s">
        <v>51</v>
      </c>
      <c r="L3039" s="6">
        <v>4.8053999999999997</v>
      </c>
      <c r="M3039" s="6">
        <v>0.20810000000000001</v>
      </c>
      <c r="N3039" s="6">
        <v>4.8433999999999999</v>
      </c>
      <c r="O3039" s="6">
        <v>1</v>
      </c>
      <c r="P3039" s="5">
        <v>4560</v>
      </c>
      <c r="Q3039" s="4" t="s">
        <v>1390</v>
      </c>
    </row>
    <row r="3040" spans="1:17" x14ac:dyDescent="0.3">
      <c r="A3040" s="2" t="s">
        <v>1389</v>
      </c>
      <c r="B3040" s="3">
        <v>158534</v>
      </c>
      <c r="C3040" s="3">
        <v>219354</v>
      </c>
      <c r="D3040" s="4" t="s">
        <v>17</v>
      </c>
      <c r="E3040" s="4" t="s">
        <v>809</v>
      </c>
      <c r="F3040" s="4" t="s">
        <v>19</v>
      </c>
      <c r="G3040" s="4" t="s">
        <v>20</v>
      </c>
      <c r="H3040" s="5">
        <v>5000</v>
      </c>
      <c r="I3040" s="4" t="s">
        <v>21</v>
      </c>
      <c r="J3040" s="5">
        <f t="shared" si="47"/>
        <v>-20740</v>
      </c>
      <c r="K3040" s="4" t="s">
        <v>51</v>
      </c>
      <c r="L3040" s="6">
        <v>4.1479999999999997</v>
      </c>
      <c r="M3040" s="6">
        <v>0.24110000000000001</v>
      </c>
      <c r="N3040" s="6">
        <v>4.2271000000000001</v>
      </c>
      <c r="O3040" s="6">
        <v>1</v>
      </c>
      <c r="P3040" s="5">
        <v>395.5</v>
      </c>
      <c r="Q3040" s="4" t="s">
        <v>1390</v>
      </c>
    </row>
    <row r="3041" spans="1:17" x14ac:dyDescent="0.3">
      <c r="A3041" s="2" t="s">
        <v>1389</v>
      </c>
      <c r="B3041" s="3">
        <v>158537</v>
      </c>
      <c r="C3041" s="3">
        <v>219361</v>
      </c>
      <c r="D3041" s="4" t="s">
        <v>17</v>
      </c>
      <c r="E3041" s="4" t="s">
        <v>1079</v>
      </c>
      <c r="F3041" s="4" t="s">
        <v>32</v>
      </c>
      <c r="G3041" s="4" t="s">
        <v>20</v>
      </c>
      <c r="H3041" s="5">
        <v>-1500</v>
      </c>
      <c r="I3041" s="4" t="s">
        <v>21</v>
      </c>
      <c r="J3041" s="5">
        <f t="shared" si="47"/>
        <v>6316.5</v>
      </c>
      <c r="K3041" s="4" t="s">
        <v>51</v>
      </c>
      <c r="L3041" s="6">
        <v>4.2110000000000003</v>
      </c>
      <c r="M3041" s="6">
        <v>0.23749999999999999</v>
      </c>
      <c r="N3041" s="6">
        <v>4.2271000000000001</v>
      </c>
      <c r="O3041" s="6">
        <v>1</v>
      </c>
      <c r="P3041" s="5">
        <v>-24.15</v>
      </c>
      <c r="Q3041" s="4" t="s">
        <v>1390</v>
      </c>
    </row>
    <row r="3042" spans="1:17" x14ac:dyDescent="0.3">
      <c r="A3042" s="2" t="s">
        <v>1389</v>
      </c>
      <c r="B3042" s="3">
        <v>158538</v>
      </c>
      <c r="C3042" s="3">
        <v>219362</v>
      </c>
      <c r="D3042" s="4" t="s">
        <v>17</v>
      </c>
      <c r="E3042" s="4" t="s">
        <v>1243</v>
      </c>
      <c r="F3042" s="4" t="s">
        <v>32</v>
      </c>
      <c r="G3042" s="4" t="s">
        <v>20</v>
      </c>
      <c r="H3042" s="5">
        <v>-100000</v>
      </c>
      <c r="I3042" s="4" t="s">
        <v>21</v>
      </c>
      <c r="J3042" s="5">
        <f t="shared" si="47"/>
        <v>420910</v>
      </c>
      <c r="K3042" s="4" t="s">
        <v>51</v>
      </c>
      <c r="L3042" s="6">
        <v>4.2091000000000003</v>
      </c>
      <c r="M3042" s="6">
        <v>0.23760000000000001</v>
      </c>
      <c r="N3042" s="6">
        <v>4.2271000000000001</v>
      </c>
      <c r="O3042" s="6">
        <v>1</v>
      </c>
      <c r="P3042" s="5">
        <v>-1880</v>
      </c>
      <c r="Q3042" s="4" t="s">
        <v>1390</v>
      </c>
    </row>
    <row r="3043" spans="1:17" x14ac:dyDescent="0.3">
      <c r="A3043" s="2" t="s">
        <v>1389</v>
      </c>
      <c r="B3043" s="3">
        <v>158540</v>
      </c>
      <c r="C3043" s="3">
        <v>907070</v>
      </c>
      <c r="D3043" s="4" t="s">
        <v>81</v>
      </c>
      <c r="E3043" s="4" t="s">
        <v>736</v>
      </c>
      <c r="F3043" s="4" t="s">
        <v>87</v>
      </c>
      <c r="G3043" s="4" t="s">
        <v>74</v>
      </c>
      <c r="H3043" s="5">
        <v>350000</v>
      </c>
      <c r="I3043" s="4" t="s">
        <v>21</v>
      </c>
      <c r="J3043" s="5">
        <f t="shared" si="47"/>
        <v>-127330</v>
      </c>
      <c r="K3043" s="4" t="s">
        <v>53</v>
      </c>
      <c r="L3043" s="6">
        <v>0.36380000000000001</v>
      </c>
      <c r="M3043" s="6">
        <v>2.7488000000000001</v>
      </c>
      <c r="N3043" s="6">
        <v>0.36320000000000002</v>
      </c>
      <c r="O3043" s="6">
        <v>1</v>
      </c>
      <c r="P3043" s="5">
        <v>-210</v>
      </c>
      <c r="Q3043" s="4" t="s">
        <v>1390</v>
      </c>
    </row>
    <row r="3044" spans="1:17" x14ac:dyDescent="0.3">
      <c r="A3044" s="2" t="s">
        <v>1389</v>
      </c>
      <c r="B3044" s="3">
        <v>158541</v>
      </c>
      <c r="C3044" s="3">
        <v>907074</v>
      </c>
      <c r="D3044" s="4" t="s">
        <v>81</v>
      </c>
      <c r="E3044" s="4" t="s">
        <v>739</v>
      </c>
      <c r="F3044" s="4" t="s">
        <v>87</v>
      </c>
      <c r="G3044" s="4" t="s">
        <v>20</v>
      </c>
      <c r="H3044" s="5">
        <v>100000</v>
      </c>
      <c r="I3044" s="4" t="s">
        <v>91</v>
      </c>
      <c r="J3044" s="5">
        <f t="shared" si="47"/>
        <v>-87270</v>
      </c>
      <c r="K3044" s="4" t="s">
        <v>53</v>
      </c>
      <c r="L3044" s="6">
        <v>0.87270000000000003</v>
      </c>
      <c r="M3044" s="6">
        <v>1.1458999999999999</v>
      </c>
      <c r="N3044" s="6">
        <v>4.2050000000000001</v>
      </c>
      <c r="O3044" s="6">
        <v>4.8478000000000003</v>
      </c>
      <c r="P3044" s="5">
        <v>-2548.1147999999998</v>
      </c>
      <c r="Q3044" s="4" t="s">
        <v>1391</v>
      </c>
    </row>
    <row r="3045" spans="1:17" x14ac:dyDescent="0.3">
      <c r="A3045" s="2" t="s">
        <v>1389</v>
      </c>
      <c r="B3045" s="3">
        <v>158542</v>
      </c>
      <c r="C3045" s="3">
        <v>907075</v>
      </c>
      <c r="D3045" s="4" t="s">
        <v>81</v>
      </c>
      <c r="E3045" s="4" t="s">
        <v>736</v>
      </c>
      <c r="F3045" s="4" t="s">
        <v>87</v>
      </c>
      <c r="G3045" s="4" t="s">
        <v>89</v>
      </c>
      <c r="H3045" s="5">
        <v>760000</v>
      </c>
      <c r="I3045" s="4" t="s">
        <v>21</v>
      </c>
      <c r="J3045" s="5">
        <f t="shared" si="47"/>
        <v>-428108</v>
      </c>
      <c r="K3045" s="4" t="s">
        <v>53</v>
      </c>
      <c r="L3045" s="6">
        <v>0.56330000000000002</v>
      </c>
      <c r="M3045" s="6">
        <v>1.7753000000000001</v>
      </c>
      <c r="N3045" s="6">
        <v>0.56299999999999994</v>
      </c>
      <c r="O3045" s="6">
        <v>1</v>
      </c>
      <c r="P3045" s="5">
        <v>-228</v>
      </c>
      <c r="Q3045" s="4" t="s">
        <v>1390</v>
      </c>
    </row>
    <row r="3046" spans="1:17" x14ac:dyDescent="0.3">
      <c r="A3046" s="2" t="s">
        <v>1389</v>
      </c>
      <c r="B3046" s="3">
        <v>158543</v>
      </c>
      <c r="C3046" s="3">
        <v>907082</v>
      </c>
      <c r="D3046" s="4" t="s">
        <v>81</v>
      </c>
      <c r="E3046" s="4" t="s">
        <v>727</v>
      </c>
      <c r="F3046" s="4" t="s">
        <v>87</v>
      </c>
      <c r="G3046" s="4" t="s">
        <v>20</v>
      </c>
      <c r="H3046" s="5">
        <v>100000</v>
      </c>
      <c r="I3046" s="4" t="s">
        <v>74</v>
      </c>
      <c r="J3046" s="5">
        <f t="shared" si="47"/>
        <v>-1155980</v>
      </c>
      <c r="K3046" s="4" t="s">
        <v>53</v>
      </c>
      <c r="L3046" s="6">
        <v>11.559799999999999</v>
      </c>
      <c r="M3046" s="6">
        <v>8.6499999999999994E-2</v>
      </c>
      <c r="N3046" s="6">
        <v>4.2050000000000001</v>
      </c>
      <c r="O3046" s="6">
        <v>0.36320000000000002</v>
      </c>
      <c r="P3046" s="5">
        <v>648.06399999999996</v>
      </c>
      <c r="Q3046" s="4" t="s">
        <v>1397</v>
      </c>
    </row>
    <row r="3047" spans="1:17" x14ac:dyDescent="0.3">
      <c r="A3047" s="2" t="s">
        <v>1389</v>
      </c>
      <c r="B3047" s="3">
        <v>158544</v>
      </c>
      <c r="C3047" s="3">
        <v>907083</v>
      </c>
      <c r="D3047" s="4" t="s">
        <v>81</v>
      </c>
      <c r="E3047" s="4" t="s">
        <v>735</v>
      </c>
      <c r="F3047" s="4" t="s">
        <v>87</v>
      </c>
      <c r="G3047" s="4" t="s">
        <v>20</v>
      </c>
      <c r="H3047" s="5">
        <v>100000</v>
      </c>
      <c r="I3047" s="4" t="s">
        <v>74</v>
      </c>
      <c r="J3047" s="5">
        <f t="shared" si="47"/>
        <v>-1155940</v>
      </c>
      <c r="K3047" s="4" t="s">
        <v>53</v>
      </c>
      <c r="L3047" s="6">
        <v>11.5594</v>
      </c>
      <c r="M3047" s="6">
        <v>8.6499999999999994E-2</v>
      </c>
      <c r="N3047" s="6">
        <v>4.2050000000000001</v>
      </c>
      <c r="O3047" s="6">
        <v>0.36320000000000002</v>
      </c>
      <c r="P3047" s="5">
        <v>662.59199999999998</v>
      </c>
      <c r="Q3047" s="4" t="s">
        <v>1394</v>
      </c>
    </row>
    <row r="3048" spans="1:17" x14ac:dyDescent="0.3">
      <c r="A3048" s="2" t="s">
        <v>1389</v>
      </c>
      <c r="B3048" s="3">
        <v>158546</v>
      </c>
      <c r="C3048" s="3">
        <v>907087</v>
      </c>
      <c r="D3048" s="4" t="s">
        <v>81</v>
      </c>
      <c r="E3048" s="4" t="s">
        <v>733</v>
      </c>
      <c r="F3048" s="4" t="s">
        <v>87</v>
      </c>
      <c r="G3048" s="4" t="s">
        <v>20</v>
      </c>
      <c r="H3048" s="5">
        <v>100000</v>
      </c>
      <c r="I3048" s="4" t="s">
        <v>89</v>
      </c>
      <c r="J3048" s="5">
        <f t="shared" si="47"/>
        <v>-746840</v>
      </c>
      <c r="K3048" s="4" t="s">
        <v>53</v>
      </c>
      <c r="L3048" s="6">
        <v>7.4683999999999999</v>
      </c>
      <c r="M3048" s="6">
        <v>0.13389999999999999</v>
      </c>
      <c r="N3048" s="6">
        <v>4.2050000000000001</v>
      </c>
      <c r="O3048" s="6">
        <v>0.56299999999999994</v>
      </c>
      <c r="P3048" s="5">
        <v>26.827999999999999</v>
      </c>
      <c r="Q3048" s="4" t="s">
        <v>1391</v>
      </c>
    </row>
    <row r="3049" spans="1:17" x14ac:dyDescent="0.3">
      <c r="A3049" s="2" t="s">
        <v>1389</v>
      </c>
      <c r="B3049" s="3">
        <v>158547</v>
      </c>
      <c r="C3049" s="3">
        <v>907088</v>
      </c>
      <c r="D3049" s="4" t="s">
        <v>81</v>
      </c>
      <c r="E3049" s="4" t="s">
        <v>734</v>
      </c>
      <c r="F3049" s="4" t="s">
        <v>83</v>
      </c>
      <c r="G3049" s="4" t="s">
        <v>20</v>
      </c>
      <c r="H3049" s="5">
        <v>-100000</v>
      </c>
      <c r="I3049" s="4" t="s">
        <v>34</v>
      </c>
      <c r="J3049" s="5">
        <f t="shared" si="47"/>
        <v>117170</v>
      </c>
      <c r="K3049" s="4" t="s">
        <v>53</v>
      </c>
      <c r="L3049" s="6">
        <v>1.1717</v>
      </c>
      <c r="M3049" s="6">
        <v>0.85350000000000004</v>
      </c>
      <c r="N3049" s="6">
        <v>4.2050000000000001</v>
      </c>
      <c r="O3049" s="6">
        <v>3.5831</v>
      </c>
      <c r="P3049" s="5">
        <v>-668.173</v>
      </c>
      <c r="Q3049" s="4" t="s">
        <v>1393</v>
      </c>
    </row>
    <row r="3050" spans="1:17" x14ac:dyDescent="0.3">
      <c r="A3050" s="2" t="s">
        <v>1389</v>
      </c>
      <c r="B3050" s="3">
        <v>158548</v>
      </c>
      <c r="C3050" s="3">
        <v>907089</v>
      </c>
      <c r="D3050" s="4" t="s">
        <v>81</v>
      </c>
      <c r="E3050" s="4" t="s">
        <v>730</v>
      </c>
      <c r="F3050" s="4" t="s">
        <v>83</v>
      </c>
      <c r="G3050" s="4" t="s">
        <v>20</v>
      </c>
      <c r="H3050" s="5">
        <v>-100000</v>
      </c>
      <c r="I3050" s="4" t="s">
        <v>34</v>
      </c>
      <c r="J3050" s="5">
        <f t="shared" si="47"/>
        <v>117170</v>
      </c>
      <c r="K3050" s="4" t="s">
        <v>53</v>
      </c>
      <c r="L3050" s="6">
        <v>1.1717</v>
      </c>
      <c r="M3050" s="6">
        <v>0.85340000000000005</v>
      </c>
      <c r="N3050" s="6">
        <v>4.2050000000000001</v>
      </c>
      <c r="O3050" s="6">
        <v>3.5831</v>
      </c>
      <c r="P3050" s="5">
        <v>-661.0068</v>
      </c>
      <c r="Q3050" s="4" t="s">
        <v>1396</v>
      </c>
    </row>
    <row r="3051" spans="1:17" x14ac:dyDescent="0.3">
      <c r="A3051" s="2" t="s">
        <v>1389</v>
      </c>
      <c r="B3051" s="3">
        <v>158550</v>
      </c>
      <c r="C3051" s="3">
        <v>219366</v>
      </c>
      <c r="D3051" s="4" t="s">
        <v>17</v>
      </c>
      <c r="E3051" s="4" t="s">
        <v>1341</v>
      </c>
      <c r="F3051" s="4" t="s">
        <v>19</v>
      </c>
      <c r="G3051" s="4" t="s">
        <v>21</v>
      </c>
      <c r="H3051" s="5">
        <v>576564</v>
      </c>
      <c r="I3051" s="4" t="s">
        <v>20</v>
      </c>
      <c r="J3051" s="5">
        <f t="shared" si="47"/>
        <v>-2430736.1676000003</v>
      </c>
      <c r="K3051" s="4" t="s">
        <v>51</v>
      </c>
      <c r="L3051" s="6">
        <v>4.2159000000000004</v>
      </c>
      <c r="M3051" s="6">
        <v>0.23719999999999999</v>
      </c>
      <c r="N3051" s="6">
        <v>1</v>
      </c>
      <c r="O3051" s="6">
        <v>4.2271000000000001</v>
      </c>
      <c r="P3051" s="5">
        <v>-9698400.8540619612</v>
      </c>
      <c r="Q3051" s="4" t="s">
        <v>1390</v>
      </c>
    </row>
    <row r="3052" spans="1:17" x14ac:dyDescent="0.3">
      <c r="A3052" s="2" t="s">
        <v>1389</v>
      </c>
      <c r="B3052" s="3">
        <v>158552</v>
      </c>
      <c r="C3052" s="3">
        <v>219367</v>
      </c>
      <c r="D3052" s="4" t="s">
        <v>17</v>
      </c>
      <c r="E3052" s="4" t="s">
        <v>1040</v>
      </c>
      <c r="F3052" s="4" t="s">
        <v>32</v>
      </c>
      <c r="G3052" s="4" t="s">
        <v>20</v>
      </c>
      <c r="H3052" s="5">
        <v>-1215</v>
      </c>
      <c r="I3052" s="4" t="s">
        <v>21</v>
      </c>
      <c r="J3052" s="5">
        <f t="shared" si="47"/>
        <v>5123.6549999999997</v>
      </c>
      <c r="K3052" s="4" t="s">
        <v>51</v>
      </c>
      <c r="L3052" s="6">
        <v>4.2169999999999996</v>
      </c>
      <c r="M3052" s="6">
        <v>0.23710000000000001</v>
      </c>
      <c r="N3052" s="6">
        <v>4.2271000000000001</v>
      </c>
      <c r="O3052" s="6">
        <v>1</v>
      </c>
      <c r="P3052" s="5">
        <v>-12.266500000000001</v>
      </c>
      <c r="Q3052" s="4" t="s">
        <v>1390</v>
      </c>
    </row>
    <row r="3053" spans="1:17" x14ac:dyDescent="0.3">
      <c r="A3053" s="2" t="s">
        <v>1389</v>
      </c>
      <c r="B3053" s="3">
        <v>158553</v>
      </c>
      <c r="C3053" s="3">
        <v>907168</v>
      </c>
      <c r="D3053" s="4" t="s">
        <v>81</v>
      </c>
      <c r="E3053" s="4" t="s">
        <v>732</v>
      </c>
      <c r="F3053" s="4" t="s">
        <v>83</v>
      </c>
      <c r="G3053" s="4" t="s">
        <v>20</v>
      </c>
      <c r="H3053" s="5">
        <v>-500000</v>
      </c>
      <c r="I3053" s="4" t="s">
        <v>21</v>
      </c>
      <c r="J3053" s="5">
        <f t="shared" si="47"/>
        <v>2103650</v>
      </c>
      <c r="K3053" s="4" t="s">
        <v>53</v>
      </c>
      <c r="L3053" s="6">
        <v>4.2073</v>
      </c>
      <c r="M3053" s="6">
        <v>0.23769999999999999</v>
      </c>
      <c r="N3053" s="6">
        <v>4.2050000000000001</v>
      </c>
      <c r="O3053" s="6">
        <v>1</v>
      </c>
      <c r="P3053" s="5">
        <v>1125</v>
      </c>
      <c r="Q3053" s="4" t="s">
        <v>1394</v>
      </c>
    </row>
    <row r="3054" spans="1:17" x14ac:dyDescent="0.3">
      <c r="A3054" s="2" t="s">
        <v>1389</v>
      </c>
      <c r="B3054" s="3">
        <v>158554</v>
      </c>
      <c r="C3054" s="3">
        <v>907169</v>
      </c>
      <c r="D3054" s="4" t="s">
        <v>81</v>
      </c>
      <c r="E3054" s="4" t="s">
        <v>732</v>
      </c>
      <c r="F3054" s="4" t="s">
        <v>83</v>
      </c>
      <c r="G3054" s="4" t="s">
        <v>20</v>
      </c>
      <c r="H3054" s="5">
        <v>-500000</v>
      </c>
      <c r="I3054" s="4" t="s">
        <v>21</v>
      </c>
      <c r="J3054" s="5">
        <f t="shared" si="47"/>
        <v>2103500</v>
      </c>
      <c r="K3054" s="4" t="s">
        <v>53</v>
      </c>
      <c r="L3054" s="6">
        <v>4.2069999999999999</v>
      </c>
      <c r="M3054" s="6">
        <v>0.23769999999999999</v>
      </c>
      <c r="N3054" s="6">
        <v>4.2050000000000001</v>
      </c>
      <c r="O3054" s="6">
        <v>1</v>
      </c>
      <c r="P3054" s="5">
        <v>1025</v>
      </c>
      <c r="Q3054" s="4" t="s">
        <v>1394</v>
      </c>
    </row>
    <row r="3055" spans="1:17" x14ac:dyDescent="0.3">
      <c r="A3055" s="2" t="s">
        <v>1389</v>
      </c>
      <c r="B3055" s="3">
        <v>158555</v>
      </c>
      <c r="C3055" s="3">
        <v>907170</v>
      </c>
      <c r="D3055" s="4" t="s">
        <v>81</v>
      </c>
      <c r="E3055" s="4" t="s">
        <v>733</v>
      </c>
      <c r="F3055" s="4" t="s">
        <v>83</v>
      </c>
      <c r="G3055" s="4" t="s">
        <v>20</v>
      </c>
      <c r="H3055" s="5">
        <v>-500000</v>
      </c>
      <c r="I3055" s="4" t="s">
        <v>21</v>
      </c>
      <c r="J3055" s="5">
        <f t="shared" si="47"/>
        <v>2103450</v>
      </c>
      <c r="K3055" s="4" t="s">
        <v>53</v>
      </c>
      <c r="L3055" s="6">
        <v>4.2069000000000001</v>
      </c>
      <c r="M3055" s="6">
        <v>0.23769999999999999</v>
      </c>
      <c r="N3055" s="6">
        <v>4.2050000000000001</v>
      </c>
      <c r="O3055" s="6">
        <v>1</v>
      </c>
      <c r="P3055" s="5">
        <v>955</v>
      </c>
      <c r="Q3055" s="4" t="s">
        <v>1391</v>
      </c>
    </row>
    <row r="3056" spans="1:17" x14ac:dyDescent="0.3">
      <c r="A3056" s="2" t="s">
        <v>1389</v>
      </c>
      <c r="B3056" s="3">
        <v>158557</v>
      </c>
      <c r="C3056" s="3">
        <v>907171</v>
      </c>
      <c r="D3056" s="4" t="s">
        <v>81</v>
      </c>
      <c r="E3056" s="4" t="s">
        <v>732</v>
      </c>
      <c r="F3056" s="4" t="s">
        <v>83</v>
      </c>
      <c r="G3056" s="4" t="s">
        <v>20</v>
      </c>
      <c r="H3056" s="5">
        <v>-500000</v>
      </c>
      <c r="I3056" s="4" t="s">
        <v>21</v>
      </c>
      <c r="J3056" s="5">
        <f t="shared" si="47"/>
        <v>2103500</v>
      </c>
      <c r="K3056" s="4" t="s">
        <v>53</v>
      </c>
      <c r="L3056" s="6">
        <v>4.2069999999999999</v>
      </c>
      <c r="M3056" s="6">
        <v>0.23769999999999999</v>
      </c>
      <c r="N3056" s="6">
        <v>4.2050000000000001</v>
      </c>
      <c r="O3056" s="6">
        <v>1</v>
      </c>
      <c r="P3056" s="5">
        <v>1005</v>
      </c>
      <c r="Q3056" s="4" t="s">
        <v>1394</v>
      </c>
    </row>
    <row r="3057" spans="1:17" x14ac:dyDescent="0.3">
      <c r="A3057" s="2" t="s">
        <v>1389</v>
      </c>
      <c r="B3057" s="3">
        <v>158558</v>
      </c>
      <c r="C3057" s="3">
        <v>907175</v>
      </c>
      <c r="D3057" s="4" t="s">
        <v>81</v>
      </c>
      <c r="E3057" s="4" t="s">
        <v>732</v>
      </c>
      <c r="F3057" s="4" t="s">
        <v>83</v>
      </c>
      <c r="G3057" s="4" t="s">
        <v>20</v>
      </c>
      <c r="H3057" s="5">
        <v>-500000</v>
      </c>
      <c r="I3057" s="4" t="s">
        <v>21</v>
      </c>
      <c r="J3057" s="5">
        <f t="shared" si="47"/>
        <v>2103500</v>
      </c>
      <c r="K3057" s="4" t="s">
        <v>53</v>
      </c>
      <c r="L3057" s="6">
        <v>4.2069999999999999</v>
      </c>
      <c r="M3057" s="6">
        <v>0.23769999999999999</v>
      </c>
      <c r="N3057" s="6">
        <v>4.2050000000000001</v>
      </c>
      <c r="O3057" s="6">
        <v>1</v>
      </c>
      <c r="P3057" s="5">
        <v>1005</v>
      </c>
      <c r="Q3057" s="4" t="s">
        <v>1394</v>
      </c>
    </row>
    <row r="3058" spans="1:17" x14ac:dyDescent="0.3">
      <c r="A3058" s="2" t="s">
        <v>1389</v>
      </c>
      <c r="B3058" s="3">
        <v>158561</v>
      </c>
      <c r="C3058" s="3">
        <v>907197</v>
      </c>
      <c r="D3058" s="4" t="s">
        <v>81</v>
      </c>
      <c r="E3058" s="4" t="s">
        <v>725</v>
      </c>
      <c r="F3058" s="4" t="s">
        <v>87</v>
      </c>
      <c r="G3058" s="4" t="s">
        <v>20</v>
      </c>
      <c r="H3058" s="5">
        <v>100000</v>
      </c>
      <c r="I3058" s="4" t="s">
        <v>91</v>
      </c>
      <c r="J3058" s="5">
        <f t="shared" si="47"/>
        <v>-87220</v>
      </c>
      <c r="K3058" s="4" t="s">
        <v>53</v>
      </c>
      <c r="L3058" s="6">
        <v>0.87219999999999998</v>
      </c>
      <c r="M3058" s="6">
        <v>1.1466000000000001</v>
      </c>
      <c r="N3058" s="6">
        <v>4.2050000000000001</v>
      </c>
      <c r="O3058" s="6">
        <v>4.8478000000000003</v>
      </c>
      <c r="P3058" s="5">
        <v>-2315.4204</v>
      </c>
      <c r="Q3058" s="4" t="s">
        <v>1392</v>
      </c>
    </row>
    <row r="3059" spans="1:17" x14ac:dyDescent="0.3">
      <c r="A3059" s="2" t="s">
        <v>1389</v>
      </c>
      <c r="B3059" s="3">
        <v>158562</v>
      </c>
      <c r="C3059" s="3">
        <v>907208</v>
      </c>
      <c r="D3059" s="4" t="s">
        <v>81</v>
      </c>
      <c r="E3059" s="4" t="s">
        <v>735</v>
      </c>
      <c r="F3059" s="4" t="s">
        <v>87</v>
      </c>
      <c r="G3059" s="4" t="s">
        <v>20</v>
      </c>
      <c r="H3059" s="5">
        <v>100000</v>
      </c>
      <c r="I3059" s="4" t="s">
        <v>74</v>
      </c>
      <c r="J3059" s="5">
        <f t="shared" si="47"/>
        <v>-1156310</v>
      </c>
      <c r="K3059" s="4" t="s">
        <v>53</v>
      </c>
      <c r="L3059" s="6">
        <v>11.5631</v>
      </c>
      <c r="M3059" s="6">
        <v>8.6499999999999994E-2</v>
      </c>
      <c r="N3059" s="6">
        <v>4.2050000000000001</v>
      </c>
      <c r="O3059" s="6">
        <v>0.36320000000000002</v>
      </c>
      <c r="P3059" s="5">
        <v>528.20799999999997</v>
      </c>
      <c r="Q3059" s="4" t="s">
        <v>1394</v>
      </c>
    </row>
    <row r="3060" spans="1:17" x14ac:dyDescent="0.3">
      <c r="A3060" s="2" t="s">
        <v>1389</v>
      </c>
      <c r="B3060" s="3">
        <v>158563</v>
      </c>
      <c r="C3060" s="3">
        <v>907229</v>
      </c>
      <c r="D3060" s="4" t="s">
        <v>81</v>
      </c>
      <c r="E3060" s="4" t="s">
        <v>735</v>
      </c>
      <c r="F3060" s="4" t="s">
        <v>83</v>
      </c>
      <c r="G3060" s="4" t="s">
        <v>20</v>
      </c>
      <c r="H3060" s="5">
        <v>-400000</v>
      </c>
      <c r="I3060" s="4" t="s">
        <v>21</v>
      </c>
      <c r="J3060" s="5">
        <f t="shared" si="47"/>
        <v>1683080</v>
      </c>
      <c r="K3060" s="4" t="s">
        <v>53</v>
      </c>
      <c r="L3060" s="6">
        <v>4.2077</v>
      </c>
      <c r="M3060" s="6">
        <v>0.23769999999999999</v>
      </c>
      <c r="N3060" s="6">
        <v>4.2050000000000001</v>
      </c>
      <c r="O3060" s="6">
        <v>1</v>
      </c>
      <c r="P3060" s="5">
        <v>1080</v>
      </c>
      <c r="Q3060" s="4" t="s">
        <v>1394</v>
      </c>
    </row>
    <row r="3061" spans="1:17" x14ac:dyDescent="0.3">
      <c r="A3061" s="2" t="s">
        <v>1389</v>
      </c>
      <c r="B3061" s="3">
        <v>158564</v>
      </c>
      <c r="C3061" s="3">
        <v>907230</v>
      </c>
      <c r="D3061" s="4" t="s">
        <v>81</v>
      </c>
      <c r="E3061" s="4" t="s">
        <v>734</v>
      </c>
      <c r="F3061" s="4" t="s">
        <v>87</v>
      </c>
      <c r="G3061" s="4" t="s">
        <v>20</v>
      </c>
      <c r="H3061" s="5">
        <v>100000</v>
      </c>
      <c r="I3061" s="4" t="s">
        <v>34</v>
      </c>
      <c r="J3061" s="5">
        <f t="shared" si="47"/>
        <v>-117140</v>
      </c>
      <c r="K3061" s="4" t="s">
        <v>53</v>
      </c>
      <c r="L3061" s="6">
        <v>1.1714</v>
      </c>
      <c r="M3061" s="6">
        <v>0.85370000000000001</v>
      </c>
      <c r="N3061" s="6">
        <v>4.2050000000000001</v>
      </c>
      <c r="O3061" s="6">
        <v>3.5831</v>
      </c>
      <c r="P3061" s="5">
        <v>772.0829</v>
      </c>
      <c r="Q3061" s="4" t="s">
        <v>1393</v>
      </c>
    </row>
    <row r="3062" spans="1:17" x14ac:dyDescent="0.3">
      <c r="A3062" s="2" t="s">
        <v>1389</v>
      </c>
      <c r="B3062" s="3">
        <v>158565</v>
      </c>
      <c r="C3062" s="3">
        <v>219374</v>
      </c>
      <c r="D3062" s="4" t="s">
        <v>17</v>
      </c>
      <c r="E3062" s="4" t="s">
        <v>1019</v>
      </c>
      <c r="F3062" s="4" t="s">
        <v>32</v>
      </c>
      <c r="G3062" s="4" t="s">
        <v>20</v>
      </c>
      <c r="H3062" s="5">
        <v>-200000</v>
      </c>
      <c r="I3062" s="4" t="s">
        <v>21</v>
      </c>
      <c r="J3062" s="5">
        <f t="shared" si="47"/>
        <v>842400</v>
      </c>
      <c r="K3062" s="4" t="s">
        <v>51</v>
      </c>
      <c r="L3062" s="6">
        <v>4.2119999999999997</v>
      </c>
      <c r="M3062" s="6">
        <v>0.2374</v>
      </c>
      <c r="N3062" s="6">
        <v>4.2271000000000001</v>
      </c>
      <c r="O3062" s="6">
        <v>1</v>
      </c>
      <c r="P3062" s="5">
        <v>-2800</v>
      </c>
      <c r="Q3062" s="4" t="s">
        <v>1390</v>
      </c>
    </row>
    <row r="3063" spans="1:17" x14ac:dyDescent="0.3">
      <c r="A3063" s="2" t="s">
        <v>1389</v>
      </c>
      <c r="B3063" s="3">
        <v>158567</v>
      </c>
      <c r="C3063" s="3">
        <v>219375</v>
      </c>
      <c r="D3063" s="4" t="s">
        <v>17</v>
      </c>
      <c r="E3063" s="4" t="s">
        <v>1019</v>
      </c>
      <c r="F3063" s="4" t="s">
        <v>32</v>
      </c>
      <c r="G3063" s="4" t="s">
        <v>34</v>
      </c>
      <c r="H3063" s="5">
        <v>-200000</v>
      </c>
      <c r="I3063" s="4" t="s">
        <v>21</v>
      </c>
      <c r="J3063" s="5">
        <f t="shared" si="47"/>
        <v>719600</v>
      </c>
      <c r="K3063" s="4" t="s">
        <v>51</v>
      </c>
      <c r="L3063" s="6">
        <v>3.5979999999999999</v>
      </c>
      <c r="M3063" s="6">
        <v>0.27789999999999998</v>
      </c>
      <c r="N3063" s="6">
        <v>3.6118000000000001</v>
      </c>
      <c r="O3063" s="6">
        <v>1</v>
      </c>
      <c r="P3063" s="5">
        <v>-2600</v>
      </c>
      <c r="Q3063" s="4" t="s">
        <v>1390</v>
      </c>
    </row>
    <row r="3064" spans="1:17" x14ac:dyDescent="0.3">
      <c r="A3064" s="2" t="s">
        <v>1389</v>
      </c>
      <c r="B3064" s="3">
        <v>158571</v>
      </c>
      <c r="C3064" s="3">
        <v>219382</v>
      </c>
      <c r="D3064" s="4" t="s">
        <v>17</v>
      </c>
      <c r="E3064" s="4" t="s">
        <v>1149</v>
      </c>
      <c r="F3064" s="4" t="s">
        <v>32</v>
      </c>
      <c r="G3064" s="4" t="s">
        <v>20</v>
      </c>
      <c r="H3064" s="5">
        <v>-150000</v>
      </c>
      <c r="I3064" s="4" t="s">
        <v>21</v>
      </c>
      <c r="J3064" s="5">
        <f t="shared" si="47"/>
        <v>631620</v>
      </c>
      <c r="K3064" s="4" t="s">
        <v>51</v>
      </c>
      <c r="L3064" s="6">
        <v>4.2107999999999999</v>
      </c>
      <c r="M3064" s="6">
        <v>0.23749999999999999</v>
      </c>
      <c r="N3064" s="6">
        <v>4.2271000000000001</v>
      </c>
      <c r="O3064" s="6">
        <v>1</v>
      </c>
      <c r="P3064" s="5">
        <v>-2565</v>
      </c>
      <c r="Q3064" s="4" t="s">
        <v>1390</v>
      </c>
    </row>
    <row r="3065" spans="1:17" x14ac:dyDescent="0.3">
      <c r="A3065" s="2" t="s">
        <v>1389</v>
      </c>
      <c r="B3065" s="3">
        <v>158577</v>
      </c>
      <c r="C3065" s="3">
        <v>907263</v>
      </c>
      <c r="D3065" s="4" t="s">
        <v>81</v>
      </c>
      <c r="E3065" s="4" t="s">
        <v>734</v>
      </c>
      <c r="F3065" s="4" t="s">
        <v>87</v>
      </c>
      <c r="G3065" s="4" t="s">
        <v>20</v>
      </c>
      <c r="H3065" s="5">
        <v>1500000</v>
      </c>
      <c r="I3065" s="4" t="s">
        <v>21</v>
      </c>
      <c r="J3065" s="5">
        <f t="shared" si="47"/>
        <v>-6306750.0000000009</v>
      </c>
      <c r="K3065" s="4" t="s">
        <v>53</v>
      </c>
      <c r="L3065" s="6">
        <v>4.2045000000000003</v>
      </c>
      <c r="M3065" s="6">
        <v>0.23780000000000001</v>
      </c>
      <c r="N3065" s="6">
        <v>4.2050000000000001</v>
      </c>
      <c r="O3065" s="6">
        <v>1</v>
      </c>
      <c r="P3065" s="5">
        <v>750</v>
      </c>
      <c r="Q3065" s="4" t="s">
        <v>1393</v>
      </c>
    </row>
    <row r="3066" spans="1:17" x14ac:dyDescent="0.3">
      <c r="A3066" s="2" t="s">
        <v>1389</v>
      </c>
      <c r="B3066" s="3">
        <v>158578</v>
      </c>
      <c r="C3066" s="3">
        <v>907264</v>
      </c>
      <c r="D3066" s="4" t="s">
        <v>81</v>
      </c>
      <c r="E3066" s="4" t="s">
        <v>734</v>
      </c>
      <c r="F3066" s="4" t="s">
        <v>87</v>
      </c>
      <c r="G3066" s="4" t="s">
        <v>20</v>
      </c>
      <c r="H3066" s="5">
        <v>1500000</v>
      </c>
      <c r="I3066" s="4" t="s">
        <v>21</v>
      </c>
      <c r="J3066" s="5">
        <f t="shared" si="47"/>
        <v>-6306750.0000000009</v>
      </c>
      <c r="K3066" s="4" t="s">
        <v>53</v>
      </c>
      <c r="L3066" s="6">
        <v>4.2045000000000003</v>
      </c>
      <c r="M3066" s="6">
        <v>0.23780000000000001</v>
      </c>
      <c r="N3066" s="6">
        <v>4.2050000000000001</v>
      </c>
      <c r="O3066" s="6">
        <v>1</v>
      </c>
      <c r="P3066" s="5">
        <v>750</v>
      </c>
      <c r="Q3066" s="4" t="s">
        <v>1393</v>
      </c>
    </row>
    <row r="3067" spans="1:17" x14ac:dyDescent="0.3">
      <c r="A3067" s="2" t="s">
        <v>1389</v>
      </c>
      <c r="B3067" s="3">
        <v>158579</v>
      </c>
      <c r="C3067" s="3">
        <v>907265</v>
      </c>
      <c r="D3067" s="4" t="s">
        <v>81</v>
      </c>
      <c r="E3067" s="4" t="s">
        <v>769</v>
      </c>
      <c r="F3067" s="4" t="s">
        <v>83</v>
      </c>
      <c r="G3067" s="4" t="s">
        <v>20</v>
      </c>
      <c r="H3067" s="5">
        <v>-100000</v>
      </c>
      <c r="I3067" s="4" t="s">
        <v>21</v>
      </c>
      <c r="J3067" s="5">
        <f t="shared" si="47"/>
        <v>420780</v>
      </c>
      <c r="K3067" s="4" t="s">
        <v>53</v>
      </c>
      <c r="L3067" s="6">
        <v>4.2077999999999998</v>
      </c>
      <c r="M3067" s="6">
        <v>0.23769999999999999</v>
      </c>
      <c r="N3067" s="6">
        <v>4.2050000000000001</v>
      </c>
      <c r="O3067" s="6">
        <v>1</v>
      </c>
      <c r="P3067" s="5">
        <v>280</v>
      </c>
      <c r="Q3067" s="4" t="s">
        <v>1390</v>
      </c>
    </row>
    <row r="3068" spans="1:17" x14ac:dyDescent="0.3">
      <c r="A3068" s="2" t="s">
        <v>1389</v>
      </c>
      <c r="B3068" s="3">
        <v>158581</v>
      </c>
      <c r="C3068" s="3">
        <v>907266</v>
      </c>
      <c r="D3068" s="4" t="s">
        <v>81</v>
      </c>
      <c r="E3068" s="4" t="s">
        <v>733</v>
      </c>
      <c r="F3068" s="4" t="s">
        <v>83</v>
      </c>
      <c r="G3068" s="4" t="s">
        <v>20</v>
      </c>
      <c r="H3068" s="5">
        <v>-400000</v>
      </c>
      <c r="I3068" s="4" t="s">
        <v>21</v>
      </c>
      <c r="J3068" s="5">
        <f t="shared" si="47"/>
        <v>1682000</v>
      </c>
      <c r="K3068" s="4" t="s">
        <v>53</v>
      </c>
      <c r="L3068" s="6">
        <v>4.2050000000000001</v>
      </c>
      <c r="M3068" s="6">
        <v>0.23780000000000001</v>
      </c>
      <c r="N3068" s="6">
        <v>4.2050000000000001</v>
      </c>
      <c r="O3068" s="6">
        <v>1</v>
      </c>
      <c r="P3068" s="5">
        <v>-12</v>
      </c>
      <c r="Q3068" s="4" t="s">
        <v>1391</v>
      </c>
    </row>
    <row r="3069" spans="1:17" x14ac:dyDescent="0.3">
      <c r="A3069" s="2" t="s">
        <v>1389</v>
      </c>
      <c r="B3069" s="3">
        <v>158582</v>
      </c>
      <c r="C3069" s="3">
        <v>907267</v>
      </c>
      <c r="D3069" s="4" t="s">
        <v>81</v>
      </c>
      <c r="E3069" s="4" t="s">
        <v>733</v>
      </c>
      <c r="F3069" s="4" t="s">
        <v>83</v>
      </c>
      <c r="G3069" s="4" t="s">
        <v>20</v>
      </c>
      <c r="H3069" s="5">
        <v>-400000</v>
      </c>
      <c r="I3069" s="4" t="s">
        <v>21</v>
      </c>
      <c r="J3069" s="5">
        <f t="shared" si="47"/>
        <v>1681960.0000000002</v>
      </c>
      <c r="K3069" s="4" t="s">
        <v>53</v>
      </c>
      <c r="L3069" s="6">
        <v>4.2049000000000003</v>
      </c>
      <c r="M3069" s="6">
        <v>0.23780000000000001</v>
      </c>
      <c r="N3069" s="6">
        <v>4.2050000000000001</v>
      </c>
      <c r="O3069" s="6">
        <v>1</v>
      </c>
      <c r="P3069" s="5">
        <v>-32</v>
      </c>
      <c r="Q3069" s="4" t="s">
        <v>1391</v>
      </c>
    </row>
    <row r="3070" spans="1:17" x14ac:dyDescent="0.3">
      <c r="A3070" s="2" t="s">
        <v>1389</v>
      </c>
      <c r="B3070" s="3">
        <v>158583</v>
      </c>
      <c r="C3070" s="3">
        <v>907268</v>
      </c>
      <c r="D3070" s="4" t="s">
        <v>81</v>
      </c>
      <c r="E3070" s="4" t="s">
        <v>732</v>
      </c>
      <c r="F3070" s="4" t="s">
        <v>83</v>
      </c>
      <c r="G3070" s="4" t="s">
        <v>20</v>
      </c>
      <c r="H3070" s="5">
        <v>-400000</v>
      </c>
      <c r="I3070" s="4" t="s">
        <v>21</v>
      </c>
      <c r="J3070" s="5">
        <f t="shared" si="47"/>
        <v>1682160</v>
      </c>
      <c r="K3070" s="4" t="s">
        <v>53</v>
      </c>
      <c r="L3070" s="6">
        <v>4.2054</v>
      </c>
      <c r="M3070" s="6">
        <v>0.23780000000000001</v>
      </c>
      <c r="N3070" s="6">
        <v>4.2050000000000001</v>
      </c>
      <c r="O3070" s="6">
        <v>1</v>
      </c>
      <c r="P3070" s="5">
        <v>160</v>
      </c>
      <c r="Q3070" s="4" t="s">
        <v>1394</v>
      </c>
    </row>
    <row r="3071" spans="1:17" x14ac:dyDescent="0.3">
      <c r="A3071" s="2" t="s">
        <v>1389</v>
      </c>
      <c r="B3071" s="3">
        <v>158584</v>
      </c>
      <c r="C3071" s="3">
        <v>907269</v>
      </c>
      <c r="D3071" s="4" t="s">
        <v>81</v>
      </c>
      <c r="E3071" s="4" t="s">
        <v>732</v>
      </c>
      <c r="F3071" s="4" t="s">
        <v>83</v>
      </c>
      <c r="G3071" s="4" t="s">
        <v>20</v>
      </c>
      <c r="H3071" s="5">
        <v>-400000</v>
      </c>
      <c r="I3071" s="4" t="s">
        <v>21</v>
      </c>
      <c r="J3071" s="5">
        <f t="shared" si="47"/>
        <v>1682160</v>
      </c>
      <c r="K3071" s="4" t="s">
        <v>53</v>
      </c>
      <c r="L3071" s="6">
        <v>4.2054</v>
      </c>
      <c r="M3071" s="6">
        <v>0.23780000000000001</v>
      </c>
      <c r="N3071" s="6">
        <v>4.2050000000000001</v>
      </c>
      <c r="O3071" s="6">
        <v>1</v>
      </c>
      <c r="P3071" s="5">
        <v>160</v>
      </c>
      <c r="Q3071" s="4" t="s">
        <v>1394</v>
      </c>
    </row>
    <row r="3072" spans="1:17" x14ac:dyDescent="0.3">
      <c r="A3072" s="2" t="s">
        <v>1389</v>
      </c>
      <c r="B3072" s="3">
        <v>158585</v>
      </c>
      <c r="C3072" s="3">
        <v>907271</v>
      </c>
      <c r="D3072" s="4" t="s">
        <v>81</v>
      </c>
      <c r="E3072" s="4" t="s">
        <v>732</v>
      </c>
      <c r="F3072" s="4" t="s">
        <v>83</v>
      </c>
      <c r="G3072" s="4" t="s">
        <v>20</v>
      </c>
      <c r="H3072" s="5">
        <v>-400000</v>
      </c>
      <c r="I3072" s="4" t="s">
        <v>21</v>
      </c>
      <c r="J3072" s="5">
        <f t="shared" si="47"/>
        <v>1682160</v>
      </c>
      <c r="K3072" s="4" t="s">
        <v>53</v>
      </c>
      <c r="L3072" s="6">
        <v>4.2054</v>
      </c>
      <c r="M3072" s="6">
        <v>0.23780000000000001</v>
      </c>
      <c r="N3072" s="6">
        <v>4.2050000000000001</v>
      </c>
      <c r="O3072" s="6">
        <v>1</v>
      </c>
      <c r="P3072" s="5">
        <v>160</v>
      </c>
      <c r="Q3072" s="4" t="s">
        <v>1394</v>
      </c>
    </row>
    <row r="3073" spans="1:17" x14ac:dyDescent="0.3">
      <c r="A3073" s="2" t="s">
        <v>1389</v>
      </c>
      <c r="B3073" s="3">
        <v>158586</v>
      </c>
      <c r="C3073" s="3">
        <v>907274</v>
      </c>
      <c r="D3073" s="4" t="s">
        <v>81</v>
      </c>
      <c r="E3073" s="4" t="s">
        <v>733</v>
      </c>
      <c r="F3073" s="4" t="s">
        <v>83</v>
      </c>
      <c r="G3073" s="4" t="s">
        <v>20</v>
      </c>
      <c r="H3073" s="5">
        <v>-400000</v>
      </c>
      <c r="I3073" s="4" t="s">
        <v>21</v>
      </c>
      <c r="J3073" s="5">
        <f t="shared" si="47"/>
        <v>1682200</v>
      </c>
      <c r="K3073" s="4" t="s">
        <v>53</v>
      </c>
      <c r="L3073" s="6">
        <v>4.2054999999999998</v>
      </c>
      <c r="M3073" s="6">
        <v>0.23780000000000001</v>
      </c>
      <c r="N3073" s="6">
        <v>4.2050000000000001</v>
      </c>
      <c r="O3073" s="6">
        <v>1</v>
      </c>
      <c r="P3073" s="5">
        <v>200</v>
      </c>
      <c r="Q3073" s="4" t="s">
        <v>1391</v>
      </c>
    </row>
    <row r="3074" spans="1:17" x14ac:dyDescent="0.3">
      <c r="A3074" s="2" t="s">
        <v>1389</v>
      </c>
      <c r="B3074" s="3">
        <v>158587</v>
      </c>
      <c r="C3074" s="3">
        <v>907275</v>
      </c>
      <c r="D3074" s="4" t="s">
        <v>81</v>
      </c>
      <c r="E3074" s="4" t="s">
        <v>733</v>
      </c>
      <c r="F3074" s="4" t="s">
        <v>83</v>
      </c>
      <c r="G3074" s="4" t="s">
        <v>20</v>
      </c>
      <c r="H3074" s="5">
        <v>-400000</v>
      </c>
      <c r="I3074" s="4" t="s">
        <v>21</v>
      </c>
      <c r="J3074" s="5">
        <f t="shared" si="47"/>
        <v>1682120</v>
      </c>
      <c r="K3074" s="4" t="s">
        <v>53</v>
      </c>
      <c r="L3074" s="6">
        <v>4.2053000000000003</v>
      </c>
      <c r="M3074" s="6">
        <v>0.23780000000000001</v>
      </c>
      <c r="N3074" s="6">
        <v>4.2050000000000001</v>
      </c>
      <c r="O3074" s="6">
        <v>1</v>
      </c>
      <c r="P3074" s="5">
        <v>136</v>
      </c>
      <c r="Q3074" s="4" t="s">
        <v>1391</v>
      </c>
    </row>
    <row r="3075" spans="1:17" x14ac:dyDescent="0.3">
      <c r="A3075" s="2" t="s">
        <v>1389</v>
      </c>
      <c r="B3075" s="3">
        <v>158588</v>
      </c>
      <c r="C3075" s="3">
        <v>907276</v>
      </c>
      <c r="D3075" s="4" t="s">
        <v>81</v>
      </c>
      <c r="E3075" s="4" t="s">
        <v>735</v>
      </c>
      <c r="F3075" s="4" t="s">
        <v>83</v>
      </c>
      <c r="G3075" s="4" t="s">
        <v>20</v>
      </c>
      <c r="H3075" s="5">
        <v>-400000</v>
      </c>
      <c r="I3075" s="4" t="s">
        <v>21</v>
      </c>
      <c r="J3075" s="5">
        <f t="shared" si="47"/>
        <v>1682079.9999999998</v>
      </c>
      <c r="K3075" s="4" t="s">
        <v>53</v>
      </c>
      <c r="L3075" s="6">
        <v>4.2051999999999996</v>
      </c>
      <c r="M3075" s="6">
        <v>0.23780000000000001</v>
      </c>
      <c r="N3075" s="6">
        <v>4.2050000000000001</v>
      </c>
      <c r="O3075" s="6">
        <v>1</v>
      </c>
      <c r="P3075" s="5">
        <v>80</v>
      </c>
      <c r="Q3075" s="4" t="s">
        <v>1394</v>
      </c>
    </row>
    <row r="3076" spans="1:17" x14ac:dyDescent="0.3">
      <c r="A3076" s="2" t="s">
        <v>1389</v>
      </c>
      <c r="B3076" s="3">
        <v>158589</v>
      </c>
      <c r="C3076" s="3">
        <v>907277</v>
      </c>
      <c r="D3076" s="4" t="s">
        <v>81</v>
      </c>
      <c r="E3076" s="4" t="s">
        <v>734</v>
      </c>
      <c r="F3076" s="4" t="s">
        <v>87</v>
      </c>
      <c r="G3076" s="4" t="s">
        <v>20</v>
      </c>
      <c r="H3076" s="5">
        <v>1500000</v>
      </c>
      <c r="I3076" s="4" t="s">
        <v>21</v>
      </c>
      <c r="J3076" s="5">
        <f t="shared" ref="J3076:J3139" si="48">-H3076*L3076</f>
        <v>-6306750.0000000009</v>
      </c>
      <c r="K3076" s="4" t="s">
        <v>53</v>
      </c>
      <c r="L3076" s="6">
        <v>4.2045000000000003</v>
      </c>
      <c r="M3076" s="6">
        <v>0.23780000000000001</v>
      </c>
      <c r="N3076" s="6">
        <v>4.2050000000000001</v>
      </c>
      <c r="O3076" s="6">
        <v>1</v>
      </c>
      <c r="P3076" s="5">
        <v>795</v>
      </c>
      <c r="Q3076" s="4" t="s">
        <v>1393</v>
      </c>
    </row>
    <row r="3077" spans="1:17" x14ac:dyDescent="0.3">
      <c r="A3077" s="2" t="s">
        <v>1389</v>
      </c>
      <c r="B3077" s="3">
        <v>158590</v>
      </c>
      <c r="C3077" s="3">
        <v>907281</v>
      </c>
      <c r="D3077" s="4" t="s">
        <v>81</v>
      </c>
      <c r="E3077" s="4" t="s">
        <v>734</v>
      </c>
      <c r="F3077" s="4" t="s">
        <v>87</v>
      </c>
      <c r="G3077" s="4" t="s">
        <v>20</v>
      </c>
      <c r="H3077" s="5">
        <v>1500000</v>
      </c>
      <c r="I3077" s="4" t="s">
        <v>21</v>
      </c>
      <c r="J3077" s="5">
        <f t="shared" si="48"/>
        <v>-6306450</v>
      </c>
      <c r="K3077" s="4" t="s">
        <v>53</v>
      </c>
      <c r="L3077" s="6">
        <v>4.2042999999999999</v>
      </c>
      <c r="M3077" s="6">
        <v>0.2379</v>
      </c>
      <c r="N3077" s="6">
        <v>4.2050000000000001</v>
      </c>
      <c r="O3077" s="6">
        <v>1</v>
      </c>
      <c r="P3077" s="5">
        <v>1050</v>
      </c>
      <c r="Q3077" s="4" t="s">
        <v>1393</v>
      </c>
    </row>
    <row r="3078" spans="1:17" x14ac:dyDescent="0.3">
      <c r="A3078" s="2" t="s">
        <v>1389</v>
      </c>
      <c r="B3078" s="3">
        <v>158591</v>
      </c>
      <c r="C3078" s="3">
        <v>907282</v>
      </c>
      <c r="D3078" s="4" t="s">
        <v>81</v>
      </c>
      <c r="E3078" s="4" t="s">
        <v>882</v>
      </c>
      <c r="F3078" s="4" t="s">
        <v>83</v>
      </c>
      <c r="G3078" s="4" t="s">
        <v>20</v>
      </c>
      <c r="H3078" s="5">
        <v>-2000</v>
      </c>
      <c r="I3078" s="4" t="s">
        <v>21</v>
      </c>
      <c r="J3078" s="5">
        <f t="shared" si="48"/>
        <v>8460</v>
      </c>
      <c r="K3078" s="4" t="s">
        <v>53</v>
      </c>
      <c r="L3078" s="6">
        <v>4.2300000000000004</v>
      </c>
      <c r="M3078" s="6">
        <v>0.2364</v>
      </c>
      <c r="N3078" s="6">
        <v>4.2050000000000001</v>
      </c>
      <c r="O3078" s="6">
        <v>1</v>
      </c>
      <c r="P3078" s="5">
        <v>50</v>
      </c>
      <c r="Q3078" s="4" t="s">
        <v>1390</v>
      </c>
    </row>
    <row r="3079" spans="1:17" x14ac:dyDescent="0.3">
      <c r="A3079" s="2" t="s">
        <v>1389</v>
      </c>
      <c r="B3079" s="3">
        <v>158592</v>
      </c>
      <c r="C3079" s="3">
        <v>219385</v>
      </c>
      <c r="D3079" s="4" t="s">
        <v>17</v>
      </c>
      <c r="E3079" s="4" t="s">
        <v>1278</v>
      </c>
      <c r="F3079" s="4" t="s">
        <v>32</v>
      </c>
      <c r="G3079" s="4" t="s">
        <v>20</v>
      </c>
      <c r="H3079" s="5">
        <v>-50000</v>
      </c>
      <c r="I3079" s="4" t="s">
        <v>21</v>
      </c>
      <c r="J3079" s="5">
        <f t="shared" si="48"/>
        <v>210540</v>
      </c>
      <c r="K3079" s="4" t="s">
        <v>51</v>
      </c>
      <c r="L3079" s="6">
        <v>4.2107999999999999</v>
      </c>
      <c r="M3079" s="6">
        <v>0.23749999999999999</v>
      </c>
      <c r="N3079" s="6">
        <v>4.2271000000000001</v>
      </c>
      <c r="O3079" s="6">
        <v>1</v>
      </c>
      <c r="P3079" s="5">
        <v>-855</v>
      </c>
      <c r="Q3079" s="4" t="s">
        <v>1390</v>
      </c>
    </row>
    <row r="3080" spans="1:17" x14ac:dyDescent="0.3">
      <c r="A3080" s="2" t="s">
        <v>1389</v>
      </c>
      <c r="B3080" s="3">
        <v>158593</v>
      </c>
      <c r="C3080" s="3">
        <v>219387</v>
      </c>
      <c r="D3080" s="4" t="s">
        <v>17</v>
      </c>
      <c r="E3080" s="4" t="s">
        <v>1316</v>
      </c>
      <c r="F3080" s="4" t="s">
        <v>32</v>
      </c>
      <c r="G3080" s="4" t="s">
        <v>20</v>
      </c>
      <c r="H3080" s="5">
        <v>-100000</v>
      </c>
      <c r="I3080" s="4" t="s">
        <v>21</v>
      </c>
      <c r="J3080" s="5">
        <f t="shared" si="48"/>
        <v>420580</v>
      </c>
      <c r="K3080" s="4" t="s">
        <v>51</v>
      </c>
      <c r="L3080" s="6">
        <v>4.2058</v>
      </c>
      <c r="M3080" s="6">
        <v>0.23780000000000001</v>
      </c>
      <c r="N3080" s="6">
        <v>4.2271000000000001</v>
      </c>
      <c r="O3080" s="6">
        <v>1</v>
      </c>
      <c r="P3080" s="5">
        <v>-2210</v>
      </c>
      <c r="Q3080" s="4" t="s">
        <v>1390</v>
      </c>
    </row>
    <row r="3081" spans="1:17" x14ac:dyDescent="0.3">
      <c r="A3081" s="2" t="s">
        <v>1389</v>
      </c>
      <c r="B3081" s="3">
        <v>158594</v>
      </c>
      <c r="C3081" s="3">
        <v>219388</v>
      </c>
      <c r="D3081" s="4" t="s">
        <v>17</v>
      </c>
      <c r="E3081" s="4" t="s">
        <v>1316</v>
      </c>
      <c r="F3081" s="4" t="s">
        <v>32</v>
      </c>
      <c r="G3081" s="4" t="s">
        <v>20</v>
      </c>
      <c r="H3081" s="5">
        <v>-100000</v>
      </c>
      <c r="I3081" s="4" t="s">
        <v>21</v>
      </c>
      <c r="J3081" s="5">
        <f t="shared" si="48"/>
        <v>420580</v>
      </c>
      <c r="K3081" s="4" t="s">
        <v>51</v>
      </c>
      <c r="L3081" s="6">
        <v>4.2058</v>
      </c>
      <c r="M3081" s="6">
        <v>0.23780000000000001</v>
      </c>
      <c r="N3081" s="6">
        <v>4.2271000000000001</v>
      </c>
      <c r="O3081" s="6">
        <v>1</v>
      </c>
      <c r="P3081" s="5">
        <v>-2210</v>
      </c>
      <c r="Q3081" s="4" t="s">
        <v>1390</v>
      </c>
    </row>
    <row r="3082" spans="1:17" x14ac:dyDescent="0.3">
      <c r="A3082" s="2" t="s">
        <v>1389</v>
      </c>
      <c r="B3082" s="3">
        <v>158596</v>
      </c>
      <c r="C3082" s="3">
        <v>219390</v>
      </c>
      <c r="D3082" s="4" t="s">
        <v>17</v>
      </c>
      <c r="E3082" s="4" t="s">
        <v>985</v>
      </c>
      <c r="F3082" s="4" t="s">
        <v>19</v>
      </c>
      <c r="G3082" s="4" t="s">
        <v>20</v>
      </c>
      <c r="H3082" s="5">
        <v>309111.65999999997</v>
      </c>
      <c r="I3082" s="4" t="s">
        <v>21</v>
      </c>
      <c r="J3082" s="5">
        <f t="shared" si="48"/>
        <v>-1299690.885636</v>
      </c>
      <c r="K3082" s="4" t="s">
        <v>51</v>
      </c>
      <c r="L3082" s="6">
        <v>4.2046000000000001</v>
      </c>
      <c r="M3082" s="6">
        <v>0.23780000000000001</v>
      </c>
      <c r="N3082" s="6">
        <v>4.2271000000000001</v>
      </c>
      <c r="O3082" s="6">
        <v>1</v>
      </c>
      <c r="P3082" s="5">
        <v>6955.0123499999754</v>
      </c>
      <c r="Q3082" s="4" t="s">
        <v>1390</v>
      </c>
    </row>
    <row r="3083" spans="1:17" x14ac:dyDescent="0.3">
      <c r="A3083" s="2" t="s">
        <v>1389</v>
      </c>
      <c r="B3083" s="3">
        <v>158597</v>
      </c>
      <c r="C3083" s="3">
        <v>219395</v>
      </c>
      <c r="D3083" s="4" t="s">
        <v>17</v>
      </c>
      <c r="E3083" s="4" t="s">
        <v>1201</v>
      </c>
      <c r="F3083" s="4" t="s">
        <v>32</v>
      </c>
      <c r="G3083" s="4" t="s">
        <v>20</v>
      </c>
      <c r="H3083" s="5">
        <v>-1500000</v>
      </c>
      <c r="I3083" s="4" t="s">
        <v>21</v>
      </c>
      <c r="J3083" s="5">
        <f t="shared" si="48"/>
        <v>6309900</v>
      </c>
      <c r="K3083" s="4" t="s">
        <v>52</v>
      </c>
      <c r="L3083" s="6">
        <v>4.2065999999999999</v>
      </c>
      <c r="M3083" s="6">
        <v>0.23769999999999999</v>
      </c>
      <c r="N3083" s="6">
        <v>4.2127999999999997</v>
      </c>
      <c r="O3083" s="6">
        <v>1</v>
      </c>
      <c r="P3083" s="5">
        <v>-10200</v>
      </c>
      <c r="Q3083" s="4" t="s">
        <v>1390</v>
      </c>
    </row>
    <row r="3084" spans="1:17" x14ac:dyDescent="0.3">
      <c r="A3084" s="2" t="s">
        <v>1389</v>
      </c>
      <c r="B3084" s="3">
        <v>158599</v>
      </c>
      <c r="C3084" s="3">
        <v>219398</v>
      </c>
      <c r="D3084" s="4" t="s">
        <v>17</v>
      </c>
      <c r="E3084" s="4" t="s">
        <v>749</v>
      </c>
      <c r="F3084" s="4" t="s">
        <v>19</v>
      </c>
      <c r="G3084" s="4" t="s">
        <v>20</v>
      </c>
      <c r="H3084" s="5">
        <v>14000</v>
      </c>
      <c r="I3084" s="4" t="s">
        <v>21</v>
      </c>
      <c r="J3084" s="5">
        <f t="shared" si="48"/>
        <v>-58784.6</v>
      </c>
      <c r="K3084" s="4" t="s">
        <v>51</v>
      </c>
      <c r="L3084" s="6">
        <v>4.1989000000000001</v>
      </c>
      <c r="M3084" s="6">
        <v>0.2382</v>
      </c>
      <c r="N3084" s="6">
        <v>4.2271000000000001</v>
      </c>
      <c r="O3084" s="6">
        <v>1</v>
      </c>
      <c r="P3084" s="5">
        <v>394.80000000000291</v>
      </c>
      <c r="Q3084" s="4" t="s">
        <v>1390</v>
      </c>
    </row>
    <row r="3085" spans="1:17" x14ac:dyDescent="0.3">
      <c r="A3085" s="2" t="s">
        <v>1389</v>
      </c>
      <c r="B3085" s="3">
        <v>158602</v>
      </c>
      <c r="C3085" s="3">
        <v>219405</v>
      </c>
      <c r="D3085" s="4" t="s">
        <v>17</v>
      </c>
      <c r="E3085" s="4" t="s">
        <v>918</v>
      </c>
      <c r="F3085" s="4" t="s">
        <v>19</v>
      </c>
      <c r="G3085" s="4" t="s">
        <v>20</v>
      </c>
      <c r="H3085" s="5">
        <v>5000</v>
      </c>
      <c r="I3085" s="4" t="s">
        <v>21</v>
      </c>
      <c r="J3085" s="5">
        <f t="shared" si="48"/>
        <v>-21000</v>
      </c>
      <c r="K3085" s="4" t="s">
        <v>52</v>
      </c>
      <c r="L3085" s="6">
        <v>4.2</v>
      </c>
      <c r="M3085" s="6">
        <v>0.23810000000000001</v>
      </c>
      <c r="N3085" s="6">
        <v>4.2127999999999997</v>
      </c>
      <c r="O3085" s="6">
        <v>1</v>
      </c>
      <c r="P3085" s="5">
        <v>64</v>
      </c>
      <c r="Q3085" s="4" t="s">
        <v>1390</v>
      </c>
    </row>
    <row r="3086" spans="1:17" x14ac:dyDescent="0.3">
      <c r="A3086" s="2" t="s">
        <v>1389</v>
      </c>
      <c r="B3086" s="3">
        <v>158606</v>
      </c>
      <c r="C3086" s="3">
        <v>219411</v>
      </c>
      <c r="D3086" s="4" t="s">
        <v>17</v>
      </c>
      <c r="E3086" s="4" t="s">
        <v>1201</v>
      </c>
      <c r="F3086" s="4" t="s">
        <v>32</v>
      </c>
      <c r="G3086" s="4" t="s">
        <v>20</v>
      </c>
      <c r="H3086" s="5">
        <v>-1500000</v>
      </c>
      <c r="I3086" s="4" t="s">
        <v>21</v>
      </c>
      <c r="J3086" s="5">
        <f t="shared" si="48"/>
        <v>6309900</v>
      </c>
      <c r="K3086" s="4" t="s">
        <v>52</v>
      </c>
      <c r="L3086" s="6">
        <v>4.2065999999999999</v>
      </c>
      <c r="M3086" s="6">
        <v>0.23769999999999999</v>
      </c>
      <c r="N3086" s="6">
        <v>4.2127999999999997</v>
      </c>
      <c r="O3086" s="6">
        <v>1</v>
      </c>
      <c r="P3086" s="5">
        <v>-10200</v>
      </c>
      <c r="Q3086" s="4" t="s">
        <v>1390</v>
      </c>
    </row>
    <row r="3087" spans="1:17" x14ac:dyDescent="0.3">
      <c r="A3087" s="2" t="s">
        <v>1389</v>
      </c>
      <c r="B3087" s="3">
        <v>158607</v>
      </c>
      <c r="C3087" s="3">
        <v>907384</v>
      </c>
      <c r="D3087" s="4" t="s">
        <v>81</v>
      </c>
      <c r="E3087" s="4" t="s">
        <v>734</v>
      </c>
      <c r="F3087" s="4" t="s">
        <v>87</v>
      </c>
      <c r="G3087" s="4" t="s">
        <v>20</v>
      </c>
      <c r="H3087" s="5">
        <v>2000000</v>
      </c>
      <c r="I3087" s="4" t="s">
        <v>21</v>
      </c>
      <c r="J3087" s="5">
        <f t="shared" si="48"/>
        <v>-8403000</v>
      </c>
      <c r="K3087" s="4" t="s">
        <v>53</v>
      </c>
      <c r="L3087" s="6">
        <v>4.2015000000000002</v>
      </c>
      <c r="M3087" s="6">
        <v>0.23799999999999999</v>
      </c>
      <c r="N3087" s="6">
        <v>4.2050000000000001</v>
      </c>
      <c r="O3087" s="6">
        <v>1</v>
      </c>
      <c r="P3087" s="5">
        <v>7000</v>
      </c>
      <c r="Q3087" s="4" t="s">
        <v>1393</v>
      </c>
    </row>
    <row r="3088" spans="1:17" x14ac:dyDescent="0.3">
      <c r="A3088" s="2" t="s">
        <v>1389</v>
      </c>
      <c r="B3088" s="3">
        <v>158608</v>
      </c>
      <c r="C3088" s="3">
        <v>907400</v>
      </c>
      <c r="D3088" s="4" t="s">
        <v>81</v>
      </c>
      <c r="E3088" s="4" t="s">
        <v>1201</v>
      </c>
      <c r="F3088" s="4" t="s">
        <v>83</v>
      </c>
      <c r="G3088" s="4" t="s">
        <v>20</v>
      </c>
      <c r="H3088" s="5">
        <v>-2000000</v>
      </c>
      <c r="I3088" s="4" t="s">
        <v>21</v>
      </c>
      <c r="J3088" s="5">
        <f t="shared" si="48"/>
        <v>8406000</v>
      </c>
      <c r="K3088" s="4" t="s">
        <v>53</v>
      </c>
      <c r="L3088" s="6">
        <v>4.2030000000000003</v>
      </c>
      <c r="M3088" s="6">
        <v>0.2379</v>
      </c>
      <c r="N3088" s="6">
        <v>4.2050000000000001</v>
      </c>
      <c r="O3088" s="6">
        <v>1</v>
      </c>
      <c r="P3088" s="5">
        <v>-4000</v>
      </c>
      <c r="Q3088" s="4" t="s">
        <v>1390</v>
      </c>
    </row>
    <row r="3089" spans="1:17" x14ac:dyDescent="0.3">
      <c r="A3089" s="2" t="s">
        <v>1389</v>
      </c>
      <c r="B3089" s="3">
        <v>158609</v>
      </c>
      <c r="C3089" s="3">
        <v>219421</v>
      </c>
      <c r="D3089" s="4" t="s">
        <v>17</v>
      </c>
      <c r="E3089" s="4" t="s">
        <v>1278</v>
      </c>
      <c r="F3089" s="4" t="s">
        <v>32</v>
      </c>
      <c r="G3089" s="4" t="s">
        <v>20</v>
      </c>
      <c r="H3089" s="5">
        <v>-50000</v>
      </c>
      <c r="I3089" s="4" t="s">
        <v>21</v>
      </c>
      <c r="J3089" s="5">
        <f t="shared" si="48"/>
        <v>210290</v>
      </c>
      <c r="K3089" s="4" t="s">
        <v>51</v>
      </c>
      <c r="L3089" s="6">
        <v>4.2058</v>
      </c>
      <c r="M3089" s="6">
        <v>0.23780000000000001</v>
      </c>
      <c r="N3089" s="6">
        <v>4.2271000000000001</v>
      </c>
      <c r="O3089" s="6">
        <v>1</v>
      </c>
      <c r="P3089" s="5">
        <v>-1105</v>
      </c>
      <c r="Q3089" s="4" t="s">
        <v>1390</v>
      </c>
    </row>
    <row r="3090" spans="1:17" x14ac:dyDescent="0.3">
      <c r="A3090" s="2" t="s">
        <v>1389</v>
      </c>
      <c r="B3090" s="3">
        <v>158610</v>
      </c>
      <c r="C3090" s="3">
        <v>907410</v>
      </c>
      <c r="D3090" s="4" t="s">
        <v>81</v>
      </c>
      <c r="E3090" s="4" t="s">
        <v>734</v>
      </c>
      <c r="F3090" s="4" t="s">
        <v>87</v>
      </c>
      <c r="G3090" s="4" t="s">
        <v>20</v>
      </c>
      <c r="H3090" s="5">
        <v>2500000</v>
      </c>
      <c r="I3090" s="4" t="s">
        <v>21</v>
      </c>
      <c r="J3090" s="5">
        <f t="shared" si="48"/>
        <v>-10496250</v>
      </c>
      <c r="K3090" s="4" t="s">
        <v>53</v>
      </c>
      <c r="L3090" s="6">
        <v>4.1985000000000001</v>
      </c>
      <c r="M3090" s="6">
        <v>0.2382</v>
      </c>
      <c r="N3090" s="6">
        <v>4.2050000000000001</v>
      </c>
      <c r="O3090" s="6">
        <v>1</v>
      </c>
      <c r="P3090" s="5">
        <v>16250</v>
      </c>
      <c r="Q3090" s="4" t="s">
        <v>1393</v>
      </c>
    </row>
    <row r="3091" spans="1:17" x14ac:dyDescent="0.3">
      <c r="A3091" s="2" t="s">
        <v>1389</v>
      </c>
      <c r="B3091" s="3">
        <v>158611</v>
      </c>
      <c r="C3091" s="3">
        <v>219423</v>
      </c>
      <c r="D3091" s="4" t="s">
        <v>17</v>
      </c>
      <c r="E3091" s="4" t="s">
        <v>1316</v>
      </c>
      <c r="F3091" s="4" t="s">
        <v>32</v>
      </c>
      <c r="G3091" s="4" t="s">
        <v>20</v>
      </c>
      <c r="H3091" s="5">
        <v>-100000</v>
      </c>
      <c r="I3091" s="4" t="s">
        <v>21</v>
      </c>
      <c r="J3091" s="5">
        <f t="shared" si="48"/>
        <v>420080</v>
      </c>
      <c r="K3091" s="4" t="s">
        <v>51</v>
      </c>
      <c r="L3091" s="6">
        <v>4.2008000000000001</v>
      </c>
      <c r="M3091" s="6">
        <v>0.23799999999999999</v>
      </c>
      <c r="N3091" s="6">
        <v>4.2271000000000001</v>
      </c>
      <c r="O3091" s="6">
        <v>1</v>
      </c>
      <c r="P3091" s="5">
        <v>-2710</v>
      </c>
      <c r="Q3091" s="4" t="s">
        <v>1390</v>
      </c>
    </row>
    <row r="3092" spans="1:17" x14ac:dyDescent="0.3">
      <c r="A3092" s="2" t="s">
        <v>1389</v>
      </c>
      <c r="B3092" s="3">
        <v>158612</v>
      </c>
      <c r="C3092" s="3">
        <v>219424</v>
      </c>
      <c r="D3092" s="4" t="s">
        <v>17</v>
      </c>
      <c r="E3092" s="4" t="s">
        <v>902</v>
      </c>
      <c r="F3092" s="4" t="s">
        <v>32</v>
      </c>
      <c r="G3092" s="4" t="s">
        <v>20</v>
      </c>
      <c r="H3092" s="5">
        <v>-5000</v>
      </c>
      <c r="I3092" s="4" t="s">
        <v>21</v>
      </c>
      <c r="J3092" s="5">
        <f t="shared" si="48"/>
        <v>21004</v>
      </c>
      <c r="K3092" s="4" t="s">
        <v>51</v>
      </c>
      <c r="L3092" s="6">
        <v>4.2008000000000001</v>
      </c>
      <c r="M3092" s="6">
        <v>0.23799999999999999</v>
      </c>
      <c r="N3092" s="6">
        <v>4.2271000000000001</v>
      </c>
      <c r="O3092" s="6">
        <v>1</v>
      </c>
      <c r="P3092" s="5">
        <v>-135.5</v>
      </c>
      <c r="Q3092" s="4" t="s">
        <v>1390</v>
      </c>
    </row>
    <row r="3093" spans="1:17" x14ac:dyDescent="0.3">
      <c r="A3093" s="2" t="s">
        <v>1389</v>
      </c>
      <c r="B3093" s="3">
        <v>158614</v>
      </c>
      <c r="C3093" s="3">
        <v>219425</v>
      </c>
      <c r="D3093" s="4" t="s">
        <v>17</v>
      </c>
      <c r="E3093" s="4" t="s">
        <v>742</v>
      </c>
      <c r="F3093" s="4" t="s">
        <v>19</v>
      </c>
      <c r="G3093" s="4" t="s">
        <v>20</v>
      </c>
      <c r="H3093" s="5">
        <v>20000</v>
      </c>
      <c r="I3093" s="4" t="s">
        <v>21</v>
      </c>
      <c r="J3093" s="5">
        <f t="shared" si="48"/>
        <v>-83992</v>
      </c>
      <c r="K3093" s="4" t="s">
        <v>52</v>
      </c>
      <c r="L3093" s="6">
        <v>4.1996000000000002</v>
      </c>
      <c r="M3093" s="6">
        <v>0.23810000000000001</v>
      </c>
      <c r="N3093" s="6">
        <v>4.2127999999999997</v>
      </c>
      <c r="O3093" s="6">
        <v>1</v>
      </c>
      <c r="P3093" s="5">
        <v>264</v>
      </c>
      <c r="Q3093" s="4" t="s">
        <v>1396</v>
      </c>
    </row>
    <row r="3094" spans="1:17" x14ac:dyDescent="0.3">
      <c r="A3094" s="2" t="s">
        <v>1389</v>
      </c>
      <c r="B3094" s="3">
        <v>158615</v>
      </c>
      <c r="C3094" s="3">
        <v>219426</v>
      </c>
      <c r="D3094" s="4" t="s">
        <v>17</v>
      </c>
      <c r="E3094" s="4" t="s">
        <v>1294</v>
      </c>
      <c r="F3094" s="4" t="s">
        <v>32</v>
      </c>
      <c r="G3094" s="4" t="s">
        <v>20</v>
      </c>
      <c r="H3094" s="5">
        <v>-20000</v>
      </c>
      <c r="I3094" s="4" t="s">
        <v>21</v>
      </c>
      <c r="J3094" s="5">
        <f t="shared" si="48"/>
        <v>84094</v>
      </c>
      <c r="K3094" s="4" t="s">
        <v>52</v>
      </c>
      <c r="L3094" s="6">
        <v>4.2046999999999999</v>
      </c>
      <c r="M3094" s="6">
        <v>0.23780000000000001</v>
      </c>
      <c r="N3094" s="6">
        <v>4.2127999999999997</v>
      </c>
      <c r="O3094" s="6">
        <v>1</v>
      </c>
      <c r="P3094" s="5">
        <v>-176</v>
      </c>
      <c r="Q3094" s="4" t="s">
        <v>1390</v>
      </c>
    </row>
    <row r="3095" spans="1:17" x14ac:dyDescent="0.3">
      <c r="A3095" s="2" t="s">
        <v>1389</v>
      </c>
      <c r="B3095" s="3">
        <v>158616</v>
      </c>
      <c r="C3095" s="3">
        <v>219427</v>
      </c>
      <c r="D3095" s="4" t="s">
        <v>17</v>
      </c>
      <c r="E3095" s="4" t="s">
        <v>739</v>
      </c>
      <c r="F3095" s="4" t="s">
        <v>19</v>
      </c>
      <c r="G3095" s="4" t="s">
        <v>20</v>
      </c>
      <c r="H3095" s="5">
        <v>3000</v>
      </c>
      <c r="I3095" s="4" t="s">
        <v>21</v>
      </c>
      <c r="J3095" s="5">
        <f t="shared" si="48"/>
        <v>-12598.800000000001</v>
      </c>
      <c r="K3095" s="4" t="s">
        <v>52</v>
      </c>
      <c r="L3095" s="6">
        <v>4.1996000000000002</v>
      </c>
      <c r="M3095" s="6">
        <v>0.23810000000000001</v>
      </c>
      <c r="N3095" s="6">
        <v>4.2127999999999997</v>
      </c>
      <c r="O3095" s="6">
        <v>1</v>
      </c>
      <c r="P3095" s="5">
        <v>39.599999999998545</v>
      </c>
      <c r="Q3095" s="4" t="s">
        <v>1391</v>
      </c>
    </row>
    <row r="3096" spans="1:17" x14ac:dyDescent="0.3">
      <c r="A3096" s="2" t="s">
        <v>1389</v>
      </c>
      <c r="B3096" s="3">
        <v>158617</v>
      </c>
      <c r="C3096" s="3">
        <v>219428</v>
      </c>
      <c r="D3096" s="4" t="s">
        <v>17</v>
      </c>
      <c r="E3096" s="4" t="s">
        <v>1302</v>
      </c>
      <c r="F3096" s="4" t="s">
        <v>32</v>
      </c>
      <c r="G3096" s="4" t="s">
        <v>20</v>
      </c>
      <c r="H3096" s="5">
        <v>-3000</v>
      </c>
      <c r="I3096" s="4" t="s">
        <v>21</v>
      </c>
      <c r="J3096" s="5">
        <f t="shared" si="48"/>
        <v>12616.8</v>
      </c>
      <c r="K3096" s="4" t="s">
        <v>52</v>
      </c>
      <c r="L3096" s="6">
        <v>4.2055999999999996</v>
      </c>
      <c r="M3096" s="6">
        <v>0.23780000000000001</v>
      </c>
      <c r="N3096" s="6">
        <v>4.2127999999999997</v>
      </c>
      <c r="O3096" s="6">
        <v>1</v>
      </c>
      <c r="P3096" s="5">
        <v>-23.4</v>
      </c>
      <c r="Q3096" s="4" t="s">
        <v>1390</v>
      </c>
    </row>
    <row r="3097" spans="1:17" x14ac:dyDescent="0.3">
      <c r="A3097" s="2" t="s">
        <v>1389</v>
      </c>
      <c r="B3097" s="3">
        <v>158618</v>
      </c>
      <c r="C3097" s="3">
        <v>219429</v>
      </c>
      <c r="D3097" s="4" t="s">
        <v>17</v>
      </c>
      <c r="E3097" s="4" t="s">
        <v>743</v>
      </c>
      <c r="F3097" s="4" t="s">
        <v>19</v>
      </c>
      <c r="G3097" s="4" t="s">
        <v>20</v>
      </c>
      <c r="H3097" s="5">
        <v>10000</v>
      </c>
      <c r="I3097" s="4" t="s">
        <v>21</v>
      </c>
      <c r="J3097" s="5">
        <f t="shared" si="48"/>
        <v>-41986</v>
      </c>
      <c r="K3097" s="4" t="s">
        <v>52</v>
      </c>
      <c r="L3097" s="6">
        <v>4.1985999999999999</v>
      </c>
      <c r="M3097" s="6">
        <v>0.2382</v>
      </c>
      <c r="N3097" s="6">
        <v>4.2127999999999997</v>
      </c>
      <c r="O3097" s="6">
        <v>1</v>
      </c>
      <c r="P3097" s="5">
        <v>142</v>
      </c>
      <c r="Q3097" s="4" t="s">
        <v>1395</v>
      </c>
    </row>
    <row r="3098" spans="1:17" x14ac:dyDescent="0.3">
      <c r="A3098" s="2" t="s">
        <v>1389</v>
      </c>
      <c r="B3098" s="3">
        <v>158619</v>
      </c>
      <c r="C3098" s="3">
        <v>219430</v>
      </c>
      <c r="D3098" s="4" t="s">
        <v>17</v>
      </c>
      <c r="E3098" s="4" t="s">
        <v>945</v>
      </c>
      <c r="F3098" s="4" t="s">
        <v>32</v>
      </c>
      <c r="G3098" s="4" t="s">
        <v>20</v>
      </c>
      <c r="H3098" s="5">
        <v>-10000</v>
      </c>
      <c r="I3098" s="4" t="s">
        <v>21</v>
      </c>
      <c r="J3098" s="5">
        <f t="shared" si="48"/>
        <v>42100</v>
      </c>
      <c r="K3098" s="4" t="s">
        <v>52</v>
      </c>
      <c r="L3098" s="6">
        <v>4.21</v>
      </c>
      <c r="M3098" s="6">
        <v>0.23749999999999999</v>
      </c>
      <c r="N3098" s="6">
        <v>4.2127999999999997</v>
      </c>
      <c r="O3098" s="6">
        <v>1</v>
      </c>
      <c r="P3098" s="5">
        <v>-35</v>
      </c>
      <c r="Q3098" s="4" t="s">
        <v>1390</v>
      </c>
    </row>
    <row r="3099" spans="1:17" x14ac:dyDescent="0.3">
      <c r="A3099" s="2" t="s">
        <v>1389</v>
      </c>
      <c r="B3099" s="3">
        <v>158620</v>
      </c>
      <c r="C3099" s="3">
        <v>907436</v>
      </c>
      <c r="D3099" s="4" t="s">
        <v>81</v>
      </c>
      <c r="E3099" s="4" t="s">
        <v>735</v>
      </c>
      <c r="F3099" s="4" t="s">
        <v>83</v>
      </c>
      <c r="G3099" s="4" t="s">
        <v>20</v>
      </c>
      <c r="H3099" s="5">
        <v>-9878.83</v>
      </c>
      <c r="I3099" s="4" t="s">
        <v>21</v>
      </c>
      <c r="J3099" s="5">
        <f t="shared" si="48"/>
        <v>41471.32834</v>
      </c>
      <c r="K3099" s="4" t="s">
        <v>53</v>
      </c>
      <c r="L3099" s="6">
        <v>4.1980000000000004</v>
      </c>
      <c r="M3099" s="6">
        <v>0.2382</v>
      </c>
      <c r="N3099" s="6">
        <v>4.2050000000000001</v>
      </c>
      <c r="O3099" s="6">
        <v>1</v>
      </c>
      <c r="P3099" s="5">
        <v>-69.150149999999996</v>
      </c>
      <c r="Q3099" s="4" t="s">
        <v>1394</v>
      </c>
    </row>
    <row r="3100" spans="1:17" x14ac:dyDescent="0.3">
      <c r="A3100" s="2" t="s">
        <v>1389</v>
      </c>
      <c r="B3100" s="3">
        <v>158621</v>
      </c>
      <c r="C3100" s="3">
        <v>907437</v>
      </c>
      <c r="D3100" s="4" t="s">
        <v>81</v>
      </c>
      <c r="E3100" s="4" t="s">
        <v>730</v>
      </c>
      <c r="F3100" s="4" t="s">
        <v>87</v>
      </c>
      <c r="G3100" s="4" t="s">
        <v>93</v>
      </c>
      <c r="H3100" s="5">
        <v>220</v>
      </c>
      <c r="I3100" s="4" t="s">
        <v>21</v>
      </c>
      <c r="J3100" s="5">
        <f t="shared" si="48"/>
        <v>-995.50000000000011</v>
      </c>
      <c r="K3100" s="4" t="s">
        <v>53</v>
      </c>
      <c r="L3100" s="6">
        <v>4.5250000000000004</v>
      </c>
      <c r="M3100" s="6">
        <v>0.221</v>
      </c>
      <c r="N3100" s="6">
        <v>4.5297999999999998</v>
      </c>
      <c r="O3100" s="6">
        <v>1</v>
      </c>
      <c r="P3100" s="5">
        <v>1.0660000000000001</v>
      </c>
      <c r="Q3100" s="4" t="s">
        <v>1396</v>
      </c>
    </row>
    <row r="3101" spans="1:17" x14ac:dyDescent="0.3">
      <c r="A3101" s="2" t="s">
        <v>1389</v>
      </c>
      <c r="B3101" s="3">
        <v>158622</v>
      </c>
      <c r="C3101" s="3">
        <v>907438</v>
      </c>
      <c r="D3101" s="4" t="s">
        <v>81</v>
      </c>
      <c r="E3101" s="4" t="s">
        <v>739</v>
      </c>
      <c r="F3101" s="4" t="s">
        <v>87</v>
      </c>
      <c r="G3101" s="4" t="s">
        <v>34</v>
      </c>
      <c r="H3101" s="5">
        <v>94413.83</v>
      </c>
      <c r="I3101" s="4" t="s">
        <v>21</v>
      </c>
      <c r="J3101" s="5">
        <f t="shared" si="48"/>
        <v>-337699.38714399998</v>
      </c>
      <c r="K3101" s="4" t="s">
        <v>53</v>
      </c>
      <c r="L3101" s="6">
        <v>3.5768</v>
      </c>
      <c r="M3101" s="6">
        <v>0.27960000000000002</v>
      </c>
      <c r="N3101" s="6">
        <v>3.5831</v>
      </c>
      <c r="O3101" s="6">
        <v>1</v>
      </c>
      <c r="P3101" s="5">
        <v>590.08427300000005</v>
      </c>
      <c r="Q3101" s="4" t="s">
        <v>1391</v>
      </c>
    </row>
    <row r="3102" spans="1:17" x14ac:dyDescent="0.3">
      <c r="A3102" s="2" t="s">
        <v>1389</v>
      </c>
      <c r="B3102" s="3">
        <v>158623</v>
      </c>
      <c r="C3102" s="3">
        <v>907439</v>
      </c>
      <c r="D3102" s="4" t="s">
        <v>81</v>
      </c>
      <c r="E3102" s="4" t="s">
        <v>735</v>
      </c>
      <c r="F3102" s="4" t="s">
        <v>83</v>
      </c>
      <c r="G3102" s="4" t="s">
        <v>91</v>
      </c>
      <c r="H3102" s="5">
        <v>-598.84</v>
      </c>
      <c r="I3102" s="4" t="s">
        <v>21</v>
      </c>
      <c r="J3102" s="5">
        <f t="shared" si="48"/>
        <v>2888.9239280000002</v>
      </c>
      <c r="K3102" s="4" t="s">
        <v>53</v>
      </c>
      <c r="L3102" s="6">
        <v>4.8242000000000003</v>
      </c>
      <c r="M3102" s="6">
        <v>0.20730000000000001</v>
      </c>
      <c r="N3102" s="6">
        <v>4.8478000000000003</v>
      </c>
      <c r="O3102" s="6">
        <v>1</v>
      </c>
      <c r="P3102" s="5">
        <v>-14.136552</v>
      </c>
      <c r="Q3102" s="4" t="s">
        <v>1394</v>
      </c>
    </row>
    <row r="3103" spans="1:17" x14ac:dyDescent="0.3">
      <c r="A3103" s="2" t="s">
        <v>1389</v>
      </c>
      <c r="B3103" s="3">
        <v>158624</v>
      </c>
      <c r="C3103" s="3">
        <v>907444</v>
      </c>
      <c r="D3103" s="4" t="s">
        <v>81</v>
      </c>
      <c r="E3103" s="4" t="s">
        <v>743</v>
      </c>
      <c r="F3103" s="4" t="s">
        <v>87</v>
      </c>
      <c r="G3103" s="4" t="s">
        <v>20</v>
      </c>
      <c r="H3103" s="5">
        <v>185184.72</v>
      </c>
      <c r="I3103" s="4" t="s">
        <v>21</v>
      </c>
      <c r="J3103" s="5">
        <f t="shared" si="48"/>
        <v>-777312.86219999997</v>
      </c>
      <c r="K3103" s="4" t="s">
        <v>53</v>
      </c>
      <c r="L3103" s="6">
        <v>4.1974999999999998</v>
      </c>
      <c r="M3103" s="6">
        <v>0.2382</v>
      </c>
      <c r="N3103" s="6">
        <v>4.2050000000000001</v>
      </c>
      <c r="O3103" s="6">
        <v>1</v>
      </c>
      <c r="P3103" s="5">
        <v>1379.6276</v>
      </c>
      <c r="Q3103" s="4" t="s">
        <v>1395</v>
      </c>
    </row>
    <row r="3104" spans="1:17" x14ac:dyDescent="0.3">
      <c r="A3104" s="2" t="s">
        <v>1389</v>
      </c>
      <c r="B3104" s="3">
        <v>158625</v>
      </c>
      <c r="C3104" s="3">
        <v>907446</v>
      </c>
      <c r="D3104" s="4" t="s">
        <v>81</v>
      </c>
      <c r="E3104" s="4" t="s">
        <v>734</v>
      </c>
      <c r="F3104" s="4" t="s">
        <v>87</v>
      </c>
      <c r="G3104" s="4" t="s">
        <v>34</v>
      </c>
      <c r="H3104" s="5">
        <v>112715.16</v>
      </c>
      <c r="I3104" s="4" t="s">
        <v>21</v>
      </c>
      <c r="J3104" s="5">
        <f t="shared" si="48"/>
        <v>-402810.16729200003</v>
      </c>
      <c r="K3104" s="4" t="s">
        <v>53</v>
      </c>
      <c r="L3104" s="6">
        <v>3.5737000000000001</v>
      </c>
      <c r="M3104" s="6">
        <v>0.27979999999999999</v>
      </c>
      <c r="N3104" s="6">
        <v>3.5831</v>
      </c>
      <c r="O3104" s="6">
        <v>1</v>
      </c>
      <c r="P3104" s="5">
        <v>1059.519796</v>
      </c>
      <c r="Q3104" s="4" t="s">
        <v>1393</v>
      </c>
    </row>
    <row r="3105" spans="1:17" x14ac:dyDescent="0.3">
      <c r="A3105" s="2" t="s">
        <v>1389</v>
      </c>
      <c r="B3105" s="3">
        <v>158626</v>
      </c>
      <c r="C3105" s="3">
        <v>907448</v>
      </c>
      <c r="D3105" s="4" t="s">
        <v>81</v>
      </c>
      <c r="E3105" s="4" t="s">
        <v>735</v>
      </c>
      <c r="F3105" s="4" t="s">
        <v>87</v>
      </c>
      <c r="G3105" s="4" t="s">
        <v>34</v>
      </c>
      <c r="H3105" s="5">
        <v>110352.97</v>
      </c>
      <c r="I3105" s="4" t="s">
        <v>21</v>
      </c>
      <c r="J3105" s="5">
        <f t="shared" si="48"/>
        <v>-394434.62067099998</v>
      </c>
      <c r="K3105" s="4" t="s">
        <v>53</v>
      </c>
      <c r="L3105" s="6">
        <v>3.5743</v>
      </c>
      <c r="M3105" s="6">
        <v>0.27979999999999999</v>
      </c>
      <c r="N3105" s="6">
        <v>3.5831</v>
      </c>
      <c r="O3105" s="6">
        <v>1</v>
      </c>
      <c r="P3105" s="5">
        <v>971.106807</v>
      </c>
      <c r="Q3105" s="4" t="s">
        <v>1394</v>
      </c>
    </row>
    <row r="3106" spans="1:17" x14ac:dyDescent="0.3">
      <c r="A3106" s="2" t="s">
        <v>1389</v>
      </c>
      <c r="B3106" s="3">
        <v>158627</v>
      </c>
      <c r="C3106" s="3">
        <v>907449</v>
      </c>
      <c r="D3106" s="4" t="s">
        <v>81</v>
      </c>
      <c r="E3106" s="4" t="s">
        <v>735</v>
      </c>
      <c r="F3106" s="4" t="s">
        <v>87</v>
      </c>
      <c r="G3106" s="4" t="s">
        <v>91</v>
      </c>
      <c r="H3106" s="5">
        <v>28192.98</v>
      </c>
      <c r="I3106" s="4" t="s">
        <v>21</v>
      </c>
      <c r="J3106" s="5">
        <f t="shared" si="48"/>
        <v>-135943.730262</v>
      </c>
      <c r="K3106" s="4" t="s">
        <v>53</v>
      </c>
      <c r="L3106" s="6">
        <v>4.8219000000000003</v>
      </c>
      <c r="M3106" s="6">
        <v>0.2074</v>
      </c>
      <c r="N3106" s="6">
        <v>4.8478000000000003</v>
      </c>
      <c r="O3106" s="6">
        <v>1</v>
      </c>
      <c r="P3106" s="5">
        <v>730.19844399999999</v>
      </c>
      <c r="Q3106" s="4" t="s">
        <v>1394</v>
      </c>
    </row>
    <row r="3107" spans="1:17" x14ac:dyDescent="0.3">
      <c r="A3107" s="2" t="s">
        <v>1389</v>
      </c>
      <c r="B3107" s="3">
        <v>158628</v>
      </c>
      <c r="C3107" s="3">
        <v>907450</v>
      </c>
      <c r="D3107" s="4" t="s">
        <v>81</v>
      </c>
      <c r="E3107" s="4" t="s">
        <v>734</v>
      </c>
      <c r="F3107" s="4" t="s">
        <v>87</v>
      </c>
      <c r="G3107" s="4" t="s">
        <v>20</v>
      </c>
      <c r="H3107" s="5">
        <v>57727.59</v>
      </c>
      <c r="I3107" s="4" t="s">
        <v>21</v>
      </c>
      <c r="J3107" s="5">
        <f t="shared" si="48"/>
        <v>-242323.10454299999</v>
      </c>
      <c r="K3107" s="4" t="s">
        <v>53</v>
      </c>
      <c r="L3107" s="6">
        <v>4.1977000000000002</v>
      </c>
      <c r="M3107" s="6">
        <v>0.2382</v>
      </c>
      <c r="N3107" s="6">
        <v>4.2050000000000001</v>
      </c>
      <c r="O3107" s="6">
        <v>1</v>
      </c>
      <c r="P3107" s="5">
        <v>424.29595</v>
      </c>
      <c r="Q3107" s="4" t="s">
        <v>1393</v>
      </c>
    </row>
    <row r="3108" spans="1:17" x14ac:dyDescent="0.3">
      <c r="A3108" s="2" t="s">
        <v>1389</v>
      </c>
      <c r="B3108" s="3">
        <v>158629</v>
      </c>
      <c r="C3108" s="3">
        <v>907451</v>
      </c>
      <c r="D3108" s="4" t="s">
        <v>81</v>
      </c>
      <c r="E3108" s="4" t="s">
        <v>734</v>
      </c>
      <c r="F3108" s="4" t="s">
        <v>87</v>
      </c>
      <c r="G3108" s="4" t="s">
        <v>93</v>
      </c>
      <c r="H3108" s="5">
        <v>2794.29</v>
      </c>
      <c r="I3108" s="4" t="s">
        <v>21</v>
      </c>
      <c r="J3108" s="5">
        <f t="shared" si="48"/>
        <v>-12642.206247</v>
      </c>
      <c r="K3108" s="4" t="s">
        <v>53</v>
      </c>
      <c r="L3108" s="6">
        <v>4.5243000000000002</v>
      </c>
      <c r="M3108" s="6">
        <v>0.221</v>
      </c>
      <c r="N3108" s="6">
        <v>4.5297999999999998</v>
      </c>
      <c r="O3108" s="6">
        <v>1</v>
      </c>
      <c r="P3108" s="5">
        <v>15.504842</v>
      </c>
      <c r="Q3108" s="4" t="s">
        <v>1393</v>
      </c>
    </row>
    <row r="3109" spans="1:17" x14ac:dyDescent="0.3">
      <c r="A3109" s="2" t="s">
        <v>1389</v>
      </c>
      <c r="B3109" s="3">
        <v>158630</v>
      </c>
      <c r="C3109" s="3">
        <v>907456</v>
      </c>
      <c r="D3109" s="4" t="s">
        <v>81</v>
      </c>
      <c r="E3109" s="4" t="s">
        <v>735</v>
      </c>
      <c r="F3109" s="4" t="s">
        <v>87</v>
      </c>
      <c r="G3109" s="4" t="s">
        <v>20</v>
      </c>
      <c r="H3109" s="5">
        <v>103677.38</v>
      </c>
      <c r="I3109" s="4" t="s">
        <v>21</v>
      </c>
      <c r="J3109" s="5">
        <f t="shared" si="48"/>
        <v>-435341.31861999998</v>
      </c>
      <c r="K3109" s="4" t="s">
        <v>53</v>
      </c>
      <c r="L3109" s="6">
        <v>4.1989999999999998</v>
      </c>
      <c r="M3109" s="6">
        <v>0.2382</v>
      </c>
      <c r="N3109" s="6">
        <v>4.2050000000000001</v>
      </c>
      <c r="O3109" s="6">
        <v>1</v>
      </c>
      <c r="P3109" s="5">
        <v>622.06290000000001</v>
      </c>
      <c r="Q3109" s="4" t="s">
        <v>1394</v>
      </c>
    </row>
    <row r="3110" spans="1:17" x14ac:dyDescent="0.3">
      <c r="A3110" s="2" t="s">
        <v>1389</v>
      </c>
      <c r="B3110" s="3">
        <v>158631</v>
      </c>
      <c r="C3110" s="3">
        <v>907458</v>
      </c>
      <c r="D3110" s="4" t="s">
        <v>81</v>
      </c>
      <c r="E3110" s="4" t="s">
        <v>734</v>
      </c>
      <c r="F3110" s="4" t="s">
        <v>87</v>
      </c>
      <c r="G3110" s="4" t="s">
        <v>34</v>
      </c>
      <c r="H3110" s="5">
        <v>200000</v>
      </c>
      <c r="I3110" s="4" t="s">
        <v>21</v>
      </c>
      <c r="J3110" s="5">
        <f t="shared" si="48"/>
        <v>-714480</v>
      </c>
      <c r="K3110" s="4" t="s">
        <v>54</v>
      </c>
      <c r="L3110" s="6">
        <v>3.5724</v>
      </c>
      <c r="M3110" s="6">
        <v>0.27989999999999998</v>
      </c>
      <c r="N3110" s="6">
        <v>3.5499000000000001</v>
      </c>
      <c r="O3110" s="6">
        <v>1</v>
      </c>
      <c r="P3110" s="5">
        <v>-4500</v>
      </c>
      <c r="Q3110" s="4" t="s">
        <v>1393</v>
      </c>
    </row>
    <row r="3111" spans="1:17" x14ac:dyDescent="0.3">
      <c r="A3111" s="2" t="s">
        <v>1389</v>
      </c>
      <c r="B3111" s="3">
        <v>158632</v>
      </c>
      <c r="C3111" s="3">
        <v>907459</v>
      </c>
      <c r="D3111" s="4" t="s">
        <v>81</v>
      </c>
      <c r="E3111" s="4" t="s">
        <v>730</v>
      </c>
      <c r="F3111" s="4" t="s">
        <v>83</v>
      </c>
      <c r="G3111" s="4" t="s">
        <v>93</v>
      </c>
      <c r="H3111" s="5">
        <v>-202.72</v>
      </c>
      <c r="I3111" s="4" t="s">
        <v>21</v>
      </c>
      <c r="J3111" s="5">
        <f t="shared" si="48"/>
        <v>917.14582400000006</v>
      </c>
      <c r="K3111" s="4" t="s">
        <v>54</v>
      </c>
      <c r="L3111" s="6">
        <v>4.5242000000000004</v>
      </c>
      <c r="M3111" s="6">
        <v>0.221</v>
      </c>
      <c r="N3111" s="6">
        <v>4.5758000000000001</v>
      </c>
      <c r="O3111" s="6">
        <v>1</v>
      </c>
      <c r="P3111" s="5">
        <v>-10.456175999999999</v>
      </c>
      <c r="Q3111" s="4" t="s">
        <v>1396</v>
      </c>
    </row>
    <row r="3112" spans="1:17" x14ac:dyDescent="0.3">
      <c r="A3112" s="2" t="s">
        <v>1389</v>
      </c>
      <c r="B3112" s="3">
        <v>158633</v>
      </c>
      <c r="C3112" s="3">
        <v>907460</v>
      </c>
      <c r="D3112" s="4" t="s">
        <v>81</v>
      </c>
      <c r="E3112" s="4" t="s">
        <v>735</v>
      </c>
      <c r="F3112" s="4" t="s">
        <v>87</v>
      </c>
      <c r="G3112" s="4" t="s">
        <v>20</v>
      </c>
      <c r="H3112" s="5">
        <v>87097.76</v>
      </c>
      <c r="I3112" s="4" t="s">
        <v>21</v>
      </c>
      <c r="J3112" s="5">
        <f t="shared" si="48"/>
        <v>-365810.592</v>
      </c>
      <c r="K3112" s="4" t="s">
        <v>54</v>
      </c>
      <c r="L3112" s="6">
        <v>4.2</v>
      </c>
      <c r="M3112" s="6">
        <v>0.23810000000000001</v>
      </c>
      <c r="N3112" s="6">
        <v>4.2118000000000002</v>
      </c>
      <c r="O3112" s="6">
        <v>1</v>
      </c>
      <c r="P3112" s="5">
        <v>1027.755568</v>
      </c>
      <c r="Q3112" s="4" t="s">
        <v>1394</v>
      </c>
    </row>
    <row r="3113" spans="1:17" x14ac:dyDescent="0.3">
      <c r="A3113" s="2" t="s">
        <v>1389</v>
      </c>
      <c r="B3113" s="3">
        <v>158634</v>
      </c>
      <c r="C3113" s="3">
        <v>907461</v>
      </c>
      <c r="D3113" s="4" t="s">
        <v>81</v>
      </c>
      <c r="E3113" s="4" t="s">
        <v>735</v>
      </c>
      <c r="F3113" s="4" t="s">
        <v>87</v>
      </c>
      <c r="G3113" s="4" t="s">
        <v>34</v>
      </c>
      <c r="H3113" s="5">
        <v>78436.63</v>
      </c>
      <c r="I3113" s="4" t="s">
        <v>21</v>
      </c>
      <c r="J3113" s="5">
        <f t="shared" si="48"/>
        <v>-280238.391664</v>
      </c>
      <c r="K3113" s="4" t="s">
        <v>54</v>
      </c>
      <c r="L3113" s="6">
        <v>3.5728</v>
      </c>
      <c r="M3113" s="6">
        <v>0.27989999999999998</v>
      </c>
      <c r="N3113" s="6">
        <v>3.5499000000000001</v>
      </c>
      <c r="O3113" s="6">
        <v>1</v>
      </c>
      <c r="P3113" s="5">
        <v>-1796.197163</v>
      </c>
      <c r="Q3113" s="4" t="s">
        <v>1394</v>
      </c>
    </row>
    <row r="3114" spans="1:17" x14ac:dyDescent="0.3">
      <c r="A3114" s="2" t="s">
        <v>1389</v>
      </c>
      <c r="B3114" s="3">
        <v>158635</v>
      </c>
      <c r="C3114" s="3">
        <v>907462</v>
      </c>
      <c r="D3114" s="4" t="s">
        <v>81</v>
      </c>
      <c r="E3114" s="4" t="s">
        <v>735</v>
      </c>
      <c r="F3114" s="4" t="s">
        <v>83</v>
      </c>
      <c r="G3114" s="4" t="s">
        <v>91</v>
      </c>
      <c r="H3114" s="5">
        <v>-5440.35</v>
      </c>
      <c r="I3114" s="4" t="s">
        <v>21</v>
      </c>
      <c r="J3114" s="5">
        <f t="shared" si="48"/>
        <v>26223.031035000004</v>
      </c>
      <c r="K3114" s="4" t="s">
        <v>54</v>
      </c>
      <c r="L3114" s="6">
        <v>4.8201000000000001</v>
      </c>
      <c r="M3114" s="6">
        <v>0.20749999999999999</v>
      </c>
      <c r="N3114" s="6">
        <v>4.8536999999999999</v>
      </c>
      <c r="O3114" s="6">
        <v>1</v>
      </c>
      <c r="P3114" s="5">
        <v>-182.796795</v>
      </c>
      <c r="Q3114" s="4" t="s">
        <v>1394</v>
      </c>
    </row>
    <row r="3115" spans="1:17" x14ac:dyDescent="0.3">
      <c r="A3115" s="2" t="s">
        <v>1389</v>
      </c>
      <c r="B3115" s="3">
        <v>158636</v>
      </c>
      <c r="C3115" s="3">
        <v>907499</v>
      </c>
      <c r="D3115" s="4" t="s">
        <v>81</v>
      </c>
      <c r="E3115" s="4" t="s">
        <v>730</v>
      </c>
      <c r="F3115" s="4" t="s">
        <v>87</v>
      </c>
      <c r="G3115" s="4" t="s">
        <v>20</v>
      </c>
      <c r="H3115" s="5">
        <v>87076.3</v>
      </c>
      <c r="I3115" s="4" t="s">
        <v>21</v>
      </c>
      <c r="J3115" s="5">
        <f t="shared" si="48"/>
        <v>-365729.16762999998</v>
      </c>
      <c r="K3115" s="4" t="s">
        <v>54</v>
      </c>
      <c r="L3115" s="6">
        <v>4.2000999999999999</v>
      </c>
      <c r="M3115" s="6">
        <v>0.23810000000000001</v>
      </c>
      <c r="N3115" s="6">
        <v>4.2118000000000002</v>
      </c>
      <c r="O3115" s="6">
        <v>1</v>
      </c>
      <c r="P3115" s="5">
        <v>1022.28034</v>
      </c>
      <c r="Q3115" s="4" t="s">
        <v>1396</v>
      </c>
    </row>
    <row r="3116" spans="1:17" x14ac:dyDescent="0.3">
      <c r="A3116" s="2" t="s">
        <v>1389</v>
      </c>
      <c r="B3116" s="3">
        <v>158637</v>
      </c>
      <c r="C3116" s="3">
        <v>907500</v>
      </c>
      <c r="D3116" s="4" t="s">
        <v>81</v>
      </c>
      <c r="E3116" s="4" t="s">
        <v>730</v>
      </c>
      <c r="F3116" s="4" t="s">
        <v>87</v>
      </c>
      <c r="G3116" s="4" t="s">
        <v>34</v>
      </c>
      <c r="H3116" s="5">
        <v>76130.240000000005</v>
      </c>
      <c r="I3116" s="4" t="s">
        <v>21</v>
      </c>
      <c r="J3116" s="5">
        <f t="shared" si="48"/>
        <v>-272142.768928</v>
      </c>
      <c r="K3116" s="4" t="s">
        <v>54</v>
      </c>
      <c r="L3116" s="6">
        <v>3.5747</v>
      </c>
      <c r="M3116" s="6">
        <v>0.2797</v>
      </c>
      <c r="N3116" s="6">
        <v>3.5499000000000001</v>
      </c>
      <c r="O3116" s="6">
        <v>1</v>
      </c>
      <c r="P3116" s="5">
        <v>-1887.2710239999999</v>
      </c>
      <c r="Q3116" s="4" t="s">
        <v>1396</v>
      </c>
    </row>
    <row r="3117" spans="1:17" x14ac:dyDescent="0.3">
      <c r="A3117" s="2" t="s">
        <v>1389</v>
      </c>
      <c r="B3117" s="3">
        <v>158638</v>
      </c>
      <c r="C3117" s="3">
        <v>907501</v>
      </c>
      <c r="D3117" s="4" t="s">
        <v>81</v>
      </c>
      <c r="E3117" s="4" t="s">
        <v>735</v>
      </c>
      <c r="F3117" s="4" t="s">
        <v>83</v>
      </c>
      <c r="G3117" s="4" t="s">
        <v>91</v>
      </c>
      <c r="H3117" s="5">
        <v>-235.33</v>
      </c>
      <c r="I3117" s="4" t="s">
        <v>21</v>
      </c>
      <c r="J3117" s="5">
        <f t="shared" si="48"/>
        <v>1135.1142550000002</v>
      </c>
      <c r="K3117" s="4" t="s">
        <v>54</v>
      </c>
      <c r="L3117" s="6">
        <v>4.8235000000000001</v>
      </c>
      <c r="M3117" s="6">
        <v>0.20730000000000001</v>
      </c>
      <c r="N3117" s="6">
        <v>4.8536999999999999</v>
      </c>
      <c r="O3117" s="6">
        <v>1</v>
      </c>
      <c r="P3117" s="5">
        <v>-7.1112209999999996</v>
      </c>
      <c r="Q3117" s="4" t="s">
        <v>1394</v>
      </c>
    </row>
    <row r="3118" spans="1:17" x14ac:dyDescent="0.3">
      <c r="A3118" s="2" t="s">
        <v>1389</v>
      </c>
      <c r="B3118" s="3">
        <v>158639</v>
      </c>
      <c r="C3118" s="3">
        <v>219431</v>
      </c>
      <c r="D3118" s="4" t="s">
        <v>17</v>
      </c>
      <c r="E3118" s="4" t="s">
        <v>727</v>
      </c>
      <c r="F3118" s="4" t="s">
        <v>32</v>
      </c>
      <c r="G3118" s="4" t="s">
        <v>91</v>
      </c>
      <c r="H3118" s="5">
        <v>-12489</v>
      </c>
      <c r="I3118" s="4" t="s">
        <v>21</v>
      </c>
      <c r="J3118" s="5">
        <f t="shared" si="48"/>
        <v>60233.198099999994</v>
      </c>
      <c r="K3118" s="4" t="s">
        <v>52</v>
      </c>
      <c r="L3118" s="6">
        <v>4.8228999999999997</v>
      </c>
      <c r="M3118" s="6">
        <v>0.20730000000000001</v>
      </c>
      <c r="N3118" s="6">
        <v>4.8433999999999999</v>
      </c>
      <c r="O3118" s="6">
        <v>1</v>
      </c>
      <c r="P3118" s="5">
        <v>-258.52260000000001</v>
      </c>
      <c r="Q3118" s="4" t="s">
        <v>1397</v>
      </c>
    </row>
    <row r="3119" spans="1:17" x14ac:dyDescent="0.3">
      <c r="A3119" s="2" t="s">
        <v>1389</v>
      </c>
      <c r="B3119" s="3">
        <v>158640</v>
      </c>
      <c r="C3119" s="3">
        <v>219434</v>
      </c>
      <c r="D3119" s="4" t="s">
        <v>17</v>
      </c>
      <c r="E3119" s="4" t="s">
        <v>735</v>
      </c>
      <c r="F3119" s="4" t="s">
        <v>19</v>
      </c>
      <c r="G3119" s="4" t="s">
        <v>20</v>
      </c>
      <c r="H3119" s="5">
        <v>10000</v>
      </c>
      <c r="I3119" s="4" t="s">
        <v>21</v>
      </c>
      <c r="J3119" s="5">
        <f t="shared" si="48"/>
        <v>-42001</v>
      </c>
      <c r="K3119" s="4" t="s">
        <v>52</v>
      </c>
      <c r="L3119" s="6">
        <v>4.2000999999999999</v>
      </c>
      <c r="M3119" s="6">
        <v>0.23810000000000001</v>
      </c>
      <c r="N3119" s="6">
        <v>4.2127999999999997</v>
      </c>
      <c r="O3119" s="6">
        <v>1</v>
      </c>
      <c r="P3119" s="5">
        <v>127</v>
      </c>
      <c r="Q3119" s="4" t="s">
        <v>1394</v>
      </c>
    </row>
    <row r="3120" spans="1:17" x14ac:dyDescent="0.3">
      <c r="A3120" s="2" t="s">
        <v>1389</v>
      </c>
      <c r="B3120" s="3">
        <v>158641</v>
      </c>
      <c r="C3120" s="3">
        <v>219436</v>
      </c>
      <c r="D3120" s="4" t="s">
        <v>17</v>
      </c>
      <c r="E3120" s="4" t="s">
        <v>727</v>
      </c>
      <c r="F3120" s="4" t="s">
        <v>19</v>
      </c>
      <c r="G3120" s="4" t="s">
        <v>34</v>
      </c>
      <c r="H3120" s="5">
        <v>1000000</v>
      </c>
      <c r="I3120" s="4" t="s">
        <v>21</v>
      </c>
      <c r="J3120" s="5">
        <f t="shared" si="48"/>
        <v>-3574000</v>
      </c>
      <c r="K3120" s="4" t="s">
        <v>52</v>
      </c>
      <c r="L3120" s="6">
        <v>3.5739999999999998</v>
      </c>
      <c r="M3120" s="6">
        <v>0.27979999999999999</v>
      </c>
      <c r="N3120" s="6">
        <v>3.6027999999999998</v>
      </c>
      <c r="O3120" s="6">
        <v>1</v>
      </c>
      <c r="P3120" s="5">
        <v>28800</v>
      </c>
      <c r="Q3120" s="4" t="s">
        <v>1397</v>
      </c>
    </row>
    <row r="3121" spans="1:17" x14ac:dyDescent="0.3">
      <c r="A3121" s="2" t="s">
        <v>1389</v>
      </c>
      <c r="B3121" s="3">
        <v>158642</v>
      </c>
      <c r="C3121" s="3">
        <v>219437</v>
      </c>
      <c r="D3121" s="4" t="s">
        <v>17</v>
      </c>
      <c r="E3121" s="4" t="s">
        <v>734</v>
      </c>
      <c r="F3121" s="4" t="s">
        <v>32</v>
      </c>
      <c r="G3121" s="4" t="s">
        <v>20</v>
      </c>
      <c r="H3121" s="5">
        <v>-1100</v>
      </c>
      <c r="I3121" s="4" t="s">
        <v>21</v>
      </c>
      <c r="J3121" s="5">
        <f t="shared" si="48"/>
        <v>4618.8999999999996</v>
      </c>
      <c r="K3121" s="4" t="s">
        <v>52</v>
      </c>
      <c r="L3121" s="6">
        <v>4.1989999999999998</v>
      </c>
      <c r="M3121" s="6">
        <v>0.2382</v>
      </c>
      <c r="N3121" s="6">
        <v>4.2127999999999997</v>
      </c>
      <c r="O3121" s="6">
        <v>1</v>
      </c>
      <c r="P3121" s="5">
        <v>-16.22</v>
      </c>
      <c r="Q3121" s="4" t="s">
        <v>1393</v>
      </c>
    </row>
    <row r="3122" spans="1:17" x14ac:dyDescent="0.3">
      <c r="A3122" s="2" t="s">
        <v>1389</v>
      </c>
      <c r="B3122" s="3">
        <v>158643</v>
      </c>
      <c r="C3122" s="3">
        <v>219439</v>
      </c>
      <c r="D3122" s="4" t="s">
        <v>17</v>
      </c>
      <c r="E3122" s="4" t="s">
        <v>727</v>
      </c>
      <c r="F3122" s="4" t="s">
        <v>19</v>
      </c>
      <c r="G3122" s="4" t="s">
        <v>20</v>
      </c>
      <c r="H3122" s="5">
        <v>50000</v>
      </c>
      <c r="I3122" s="4" t="s">
        <v>21</v>
      </c>
      <c r="J3122" s="5">
        <f t="shared" si="48"/>
        <v>-209985</v>
      </c>
      <c r="K3122" s="4" t="s">
        <v>52</v>
      </c>
      <c r="L3122" s="6">
        <v>4.1997</v>
      </c>
      <c r="M3122" s="6">
        <v>0.23810000000000001</v>
      </c>
      <c r="N3122" s="6">
        <v>4.2127999999999997</v>
      </c>
      <c r="O3122" s="6">
        <v>1</v>
      </c>
      <c r="P3122" s="5">
        <v>654.9999999999709</v>
      </c>
      <c r="Q3122" s="4" t="s">
        <v>1397</v>
      </c>
    </row>
    <row r="3123" spans="1:17" x14ac:dyDescent="0.3">
      <c r="A3123" s="2" t="s">
        <v>1389</v>
      </c>
      <c r="B3123" s="3">
        <v>158644</v>
      </c>
      <c r="C3123" s="3">
        <v>219442</v>
      </c>
      <c r="D3123" s="4" t="s">
        <v>17</v>
      </c>
      <c r="E3123" s="4" t="s">
        <v>727</v>
      </c>
      <c r="F3123" s="4" t="s">
        <v>19</v>
      </c>
      <c r="G3123" s="4" t="s">
        <v>20</v>
      </c>
      <c r="H3123" s="5">
        <v>50000</v>
      </c>
      <c r="I3123" s="4" t="s">
        <v>21</v>
      </c>
      <c r="J3123" s="5">
        <f t="shared" si="48"/>
        <v>-209985</v>
      </c>
      <c r="K3123" s="4" t="s">
        <v>52</v>
      </c>
      <c r="L3123" s="6">
        <v>4.1997</v>
      </c>
      <c r="M3123" s="6">
        <v>0.23810000000000001</v>
      </c>
      <c r="N3123" s="6">
        <v>4.2127999999999997</v>
      </c>
      <c r="O3123" s="6">
        <v>1</v>
      </c>
      <c r="P3123" s="5">
        <v>654.9999999999709</v>
      </c>
      <c r="Q3123" s="4" t="s">
        <v>1397</v>
      </c>
    </row>
    <row r="3124" spans="1:17" x14ac:dyDescent="0.3">
      <c r="A3124" s="2" t="s">
        <v>1389</v>
      </c>
      <c r="B3124" s="3">
        <v>158645</v>
      </c>
      <c r="C3124" s="3">
        <v>219443</v>
      </c>
      <c r="D3124" s="4" t="s">
        <v>17</v>
      </c>
      <c r="E3124" s="4" t="s">
        <v>734</v>
      </c>
      <c r="F3124" s="4" t="s">
        <v>19</v>
      </c>
      <c r="G3124" s="4" t="s">
        <v>34</v>
      </c>
      <c r="H3124" s="5">
        <v>20000</v>
      </c>
      <c r="I3124" s="4" t="s">
        <v>21</v>
      </c>
      <c r="J3124" s="5">
        <f t="shared" si="48"/>
        <v>-71540</v>
      </c>
      <c r="K3124" s="4" t="s">
        <v>52</v>
      </c>
      <c r="L3124" s="6">
        <v>3.577</v>
      </c>
      <c r="M3124" s="6">
        <v>0.27960000000000002</v>
      </c>
      <c r="N3124" s="6">
        <v>3.6027999999999998</v>
      </c>
      <c r="O3124" s="6">
        <v>1</v>
      </c>
      <c r="P3124" s="5">
        <v>516</v>
      </c>
      <c r="Q3124" s="4" t="s">
        <v>1393</v>
      </c>
    </row>
    <row r="3125" spans="1:17" x14ac:dyDescent="0.3">
      <c r="A3125" s="2" t="s">
        <v>1389</v>
      </c>
      <c r="B3125" s="3">
        <v>158646</v>
      </c>
      <c r="C3125" s="3">
        <v>219445</v>
      </c>
      <c r="D3125" s="4" t="s">
        <v>17</v>
      </c>
      <c r="E3125" s="4" t="s">
        <v>734</v>
      </c>
      <c r="F3125" s="4" t="s">
        <v>19</v>
      </c>
      <c r="G3125" s="4" t="s">
        <v>34</v>
      </c>
      <c r="H3125" s="5">
        <v>30000</v>
      </c>
      <c r="I3125" s="4" t="s">
        <v>21</v>
      </c>
      <c r="J3125" s="5">
        <f t="shared" si="48"/>
        <v>-107319</v>
      </c>
      <c r="K3125" s="4" t="s">
        <v>52</v>
      </c>
      <c r="L3125" s="6">
        <v>3.5773000000000001</v>
      </c>
      <c r="M3125" s="6">
        <v>0.27950000000000003</v>
      </c>
      <c r="N3125" s="6">
        <v>3.6027999999999998</v>
      </c>
      <c r="O3125" s="6">
        <v>1</v>
      </c>
      <c r="P3125" s="5">
        <v>765</v>
      </c>
      <c r="Q3125" s="4" t="s">
        <v>1393</v>
      </c>
    </row>
    <row r="3126" spans="1:17" x14ac:dyDescent="0.3">
      <c r="A3126" s="2" t="s">
        <v>1389</v>
      </c>
      <c r="B3126" s="3">
        <v>158647</v>
      </c>
      <c r="C3126" s="3">
        <v>219448</v>
      </c>
      <c r="D3126" s="4" t="s">
        <v>17</v>
      </c>
      <c r="E3126" s="4" t="s">
        <v>734</v>
      </c>
      <c r="F3126" s="4" t="s">
        <v>19</v>
      </c>
      <c r="G3126" s="4" t="s">
        <v>20</v>
      </c>
      <c r="H3126" s="5">
        <v>30000</v>
      </c>
      <c r="I3126" s="4" t="s">
        <v>21</v>
      </c>
      <c r="J3126" s="5">
        <f t="shared" si="48"/>
        <v>-126015</v>
      </c>
      <c r="K3126" s="4" t="s">
        <v>52</v>
      </c>
      <c r="L3126" s="6">
        <v>4.2004999999999999</v>
      </c>
      <c r="M3126" s="6">
        <v>0.23810000000000001</v>
      </c>
      <c r="N3126" s="6">
        <v>4.2127999999999997</v>
      </c>
      <c r="O3126" s="6">
        <v>1</v>
      </c>
      <c r="P3126" s="5">
        <v>368.99999999998545</v>
      </c>
      <c r="Q3126" s="4" t="s">
        <v>1393</v>
      </c>
    </row>
    <row r="3127" spans="1:17" x14ac:dyDescent="0.3">
      <c r="A3127" s="2" t="s">
        <v>1389</v>
      </c>
      <c r="B3127" s="3">
        <v>158648</v>
      </c>
      <c r="C3127" s="3">
        <v>907541</v>
      </c>
      <c r="D3127" s="4" t="s">
        <v>81</v>
      </c>
      <c r="E3127" s="4" t="s">
        <v>743</v>
      </c>
      <c r="F3127" s="4" t="s">
        <v>83</v>
      </c>
      <c r="G3127" s="4" t="s">
        <v>93</v>
      </c>
      <c r="H3127" s="5">
        <v>-27290.02</v>
      </c>
      <c r="I3127" s="4" t="s">
        <v>21</v>
      </c>
      <c r="J3127" s="5">
        <f t="shared" si="48"/>
        <v>123558.29455199999</v>
      </c>
      <c r="K3127" s="4" t="s">
        <v>54</v>
      </c>
      <c r="L3127" s="6">
        <v>4.5275999999999996</v>
      </c>
      <c r="M3127" s="6">
        <v>0.22090000000000001</v>
      </c>
      <c r="N3127" s="6">
        <v>4.5758000000000001</v>
      </c>
      <c r="O3127" s="6">
        <v>1</v>
      </c>
      <c r="P3127" s="5">
        <v>-1315.3835160000001</v>
      </c>
      <c r="Q3127" s="4" t="s">
        <v>1395</v>
      </c>
    </row>
    <row r="3128" spans="1:17" x14ac:dyDescent="0.3">
      <c r="A3128" s="2" t="s">
        <v>1389</v>
      </c>
      <c r="B3128" s="3">
        <v>158649</v>
      </c>
      <c r="C3128" s="3">
        <v>907542</v>
      </c>
      <c r="D3128" s="4" t="s">
        <v>81</v>
      </c>
      <c r="E3128" s="4" t="s">
        <v>735</v>
      </c>
      <c r="F3128" s="4" t="s">
        <v>87</v>
      </c>
      <c r="G3128" s="4" t="s">
        <v>20</v>
      </c>
      <c r="H3128" s="5">
        <v>14328.33</v>
      </c>
      <c r="I3128" s="4" t="s">
        <v>21</v>
      </c>
      <c r="J3128" s="5">
        <f t="shared" si="48"/>
        <v>-60211.941159000002</v>
      </c>
      <c r="K3128" s="4" t="s">
        <v>54</v>
      </c>
      <c r="L3128" s="6">
        <v>4.2023000000000001</v>
      </c>
      <c r="M3128" s="6">
        <v>0.23799999999999999</v>
      </c>
      <c r="N3128" s="6">
        <v>4.2118000000000002</v>
      </c>
      <c r="O3128" s="6">
        <v>1</v>
      </c>
      <c r="P3128" s="5">
        <v>136.120294</v>
      </c>
      <c r="Q3128" s="4" t="s">
        <v>1394</v>
      </c>
    </row>
    <row r="3129" spans="1:17" x14ac:dyDescent="0.3">
      <c r="A3129" s="2" t="s">
        <v>1389</v>
      </c>
      <c r="B3129" s="3">
        <v>158650</v>
      </c>
      <c r="C3129" s="3">
        <v>907543</v>
      </c>
      <c r="D3129" s="4" t="s">
        <v>81</v>
      </c>
      <c r="E3129" s="4" t="s">
        <v>735</v>
      </c>
      <c r="F3129" s="4" t="s">
        <v>87</v>
      </c>
      <c r="G3129" s="4" t="s">
        <v>34</v>
      </c>
      <c r="H3129" s="5">
        <v>88527.71</v>
      </c>
      <c r="I3129" s="4" t="s">
        <v>21</v>
      </c>
      <c r="J3129" s="5">
        <f t="shared" si="48"/>
        <v>-316831.82131900004</v>
      </c>
      <c r="K3129" s="4" t="s">
        <v>54</v>
      </c>
      <c r="L3129" s="6">
        <v>3.5789</v>
      </c>
      <c r="M3129" s="6">
        <v>0.27939999999999998</v>
      </c>
      <c r="N3129" s="6">
        <v>3.5499000000000001</v>
      </c>
      <c r="O3129" s="6">
        <v>1</v>
      </c>
      <c r="P3129" s="5">
        <v>-2567.302271</v>
      </c>
      <c r="Q3129" s="4" t="s">
        <v>1394</v>
      </c>
    </row>
    <row r="3130" spans="1:17" x14ac:dyDescent="0.3">
      <c r="A3130" s="2" t="s">
        <v>1389</v>
      </c>
      <c r="B3130" s="3">
        <v>158651</v>
      </c>
      <c r="C3130" s="3">
        <v>907544</v>
      </c>
      <c r="D3130" s="4" t="s">
        <v>81</v>
      </c>
      <c r="E3130" s="4" t="s">
        <v>735</v>
      </c>
      <c r="F3130" s="4" t="s">
        <v>87</v>
      </c>
      <c r="G3130" s="4" t="s">
        <v>91</v>
      </c>
      <c r="H3130" s="5">
        <v>5995.65</v>
      </c>
      <c r="I3130" s="4" t="s">
        <v>21</v>
      </c>
      <c r="J3130" s="5">
        <f t="shared" si="48"/>
        <v>-28946.398634999998</v>
      </c>
      <c r="K3130" s="4" t="s">
        <v>54</v>
      </c>
      <c r="L3130" s="6">
        <v>4.8278999999999996</v>
      </c>
      <c r="M3130" s="6">
        <v>0.20710000000000001</v>
      </c>
      <c r="N3130" s="6">
        <v>4.8536999999999999</v>
      </c>
      <c r="O3130" s="6">
        <v>1</v>
      </c>
      <c r="P3130" s="5">
        <v>154.68640500000001</v>
      </c>
      <c r="Q3130" s="4" t="s">
        <v>1394</v>
      </c>
    </row>
    <row r="3131" spans="1:17" x14ac:dyDescent="0.3">
      <c r="A3131" s="2" t="s">
        <v>1389</v>
      </c>
      <c r="B3131" s="3">
        <v>158652</v>
      </c>
      <c r="C3131" s="3">
        <v>219449</v>
      </c>
      <c r="D3131" s="4" t="s">
        <v>17</v>
      </c>
      <c r="E3131" s="4" t="s">
        <v>727</v>
      </c>
      <c r="F3131" s="4" t="s">
        <v>19</v>
      </c>
      <c r="G3131" s="4" t="s">
        <v>20</v>
      </c>
      <c r="H3131" s="5">
        <v>8151.8</v>
      </c>
      <c r="I3131" s="4" t="s">
        <v>21</v>
      </c>
      <c r="J3131" s="5">
        <f t="shared" si="48"/>
        <v>-34257.124320000003</v>
      </c>
      <c r="K3131" s="4" t="s">
        <v>52</v>
      </c>
      <c r="L3131" s="6">
        <v>4.2023999999999999</v>
      </c>
      <c r="M3131" s="6">
        <v>0.23799999999999999</v>
      </c>
      <c r="N3131" s="6">
        <v>4.2127999999999997</v>
      </c>
      <c r="O3131" s="6">
        <v>1</v>
      </c>
      <c r="P3131" s="5">
        <v>84.778719999994792</v>
      </c>
      <c r="Q3131" s="4" t="s">
        <v>1397</v>
      </c>
    </row>
    <row r="3132" spans="1:17" x14ac:dyDescent="0.3">
      <c r="A3132" s="2" t="s">
        <v>1389</v>
      </c>
      <c r="B3132" s="3">
        <v>158653</v>
      </c>
      <c r="C3132" s="3">
        <v>219451</v>
      </c>
      <c r="D3132" s="4" t="s">
        <v>17</v>
      </c>
      <c r="E3132" s="4" t="s">
        <v>920</v>
      </c>
      <c r="F3132" s="4" t="s">
        <v>32</v>
      </c>
      <c r="G3132" s="4" t="s">
        <v>20</v>
      </c>
      <c r="H3132" s="5">
        <v>-54120</v>
      </c>
      <c r="I3132" s="4" t="s">
        <v>21</v>
      </c>
      <c r="J3132" s="5">
        <f t="shared" si="48"/>
        <v>227677.42800000001</v>
      </c>
      <c r="K3132" s="4" t="s">
        <v>52</v>
      </c>
      <c r="L3132" s="6">
        <v>4.2069000000000001</v>
      </c>
      <c r="M3132" s="6">
        <v>0.23769999999999999</v>
      </c>
      <c r="N3132" s="6">
        <v>4.2127999999999997</v>
      </c>
      <c r="O3132" s="6">
        <v>1</v>
      </c>
      <c r="P3132" s="5">
        <v>-357.19600000000003</v>
      </c>
      <c r="Q3132" s="4" t="s">
        <v>1390</v>
      </c>
    </row>
    <row r="3133" spans="1:17" x14ac:dyDescent="0.3">
      <c r="A3133" s="2" t="s">
        <v>1389</v>
      </c>
      <c r="B3133" s="3">
        <v>158654</v>
      </c>
      <c r="C3133" s="3">
        <v>219452</v>
      </c>
      <c r="D3133" s="4" t="s">
        <v>17</v>
      </c>
      <c r="E3133" s="4" t="s">
        <v>727</v>
      </c>
      <c r="F3133" s="4" t="s">
        <v>19</v>
      </c>
      <c r="G3133" s="4" t="s">
        <v>20</v>
      </c>
      <c r="H3133" s="5">
        <v>54120</v>
      </c>
      <c r="I3133" s="4" t="s">
        <v>21</v>
      </c>
      <c r="J3133" s="5">
        <f t="shared" si="48"/>
        <v>-227428.476</v>
      </c>
      <c r="K3133" s="4" t="s">
        <v>52</v>
      </c>
      <c r="L3133" s="6">
        <v>4.2023000000000001</v>
      </c>
      <c r="M3133" s="6">
        <v>0.23799999999999999</v>
      </c>
      <c r="N3133" s="6">
        <v>4.2127999999999997</v>
      </c>
      <c r="O3133" s="6">
        <v>1</v>
      </c>
      <c r="P3133" s="5">
        <v>568.25999999998021</v>
      </c>
      <c r="Q3133" s="4" t="s">
        <v>1397</v>
      </c>
    </row>
    <row r="3134" spans="1:17" x14ac:dyDescent="0.3">
      <c r="A3134" s="2" t="s">
        <v>1389</v>
      </c>
      <c r="B3134" s="3">
        <v>158655</v>
      </c>
      <c r="C3134" s="3">
        <v>219453</v>
      </c>
      <c r="D3134" s="4" t="s">
        <v>17</v>
      </c>
      <c r="E3134" s="4" t="s">
        <v>739</v>
      </c>
      <c r="F3134" s="4" t="s">
        <v>19</v>
      </c>
      <c r="G3134" s="4" t="s">
        <v>34</v>
      </c>
      <c r="H3134" s="5">
        <v>100000</v>
      </c>
      <c r="I3134" s="4" t="s">
        <v>21</v>
      </c>
      <c r="J3134" s="5">
        <f t="shared" si="48"/>
        <v>-358060</v>
      </c>
      <c r="K3134" s="4" t="s">
        <v>52</v>
      </c>
      <c r="L3134" s="6">
        <v>3.5806</v>
      </c>
      <c r="M3134" s="6">
        <v>0.27929999999999999</v>
      </c>
      <c r="N3134" s="6">
        <v>3.6027999999999998</v>
      </c>
      <c r="O3134" s="6">
        <v>1</v>
      </c>
      <c r="P3134" s="5">
        <v>2220</v>
      </c>
      <c r="Q3134" s="4" t="s">
        <v>1391</v>
      </c>
    </row>
    <row r="3135" spans="1:17" x14ac:dyDescent="0.3">
      <c r="A3135" s="2" t="s">
        <v>1389</v>
      </c>
      <c r="B3135" s="3">
        <v>158656</v>
      </c>
      <c r="C3135" s="3">
        <v>219454</v>
      </c>
      <c r="D3135" s="4" t="s">
        <v>17</v>
      </c>
      <c r="E3135" s="4" t="s">
        <v>1272</v>
      </c>
      <c r="F3135" s="4" t="s">
        <v>32</v>
      </c>
      <c r="G3135" s="4" t="s">
        <v>34</v>
      </c>
      <c r="H3135" s="5">
        <v>-100000</v>
      </c>
      <c r="I3135" s="4" t="s">
        <v>21</v>
      </c>
      <c r="J3135" s="5">
        <f t="shared" si="48"/>
        <v>358560</v>
      </c>
      <c r="K3135" s="4" t="s">
        <v>52</v>
      </c>
      <c r="L3135" s="6">
        <v>3.5855999999999999</v>
      </c>
      <c r="M3135" s="6">
        <v>0.27889999999999998</v>
      </c>
      <c r="N3135" s="6">
        <v>3.6027999999999998</v>
      </c>
      <c r="O3135" s="6">
        <v>1</v>
      </c>
      <c r="P3135" s="5">
        <v>-1720</v>
      </c>
      <c r="Q3135" s="4" t="s">
        <v>1390</v>
      </c>
    </row>
    <row r="3136" spans="1:17" x14ac:dyDescent="0.3">
      <c r="A3136" s="2" t="s">
        <v>1389</v>
      </c>
      <c r="B3136" s="3">
        <v>158657</v>
      </c>
      <c r="C3136" s="3">
        <v>219455</v>
      </c>
      <c r="D3136" s="4" t="s">
        <v>17</v>
      </c>
      <c r="E3136" s="4" t="s">
        <v>735</v>
      </c>
      <c r="F3136" s="4" t="s">
        <v>32</v>
      </c>
      <c r="G3136" s="4" t="s">
        <v>20</v>
      </c>
      <c r="H3136" s="5">
        <v>-120000</v>
      </c>
      <c r="I3136" s="4" t="s">
        <v>21</v>
      </c>
      <c r="J3136" s="5">
        <f t="shared" si="48"/>
        <v>504167.99999999994</v>
      </c>
      <c r="K3136" s="4" t="s">
        <v>52</v>
      </c>
      <c r="L3136" s="6">
        <v>4.2013999999999996</v>
      </c>
      <c r="M3136" s="6">
        <v>0.23799999999999999</v>
      </c>
      <c r="N3136" s="6">
        <v>4.2127999999999997</v>
      </c>
      <c r="O3136" s="6">
        <v>1</v>
      </c>
      <c r="P3136" s="5">
        <v>-1479.98</v>
      </c>
      <c r="Q3136" s="4" t="s">
        <v>1394</v>
      </c>
    </row>
    <row r="3137" spans="1:17" x14ac:dyDescent="0.3">
      <c r="A3137" s="2" t="s">
        <v>1389</v>
      </c>
      <c r="B3137" s="3">
        <v>158660</v>
      </c>
      <c r="C3137" s="3">
        <v>219460</v>
      </c>
      <c r="D3137" s="4" t="s">
        <v>17</v>
      </c>
      <c r="E3137" s="4" t="s">
        <v>739</v>
      </c>
      <c r="F3137" s="4" t="s">
        <v>32</v>
      </c>
      <c r="G3137" s="4" t="s">
        <v>20</v>
      </c>
      <c r="H3137" s="5">
        <v>-30000</v>
      </c>
      <c r="I3137" s="4" t="s">
        <v>21</v>
      </c>
      <c r="J3137" s="5">
        <f t="shared" si="48"/>
        <v>126045</v>
      </c>
      <c r="K3137" s="4" t="s">
        <v>52</v>
      </c>
      <c r="L3137" s="6">
        <v>4.2015000000000002</v>
      </c>
      <c r="M3137" s="6">
        <v>0.23799999999999999</v>
      </c>
      <c r="N3137" s="6">
        <v>4.2127999999999997</v>
      </c>
      <c r="O3137" s="6">
        <v>1</v>
      </c>
      <c r="P3137" s="5">
        <v>-370.68</v>
      </c>
      <c r="Q3137" s="4" t="s">
        <v>1391</v>
      </c>
    </row>
    <row r="3138" spans="1:17" x14ac:dyDescent="0.3">
      <c r="A3138" s="2" t="s">
        <v>1389</v>
      </c>
      <c r="B3138" s="3">
        <v>158661</v>
      </c>
      <c r="C3138" s="3">
        <v>219461</v>
      </c>
      <c r="D3138" s="4" t="s">
        <v>17</v>
      </c>
      <c r="E3138" s="4" t="s">
        <v>734</v>
      </c>
      <c r="F3138" s="4" t="s">
        <v>19</v>
      </c>
      <c r="G3138" s="4" t="s">
        <v>34</v>
      </c>
      <c r="H3138" s="5">
        <v>585800</v>
      </c>
      <c r="I3138" s="4" t="s">
        <v>21</v>
      </c>
      <c r="J3138" s="5">
        <f t="shared" si="48"/>
        <v>-2097281.16</v>
      </c>
      <c r="K3138" s="4" t="s">
        <v>52</v>
      </c>
      <c r="L3138" s="6">
        <v>3.5802</v>
      </c>
      <c r="M3138" s="6">
        <v>0.27929999999999999</v>
      </c>
      <c r="N3138" s="6">
        <v>3.6027999999999998</v>
      </c>
      <c r="O3138" s="6">
        <v>1</v>
      </c>
      <c r="P3138" s="5">
        <v>13239.079999999609</v>
      </c>
      <c r="Q3138" s="4" t="s">
        <v>1393</v>
      </c>
    </row>
    <row r="3139" spans="1:17" x14ac:dyDescent="0.3">
      <c r="A3139" s="2" t="s">
        <v>1389</v>
      </c>
      <c r="B3139" s="3">
        <v>158663</v>
      </c>
      <c r="C3139" s="3">
        <v>219472</v>
      </c>
      <c r="D3139" s="4" t="s">
        <v>17</v>
      </c>
      <c r="E3139" s="4" t="s">
        <v>1221</v>
      </c>
      <c r="F3139" s="4" t="s">
        <v>32</v>
      </c>
      <c r="G3139" s="4" t="s">
        <v>34</v>
      </c>
      <c r="H3139" s="5">
        <v>-100000</v>
      </c>
      <c r="I3139" s="4" t="s">
        <v>21</v>
      </c>
      <c r="J3139" s="5">
        <f t="shared" si="48"/>
        <v>358000</v>
      </c>
      <c r="K3139" s="4" t="s">
        <v>52</v>
      </c>
      <c r="L3139" s="6">
        <v>3.58</v>
      </c>
      <c r="M3139" s="6">
        <v>0.27929999999999999</v>
      </c>
      <c r="N3139" s="6">
        <v>3.6027999999999998</v>
      </c>
      <c r="O3139" s="6">
        <v>1</v>
      </c>
      <c r="P3139" s="5">
        <v>-2280</v>
      </c>
      <c r="Q3139" s="4" t="s">
        <v>1390</v>
      </c>
    </row>
    <row r="3140" spans="1:17" x14ac:dyDescent="0.3">
      <c r="A3140" s="2" t="s">
        <v>1389</v>
      </c>
      <c r="B3140" s="3">
        <v>158664</v>
      </c>
      <c r="C3140" s="3">
        <v>907629</v>
      </c>
      <c r="D3140" s="4" t="s">
        <v>81</v>
      </c>
      <c r="E3140" s="4" t="s">
        <v>742</v>
      </c>
      <c r="F3140" s="4" t="s">
        <v>87</v>
      </c>
      <c r="G3140" s="4" t="s">
        <v>34</v>
      </c>
      <c r="H3140" s="5">
        <v>1000000</v>
      </c>
      <c r="I3140" s="4" t="s">
        <v>21</v>
      </c>
      <c r="J3140" s="5">
        <f t="shared" ref="J3140:J3203" si="49">-H3140*L3140</f>
        <v>-3581900</v>
      </c>
      <c r="K3140" s="4" t="s">
        <v>54</v>
      </c>
      <c r="L3140" s="6">
        <v>3.5819000000000001</v>
      </c>
      <c r="M3140" s="6">
        <v>0.2792</v>
      </c>
      <c r="N3140" s="6">
        <v>3.5499000000000001</v>
      </c>
      <c r="O3140" s="6">
        <v>1</v>
      </c>
      <c r="P3140" s="5">
        <v>-32000</v>
      </c>
      <c r="Q3140" s="4" t="s">
        <v>1396</v>
      </c>
    </row>
    <row r="3141" spans="1:17" x14ac:dyDescent="0.3">
      <c r="A3141" s="2" t="s">
        <v>1389</v>
      </c>
      <c r="B3141" s="3">
        <v>158665</v>
      </c>
      <c r="C3141" s="3">
        <v>219483</v>
      </c>
      <c r="D3141" s="4" t="s">
        <v>17</v>
      </c>
      <c r="E3141" s="4" t="s">
        <v>1224</v>
      </c>
      <c r="F3141" s="4" t="s">
        <v>32</v>
      </c>
      <c r="G3141" s="4" t="s">
        <v>20</v>
      </c>
      <c r="H3141" s="5">
        <v>-10000</v>
      </c>
      <c r="I3141" s="4" t="s">
        <v>21</v>
      </c>
      <c r="J3141" s="5">
        <f t="shared" si="49"/>
        <v>42089</v>
      </c>
      <c r="K3141" s="4" t="s">
        <v>52</v>
      </c>
      <c r="L3141" s="6">
        <v>4.2088999999999999</v>
      </c>
      <c r="M3141" s="6">
        <v>0.23760000000000001</v>
      </c>
      <c r="N3141" s="6">
        <v>4.2127999999999997</v>
      </c>
      <c r="O3141" s="6">
        <v>1</v>
      </c>
      <c r="P3141" s="5">
        <v>-47</v>
      </c>
      <c r="Q3141" s="4" t="s">
        <v>1390</v>
      </c>
    </row>
    <row r="3142" spans="1:17" x14ac:dyDescent="0.3">
      <c r="A3142" s="2" t="s">
        <v>1389</v>
      </c>
      <c r="B3142" s="3">
        <v>158666</v>
      </c>
      <c r="C3142" s="3">
        <v>219484</v>
      </c>
      <c r="D3142" s="4" t="s">
        <v>17</v>
      </c>
      <c r="E3142" s="4" t="s">
        <v>1224</v>
      </c>
      <c r="F3142" s="4" t="s">
        <v>32</v>
      </c>
      <c r="G3142" s="4" t="s">
        <v>20</v>
      </c>
      <c r="H3142" s="5">
        <v>-10000</v>
      </c>
      <c r="I3142" s="4" t="s">
        <v>21</v>
      </c>
      <c r="J3142" s="5">
        <f t="shared" si="49"/>
        <v>42089.999999999993</v>
      </c>
      <c r="K3142" s="4" t="s">
        <v>53</v>
      </c>
      <c r="L3142" s="6">
        <v>4.2089999999999996</v>
      </c>
      <c r="M3142" s="6">
        <v>0.23760000000000001</v>
      </c>
      <c r="N3142" s="6">
        <v>4.2050000000000001</v>
      </c>
      <c r="O3142" s="6">
        <v>1</v>
      </c>
      <c r="P3142" s="5">
        <v>38</v>
      </c>
      <c r="Q3142" s="4" t="s">
        <v>1390</v>
      </c>
    </row>
    <row r="3143" spans="1:17" x14ac:dyDescent="0.3">
      <c r="A3143" s="2" t="s">
        <v>1389</v>
      </c>
      <c r="B3143" s="3">
        <v>158667</v>
      </c>
      <c r="C3143" s="3">
        <v>219485</v>
      </c>
      <c r="D3143" s="4" t="s">
        <v>17</v>
      </c>
      <c r="E3143" s="4" t="s">
        <v>1224</v>
      </c>
      <c r="F3143" s="4" t="s">
        <v>32</v>
      </c>
      <c r="G3143" s="4" t="s">
        <v>20</v>
      </c>
      <c r="H3143" s="5">
        <v>-10000</v>
      </c>
      <c r="I3143" s="4" t="s">
        <v>21</v>
      </c>
      <c r="J3143" s="5">
        <f t="shared" si="49"/>
        <v>42100</v>
      </c>
      <c r="K3143" s="4" t="s">
        <v>52</v>
      </c>
      <c r="L3143" s="6">
        <v>4.21</v>
      </c>
      <c r="M3143" s="6">
        <v>0.23749999999999999</v>
      </c>
      <c r="N3143" s="6">
        <v>4.2127999999999997</v>
      </c>
      <c r="O3143" s="6">
        <v>1</v>
      </c>
      <c r="P3143" s="5">
        <v>-36</v>
      </c>
      <c r="Q3143" s="4" t="s">
        <v>1390</v>
      </c>
    </row>
    <row r="3144" spans="1:17" x14ac:dyDescent="0.3">
      <c r="A3144" s="2" t="s">
        <v>1389</v>
      </c>
      <c r="B3144" s="3">
        <v>158668</v>
      </c>
      <c r="C3144" s="3">
        <v>219486</v>
      </c>
      <c r="D3144" s="4" t="s">
        <v>17</v>
      </c>
      <c r="E3144" s="4" t="s">
        <v>837</v>
      </c>
      <c r="F3144" s="4" t="s">
        <v>32</v>
      </c>
      <c r="G3144" s="4" t="s">
        <v>20</v>
      </c>
      <c r="H3144" s="5">
        <v>-19000</v>
      </c>
      <c r="I3144" s="4" t="s">
        <v>21</v>
      </c>
      <c r="J3144" s="5">
        <f t="shared" si="49"/>
        <v>80066.000000000015</v>
      </c>
      <c r="K3144" s="4" t="s">
        <v>52</v>
      </c>
      <c r="L3144" s="6">
        <v>4.2140000000000004</v>
      </c>
      <c r="M3144" s="6">
        <v>0.23730000000000001</v>
      </c>
      <c r="N3144" s="6">
        <v>4.2127999999999997</v>
      </c>
      <c r="O3144" s="6">
        <v>1</v>
      </c>
      <c r="P3144" s="5">
        <v>22.8</v>
      </c>
      <c r="Q3144" s="4" t="s">
        <v>1390</v>
      </c>
    </row>
    <row r="3145" spans="1:17" x14ac:dyDescent="0.3">
      <c r="A3145" s="2" t="s">
        <v>1389</v>
      </c>
      <c r="B3145" s="3">
        <v>158669</v>
      </c>
      <c r="C3145" s="3">
        <v>219487</v>
      </c>
      <c r="D3145" s="4" t="s">
        <v>17</v>
      </c>
      <c r="E3145" s="4" t="s">
        <v>959</v>
      </c>
      <c r="F3145" s="4" t="s">
        <v>32</v>
      </c>
      <c r="G3145" s="4" t="s">
        <v>20</v>
      </c>
      <c r="H3145" s="5">
        <v>-28415.82</v>
      </c>
      <c r="I3145" s="4" t="s">
        <v>21</v>
      </c>
      <c r="J3145" s="5">
        <f t="shared" si="49"/>
        <v>120031.265262</v>
      </c>
      <c r="K3145" s="4" t="s">
        <v>52</v>
      </c>
      <c r="L3145" s="6">
        <v>4.2241</v>
      </c>
      <c r="M3145" s="6">
        <v>0.23669999999999999</v>
      </c>
      <c r="N3145" s="6">
        <v>4.2127999999999997</v>
      </c>
      <c r="O3145" s="6">
        <v>1</v>
      </c>
      <c r="P3145" s="5">
        <v>289.843504</v>
      </c>
      <c r="Q3145" s="4" t="s">
        <v>1390</v>
      </c>
    </row>
    <row r="3146" spans="1:17" x14ac:dyDescent="0.3">
      <c r="A3146" s="2" t="s">
        <v>1389</v>
      </c>
      <c r="B3146" s="3">
        <v>158670</v>
      </c>
      <c r="C3146" s="3">
        <v>219488</v>
      </c>
      <c r="D3146" s="4" t="s">
        <v>17</v>
      </c>
      <c r="E3146" s="4" t="s">
        <v>1073</v>
      </c>
      <c r="F3146" s="4" t="s">
        <v>19</v>
      </c>
      <c r="G3146" s="4" t="s">
        <v>20</v>
      </c>
      <c r="H3146" s="5">
        <v>150000</v>
      </c>
      <c r="I3146" s="4" t="s">
        <v>21</v>
      </c>
      <c r="J3146" s="5">
        <f t="shared" si="49"/>
        <v>-627450</v>
      </c>
      <c r="K3146" s="4" t="s">
        <v>52</v>
      </c>
      <c r="L3146" s="6">
        <v>4.1829999999999998</v>
      </c>
      <c r="M3146" s="6">
        <v>0.23910000000000001</v>
      </c>
      <c r="N3146" s="6">
        <v>4.2127999999999997</v>
      </c>
      <c r="O3146" s="6">
        <v>1</v>
      </c>
      <c r="P3146" s="5">
        <v>4470</v>
      </c>
      <c r="Q3146" s="4" t="s">
        <v>1390</v>
      </c>
    </row>
    <row r="3147" spans="1:17" x14ac:dyDescent="0.3">
      <c r="A3147" s="2" t="s">
        <v>1389</v>
      </c>
      <c r="B3147" s="3">
        <v>158671</v>
      </c>
      <c r="C3147" s="3">
        <v>219489</v>
      </c>
      <c r="D3147" s="4" t="s">
        <v>17</v>
      </c>
      <c r="E3147" s="4" t="s">
        <v>1224</v>
      </c>
      <c r="F3147" s="4" t="s">
        <v>32</v>
      </c>
      <c r="G3147" s="4" t="s">
        <v>20</v>
      </c>
      <c r="H3147" s="5">
        <v>-20000</v>
      </c>
      <c r="I3147" s="4" t="s">
        <v>21</v>
      </c>
      <c r="J3147" s="5">
        <f t="shared" si="49"/>
        <v>84190</v>
      </c>
      <c r="K3147" s="4" t="s">
        <v>52</v>
      </c>
      <c r="L3147" s="6">
        <v>4.2095000000000002</v>
      </c>
      <c r="M3147" s="6">
        <v>0.23760000000000001</v>
      </c>
      <c r="N3147" s="6">
        <v>4.2127999999999997</v>
      </c>
      <c r="O3147" s="6">
        <v>1</v>
      </c>
      <c r="P3147" s="5">
        <v>-82</v>
      </c>
      <c r="Q3147" s="4" t="s">
        <v>1390</v>
      </c>
    </row>
    <row r="3148" spans="1:17" x14ac:dyDescent="0.3">
      <c r="A3148" s="2" t="s">
        <v>1389</v>
      </c>
      <c r="B3148" s="3">
        <v>158672</v>
      </c>
      <c r="C3148" s="3">
        <v>219494</v>
      </c>
      <c r="D3148" s="4" t="s">
        <v>17</v>
      </c>
      <c r="E3148" s="4" t="s">
        <v>1224</v>
      </c>
      <c r="F3148" s="4" t="s">
        <v>32</v>
      </c>
      <c r="G3148" s="4" t="s">
        <v>20</v>
      </c>
      <c r="H3148" s="5">
        <v>-20000</v>
      </c>
      <c r="I3148" s="4" t="s">
        <v>21</v>
      </c>
      <c r="J3148" s="5">
        <f t="shared" si="49"/>
        <v>84192</v>
      </c>
      <c r="K3148" s="4" t="s">
        <v>52</v>
      </c>
      <c r="L3148" s="6">
        <v>4.2096</v>
      </c>
      <c r="M3148" s="6">
        <v>0.23760000000000001</v>
      </c>
      <c r="N3148" s="6">
        <v>4.2127999999999997</v>
      </c>
      <c r="O3148" s="6">
        <v>1</v>
      </c>
      <c r="P3148" s="5">
        <v>-80</v>
      </c>
      <c r="Q3148" s="4" t="s">
        <v>1390</v>
      </c>
    </row>
    <row r="3149" spans="1:17" x14ac:dyDescent="0.3">
      <c r="A3149" s="2" t="s">
        <v>1389</v>
      </c>
      <c r="B3149" s="3">
        <v>158674</v>
      </c>
      <c r="C3149" s="3">
        <v>219495</v>
      </c>
      <c r="D3149" s="4" t="s">
        <v>17</v>
      </c>
      <c r="E3149" s="4" t="s">
        <v>1224</v>
      </c>
      <c r="F3149" s="4" t="s">
        <v>32</v>
      </c>
      <c r="G3149" s="4" t="s">
        <v>20</v>
      </c>
      <c r="H3149" s="5">
        <v>-20000</v>
      </c>
      <c r="I3149" s="4" t="s">
        <v>21</v>
      </c>
      <c r="J3149" s="5">
        <f t="shared" si="49"/>
        <v>84190</v>
      </c>
      <c r="K3149" s="4" t="s">
        <v>52</v>
      </c>
      <c r="L3149" s="6">
        <v>4.2095000000000002</v>
      </c>
      <c r="M3149" s="6">
        <v>0.23760000000000001</v>
      </c>
      <c r="N3149" s="6">
        <v>4.2127999999999997</v>
      </c>
      <c r="O3149" s="6">
        <v>1</v>
      </c>
      <c r="P3149" s="5">
        <v>-82</v>
      </c>
      <c r="Q3149" s="4" t="s">
        <v>1390</v>
      </c>
    </row>
    <row r="3150" spans="1:17" x14ac:dyDescent="0.3">
      <c r="A3150" s="2" t="s">
        <v>1389</v>
      </c>
      <c r="B3150" s="3">
        <v>158676</v>
      </c>
      <c r="C3150" s="3">
        <v>907698</v>
      </c>
      <c r="D3150" s="4" t="s">
        <v>81</v>
      </c>
      <c r="E3150" s="4" t="s">
        <v>734</v>
      </c>
      <c r="F3150" s="4" t="s">
        <v>87</v>
      </c>
      <c r="G3150" s="4" t="s">
        <v>20</v>
      </c>
      <c r="H3150" s="5">
        <v>100000</v>
      </c>
      <c r="I3150" s="4" t="s">
        <v>34</v>
      </c>
      <c r="J3150" s="5">
        <f t="shared" si="49"/>
        <v>-117300</v>
      </c>
      <c r="K3150" s="4" t="s">
        <v>54</v>
      </c>
      <c r="L3150" s="6">
        <v>1.173</v>
      </c>
      <c r="M3150" s="6">
        <v>0.85250000000000004</v>
      </c>
      <c r="N3150" s="6">
        <v>4.2118000000000002</v>
      </c>
      <c r="O3150" s="6">
        <v>3.5499000000000001</v>
      </c>
      <c r="P3150" s="5">
        <v>4758.9804999999997</v>
      </c>
      <c r="Q3150" s="4" t="s">
        <v>1393</v>
      </c>
    </row>
    <row r="3151" spans="1:17" x14ac:dyDescent="0.3">
      <c r="A3151" s="2" t="s">
        <v>1389</v>
      </c>
      <c r="B3151" s="3">
        <v>158677</v>
      </c>
      <c r="C3151" s="3">
        <v>907702</v>
      </c>
      <c r="D3151" s="4" t="s">
        <v>81</v>
      </c>
      <c r="E3151" s="4" t="s">
        <v>734</v>
      </c>
      <c r="F3151" s="4" t="s">
        <v>87</v>
      </c>
      <c r="G3151" s="4" t="s">
        <v>20</v>
      </c>
      <c r="H3151" s="5">
        <v>100000</v>
      </c>
      <c r="I3151" s="4" t="s">
        <v>34</v>
      </c>
      <c r="J3151" s="5">
        <f t="shared" si="49"/>
        <v>-117290</v>
      </c>
      <c r="K3151" s="4" t="s">
        <v>54</v>
      </c>
      <c r="L3151" s="6">
        <v>1.1729000000000001</v>
      </c>
      <c r="M3151" s="6">
        <v>0.85260000000000002</v>
      </c>
      <c r="N3151" s="6">
        <v>4.2118000000000002</v>
      </c>
      <c r="O3151" s="6">
        <v>3.5499000000000001</v>
      </c>
      <c r="P3151" s="5">
        <v>4798.0294000000004</v>
      </c>
      <c r="Q3151" s="4" t="s">
        <v>1393</v>
      </c>
    </row>
    <row r="3152" spans="1:17" x14ac:dyDescent="0.3">
      <c r="A3152" s="2" t="s">
        <v>1389</v>
      </c>
      <c r="B3152" s="3">
        <v>158678</v>
      </c>
      <c r="C3152" s="3">
        <v>219501</v>
      </c>
      <c r="D3152" s="4" t="s">
        <v>17</v>
      </c>
      <c r="E3152" s="4" t="s">
        <v>1224</v>
      </c>
      <c r="F3152" s="4" t="s">
        <v>32</v>
      </c>
      <c r="G3152" s="4" t="s">
        <v>20</v>
      </c>
      <c r="H3152" s="5">
        <v>-20000</v>
      </c>
      <c r="I3152" s="4" t="s">
        <v>21</v>
      </c>
      <c r="J3152" s="5">
        <f t="shared" si="49"/>
        <v>84170</v>
      </c>
      <c r="K3152" s="4" t="s">
        <v>52</v>
      </c>
      <c r="L3152" s="6">
        <v>4.2084999999999999</v>
      </c>
      <c r="M3152" s="6">
        <v>0.23760000000000001</v>
      </c>
      <c r="N3152" s="6">
        <v>4.2127999999999997</v>
      </c>
      <c r="O3152" s="6">
        <v>1</v>
      </c>
      <c r="P3152" s="5">
        <v>-102</v>
      </c>
      <c r="Q3152" s="4" t="s">
        <v>1390</v>
      </c>
    </row>
    <row r="3153" spans="1:17" x14ac:dyDescent="0.3">
      <c r="A3153" s="2" t="s">
        <v>1389</v>
      </c>
      <c r="B3153" s="3">
        <v>158679</v>
      </c>
      <c r="C3153" s="3">
        <v>907715</v>
      </c>
      <c r="D3153" s="4" t="s">
        <v>81</v>
      </c>
      <c r="E3153" s="4" t="s">
        <v>726</v>
      </c>
      <c r="F3153" s="4" t="s">
        <v>87</v>
      </c>
      <c r="G3153" s="4" t="s">
        <v>34</v>
      </c>
      <c r="H3153" s="5">
        <v>500000</v>
      </c>
      <c r="I3153" s="4" t="s">
        <v>21</v>
      </c>
      <c r="J3153" s="5">
        <f t="shared" si="49"/>
        <v>-1792600</v>
      </c>
      <c r="K3153" s="4" t="s">
        <v>54</v>
      </c>
      <c r="L3153" s="6">
        <v>3.5851999999999999</v>
      </c>
      <c r="M3153" s="6">
        <v>0.27889999999999998</v>
      </c>
      <c r="N3153" s="6">
        <v>3.5499000000000001</v>
      </c>
      <c r="O3153" s="6">
        <v>1</v>
      </c>
      <c r="P3153" s="5">
        <v>-17675</v>
      </c>
      <c r="Q3153" s="4" t="s">
        <v>1390</v>
      </c>
    </row>
    <row r="3154" spans="1:17" x14ac:dyDescent="0.3">
      <c r="A3154" s="2" t="s">
        <v>1389</v>
      </c>
      <c r="B3154" s="3">
        <v>158681</v>
      </c>
      <c r="C3154" s="3">
        <v>219506</v>
      </c>
      <c r="D3154" s="4" t="s">
        <v>17</v>
      </c>
      <c r="E3154" s="4" t="s">
        <v>1234</v>
      </c>
      <c r="F3154" s="4" t="s">
        <v>19</v>
      </c>
      <c r="G3154" s="4" t="s">
        <v>20</v>
      </c>
      <c r="H3154" s="5">
        <v>29584.6</v>
      </c>
      <c r="I3154" s="4" t="s">
        <v>21</v>
      </c>
      <c r="J3154" s="5">
        <f t="shared" si="49"/>
        <v>-124160.64927999998</v>
      </c>
      <c r="K3154" s="4" t="s">
        <v>52</v>
      </c>
      <c r="L3154" s="6">
        <v>4.1967999999999996</v>
      </c>
      <c r="M3154" s="6">
        <v>0.23830000000000001</v>
      </c>
      <c r="N3154" s="6">
        <v>4.2127999999999997</v>
      </c>
      <c r="O3154" s="6">
        <v>1</v>
      </c>
      <c r="P3154" s="5">
        <v>473.35360000000219</v>
      </c>
      <c r="Q3154" s="4" t="s">
        <v>1390</v>
      </c>
    </row>
    <row r="3155" spans="1:17" x14ac:dyDescent="0.3">
      <c r="A3155" s="2" t="s">
        <v>1389</v>
      </c>
      <c r="B3155" s="3">
        <v>158683</v>
      </c>
      <c r="C3155" s="3">
        <v>219510</v>
      </c>
      <c r="D3155" s="4" t="s">
        <v>17</v>
      </c>
      <c r="E3155" s="4" t="s">
        <v>939</v>
      </c>
      <c r="F3155" s="4" t="s">
        <v>32</v>
      </c>
      <c r="G3155" s="4" t="s">
        <v>20</v>
      </c>
      <c r="H3155" s="5">
        <v>-190195.43</v>
      </c>
      <c r="I3155" s="4" t="s">
        <v>21</v>
      </c>
      <c r="J3155" s="5">
        <f t="shared" si="49"/>
        <v>801673.7374499999</v>
      </c>
      <c r="K3155" s="4" t="s">
        <v>52</v>
      </c>
      <c r="L3155" s="6">
        <v>4.2149999999999999</v>
      </c>
      <c r="M3155" s="6">
        <v>0.23719999999999999</v>
      </c>
      <c r="N3155" s="6">
        <v>4.2127999999999997</v>
      </c>
      <c r="O3155" s="6">
        <v>1</v>
      </c>
      <c r="P3155" s="5">
        <v>-1255.3075040000001</v>
      </c>
      <c r="Q3155" s="4" t="s">
        <v>1390</v>
      </c>
    </row>
    <row r="3156" spans="1:17" x14ac:dyDescent="0.3">
      <c r="A3156" s="2" t="s">
        <v>1389</v>
      </c>
      <c r="B3156" s="3">
        <v>158685</v>
      </c>
      <c r="C3156" s="3">
        <v>219512</v>
      </c>
      <c r="D3156" s="4" t="s">
        <v>17</v>
      </c>
      <c r="E3156" s="4" t="s">
        <v>1224</v>
      </c>
      <c r="F3156" s="4" t="s">
        <v>32</v>
      </c>
      <c r="G3156" s="4" t="s">
        <v>20</v>
      </c>
      <c r="H3156" s="5">
        <v>-20000</v>
      </c>
      <c r="I3156" s="4" t="s">
        <v>21</v>
      </c>
      <c r="J3156" s="5">
        <f t="shared" si="49"/>
        <v>84144</v>
      </c>
      <c r="K3156" s="4" t="s">
        <v>52</v>
      </c>
      <c r="L3156" s="6">
        <v>4.2072000000000003</v>
      </c>
      <c r="M3156" s="6">
        <v>0.23769999999999999</v>
      </c>
      <c r="N3156" s="6">
        <v>4.2127999999999997</v>
      </c>
      <c r="O3156" s="6">
        <v>1</v>
      </c>
      <c r="P3156" s="5">
        <v>-128</v>
      </c>
      <c r="Q3156" s="4" t="s">
        <v>1390</v>
      </c>
    </row>
    <row r="3157" spans="1:17" x14ac:dyDescent="0.3">
      <c r="A3157" s="2" t="s">
        <v>1389</v>
      </c>
      <c r="B3157" s="3">
        <v>158686</v>
      </c>
      <c r="C3157" s="3">
        <v>219514</v>
      </c>
      <c r="D3157" s="4" t="s">
        <v>17</v>
      </c>
      <c r="E3157" s="4" t="s">
        <v>1224</v>
      </c>
      <c r="F3157" s="4" t="s">
        <v>32</v>
      </c>
      <c r="G3157" s="4" t="s">
        <v>20</v>
      </c>
      <c r="H3157" s="5">
        <v>-20000</v>
      </c>
      <c r="I3157" s="4" t="s">
        <v>21</v>
      </c>
      <c r="J3157" s="5">
        <f t="shared" si="49"/>
        <v>84144</v>
      </c>
      <c r="K3157" s="4" t="s">
        <v>52</v>
      </c>
      <c r="L3157" s="6">
        <v>4.2072000000000003</v>
      </c>
      <c r="M3157" s="6">
        <v>0.23769999999999999</v>
      </c>
      <c r="N3157" s="6">
        <v>4.2127999999999997</v>
      </c>
      <c r="O3157" s="6">
        <v>1</v>
      </c>
      <c r="P3157" s="5">
        <v>-128</v>
      </c>
      <c r="Q3157" s="4" t="s">
        <v>1390</v>
      </c>
    </row>
    <row r="3158" spans="1:17" x14ac:dyDescent="0.3">
      <c r="A3158" s="2" t="s">
        <v>1389</v>
      </c>
      <c r="B3158" s="3">
        <v>158687</v>
      </c>
      <c r="C3158" s="3">
        <v>219515</v>
      </c>
      <c r="D3158" s="4" t="s">
        <v>17</v>
      </c>
      <c r="E3158" s="4" t="s">
        <v>795</v>
      </c>
      <c r="F3158" s="4" t="s">
        <v>32</v>
      </c>
      <c r="G3158" s="4" t="s">
        <v>34</v>
      </c>
      <c r="H3158" s="5">
        <v>-150000</v>
      </c>
      <c r="I3158" s="4" t="s">
        <v>21</v>
      </c>
      <c r="J3158" s="5">
        <f t="shared" si="49"/>
        <v>537300</v>
      </c>
      <c r="K3158" s="4" t="s">
        <v>52</v>
      </c>
      <c r="L3158" s="6">
        <v>3.5819999999999999</v>
      </c>
      <c r="M3158" s="6">
        <v>0.2792</v>
      </c>
      <c r="N3158" s="6">
        <v>3.6027999999999998</v>
      </c>
      <c r="O3158" s="6">
        <v>1</v>
      </c>
      <c r="P3158" s="5">
        <v>-3120</v>
      </c>
      <c r="Q3158" s="4" t="s">
        <v>1390</v>
      </c>
    </row>
    <row r="3159" spans="1:17" x14ac:dyDescent="0.3">
      <c r="A3159" s="2" t="s">
        <v>1389</v>
      </c>
      <c r="B3159" s="3">
        <v>158688</v>
      </c>
      <c r="C3159" s="3">
        <v>219516</v>
      </c>
      <c r="D3159" s="4" t="s">
        <v>17</v>
      </c>
      <c r="E3159" s="4" t="s">
        <v>1383</v>
      </c>
      <c r="F3159" s="4" t="s">
        <v>19</v>
      </c>
      <c r="G3159" s="4" t="s">
        <v>21</v>
      </c>
      <c r="H3159" s="5">
        <v>180000</v>
      </c>
      <c r="I3159" s="4" t="s">
        <v>20</v>
      </c>
      <c r="J3159" s="5">
        <f t="shared" si="49"/>
        <v>-759330</v>
      </c>
      <c r="K3159" s="4" t="s">
        <v>52</v>
      </c>
      <c r="L3159" s="6">
        <v>4.2184999999999997</v>
      </c>
      <c r="M3159" s="6">
        <v>0.23710000000000001</v>
      </c>
      <c r="N3159" s="6">
        <v>1</v>
      </c>
      <c r="O3159" s="6">
        <v>4.2127999999999997</v>
      </c>
      <c r="P3159" s="5">
        <v>-3018905.4239999996</v>
      </c>
      <c r="Q3159" s="4" t="s">
        <v>1390</v>
      </c>
    </row>
    <row r="3160" spans="1:17" x14ac:dyDescent="0.3">
      <c r="A3160" s="2" t="s">
        <v>1389</v>
      </c>
      <c r="B3160" s="3">
        <v>158689</v>
      </c>
      <c r="C3160" s="3">
        <v>219517</v>
      </c>
      <c r="D3160" s="4" t="s">
        <v>17</v>
      </c>
      <c r="E3160" s="4" t="s">
        <v>1294</v>
      </c>
      <c r="F3160" s="4" t="s">
        <v>32</v>
      </c>
      <c r="G3160" s="4" t="s">
        <v>20</v>
      </c>
      <c r="H3160" s="5">
        <v>-20000</v>
      </c>
      <c r="I3160" s="4" t="s">
        <v>21</v>
      </c>
      <c r="J3160" s="5">
        <f t="shared" si="49"/>
        <v>84178</v>
      </c>
      <c r="K3160" s="4" t="s">
        <v>53</v>
      </c>
      <c r="L3160" s="6">
        <v>4.2088999999999999</v>
      </c>
      <c r="M3160" s="6">
        <v>0.23760000000000001</v>
      </c>
      <c r="N3160" s="6">
        <v>4.2050000000000001</v>
      </c>
      <c r="O3160" s="6">
        <v>1</v>
      </c>
      <c r="P3160" s="5">
        <v>74</v>
      </c>
      <c r="Q3160" s="4" t="s">
        <v>1390</v>
      </c>
    </row>
    <row r="3161" spans="1:17" x14ac:dyDescent="0.3">
      <c r="A3161" s="2" t="s">
        <v>1389</v>
      </c>
      <c r="B3161" s="3">
        <v>158691</v>
      </c>
      <c r="C3161" s="3">
        <v>907788</v>
      </c>
      <c r="D3161" s="4" t="s">
        <v>81</v>
      </c>
      <c r="E3161" s="4" t="s">
        <v>1262</v>
      </c>
      <c r="F3161" s="4" t="s">
        <v>87</v>
      </c>
      <c r="G3161" s="4" t="s">
        <v>20</v>
      </c>
      <c r="H3161" s="5">
        <v>3100</v>
      </c>
      <c r="I3161" s="4" t="s">
        <v>21</v>
      </c>
      <c r="J3161" s="5">
        <f t="shared" si="49"/>
        <v>-13018.76</v>
      </c>
      <c r="K3161" s="4" t="s">
        <v>54</v>
      </c>
      <c r="L3161" s="6">
        <v>4.1996000000000002</v>
      </c>
      <c r="M3161" s="6">
        <v>0.23810000000000001</v>
      </c>
      <c r="N3161" s="6">
        <v>4.2118000000000002</v>
      </c>
      <c r="O3161" s="6">
        <v>1</v>
      </c>
      <c r="P3161" s="5">
        <v>37.82</v>
      </c>
      <c r="Q3161" s="4" t="s">
        <v>1390</v>
      </c>
    </row>
    <row r="3162" spans="1:17" x14ac:dyDescent="0.3">
      <c r="A3162" s="2" t="s">
        <v>1389</v>
      </c>
      <c r="B3162" s="3">
        <v>158692</v>
      </c>
      <c r="C3162" s="3">
        <v>219525</v>
      </c>
      <c r="D3162" s="4" t="s">
        <v>17</v>
      </c>
      <c r="E3162" s="4" t="s">
        <v>1180</v>
      </c>
      <c r="F3162" s="4" t="s">
        <v>19</v>
      </c>
      <c r="G3162" s="4" t="s">
        <v>20</v>
      </c>
      <c r="H3162" s="5">
        <v>36246.94</v>
      </c>
      <c r="I3162" s="4" t="s">
        <v>21</v>
      </c>
      <c r="J3162" s="5">
        <f t="shared" si="49"/>
        <v>-152237.14800000002</v>
      </c>
      <c r="K3162" s="4" t="s">
        <v>52</v>
      </c>
      <c r="L3162" s="6">
        <v>4.2</v>
      </c>
      <c r="M3162" s="6">
        <v>0.23810000000000001</v>
      </c>
      <c r="N3162" s="6">
        <v>4.2127999999999997</v>
      </c>
      <c r="O3162" s="6">
        <v>1</v>
      </c>
      <c r="P3162" s="5">
        <v>463.96083199998247</v>
      </c>
      <c r="Q3162" s="4" t="s">
        <v>1390</v>
      </c>
    </row>
    <row r="3163" spans="1:17" x14ac:dyDescent="0.3">
      <c r="A3163" s="2" t="s">
        <v>1389</v>
      </c>
      <c r="B3163" s="3">
        <v>158693</v>
      </c>
      <c r="C3163" s="3">
        <v>219526</v>
      </c>
      <c r="D3163" s="4" t="s">
        <v>17</v>
      </c>
      <c r="E3163" s="4" t="s">
        <v>1015</v>
      </c>
      <c r="F3163" s="4" t="s">
        <v>32</v>
      </c>
      <c r="G3163" s="4" t="s">
        <v>20</v>
      </c>
      <c r="H3163" s="5">
        <v>-50000</v>
      </c>
      <c r="I3163" s="4" t="s">
        <v>21</v>
      </c>
      <c r="J3163" s="5">
        <f t="shared" si="49"/>
        <v>210615</v>
      </c>
      <c r="K3163" s="4" t="s">
        <v>52</v>
      </c>
      <c r="L3163" s="6">
        <v>4.2122999999999999</v>
      </c>
      <c r="M3163" s="6">
        <v>0.2374</v>
      </c>
      <c r="N3163" s="6">
        <v>4.2127999999999997</v>
      </c>
      <c r="O3163" s="6">
        <v>1</v>
      </c>
      <c r="P3163" s="5">
        <v>-65</v>
      </c>
      <c r="Q3163" s="4" t="s">
        <v>1390</v>
      </c>
    </row>
    <row r="3164" spans="1:17" x14ac:dyDescent="0.3">
      <c r="A3164" s="2" t="s">
        <v>1389</v>
      </c>
      <c r="B3164" s="3">
        <v>158694</v>
      </c>
      <c r="C3164" s="3">
        <v>219527</v>
      </c>
      <c r="D3164" s="4" t="s">
        <v>17</v>
      </c>
      <c r="E3164" s="4" t="s">
        <v>831</v>
      </c>
      <c r="F3164" s="4" t="s">
        <v>32</v>
      </c>
      <c r="G3164" s="4" t="s">
        <v>20</v>
      </c>
      <c r="H3164" s="5">
        <v>-60000</v>
      </c>
      <c r="I3164" s="4" t="s">
        <v>21</v>
      </c>
      <c r="J3164" s="5">
        <f t="shared" si="49"/>
        <v>252438</v>
      </c>
      <c r="K3164" s="4" t="s">
        <v>52</v>
      </c>
      <c r="L3164" s="6">
        <v>4.2073</v>
      </c>
      <c r="M3164" s="6">
        <v>0.23769999999999999</v>
      </c>
      <c r="N3164" s="6">
        <v>4.2127999999999997</v>
      </c>
      <c r="O3164" s="6">
        <v>1</v>
      </c>
      <c r="P3164" s="5">
        <v>-330</v>
      </c>
      <c r="Q3164" s="4" t="s">
        <v>1390</v>
      </c>
    </row>
    <row r="3165" spans="1:17" x14ac:dyDescent="0.3">
      <c r="A3165" s="2" t="s">
        <v>1389</v>
      </c>
      <c r="B3165" s="3">
        <v>158695</v>
      </c>
      <c r="C3165" s="3">
        <v>219529</v>
      </c>
      <c r="D3165" s="4" t="s">
        <v>17</v>
      </c>
      <c r="E3165" s="4" t="s">
        <v>1001</v>
      </c>
      <c r="F3165" s="4" t="s">
        <v>32</v>
      </c>
      <c r="G3165" s="4" t="s">
        <v>20</v>
      </c>
      <c r="H3165" s="5">
        <v>-70000</v>
      </c>
      <c r="I3165" s="4" t="s">
        <v>21</v>
      </c>
      <c r="J3165" s="5">
        <f t="shared" si="49"/>
        <v>294399</v>
      </c>
      <c r="K3165" s="4" t="s">
        <v>27</v>
      </c>
      <c r="L3165" s="6">
        <v>4.2057000000000002</v>
      </c>
      <c r="M3165" s="6">
        <v>0.23780000000000001</v>
      </c>
      <c r="N3165" s="6">
        <v>4.2072000000000003</v>
      </c>
      <c r="O3165" s="6">
        <v>1</v>
      </c>
      <c r="P3165" s="5">
        <v>-42</v>
      </c>
      <c r="Q3165" s="4" t="s">
        <v>1390</v>
      </c>
    </row>
    <row r="3166" spans="1:17" x14ac:dyDescent="0.3">
      <c r="A3166" s="2" t="s">
        <v>1389</v>
      </c>
      <c r="B3166" s="3">
        <v>158696</v>
      </c>
      <c r="C3166" s="3">
        <v>219531</v>
      </c>
      <c r="D3166" s="4" t="s">
        <v>17</v>
      </c>
      <c r="E3166" s="4" t="s">
        <v>1281</v>
      </c>
      <c r="F3166" s="4" t="s">
        <v>19</v>
      </c>
      <c r="G3166" s="4" t="s">
        <v>20</v>
      </c>
      <c r="H3166" s="5">
        <v>6000</v>
      </c>
      <c r="I3166" s="4" t="s">
        <v>21</v>
      </c>
      <c r="J3166" s="5">
        <f t="shared" si="49"/>
        <v>-24905.4</v>
      </c>
      <c r="K3166" s="4" t="s">
        <v>52</v>
      </c>
      <c r="L3166" s="6">
        <v>4.1509</v>
      </c>
      <c r="M3166" s="6">
        <v>0.2409</v>
      </c>
      <c r="N3166" s="6">
        <v>4.2127999999999997</v>
      </c>
      <c r="O3166" s="6">
        <v>1</v>
      </c>
      <c r="P3166" s="5">
        <v>371.39999999999782</v>
      </c>
      <c r="Q3166" s="4" t="s">
        <v>1390</v>
      </c>
    </row>
    <row r="3167" spans="1:17" x14ac:dyDescent="0.3">
      <c r="A3167" s="2" t="s">
        <v>1389</v>
      </c>
      <c r="B3167" s="3">
        <v>158697</v>
      </c>
      <c r="C3167" s="3">
        <v>907816</v>
      </c>
      <c r="D3167" s="4" t="s">
        <v>81</v>
      </c>
      <c r="E3167" s="4" t="s">
        <v>742</v>
      </c>
      <c r="F3167" s="4" t="s">
        <v>87</v>
      </c>
      <c r="G3167" s="4" t="s">
        <v>20</v>
      </c>
      <c r="H3167" s="5">
        <v>500000</v>
      </c>
      <c r="I3167" s="4" t="s">
        <v>21</v>
      </c>
      <c r="J3167" s="5">
        <f t="shared" si="49"/>
        <v>-2101750</v>
      </c>
      <c r="K3167" s="4" t="s">
        <v>54</v>
      </c>
      <c r="L3167" s="6">
        <v>4.2035</v>
      </c>
      <c r="M3167" s="6">
        <v>0.2379</v>
      </c>
      <c r="N3167" s="6">
        <v>4.2118000000000002</v>
      </c>
      <c r="O3167" s="6">
        <v>1</v>
      </c>
      <c r="P3167" s="5">
        <v>4150</v>
      </c>
      <c r="Q3167" s="4" t="s">
        <v>1396</v>
      </c>
    </row>
    <row r="3168" spans="1:17" x14ac:dyDescent="0.3">
      <c r="A3168" s="2" t="s">
        <v>1389</v>
      </c>
      <c r="B3168" s="3">
        <v>158698</v>
      </c>
      <c r="C3168" s="3">
        <v>219535</v>
      </c>
      <c r="D3168" s="4" t="s">
        <v>17</v>
      </c>
      <c r="E3168" s="4" t="s">
        <v>1224</v>
      </c>
      <c r="F3168" s="4" t="s">
        <v>32</v>
      </c>
      <c r="G3168" s="4" t="s">
        <v>20</v>
      </c>
      <c r="H3168" s="5">
        <v>-20000</v>
      </c>
      <c r="I3168" s="4" t="s">
        <v>21</v>
      </c>
      <c r="J3168" s="5">
        <f t="shared" si="49"/>
        <v>84130</v>
      </c>
      <c r="K3168" s="4" t="s">
        <v>52</v>
      </c>
      <c r="L3168" s="6">
        <v>4.2065000000000001</v>
      </c>
      <c r="M3168" s="6">
        <v>0.23769999999999999</v>
      </c>
      <c r="N3168" s="6">
        <v>4.2127999999999997</v>
      </c>
      <c r="O3168" s="6">
        <v>1</v>
      </c>
      <c r="P3168" s="5">
        <v>-142</v>
      </c>
      <c r="Q3168" s="4" t="s">
        <v>1390</v>
      </c>
    </row>
    <row r="3169" spans="1:17" x14ac:dyDescent="0.3">
      <c r="A3169" s="2" t="s">
        <v>1389</v>
      </c>
      <c r="B3169" s="3">
        <v>158699</v>
      </c>
      <c r="C3169" s="3">
        <v>219536</v>
      </c>
      <c r="D3169" s="4" t="s">
        <v>17</v>
      </c>
      <c r="E3169" s="4" t="s">
        <v>1224</v>
      </c>
      <c r="F3169" s="4" t="s">
        <v>32</v>
      </c>
      <c r="G3169" s="4" t="s">
        <v>20</v>
      </c>
      <c r="H3169" s="5">
        <v>-20000</v>
      </c>
      <c r="I3169" s="4" t="s">
        <v>21</v>
      </c>
      <c r="J3169" s="5">
        <f t="shared" si="49"/>
        <v>84130</v>
      </c>
      <c r="K3169" s="4" t="s">
        <v>52</v>
      </c>
      <c r="L3169" s="6">
        <v>4.2065000000000001</v>
      </c>
      <c r="M3169" s="6">
        <v>0.23769999999999999</v>
      </c>
      <c r="N3169" s="6">
        <v>4.2127999999999997</v>
      </c>
      <c r="O3169" s="6">
        <v>1</v>
      </c>
      <c r="P3169" s="5">
        <v>-142</v>
      </c>
      <c r="Q3169" s="4" t="s">
        <v>1390</v>
      </c>
    </row>
    <row r="3170" spans="1:17" x14ac:dyDescent="0.3">
      <c r="A3170" s="2" t="s">
        <v>1389</v>
      </c>
      <c r="B3170" s="3">
        <v>158700</v>
      </c>
      <c r="C3170" s="3">
        <v>907838</v>
      </c>
      <c r="D3170" s="4" t="s">
        <v>81</v>
      </c>
      <c r="E3170" s="4" t="s">
        <v>906</v>
      </c>
      <c r="F3170" s="4" t="s">
        <v>87</v>
      </c>
      <c r="G3170" s="4" t="s">
        <v>20</v>
      </c>
      <c r="H3170" s="5">
        <v>3000</v>
      </c>
      <c r="I3170" s="4" t="s">
        <v>21</v>
      </c>
      <c r="J3170" s="5">
        <f t="shared" si="49"/>
        <v>-12603.300000000001</v>
      </c>
      <c r="K3170" s="4" t="s">
        <v>54</v>
      </c>
      <c r="L3170" s="6">
        <v>4.2011000000000003</v>
      </c>
      <c r="M3170" s="6">
        <v>0.23799999999999999</v>
      </c>
      <c r="N3170" s="6">
        <v>4.2118000000000002</v>
      </c>
      <c r="O3170" s="6">
        <v>1</v>
      </c>
      <c r="P3170" s="5">
        <v>32.1</v>
      </c>
      <c r="Q3170" s="4" t="s">
        <v>1390</v>
      </c>
    </row>
    <row r="3171" spans="1:17" x14ac:dyDescent="0.3">
      <c r="A3171" s="2" t="s">
        <v>1389</v>
      </c>
      <c r="B3171" s="3">
        <v>158704</v>
      </c>
      <c r="C3171" s="3">
        <v>219541</v>
      </c>
      <c r="D3171" s="4" t="s">
        <v>17</v>
      </c>
      <c r="E3171" s="4" t="s">
        <v>1224</v>
      </c>
      <c r="F3171" s="4" t="s">
        <v>32</v>
      </c>
      <c r="G3171" s="4" t="s">
        <v>20</v>
      </c>
      <c r="H3171" s="5">
        <v>-20000</v>
      </c>
      <c r="I3171" s="4" t="s">
        <v>21</v>
      </c>
      <c r="J3171" s="5">
        <f t="shared" si="49"/>
        <v>84124</v>
      </c>
      <c r="K3171" s="4" t="s">
        <v>53</v>
      </c>
      <c r="L3171" s="6">
        <v>4.2061999999999999</v>
      </c>
      <c r="M3171" s="6">
        <v>0.23769999999999999</v>
      </c>
      <c r="N3171" s="6">
        <v>4.2050000000000001</v>
      </c>
      <c r="O3171" s="6">
        <v>1</v>
      </c>
      <c r="P3171" s="5">
        <v>20</v>
      </c>
      <c r="Q3171" s="4" t="s">
        <v>1390</v>
      </c>
    </row>
    <row r="3172" spans="1:17" x14ac:dyDescent="0.3">
      <c r="A3172" s="2" t="s">
        <v>1389</v>
      </c>
      <c r="B3172" s="3">
        <v>158705</v>
      </c>
      <c r="C3172" s="3">
        <v>219542</v>
      </c>
      <c r="D3172" s="4" t="s">
        <v>17</v>
      </c>
      <c r="E3172" s="4" t="s">
        <v>1224</v>
      </c>
      <c r="F3172" s="4" t="s">
        <v>32</v>
      </c>
      <c r="G3172" s="4" t="s">
        <v>20</v>
      </c>
      <c r="H3172" s="5">
        <v>-20000</v>
      </c>
      <c r="I3172" s="4" t="s">
        <v>21</v>
      </c>
      <c r="J3172" s="5">
        <f t="shared" si="49"/>
        <v>84126</v>
      </c>
      <c r="K3172" s="4" t="s">
        <v>53</v>
      </c>
      <c r="L3172" s="6">
        <v>4.2062999999999997</v>
      </c>
      <c r="M3172" s="6">
        <v>0.23769999999999999</v>
      </c>
      <c r="N3172" s="6">
        <v>4.2050000000000001</v>
      </c>
      <c r="O3172" s="6">
        <v>1</v>
      </c>
      <c r="P3172" s="5">
        <v>22</v>
      </c>
      <c r="Q3172" s="4" t="s">
        <v>1390</v>
      </c>
    </row>
    <row r="3173" spans="1:17" x14ac:dyDescent="0.3">
      <c r="A3173" s="2" t="s">
        <v>1389</v>
      </c>
      <c r="B3173" s="3">
        <v>158706</v>
      </c>
      <c r="C3173" s="3">
        <v>219543</v>
      </c>
      <c r="D3173" s="4" t="s">
        <v>17</v>
      </c>
      <c r="E3173" s="4" t="s">
        <v>991</v>
      </c>
      <c r="F3173" s="4" t="s">
        <v>32</v>
      </c>
      <c r="G3173" s="4" t="s">
        <v>20</v>
      </c>
      <c r="H3173" s="5">
        <v>-50000</v>
      </c>
      <c r="I3173" s="4" t="s">
        <v>21</v>
      </c>
      <c r="J3173" s="5">
        <f t="shared" si="49"/>
        <v>210575</v>
      </c>
      <c r="K3173" s="4" t="s">
        <v>52</v>
      </c>
      <c r="L3173" s="6">
        <v>4.2115</v>
      </c>
      <c r="M3173" s="6">
        <v>0.2374</v>
      </c>
      <c r="N3173" s="6">
        <v>4.2127999999999997</v>
      </c>
      <c r="O3173" s="6">
        <v>1</v>
      </c>
      <c r="P3173" s="5">
        <v>-65</v>
      </c>
      <c r="Q3173" s="4" t="s">
        <v>1390</v>
      </c>
    </row>
    <row r="3174" spans="1:17" x14ac:dyDescent="0.3">
      <c r="A3174" s="2" t="s">
        <v>1389</v>
      </c>
      <c r="B3174" s="3">
        <v>158709</v>
      </c>
      <c r="C3174" s="3">
        <v>219548</v>
      </c>
      <c r="D3174" s="4" t="s">
        <v>17</v>
      </c>
      <c r="E3174" s="4" t="s">
        <v>748</v>
      </c>
      <c r="F3174" s="4" t="s">
        <v>19</v>
      </c>
      <c r="G3174" s="4" t="s">
        <v>20</v>
      </c>
      <c r="H3174" s="5">
        <v>30000</v>
      </c>
      <c r="I3174" s="4" t="s">
        <v>21</v>
      </c>
      <c r="J3174" s="5">
        <f t="shared" si="49"/>
        <v>-125805</v>
      </c>
      <c r="K3174" s="4" t="s">
        <v>52</v>
      </c>
      <c r="L3174" s="6">
        <v>4.1935000000000002</v>
      </c>
      <c r="M3174" s="6">
        <v>0.23849999999999999</v>
      </c>
      <c r="N3174" s="6">
        <v>4.2127999999999997</v>
      </c>
      <c r="O3174" s="6">
        <v>1</v>
      </c>
      <c r="P3174" s="5">
        <v>578.99999999998545</v>
      </c>
      <c r="Q3174" s="4" t="s">
        <v>1390</v>
      </c>
    </row>
    <row r="3175" spans="1:17" x14ac:dyDescent="0.3">
      <c r="A3175" s="2" t="s">
        <v>1389</v>
      </c>
      <c r="B3175" s="3">
        <v>158710</v>
      </c>
      <c r="C3175" s="3">
        <v>219550</v>
      </c>
      <c r="D3175" s="4" t="s">
        <v>17</v>
      </c>
      <c r="E3175" s="4" t="s">
        <v>826</v>
      </c>
      <c r="F3175" s="4" t="s">
        <v>19</v>
      </c>
      <c r="G3175" s="4" t="s">
        <v>20</v>
      </c>
      <c r="H3175" s="5">
        <v>15000</v>
      </c>
      <c r="I3175" s="4" t="s">
        <v>21</v>
      </c>
      <c r="J3175" s="5">
        <f t="shared" si="49"/>
        <v>-63024</v>
      </c>
      <c r="K3175" s="4" t="s">
        <v>52</v>
      </c>
      <c r="L3175" s="6">
        <v>4.2016</v>
      </c>
      <c r="M3175" s="6">
        <v>0.23799999999999999</v>
      </c>
      <c r="N3175" s="6">
        <v>4.2127999999999997</v>
      </c>
      <c r="O3175" s="6">
        <v>1</v>
      </c>
      <c r="P3175" s="5">
        <v>167.99999999999272</v>
      </c>
      <c r="Q3175" s="4" t="s">
        <v>1390</v>
      </c>
    </row>
    <row r="3176" spans="1:17" x14ac:dyDescent="0.3">
      <c r="A3176" s="2" t="s">
        <v>1389</v>
      </c>
      <c r="B3176" s="3">
        <v>158711</v>
      </c>
      <c r="C3176" s="3">
        <v>219551</v>
      </c>
      <c r="D3176" s="4" t="s">
        <v>17</v>
      </c>
      <c r="E3176" s="4" t="s">
        <v>1387</v>
      </c>
      <c r="F3176" s="4" t="s">
        <v>32</v>
      </c>
      <c r="G3176" s="4" t="s">
        <v>34</v>
      </c>
      <c r="H3176" s="5">
        <v>-500000</v>
      </c>
      <c r="I3176" s="4" t="s">
        <v>21</v>
      </c>
      <c r="J3176" s="5">
        <f t="shared" si="49"/>
        <v>1806000</v>
      </c>
      <c r="K3176" s="4" t="s">
        <v>52</v>
      </c>
      <c r="L3176" s="6">
        <v>3.6120000000000001</v>
      </c>
      <c r="M3176" s="6">
        <v>0.27689999999999998</v>
      </c>
      <c r="N3176" s="6">
        <v>3.6027999999999998</v>
      </c>
      <c r="O3176" s="6">
        <v>1</v>
      </c>
      <c r="P3176" s="5">
        <v>4600</v>
      </c>
      <c r="Q3176" s="4" t="s">
        <v>1390</v>
      </c>
    </row>
    <row r="3177" spans="1:17" x14ac:dyDescent="0.3">
      <c r="A3177" s="2" t="s">
        <v>1389</v>
      </c>
      <c r="B3177" s="3">
        <v>158712</v>
      </c>
      <c r="C3177" s="3">
        <v>907883</v>
      </c>
      <c r="D3177" s="4" t="s">
        <v>81</v>
      </c>
      <c r="E3177" s="4" t="s">
        <v>732</v>
      </c>
      <c r="F3177" s="4" t="s">
        <v>87</v>
      </c>
      <c r="G3177" s="4" t="s">
        <v>34</v>
      </c>
      <c r="H3177" s="5">
        <v>500000</v>
      </c>
      <c r="I3177" s="4" t="s">
        <v>21</v>
      </c>
      <c r="J3177" s="5">
        <f t="shared" si="49"/>
        <v>-1791000</v>
      </c>
      <c r="K3177" s="4" t="s">
        <v>54</v>
      </c>
      <c r="L3177" s="6">
        <v>3.5819999999999999</v>
      </c>
      <c r="M3177" s="6">
        <v>0.2792</v>
      </c>
      <c r="N3177" s="6">
        <v>3.5499000000000001</v>
      </c>
      <c r="O3177" s="6">
        <v>1</v>
      </c>
      <c r="P3177" s="5">
        <v>-16050</v>
      </c>
      <c r="Q3177" s="4" t="s">
        <v>1394</v>
      </c>
    </row>
    <row r="3178" spans="1:17" x14ac:dyDescent="0.3">
      <c r="A3178" s="2" t="s">
        <v>1389</v>
      </c>
      <c r="B3178" s="3">
        <v>158713</v>
      </c>
      <c r="C3178" s="3">
        <v>907884</v>
      </c>
      <c r="D3178" s="4" t="s">
        <v>81</v>
      </c>
      <c r="E3178" s="4" t="s">
        <v>725</v>
      </c>
      <c r="F3178" s="4" t="s">
        <v>87</v>
      </c>
      <c r="G3178" s="4" t="s">
        <v>34</v>
      </c>
      <c r="H3178" s="5">
        <v>500000</v>
      </c>
      <c r="I3178" s="4" t="s">
        <v>21</v>
      </c>
      <c r="J3178" s="5">
        <f t="shared" si="49"/>
        <v>-1791150</v>
      </c>
      <c r="K3178" s="4" t="s">
        <v>54</v>
      </c>
      <c r="L3178" s="6">
        <v>3.5823</v>
      </c>
      <c r="M3178" s="6">
        <v>0.2792</v>
      </c>
      <c r="N3178" s="6">
        <v>3.5499000000000001</v>
      </c>
      <c r="O3178" s="6">
        <v>1</v>
      </c>
      <c r="P3178" s="5">
        <v>-16175</v>
      </c>
      <c r="Q3178" s="4" t="s">
        <v>1392</v>
      </c>
    </row>
    <row r="3179" spans="1:17" x14ac:dyDescent="0.3">
      <c r="A3179" s="2" t="s">
        <v>1389</v>
      </c>
      <c r="B3179" s="3">
        <v>158714</v>
      </c>
      <c r="C3179" s="3">
        <v>219552</v>
      </c>
      <c r="D3179" s="4" t="s">
        <v>17</v>
      </c>
      <c r="E3179" s="4" t="s">
        <v>1224</v>
      </c>
      <c r="F3179" s="4" t="s">
        <v>32</v>
      </c>
      <c r="G3179" s="4" t="s">
        <v>20</v>
      </c>
      <c r="H3179" s="5">
        <v>-20000</v>
      </c>
      <c r="I3179" s="4" t="s">
        <v>21</v>
      </c>
      <c r="J3179" s="5">
        <f t="shared" si="49"/>
        <v>84134</v>
      </c>
      <c r="K3179" s="4" t="s">
        <v>53</v>
      </c>
      <c r="L3179" s="6">
        <v>4.2066999999999997</v>
      </c>
      <c r="M3179" s="6">
        <v>0.23769999999999999</v>
      </c>
      <c r="N3179" s="6">
        <v>4.2050000000000001</v>
      </c>
      <c r="O3179" s="6">
        <v>1</v>
      </c>
      <c r="P3179" s="5">
        <v>30</v>
      </c>
      <c r="Q3179" s="4" t="s">
        <v>1390</v>
      </c>
    </row>
    <row r="3180" spans="1:17" x14ac:dyDescent="0.3">
      <c r="A3180" s="2" t="s">
        <v>1389</v>
      </c>
      <c r="B3180" s="3">
        <v>158715</v>
      </c>
      <c r="C3180" s="3">
        <v>219553</v>
      </c>
      <c r="D3180" s="4" t="s">
        <v>17</v>
      </c>
      <c r="E3180" s="4" t="s">
        <v>1224</v>
      </c>
      <c r="F3180" s="4" t="s">
        <v>32</v>
      </c>
      <c r="G3180" s="4" t="s">
        <v>20</v>
      </c>
      <c r="H3180" s="5">
        <v>-20000</v>
      </c>
      <c r="I3180" s="4" t="s">
        <v>21</v>
      </c>
      <c r="J3180" s="5">
        <f t="shared" si="49"/>
        <v>84134</v>
      </c>
      <c r="K3180" s="4" t="s">
        <v>53</v>
      </c>
      <c r="L3180" s="6">
        <v>4.2066999999999997</v>
      </c>
      <c r="M3180" s="6">
        <v>0.23769999999999999</v>
      </c>
      <c r="N3180" s="6">
        <v>4.2050000000000001</v>
      </c>
      <c r="O3180" s="6">
        <v>1</v>
      </c>
      <c r="P3180" s="5">
        <v>30</v>
      </c>
      <c r="Q3180" s="4" t="s">
        <v>1390</v>
      </c>
    </row>
    <row r="3181" spans="1:17" x14ac:dyDescent="0.3">
      <c r="A3181" s="2" t="s">
        <v>1389</v>
      </c>
      <c r="B3181" s="3">
        <v>158716</v>
      </c>
      <c r="C3181" s="3">
        <v>219554</v>
      </c>
      <c r="D3181" s="4" t="s">
        <v>17</v>
      </c>
      <c r="E3181" s="4" t="s">
        <v>1224</v>
      </c>
      <c r="F3181" s="4" t="s">
        <v>32</v>
      </c>
      <c r="G3181" s="4" t="s">
        <v>20</v>
      </c>
      <c r="H3181" s="5">
        <v>-20000</v>
      </c>
      <c r="I3181" s="4" t="s">
        <v>21</v>
      </c>
      <c r="J3181" s="5">
        <f t="shared" si="49"/>
        <v>84134</v>
      </c>
      <c r="K3181" s="4" t="s">
        <v>53</v>
      </c>
      <c r="L3181" s="6">
        <v>4.2066999999999997</v>
      </c>
      <c r="M3181" s="6">
        <v>0.23769999999999999</v>
      </c>
      <c r="N3181" s="6">
        <v>4.2050000000000001</v>
      </c>
      <c r="O3181" s="6">
        <v>1</v>
      </c>
      <c r="P3181" s="5">
        <v>30</v>
      </c>
      <c r="Q3181" s="4" t="s">
        <v>1390</v>
      </c>
    </row>
    <row r="3182" spans="1:17" x14ac:dyDescent="0.3">
      <c r="A3182" s="2" t="s">
        <v>1389</v>
      </c>
      <c r="B3182" s="3">
        <v>158717</v>
      </c>
      <c r="C3182" s="3">
        <v>219555</v>
      </c>
      <c r="D3182" s="4" t="s">
        <v>17</v>
      </c>
      <c r="E3182" s="4" t="s">
        <v>1110</v>
      </c>
      <c r="F3182" s="4" t="s">
        <v>32</v>
      </c>
      <c r="G3182" s="4" t="s">
        <v>20</v>
      </c>
      <c r="H3182" s="5">
        <v>-50000</v>
      </c>
      <c r="I3182" s="4" t="s">
        <v>21</v>
      </c>
      <c r="J3182" s="5">
        <f t="shared" si="49"/>
        <v>210340.00000000003</v>
      </c>
      <c r="K3182" s="4" t="s">
        <v>52</v>
      </c>
      <c r="L3182" s="6">
        <v>4.2068000000000003</v>
      </c>
      <c r="M3182" s="6">
        <v>0.23769999999999999</v>
      </c>
      <c r="N3182" s="6">
        <v>4.2127999999999997</v>
      </c>
      <c r="O3182" s="6">
        <v>1</v>
      </c>
      <c r="P3182" s="5">
        <v>-340</v>
      </c>
      <c r="Q3182" s="4" t="s">
        <v>1390</v>
      </c>
    </row>
    <row r="3183" spans="1:17" x14ac:dyDescent="0.3">
      <c r="A3183" s="2" t="s">
        <v>1389</v>
      </c>
      <c r="B3183" s="3">
        <v>158718</v>
      </c>
      <c r="C3183" s="3">
        <v>219556</v>
      </c>
      <c r="D3183" s="4" t="s">
        <v>17</v>
      </c>
      <c r="E3183" s="4" t="s">
        <v>1224</v>
      </c>
      <c r="F3183" s="4" t="s">
        <v>32</v>
      </c>
      <c r="G3183" s="4" t="s">
        <v>20</v>
      </c>
      <c r="H3183" s="5">
        <v>-20000</v>
      </c>
      <c r="I3183" s="4" t="s">
        <v>21</v>
      </c>
      <c r="J3183" s="5">
        <f t="shared" si="49"/>
        <v>84138</v>
      </c>
      <c r="K3183" s="4" t="s">
        <v>53</v>
      </c>
      <c r="L3183" s="6">
        <v>4.2069000000000001</v>
      </c>
      <c r="M3183" s="6">
        <v>0.23769999999999999</v>
      </c>
      <c r="N3183" s="6">
        <v>4.2050000000000001</v>
      </c>
      <c r="O3183" s="6">
        <v>1</v>
      </c>
      <c r="P3183" s="5">
        <v>34</v>
      </c>
      <c r="Q3183" s="4" t="s">
        <v>1390</v>
      </c>
    </row>
    <row r="3184" spans="1:17" x14ac:dyDescent="0.3">
      <c r="A3184" s="2" t="s">
        <v>1389</v>
      </c>
      <c r="B3184" s="3">
        <v>158719</v>
      </c>
      <c r="C3184" s="3">
        <v>219558</v>
      </c>
      <c r="D3184" s="4" t="s">
        <v>17</v>
      </c>
      <c r="E3184" s="4" t="s">
        <v>755</v>
      </c>
      <c r="F3184" s="4" t="s">
        <v>19</v>
      </c>
      <c r="G3184" s="4" t="s">
        <v>20</v>
      </c>
      <c r="H3184" s="5">
        <v>70000</v>
      </c>
      <c r="I3184" s="4" t="s">
        <v>21</v>
      </c>
      <c r="J3184" s="5">
        <f t="shared" si="49"/>
        <v>-293790</v>
      </c>
      <c r="K3184" s="4" t="s">
        <v>52</v>
      </c>
      <c r="L3184" s="6">
        <v>4.1970000000000001</v>
      </c>
      <c r="M3184" s="6">
        <v>0.23830000000000001</v>
      </c>
      <c r="N3184" s="6">
        <v>4.2127999999999997</v>
      </c>
      <c r="O3184" s="6">
        <v>1</v>
      </c>
      <c r="P3184" s="5">
        <v>1106</v>
      </c>
      <c r="Q3184" s="4" t="s">
        <v>1390</v>
      </c>
    </row>
    <row r="3185" spans="1:17" x14ac:dyDescent="0.3">
      <c r="A3185" s="2" t="s">
        <v>1389</v>
      </c>
      <c r="B3185" s="3">
        <v>158720</v>
      </c>
      <c r="C3185" s="3">
        <v>219560</v>
      </c>
      <c r="D3185" s="4" t="s">
        <v>17</v>
      </c>
      <c r="E3185" s="4" t="s">
        <v>1337</v>
      </c>
      <c r="F3185" s="4" t="s">
        <v>19</v>
      </c>
      <c r="G3185" s="4" t="s">
        <v>20</v>
      </c>
      <c r="H3185" s="5">
        <v>50000</v>
      </c>
      <c r="I3185" s="4" t="s">
        <v>21</v>
      </c>
      <c r="J3185" s="5">
        <f t="shared" si="49"/>
        <v>-209850</v>
      </c>
      <c r="K3185" s="4" t="s">
        <v>52</v>
      </c>
      <c r="L3185" s="6">
        <v>4.1970000000000001</v>
      </c>
      <c r="M3185" s="6">
        <v>0.23830000000000001</v>
      </c>
      <c r="N3185" s="6">
        <v>4.2127999999999997</v>
      </c>
      <c r="O3185" s="6">
        <v>1</v>
      </c>
      <c r="P3185" s="5">
        <v>789.9999999999709</v>
      </c>
      <c r="Q3185" s="4" t="s">
        <v>1390</v>
      </c>
    </row>
    <row r="3186" spans="1:17" x14ac:dyDescent="0.3">
      <c r="A3186" s="2" t="s">
        <v>1389</v>
      </c>
      <c r="B3186" s="3">
        <v>158723</v>
      </c>
      <c r="C3186" s="3">
        <v>219562</v>
      </c>
      <c r="D3186" s="4" t="s">
        <v>17</v>
      </c>
      <c r="E3186" s="4" t="s">
        <v>1224</v>
      </c>
      <c r="F3186" s="4" t="s">
        <v>32</v>
      </c>
      <c r="G3186" s="4" t="s">
        <v>20</v>
      </c>
      <c r="H3186" s="5">
        <v>-20000</v>
      </c>
      <c r="I3186" s="4" t="s">
        <v>21</v>
      </c>
      <c r="J3186" s="5">
        <f t="shared" si="49"/>
        <v>84136</v>
      </c>
      <c r="K3186" s="4" t="s">
        <v>53</v>
      </c>
      <c r="L3186" s="6">
        <v>4.2068000000000003</v>
      </c>
      <c r="M3186" s="6">
        <v>0.23769999999999999</v>
      </c>
      <c r="N3186" s="6">
        <v>4.2050000000000001</v>
      </c>
      <c r="O3186" s="6">
        <v>1</v>
      </c>
      <c r="P3186" s="5">
        <v>32</v>
      </c>
      <c r="Q3186" s="4" t="s">
        <v>1390</v>
      </c>
    </row>
    <row r="3187" spans="1:17" x14ac:dyDescent="0.3">
      <c r="A3187" s="2" t="s">
        <v>1389</v>
      </c>
      <c r="B3187" s="3">
        <v>158724</v>
      </c>
      <c r="C3187" s="3">
        <v>219563</v>
      </c>
      <c r="D3187" s="4" t="s">
        <v>17</v>
      </c>
      <c r="E3187" s="4" t="s">
        <v>1224</v>
      </c>
      <c r="F3187" s="4" t="s">
        <v>32</v>
      </c>
      <c r="G3187" s="4" t="s">
        <v>20</v>
      </c>
      <c r="H3187" s="5">
        <v>-20000</v>
      </c>
      <c r="I3187" s="4" t="s">
        <v>21</v>
      </c>
      <c r="J3187" s="5">
        <f t="shared" si="49"/>
        <v>84134</v>
      </c>
      <c r="K3187" s="4" t="s">
        <v>53</v>
      </c>
      <c r="L3187" s="6">
        <v>4.2066999999999997</v>
      </c>
      <c r="M3187" s="6">
        <v>0.23769999999999999</v>
      </c>
      <c r="N3187" s="6">
        <v>4.2050000000000001</v>
      </c>
      <c r="O3187" s="6">
        <v>1</v>
      </c>
      <c r="P3187" s="5">
        <v>30</v>
      </c>
      <c r="Q3187" s="4" t="s">
        <v>1390</v>
      </c>
    </row>
    <row r="3188" spans="1:17" x14ac:dyDescent="0.3">
      <c r="A3188" s="2" t="s">
        <v>1389</v>
      </c>
      <c r="B3188" s="3">
        <v>158725</v>
      </c>
      <c r="C3188" s="3">
        <v>907921</v>
      </c>
      <c r="D3188" s="4" t="s">
        <v>81</v>
      </c>
      <c r="E3188" s="4" t="s">
        <v>1224</v>
      </c>
      <c r="F3188" s="4" t="s">
        <v>83</v>
      </c>
      <c r="G3188" s="4" t="s">
        <v>20</v>
      </c>
      <c r="H3188" s="5">
        <v>-20000</v>
      </c>
      <c r="I3188" s="4" t="s">
        <v>21</v>
      </c>
      <c r="J3188" s="5">
        <f t="shared" si="49"/>
        <v>84130</v>
      </c>
      <c r="K3188" s="4" t="s">
        <v>54</v>
      </c>
      <c r="L3188" s="6">
        <v>4.2065000000000001</v>
      </c>
      <c r="M3188" s="6">
        <v>0.23769999999999999</v>
      </c>
      <c r="N3188" s="6">
        <v>4.2118000000000002</v>
      </c>
      <c r="O3188" s="6">
        <v>1</v>
      </c>
      <c r="P3188" s="5">
        <v>-106</v>
      </c>
      <c r="Q3188" s="4" t="s">
        <v>1390</v>
      </c>
    </row>
    <row r="3189" spans="1:17" x14ac:dyDescent="0.3">
      <c r="A3189" s="2" t="s">
        <v>1389</v>
      </c>
      <c r="B3189" s="3">
        <v>158726</v>
      </c>
      <c r="C3189" s="3">
        <v>219565</v>
      </c>
      <c r="D3189" s="4" t="s">
        <v>17</v>
      </c>
      <c r="E3189" s="4" t="s">
        <v>1224</v>
      </c>
      <c r="F3189" s="4" t="s">
        <v>32</v>
      </c>
      <c r="G3189" s="4" t="s">
        <v>20</v>
      </c>
      <c r="H3189" s="5">
        <v>-20000</v>
      </c>
      <c r="I3189" s="4" t="s">
        <v>21</v>
      </c>
      <c r="J3189" s="5">
        <f t="shared" si="49"/>
        <v>84130</v>
      </c>
      <c r="K3189" s="4" t="s">
        <v>30</v>
      </c>
      <c r="L3189" s="6">
        <v>4.2065000000000001</v>
      </c>
      <c r="M3189" s="6">
        <v>0.23769999999999999</v>
      </c>
      <c r="N3189" s="6">
        <v>4.2031999999999998</v>
      </c>
      <c r="O3189" s="6">
        <v>1</v>
      </c>
      <c r="P3189" s="5">
        <v>70</v>
      </c>
      <c r="Q3189" s="4" t="s">
        <v>1390</v>
      </c>
    </row>
    <row r="3190" spans="1:17" x14ac:dyDescent="0.3">
      <c r="A3190" s="2" t="s">
        <v>1389</v>
      </c>
      <c r="B3190" s="3">
        <v>158727</v>
      </c>
      <c r="C3190" s="3">
        <v>219567</v>
      </c>
      <c r="D3190" s="4" t="s">
        <v>17</v>
      </c>
      <c r="E3190" s="4" t="s">
        <v>901</v>
      </c>
      <c r="F3190" s="4" t="s">
        <v>19</v>
      </c>
      <c r="G3190" s="4" t="s">
        <v>20</v>
      </c>
      <c r="H3190" s="5">
        <v>51000</v>
      </c>
      <c r="I3190" s="4" t="s">
        <v>21</v>
      </c>
      <c r="J3190" s="5">
        <f t="shared" si="49"/>
        <v>-213746.09999999998</v>
      </c>
      <c r="K3190" s="4" t="s">
        <v>52</v>
      </c>
      <c r="L3190" s="6">
        <v>4.1910999999999996</v>
      </c>
      <c r="M3190" s="6">
        <v>0.23860000000000001</v>
      </c>
      <c r="N3190" s="6">
        <v>4.2127999999999997</v>
      </c>
      <c r="O3190" s="6">
        <v>1</v>
      </c>
      <c r="P3190" s="5">
        <v>1106.7000000000116</v>
      </c>
      <c r="Q3190" s="4" t="s">
        <v>1390</v>
      </c>
    </row>
    <row r="3191" spans="1:17" x14ac:dyDescent="0.3">
      <c r="A3191" s="2" t="s">
        <v>1389</v>
      </c>
      <c r="B3191" s="3">
        <v>158729</v>
      </c>
      <c r="C3191" s="3">
        <v>907938</v>
      </c>
      <c r="D3191" s="4" t="s">
        <v>81</v>
      </c>
      <c r="E3191" s="4" t="s">
        <v>747</v>
      </c>
      <c r="F3191" s="4" t="s">
        <v>87</v>
      </c>
      <c r="G3191" s="4" t="s">
        <v>20</v>
      </c>
      <c r="H3191" s="5">
        <v>36000</v>
      </c>
      <c r="I3191" s="4" t="s">
        <v>21</v>
      </c>
      <c r="J3191" s="5">
        <f t="shared" si="49"/>
        <v>-151214.39999999999</v>
      </c>
      <c r="K3191" s="4" t="s">
        <v>54</v>
      </c>
      <c r="L3191" s="6">
        <v>4.2004000000000001</v>
      </c>
      <c r="M3191" s="6">
        <v>0.23810000000000001</v>
      </c>
      <c r="N3191" s="6">
        <v>4.2118000000000002</v>
      </c>
      <c r="O3191" s="6">
        <v>1</v>
      </c>
      <c r="P3191" s="5">
        <v>410.4</v>
      </c>
      <c r="Q3191" s="4" t="s">
        <v>1390</v>
      </c>
    </row>
    <row r="3192" spans="1:17" x14ac:dyDescent="0.3">
      <c r="A3192" s="2" t="s">
        <v>1389</v>
      </c>
      <c r="B3192" s="3">
        <v>158731</v>
      </c>
      <c r="C3192" s="3">
        <v>907963</v>
      </c>
      <c r="D3192" s="4" t="s">
        <v>81</v>
      </c>
      <c r="E3192" s="4" t="s">
        <v>733</v>
      </c>
      <c r="F3192" s="4" t="s">
        <v>87</v>
      </c>
      <c r="G3192" s="4" t="s">
        <v>20</v>
      </c>
      <c r="H3192" s="5">
        <v>500000</v>
      </c>
      <c r="I3192" s="4" t="s">
        <v>21</v>
      </c>
      <c r="J3192" s="5">
        <f t="shared" si="49"/>
        <v>-2103050</v>
      </c>
      <c r="K3192" s="4" t="s">
        <v>54</v>
      </c>
      <c r="L3192" s="6">
        <v>4.2061000000000002</v>
      </c>
      <c r="M3192" s="6">
        <v>0.23780000000000001</v>
      </c>
      <c r="N3192" s="6">
        <v>4.2118000000000002</v>
      </c>
      <c r="O3192" s="6">
        <v>1</v>
      </c>
      <c r="P3192" s="5">
        <v>2875</v>
      </c>
      <c r="Q3192" s="4" t="s">
        <v>1391</v>
      </c>
    </row>
    <row r="3193" spans="1:17" x14ac:dyDescent="0.3">
      <c r="A3193" s="2" t="s">
        <v>1389</v>
      </c>
      <c r="B3193" s="3">
        <v>158732</v>
      </c>
      <c r="C3193" s="3">
        <v>907964</v>
      </c>
      <c r="D3193" s="4" t="s">
        <v>81</v>
      </c>
      <c r="E3193" s="4" t="s">
        <v>733</v>
      </c>
      <c r="F3193" s="4" t="s">
        <v>87</v>
      </c>
      <c r="G3193" s="4" t="s">
        <v>20</v>
      </c>
      <c r="H3193" s="5">
        <v>500000</v>
      </c>
      <c r="I3193" s="4" t="s">
        <v>21</v>
      </c>
      <c r="J3193" s="5">
        <f t="shared" si="49"/>
        <v>-2103050</v>
      </c>
      <c r="K3193" s="4" t="s">
        <v>54</v>
      </c>
      <c r="L3193" s="6">
        <v>4.2061000000000002</v>
      </c>
      <c r="M3193" s="6">
        <v>0.23780000000000001</v>
      </c>
      <c r="N3193" s="6">
        <v>4.2118000000000002</v>
      </c>
      <c r="O3193" s="6">
        <v>1</v>
      </c>
      <c r="P3193" s="5">
        <v>2875</v>
      </c>
      <c r="Q3193" s="4" t="s">
        <v>1391</v>
      </c>
    </row>
    <row r="3194" spans="1:17" x14ac:dyDescent="0.3">
      <c r="A3194" s="2" t="s">
        <v>1389</v>
      </c>
      <c r="B3194" s="3">
        <v>158733</v>
      </c>
      <c r="C3194" s="3">
        <v>907965</v>
      </c>
      <c r="D3194" s="4" t="s">
        <v>81</v>
      </c>
      <c r="E3194" s="4" t="s">
        <v>725</v>
      </c>
      <c r="F3194" s="4" t="s">
        <v>87</v>
      </c>
      <c r="G3194" s="4" t="s">
        <v>20</v>
      </c>
      <c r="H3194" s="5">
        <v>500000</v>
      </c>
      <c r="I3194" s="4" t="s">
        <v>21</v>
      </c>
      <c r="J3194" s="5">
        <f t="shared" si="49"/>
        <v>-2103050</v>
      </c>
      <c r="K3194" s="4" t="s">
        <v>54</v>
      </c>
      <c r="L3194" s="6">
        <v>4.2061000000000002</v>
      </c>
      <c r="M3194" s="6">
        <v>0.23780000000000001</v>
      </c>
      <c r="N3194" s="6">
        <v>4.2118000000000002</v>
      </c>
      <c r="O3194" s="6">
        <v>1</v>
      </c>
      <c r="P3194" s="5">
        <v>2855</v>
      </c>
      <c r="Q3194" s="4" t="s">
        <v>1392</v>
      </c>
    </row>
    <row r="3195" spans="1:17" x14ac:dyDescent="0.3">
      <c r="A3195" s="2" t="s">
        <v>1389</v>
      </c>
      <c r="B3195" s="3">
        <v>158734</v>
      </c>
      <c r="C3195" s="3">
        <v>219578</v>
      </c>
      <c r="D3195" s="4" t="s">
        <v>17</v>
      </c>
      <c r="E3195" s="4" t="s">
        <v>1009</v>
      </c>
      <c r="F3195" s="4" t="s">
        <v>32</v>
      </c>
      <c r="G3195" s="4" t="s">
        <v>20</v>
      </c>
      <c r="H3195" s="5">
        <v>-1500000</v>
      </c>
      <c r="I3195" s="4" t="s">
        <v>21</v>
      </c>
      <c r="J3195" s="5">
        <f t="shared" si="49"/>
        <v>6313499.9999999991</v>
      </c>
      <c r="K3195" s="4" t="s">
        <v>52</v>
      </c>
      <c r="L3195" s="6">
        <v>4.2089999999999996</v>
      </c>
      <c r="M3195" s="6">
        <v>0.23760000000000001</v>
      </c>
      <c r="N3195" s="6">
        <v>4.2127999999999997</v>
      </c>
      <c r="O3195" s="6">
        <v>1</v>
      </c>
      <c r="P3195" s="5">
        <v>-5700</v>
      </c>
      <c r="Q3195" s="4" t="s">
        <v>1390</v>
      </c>
    </row>
    <row r="3196" spans="1:17" x14ac:dyDescent="0.3">
      <c r="A3196" s="2" t="s">
        <v>1389</v>
      </c>
      <c r="B3196" s="3">
        <v>158735</v>
      </c>
      <c r="C3196" s="3">
        <v>219581</v>
      </c>
      <c r="D3196" s="4" t="s">
        <v>17</v>
      </c>
      <c r="E3196" s="4" t="s">
        <v>1096</v>
      </c>
      <c r="F3196" s="4" t="s">
        <v>19</v>
      </c>
      <c r="G3196" s="4" t="s">
        <v>20</v>
      </c>
      <c r="H3196" s="5">
        <v>24000</v>
      </c>
      <c r="I3196" s="4" t="s">
        <v>34</v>
      </c>
      <c r="J3196" s="5">
        <f t="shared" si="49"/>
        <v>-28142.400000000001</v>
      </c>
      <c r="K3196" s="4" t="s">
        <v>52</v>
      </c>
      <c r="L3196" s="6">
        <v>1.1726000000000001</v>
      </c>
      <c r="M3196" s="6">
        <v>0.8528</v>
      </c>
      <c r="N3196" s="6">
        <v>4.2127999999999997</v>
      </c>
      <c r="O3196" s="6">
        <v>3.6027999999999998</v>
      </c>
      <c r="P3196" s="5">
        <v>-284.23872000000847</v>
      </c>
      <c r="Q3196" s="4" t="s">
        <v>1390</v>
      </c>
    </row>
    <row r="3197" spans="1:17" x14ac:dyDescent="0.3">
      <c r="A3197" s="2" t="s">
        <v>1389</v>
      </c>
      <c r="B3197" s="3">
        <v>158737</v>
      </c>
      <c r="C3197" s="3">
        <v>219582</v>
      </c>
      <c r="D3197" s="4" t="s">
        <v>17</v>
      </c>
      <c r="E3197" s="4" t="s">
        <v>986</v>
      </c>
      <c r="F3197" s="4" t="s">
        <v>19</v>
      </c>
      <c r="G3197" s="4" t="s">
        <v>20</v>
      </c>
      <c r="H3197" s="5">
        <v>50000</v>
      </c>
      <c r="I3197" s="4" t="s">
        <v>21</v>
      </c>
      <c r="J3197" s="5">
        <f t="shared" si="49"/>
        <v>-210000</v>
      </c>
      <c r="K3197" s="4" t="s">
        <v>52</v>
      </c>
      <c r="L3197" s="6">
        <v>4.2</v>
      </c>
      <c r="M3197" s="6">
        <v>0.23810000000000001</v>
      </c>
      <c r="N3197" s="6">
        <v>4.2127999999999997</v>
      </c>
      <c r="O3197" s="6">
        <v>1</v>
      </c>
      <c r="P3197" s="5">
        <v>639.9999999999709</v>
      </c>
      <c r="Q3197" s="4" t="s">
        <v>1390</v>
      </c>
    </row>
    <row r="3198" spans="1:17" x14ac:dyDescent="0.3">
      <c r="A3198" s="2" t="s">
        <v>1389</v>
      </c>
      <c r="B3198" s="3">
        <v>158738</v>
      </c>
      <c r="C3198" s="3">
        <v>219584</v>
      </c>
      <c r="D3198" s="4" t="s">
        <v>17</v>
      </c>
      <c r="E3198" s="4" t="s">
        <v>1063</v>
      </c>
      <c r="F3198" s="4" t="s">
        <v>32</v>
      </c>
      <c r="G3198" s="4" t="s">
        <v>34</v>
      </c>
      <c r="H3198" s="5">
        <v>-55000</v>
      </c>
      <c r="I3198" s="4" t="s">
        <v>21</v>
      </c>
      <c r="J3198" s="5">
        <f t="shared" si="49"/>
        <v>197345.5</v>
      </c>
      <c r="K3198" s="4" t="s">
        <v>52</v>
      </c>
      <c r="L3198" s="6">
        <v>3.5880999999999998</v>
      </c>
      <c r="M3198" s="6">
        <v>0.2787</v>
      </c>
      <c r="N3198" s="6">
        <v>3.6027999999999998</v>
      </c>
      <c r="O3198" s="6">
        <v>1</v>
      </c>
      <c r="P3198" s="5">
        <v>-814</v>
      </c>
      <c r="Q3198" s="4" t="s">
        <v>1390</v>
      </c>
    </row>
    <row r="3199" spans="1:17" x14ac:dyDescent="0.3">
      <c r="A3199" s="2" t="s">
        <v>1389</v>
      </c>
      <c r="B3199" s="3">
        <v>158741</v>
      </c>
      <c r="C3199" s="3">
        <v>219591</v>
      </c>
      <c r="D3199" s="4" t="s">
        <v>17</v>
      </c>
      <c r="E3199" s="4" t="s">
        <v>1223</v>
      </c>
      <c r="F3199" s="4" t="s">
        <v>32</v>
      </c>
      <c r="G3199" s="4" t="s">
        <v>20</v>
      </c>
      <c r="H3199" s="5">
        <v>-20500</v>
      </c>
      <c r="I3199" s="4" t="s">
        <v>21</v>
      </c>
      <c r="J3199" s="5">
        <f t="shared" si="49"/>
        <v>86438.25</v>
      </c>
      <c r="K3199" s="4" t="s">
        <v>52</v>
      </c>
      <c r="L3199" s="6">
        <v>4.2164999999999999</v>
      </c>
      <c r="M3199" s="6">
        <v>0.23719999999999999</v>
      </c>
      <c r="N3199" s="6">
        <v>4.2127999999999997</v>
      </c>
      <c r="O3199" s="6">
        <v>1</v>
      </c>
      <c r="P3199" s="5">
        <v>75.849999999999994</v>
      </c>
      <c r="Q3199" s="4" t="s">
        <v>1390</v>
      </c>
    </row>
    <row r="3200" spans="1:17" x14ac:dyDescent="0.3">
      <c r="A3200" s="2" t="s">
        <v>1389</v>
      </c>
      <c r="B3200" s="3">
        <v>158742</v>
      </c>
      <c r="C3200" s="3">
        <v>219592</v>
      </c>
      <c r="D3200" s="4" t="s">
        <v>17</v>
      </c>
      <c r="E3200" s="4" t="s">
        <v>914</v>
      </c>
      <c r="F3200" s="4" t="s">
        <v>32</v>
      </c>
      <c r="G3200" s="4" t="s">
        <v>20</v>
      </c>
      <c r="H3200" s="5">
        <v>-24527.37</v>
      </c>
      <c r="I3200" s="4" t="s">
        <v>21</v>
      </c>
      <c r="J3200" s="5">
        <f t="shared" si="49"/>
        <v>103431.91928999999</v>
      </c>
      <c r="K3200" s="4" t="s">
        <v>52</v>
      </c>
      <c r="L3200" s="6">
        <v>4.2169999999999996</v>
      </c>
      <c r="M3200" s="6">
        <v>0.23710000000000001</v>
      </c>
      <c r="N3200" s="6">
        <v>4.2127999999999997</v>
      </c>
      <c r="O3200" s="6">
        <v>1</v>
      </c>
      <c r="P3200" s="5">
        <v>103.015664</v>
      </c>
      <c r="Q3200" s="4" t="s">
        <v>1390</v>
      </c>
    </row>
    <row r="3201" spans="1:17" x14ac:dyDescent="0.3">
      <c r="A3201" s="2" t="s">
        <v>1389</v>
      </c>
      <c r="B3201" s="3">
        <v>158744</v>
      </c>
      <c r="C3201" s="3">
        <v>908036</v>
      </c>
      <c r="D3201" s="4" t="s">
        <v>81</v>
      </c>
      <c r="E3201" s="4" t="s">
        <v>730</v>
      </c>
      <c r="F3201" s="4" t="s">
        <v>83</v>
      </c>
      <c r="G3201" s="4" t="s">
        <v>20</v>
      </c>
      <c r="H3201" s="5">
        <v>-100000</v>
      </c>
      <c r="I3201" s="4" t="s">
        <v>453</v>
      </c>
      <c r="J3201" s="5">
        <f t="shared" si="49"/>
        <v>161850</v>
      </c>
      <c r="K3201" s="4" t="s">
        <v>54</v>
      </c>
      <c r="L3201" s="6">
        <v>1.6185</v>
      </c>
      <c r="M3201" s="6">
        <v>0.6179</v>
      </c>
      <c r="N3201" s="6">
        <v>4.2118000000000002</v>
      </c>
      <c r="O3201" s="6">
        <v>2.5958999999999999</v>
      </c>
      <c r="P3201" s="5">
        <v>-1030.9891</v>
      </c>
      <c r="Q3201" s="4" t="s">
        <v>1396</v>
      </c>
    </row>
    <row r="3202" spans="1:17" x14ac:dyDescent="0.3">
      <c r="A3202" s="2" t="s">
        <v>1389</v>
      </c>
      <c r="B3202" s="3">
        <v>158745</v>
      </c>
      <c r="C3202" s="3">
        <v>219599</v>
      </c>
      <c r="D3202" s="4" t="s">
        <v>17</v>
      </c>
      <c r="E3202" s="4" t="s">
        <v>1096</v>
      </c>
      <c r="F3202" s="4" t="s">
        <v>32</v>
      </c>
      <c r="G3202" s="4" t="s">
        <v>34</v>
      </c>
      <c r="H3202" s="5">
        <v>-35000</v>
      </c>
      <c r="I3202" s="4" t="s">
        <v>21</v>
      </c>
      <c r="J3202" s="5">
        <f t="shared" si="49"/>
        <v>125632.5</v>
      </c>
      <c r="K3202" s="4" t="s">
        <v>52</v>
      </c>
      <c r="L3202" s="6">
        <v>3.5895000000000001</v>
      </c>
      <c r="M3202" s="6">
        <v>0.27860000000000001</v>
      </c>
      <c r="N3202" s="6">
        <v>3.6027999999999998</v>
      </c>
      <c r="O3202" s="6">
        <v>1</v>
      </c>
      <c r="P3202" s="5">
        <v>-469</v>
      </c>
      <c r="Q3202" s="4" t="s">
        <v>1390</v>
      </c>
    </row>
    <row r="3203" spans="1:17" x14ac:dyDescent="0.3">
      <c r="A3203" s="2" t="s">
        <v>1389</v>
      </c>
      <c r="B3203" s="3">
        <v>158746</v>
      </c>
      <c r="C3203" s="3">
        <v>219602</v>
      </c>
      <c r="D3203" s="4" t="s">
        <v>17</v>
      </c>
      <c r="E3203" s="4" t="s">
        <v>1064</v>
      </c>
      <c r="F3203" s="4" t="s">
        <v>19</v>
      </c>
      <c r="G3203" s="4" t="s">
        <v>20</v>
      </c>
      <c r="H3203" s="5">
        <v>20000</v>
      </c>
      <c r="I3203" s="4" t="s">
        <v>21</v>
      </c>
      <c r="J3203" s="5">
        <f t="shared" si="49"/>
        <v>-83862</v>
      </c>
      <c r="K3203" s="4" t="s">
        <v>52</v>
      </c>
      <c r="L3203" s="6">
        <v>4.1931000000000003</v>
      </c>
      <c r="M3203" s="6">
        <v>0.23849999999999999</v>
      </c>
      <c r="N3203" s="6">
        <v>4.2127999999999997</v>
      </c>
      <c r="O3203" s="6">
        <v>1</v>
      </c>
      <c r="P3203" s="5">
        <v>394</v>
      </c>
      <c r="Q3203" s="4" t="s">
        <v>1390</v>
      </c>
    </row>
    <row r="3204" spans="1:17" x14ac:dyDescent="0.3">
      <c r="A3204" s="2" t="s">
        <v>1389</v>
      </c>
      <c r="B3204" s="3">
        <v>158747</v>
      </c>
      <c r="C3204" s="3">
        <v>219605</v>
      </c>
      <c r="D3204" s="4" t="s">
        <v>17</v>
      </c>
      <c r="E3204" s="4" t="s">
        <v>1363</v>
      </c>
      <c r="F3204" s="4" t="s">
        <v>32</v>
      </c>
      <c r="G3204" s="4" t="s">
        <v>20</v>
      </c>
      <c r="H3204" s="5">
        <v>-50000</v>
      </c>
      <c r="I3204" s="4" t="s">
        <v>21</v>
      </c>
      <c r="J3204" s="5">
        <f t="shared" ref="J3204:J3267" si="50">-H3204*L3204</f>
        <v>211010</v>
      </c>
      <c r="K3204" s="4" t="s">
        <v>52</v>
      </c>
      <c r="L3204" s="6">
        <v>4.2202000000000002</v>
      </c>
      <c r="M3204" s="6">
        <v>0.23699999999999999</v>
      </c>
      <c r="N3204" s="6">
        <v>4.2127999999999997</v>
      </c>
      <c r="O3204" s="6">
        <v>1</v>
      </c>
      <c r="P3204" s="5">
        <v>315</v>
      </c>
      <c r="Q3204" s="4" t="s">
        <v>1390</v>
      </c>
    </row>
    <row r="3205" spans="1:17" x14ac:dyDescent="0.3">
      <c r="A3205" s="2" t="s">
        <v>1389</v>
      </c>
      <c r="B3205" s="3">
        <v>158749</v>
      </c>
      <c r="C3205" s="3">
        <v>908065</v>
      </c>
      <c r="D3205" s="4" t="s">
        <v>81</v>
      </c>
      <c r="E3205" s="4" t="s">
        <v>732</v>
      </c>
      <c r="F3205" s="4" t="s">
        <v>87</v>
      </c>
      <c r="G3205" s="4" t="s">
        <v>20</v>
      </c>
      <c r="H3205" s="5">
        <v>500000</v>
      </c>
      <c r="I3205" s="4" t="s">
        <v>21</v>
      </c>
      <c r="J3205" s="5">
        <f t="shared" si="50"/>
        <v>-2102650</v>
      </c>
      <c r="K3205" s="4" t="s">
        <v>54</v>
      </c>
      <c r="L3205" s="6">
        <v>4.2053000000000003</v>
      </c>
      <c r="M3205" s="6">
        <v>0.23780000000000001</v>
      </c>
      <c r="N3205" s="6">
        <v>4.2118000000000002</v>
      </c>
      <c r="O3205" s="6">
        <v>1</v>
      </c>
      <c r="P3205" s="5">
        <v>3250</v>
      </c>
      <c r="Q3205" s="4" t="s">
        <v>1394</v>
      </c>
    </row>
    <row r="3206" spans="1:17" x14ac:dyDescent="0.3">
      <c r="A3206" s="2" t="s">
        <v>1389</v>
      </c>
      <c r="B3206" s="3">
        <v>158750</v>
      </c>
      <c r="C3206" s="3">
        <v>908066</v>
      </c>
      <c r="D3206" s="4" t="s">
        <v>81</v>
      </c>
      <c r="E3206" s="4" t="s">
        <v>732</v>
      </c>
      <c r="F3206" s="4" t="s">
        <v>87</v>
      </c>
      <c r="G3206" s="4" t="s">
        <v>20</v>
      </c>
      <c r="H3206" s="5">
        <v>500000</v>
      </c>
      <c r="I3206" s="4" t="s">
        <v>21</v>
      </c>
      <c r="J3206" s="5">
        <f t="shared" si="50"/>
        <v>-2102750</v>
      </c>
      <c r="K3206" s="4" t="s">
        <v>54</v>
      </c>
      <c r="L3206" s="6">
        <v>4.2054999999999998</v>
      </c>
      <c r="M3206" s="6">
        <v>0.23780000000000001</v>
      </c>
      <c r="N3206" s="6">
        <v>4.2118000000000002</v>
      </c>
      <c r="O3206" s="6">
        <v>1</v>
      </c>
      <c r="P3206" s="5">
        <v>3160</v>
      </c>
      <c r="Q3206" s="4" t="s">
        <v>1394</v>
      </c>
    </row>
    <row r="3207" spans="1:17" x14ac:dyDescent="0.3">
      <c r="A3207" s="2" t="s">
        <v>1389</v>
      </c>
      <c r="B3207" s="3">
        <v>158752</v>
      </c>
      <c r="C3207" s="3">
        <v>219611</v>
      </c>
      <c r="D3207" s="4" t="s">
        <v>17</v>
      </c>
      <c r="E3207" s="4" t="s">
        <v>1383</v>
      </c>
      <c r="F3207" s="4" t="s">
        <v>19</v>
      </c>
      <c r="G3207" s="4" t="s">
        <v>21</v>
      </c>
      <c r="H3207" s="5">
        <v>3980000</v>
      </c>
      <c r="I3207" s="4" t="s">
        <v>20</v>
      </c>
      <c r="J3207" s="5">
        <f t="shared" si="50"/>
        <v>-16768934.000000002</v>
      </c>
      <c r="K3207" s="4" t="s">
        <v>52</v>
      </c>
      <c r="L3207" s="6">
        <v>4.2133000000000003</v>
      </c>
      <c r="M3207" s="6">
        <v>0.23730000000000001</v>
      </c>
      <c r="N3207" s="6">
        <v>1</v>
      </c>
      <c r="O3207" s="6">
        <v>4.2127999999999997</v>
      </c>
      <c r="P3207" s="5">
        <v>-66664165.155200005</v>
      </c>
      <c r="Q3207" s="4" t="s">
        <v>1390</v>
      </c>
    </row>
    <row r="3208" spans="1:17" x14ac:dyDescent="0.3">
      <c r="A3208" s="2" t="s">
        <v>1389</v>
      </c>
      <c r="B3208" s="3">
        <v>158756</v>
      </c>
      <c r="C3208" s="3">
        <v>219615</v>
      </c>
      <c r="D3208" s="4" t="s">
        <v>17</v>
      </c>
      <c r="E3208" s="4" t="s">
        <v>783</v>
      </c>
      <c r="F3208" s="4" t="s">
        <v>32</v>
      </c>
      <c r="G3208" s="4" t="s">
        <v>91</v>
      </c>
      <c r="H3208" s="5">
        <v>-85000</v>
      </c>
      <c r="I3208" s="4" t="s">
        <v>21</v>
      </c>
      <c r="J3208" s="5">
        <f t="shared" si="50"/>
        <v>412547.50000000006</v>
      </c>
      <c r="K3208" s="4" t="s">
        <v>27</v>
      </c>
      <c r="L3208" s="6">
        <v>4.8535000000000004</v>
      </c>
      <c r="M3208" s="6">
        <v>0.20599999999999999</v>
      </c>
      <c r="N3208" s="6">
        <v>4.8574000000000002</v>
      </c>
      <c r="O3208" s="6">
        <v>1</v>
      </c>
      <c r="P3208" s="5">
        <v>-314.5</v>
      </c>
      <c r="Q3208" s="4" t="s">
        <v>1390</v>
      </c>
    </row>
    <row r="3209" spans="1:17" x14ac:dyDescent="0.3">
      <c r="A3209" s="2" t="s">
        <v>1389</v>
      </c>
      <c r="B3209" s="3">
        <v>158757</v>
      </c>
      <c r="C3209" s="3">
        <v>908105</v>
      </c>
      <c r="D3209" s="4" t="s">
        <v>81</v>
      </c>
      <c r="E3209" s="4" t="s">
        <v>732</v>
      </c>
      <c r="F3209" s="4" t="s">
        <v>87</v>
      </c>
      <c r="G3209" s="4" t="s">
        <v>34</v>
      </c>
      <c r="H3209" s="5">
        <v>500000</v>
      </c>
      <c r="I3209" s="4" t="s">
        <v>21</v>
      </c>
      <c r="J3209" s="5">
        <f t="shared" si="50"/>
        <v>-1792600</v>
      </c>
      <c r="K3209" s="4" t="s">
        <v>54</v>
      </c>
      <c r="L3209" s="6">
        <v>3.5851999999999999</v>
      </c>
      <c r="M3209" s="6">
        <v>0.27889999999999998</v>
      </c>
      <c r="N3209" s="6">
        <v>3.5499000000000001</v>
      </c>
      <c r="O3209" s="6">
        <v>1</v>
      </c>
      <c r="P3209" s="5">
        <v>-17645</v>
      </c>
      <c r="Q3209" s="4" t="s">
        <v>1394</v>
      </c>
    </row>
    <row r="3210" spans="1:17" x14ac:dyDescent="0.3">
      <c r="A3210" s="2" t="s">
        <v>1389</v>
      </c>
      <c r="B3210" s="3">
        <v>158758</v>
      </c>
      <c r="C3210" s="3">
        <v>908106</v>
      </c>
      <c r="D3210" s="4" t="s">
        <v>81</v>
      </c>
      <c r="E3210" s="4" t="s">
        <v>742</v>
      </c>
      <c r="F3210" s="4" t="s">
        <v>87</v>
      </c>
      <c r="G3210" s="4" t="s">
        <v>34</v>
      </c>
      <c r="H3210" s="5">
        <v>500000</v>
      </c>
      <c r="I3210" s="4" t="s">
        <v>21</v>
      </c>
      <c r="J3210" s="5">
        <f t="shared" si="50"/>
        <v>-1792600</v>
      </c>
      <c r="K3210" s="4" t="s">
        <v>54</v>
      </c>
      <c r="L3210" s="6">
        <v>3.5851999999999999</v>
      </c>
      <c r="M3210" s="6">
        <v>0.27889999999999998</v>
      </c>
      <c r="N3210" s="6">
        <v>3.5499000000000001</v>
      </c>
      <c r="O3210" s="6">
        <v>1</v>
      </c>
      <c r="P3210" s="5">
        <v>-17630</v>
      </c>
      <c r="Q3210" s="4" t="s">
        <v>1396</v>
      </c>
    </row>
    <row r="3211" spans="1:17" x14ac:dyDescent="0.3">
      <c r="A3211" s="2" t="s">
        <v>1389</v>
      </c>
      <c r="B3211" s="3">
        <v>158759</v>
      </c>
      <c r="C3211" s="3">
        <v>219618</v>
      </c>
      <c r="D3211" s="4" t="s">
        <v>17</v>
      </c>
      <c r="E3211" s="4" t="s">
        <v>1115</v>
      </c>
      <c r="F3211" s="4" t="s">
        <v>32</v>
      </c>
      <c r="G3211" s="4" t="s">
        <v>34</v>
      </c>
      <c r="H3211" s="5">
        <v>-920000</v>
      </c>
      <c r="I3211" s="4" t="s">
        <v>21</v>
      </c>
      <c r="J3211" s="5">
        <f t="shared" si="50"/>
        <v>3299580</v>
      </c>
      <c r="K3211" s="4" t="s">
        <v>52</v>
      </c>
      <c r="L3211" s="6">
        <v>3.5865</v>
      </c>
      <c r="M3211" s="6">
        <v>0.27879999999999999</v>
      </c>
      <c r="N3211" s="6">
        <v>3.6027999999999998</v>
      </c>
      <c r="O3211" s="6">
        <v>1</v>
      </c>
      <c r="P3211" s="5">
        <v>-14996</v>
      </c>
      <c r="Q3211" s="4" t="s">
        <v>1390</v>
      </c>
    </row>
    <row r="3212" spans="1:17" x14ac:dyDescent="0.3">
      <c r="A3212" s="2" t="s">
        <v>1389</v>
      </c>
      <c r="B3212" s="3">
        <v>158760</v>
      </c>
      <c r="C3212" s="3">
        <v>219619</v>
      </c>
      <c r="D3212" s="4" t="s">
        <v>17</v>
      </c>
      <c r="E3212" s="4" t="s">
        <v>1243</v>
      </c>
      <c r="F3212" s="4" t="s">
        <v>32</v>
      </c>
      <c r="G3212" s="4" t="s">
        <v>20</v>
      </c>
      <c r="H3212" s="5">
        <v>-100000</v>
      </c>
      <c r="I3212" s="4" t="s">
        <v>21</v>
      </c>
      <c r="J3212" s="5">
        <f t="shared" si="50"/>
        <v>420939.99999999994</v>
      </c>
      <c r="K3212" s="4" t="s">
        <v>52</v>
      </c>
      <c r="L3212" s="6">
        <v>4.2093999999999996</v>
      </c>
      <c r="M3212" s="6">
        <v>0.23760000000000001</v>
      </c>
      <c r="N3212" s="6">
        <v>4.2127999999999997</v>
      </c>
      <c r="O3212" s="6">
        <v>1</v>
      </c>
      <c r="P3212" s="5">
        <v>-420</v>
      </c>
      <c r="Q3212" s="4" t="s">
        <v>1390</v>
      </c>
    </row>
    <row r="3213" spans="1:17" x14ac:dyDescent="0.3">
      <c r="A3213" s="2" t="s">
        <v>1389</v>
      </c>
      <c r="B3213" s="3">
        <v>158783</v>
      </c>
      <c r="C3213" s="3">
        <v>908204</v>
      </c>
      <c r="D3213" s="4" t="s">
        <v>81</v>
      </c>
      <c r="E3213" s="4" t="s">
        <v>739</v>
      </c>
      <c r="F3213" s="4" t="s">
        <v>83</v>
      </c>
      <c r="G3213" s="4" t="s">
        <v>20</v>
      </c>
      <c r="H3213" s="5">
        <v>-100000</v>
      </c>
      <c r="I3213" s="4" t="s">
        <v>91</v>
      </c>
      <c r="J3213" s="5">
        <f t="shared" si="50"/>
        <v>86780</v>
      </c>
      <c r="K3213" s="4" t="s">
        <v>54</v>
      </c>
      <c r="L3213" s="6">
        <v>0.86780000000000002</v>
      </c>
      <c r="M3213" s="6">
        <v>1.1523000000000001</v>
      </c>
      <c r="N3213" s="6">
        <v>4.2118000000000002</v>
      </c>
      <c r="O3213" s="6">
        <v>4.8536999999999999</v>
      </c>
      <c r="P3213" s="5">
        <v>28.939699999999998</v>
      </c>
      <c r="Q3213" s="4" t="s">
        <v>1391</v>
      </c>
    </row>
    <row r="3214" spans="1:17" x14ac:dyDescent="0.3">
      <c r="A3214" s="2" t="s">
        <v>1389</v>
      </c>
      <c r="B3214" s="3">
        <v>158792</v>
      </c>
      <c r="C3214" s="3">
        <v>219643</v>
      </c>
      <c r="D3214" s="4" t="s">
        <v>17</v>
      </c>
      <c r="E3214" s="4" t="s">
        <v>1088</v>
      </c>
      <c r="F3214" s="4" t="s">
        <v>19</v>
      </c>
      <c r="G3214" s="4" t="s">
        <v>20</v>
      </c>
      <c r="H3214" s="5">
        <v>75000</v>
      </c>
      <c r="I3214" s="4" t="s">
        <v>21</v>
      </c>
      <c r="J3214" s="5">
        <f t="shared" si="50"/>
        <v>-314250.00000000006</v>
      </c>
      <c r="K3214" s="4" t="s">
        <v>52</v>
      </c>
      <c r="L3214" s="6">
        <v>4.1900000000000004</v>
      </c>
      <c r="M3214" s="6">
        <v>0.2387</v>
      </c>
      <c r="N3214" s="6">
        <v>4.2127999999999997</v>
      </c>
      <c r="O3214" s="6">
        <v>1</v>
      </c>
      <c r="P3214" s="5">
        <v>1709.9999999999418</v>
      </c>
      <c r="Q3214" s="4" t="s">
        <v>1390</v>
      </c>
    </row>
    <row r="3215" spans="1:17" x14ac:dyDescent="0.3">
      <c r="A3215" s="2" t="s">
        <v>1389</v>
      </c>
      <c r="B3215" s="3">
        <v>158793</v>
      </c>
      <c r="C3215" s="3">
        <v>219645</v>
      </c>
      <c r="D3215" s="4" t="s">
        <v>17</v>
      </c>
      <c r="E3215" s="4" t="s">
        <v>1106</v>
      </c>
      <c r="F3215" s="4" t="s">
        <v>32</v>
      </c>
      <c r="G3215" s="4" t="s">
        <v>34</v>
      </c>
      <c r="H3215" s="5">
        <v>-5000</v>
      </c>
      <c r="I3215" s="4" t="s">
        <v>21</v>
      </c>
      <c r="J3215" s="5">
        <f t="shared" si="50"/>
        <v>17982.5</v>
      </c>
      <c r="K3215" s="4" t="s">
        <v>52</v>
      </c>
      <c r="L3215" s="6">
        <v>3.5964999999999998</v>
      </c>
      <c r="M3215" s="6">
        <v>0.27800000000000002</v>
      </c>
      <c r="N3215" s="6">
        <v>3.6027999999999998</v>
      </c>
      <c r="O3215" s="6">
        <v>1</v>
      </c>
      <c r="P3215" s="5">
        <v>-34</v>
      </c>
      <c r="Q3215" s="4" t="s">
        <v>1390</v>
      </c>
    </row>
    <row r="3216" spans="1:17" x14ac:dyDescent="0.3">
      <c r="A3216" s="2" t="s">
        <v>1389</v>
      </c>
      <c r="B3216" s="3">
        <v>158794</v>
      </c>
      <c r="C3216" s="3">
        <v>219646</v>
      </c>
      <c r="D3216" s="4" t="s">
        <v>17</v>
      </c>
      <c r="E3216" s="4" t="s">
        <v>896</v>
      </c>
      <c r="F3216" s="4" t="s">
        <v>19</v>
      </c>
      <c r="G3216" s="4" t="s">
        <v>20</v>
      </c>
      <c r="H3216" s="5">
        <v>19514.27</v>
      </c>
      <c r="I3216" s="4" t="s">
        <v>34</v>
      </c>
      <c r="J3216" s="5">
        <f t="shared" si="50"/>
        <v>-22734.12455</v>
      </c>
      <c r="K3216" s="4" t="s">
        <v>52</v>
      </c>
      <c r="L3216" s="6">
        <v>1.165</v>
      </c>
      <c r="M3216" s="6">
        <v>0.85840000000000005</v>
      </c>
      <c r="N3216" s="6">
        <v>4.2127999999999997</v>
      </c>
      <c r="O3216" s="6">
        <v>3.6027999999999998</v>
      </c>
      <c r="P3216" s="5">
        <v>303.21272725999006</v>
      </c>
      <c r="Q3216" s="4" t="s">
        <v>1390</v>
      </c>
    </row>
    <row r="3217" spans="1:17" x14ac:dyDescent="0.3">
      <c r="A3217" s="2" t="s">
        <v>1389</v>
      </c>
      <c r="B3217" s="3">
        <v>158795</v>
      </c>
      <c r="C3217" s="3">
        <v>908239</v>
      </c>
      <c r="D3217" s="4" t="s">
        <v>81</v>
      </c>
      <c r="E3217" s="4" t="s">
        <v>734</v>
      </c>
      <c r="F3217" s="4" t="s">
        <v>83</v>
      </c>
      <c r="G3217" s="4" t="s">
        <v>20</v>
      </c>
      <c r="H3217" s="5">
        <v>-100000</v>
      </c>
      <c r="I3217" s="4" t="s">
        <v>34</v>
      </c>
      <c r="J3217" s="5">
        <f t="shared" si="50"/>
        <v>117370</v>
      </c>
      <c r="K3217" s="4" t="s">
        <v>54</v>
      </c>
      <c r="L3217" s="6">
        <v>1.1737</v>
      </c>
      <c r="M3217" s="6">
        <v>0.85199999999999998</v>
      </c>
      <c r="N3217" s="6">
        <v>4.2118000000000002</v>
      </c>
      <c r="O3217" s="6">
        <v>3.5499000000000001</v>
      </c>
      <c r="P3217" s="5">
        <v>-4514.0374000000002</v>
      </c>
      <c r="Q3217" s="4" t="s">
        <v>1393</v>
      </c>
    </row>
    <row r="3218" spans="1:17" x14ac:dyDescent="0.3">
      <c r="A3218" s="2" t="s">
        <v>1389</v>
      </c>
      <c r="B3218" s="3">
        <v>158799</v>
      </c>
      <c r="C3218" s="3">
        <v>219654</v>
      </c>
      <c r="D3218" s="4" t="s">
        <v>17</v>
      </c>
      <c r="E3218" s="4" t="s">
        <v>1177</v>
      </c>
      <c r="F3218" s="4" t="s">
        <v>19</v>
      </c>
      <c r="G3218" s="4" t="s">
        <v>20</v>
      </c>
      <c r="H3218" s="5">
        <v>80000</v>
      </c>
      <c r="I3218" s="4" t="s">
        <v>21</v>
      </c>
      <c r="J3218" s="5">
        <f t="shared" si="50"/>
        <v>-336000</v>
      </c>
      <c r="K3218" s="4" t="s">
        <v>52</v>
      </c>
      <c r="L3218" s="6">
        <v>4.2</v>
      </c>
      <c r="M3218" s="6">
        <v>0.23810000000000001</v>
      </c>
      <c r="N3218" s="6">
        <v>4.2127999999999997</v>
      </c>
      <c r="O3218" s="6">
        <v>1</v>
      </c>
      <c r="P3218" s="5">
        <v>1024</v>
      </c>
      <c r="Q3218" s="4" t="s">
        <v>1390</v>
      </c>
    </row>
    <row r="3219" spans="1:17" x14ac:dyDescent="0.3">
      <c r="A3219" s="2" t="s">
        <v>1389</v>
      </c>
      <c r="B3219" s="3">
        <v>158807</v>
      </c>
      <c r="C3219" s="3">
        <v>219664</v>
      </c>
      <c r="D3219" s="4" t="s">
        <v>17</v>
      </c>
      <c r="E3219" s="4" t="s">
        <v>1042</v>
      </c>
      <c r="F3219" s="4" t="s">
        <v>19</v>
      </c>
      <c r="G3219" s="4" t="s">
        <v>20</v>
      </c>
      <c r="H3219" s="5">
        <v>203057.01</v>
      </c>
      <c r="I3219" s="4" t="s">
        <v>21</v>
      </c>
      <c r="J3219" s="5">
        <f t="shared" si="50"/>
        <v>-852534.85648500011</v>
      </c>
      <c r="K3219" s="4" t="s">
        <v>52</v>
      </c>
      <c r="L3219" s="6">
        <v>4.1985000000000001</v>
      </c>
      <c r="M3219" s="6">
        <v>0.2382</v>
      </c>
      <c r="N3219" s="6">
        <v>4.2127999999999997</v>
      </c>
      <c r="O3219" s="6">
        <v>1</v>
      </c>
      <c r="P3219" s="5">
        <v>2903.7152429998387</v>
      </c>
      <c r="Q3219" s="4" t="s">
        <v>1390</v>
      </c>
    </row>
    <row r="3220" spans="1:17" x14ac:dyDescent="0.3">
      <c r="A3220" s="2" t="s">
        <v>1389</v>
      </c>
      <c r="B3220" s="3">
        <v>158813</v>
      </c>
      <c r="C3220" s="3">
        <v>219676</v>
      </c>
      <c r="D3220" s="4" t="s">
        <v>17</v>
      </c>
      <c r="E3220" s="4" t="s">
        <v>931</v>
      </c>
      <c r="F3220" s="4" t="s">
        <v>19</v>
      </c>
      <c r="G3220" s="4" t="s">
        <v>20</v>
      </c>
      <c r="H3220" s="5">
        <v>2000</v>
      </c>
      <c r="I3220" s="4" t="s">
        <v>21</v>
      </c>
      <c r="J3220" s="5">
        <f t="shared" si="50"/>
        <v>-8388</v>
      </c>
      <c r="K3220" s="4" t="s">
        <v>52</v>
      </c>
      <c r="L3220" s="6">
        <v>4.194</v>
      </c>
      <c r="M3220" s="6">
        <v>0.2384</v>
      </c>
      <c r="N3220" s="6">
        <v>4.2127999999999997</v>
      </c>
      <c r="O3220" s="6">
        <v>1</v>
      </c>
      <c r="P3220" s="5">
        <v>37.599999999998545</v>
      </c>
      <c r="Q3220" s="4" t="s">
        <v>1390</v>
      </c>
    </row>
    <row r="3221" spans="1:17" x14ac:dyDescent="0.3">
      <c r="A3221" s="2" t="s">
        <v>1389</v>
      </c>
      <c r="B3221" s="3">
        <v>158814</v>
      </c>
      <c r="C3221" s="3">
        <v>219681</v>
      </c>
      <c r="D3221" s="4" t="s">
        <v>17</v>
      </c>
      <c r="E3221" s="4" t="s">
        <v>846</v>
      </c>
      <c r="F3221" s="4" t="s">
        <v>19</v>
      </c>
      <c r="G3221" s="4" t="s">
        <v>20</v>
      </c>
      <c r="H3221" s="5">
        <v>150000</v>
      </c>
      <c r="I3221" s="4" t="s">
        <v>21</v>
      </c>
      <c r="J3221" s="5">
        <f t="shared" si="50"/>
        <v>-630420</v>
      </c>
      <c r="K3221" s="4" t="s">
        <v>52</v>
      </c>
      <c r="L3221" s="6">
        <v>4.2027999999999999</v>
      </c>
      <c r="M3221" s="6">
        <v>0.2379</v>
      </c>
      <c r="N3221" s="6">
        <v>4.2127999999999997</v>
      </c>
      <c r="O3221" s="6">
        <v>1</v>
      </c>
      <c r="P3221" s="5">
        <v>1500</v>
      </c>
      <c r="Q3221" s="4" t="s">
        <v>1390</v>
      </c>
    </row>
    <row r="3222" spans="1:17" x14ac:dyDescent="0.3">
      <c r="A3222" s="2" t="s">
        <v>1389</v>
      </c>
      <c r="B3222" s="3">
        <v>158816</v>
      </c>
      <c r="C3222" s="3">
        <v>219686</v>
      </c>
      <c r="D3222" s="4" t="s">
        <v>17</v>
      </c>
      <c r="E3222" s="4" t="s">
        <v>873</v>
      </c>
      <c r="F3222" s="4" t="s">
        <v>19</v>
      </c>
      <c r="G3222" s="4" t="s">
        <v>34</v>
      </c>
      <c r="H3222" s="5">
        <v>5000</v>
      </c>
      <c r="I3222" s="4" t="s">
        <v>21</v>
      </c>
      <c r="J3222" s="5">
        <f t="shared" si="50"/>
        <v>-17802</v>
      </c>
      <c r="K3222" s="4" t="s">
        <v>52</v>
      </c>
      <c r="L3222" s="6">
        <v>3.5604</v>
      </c>
      <c r="M3222" s="6">
        <v>0.28089999999999998</v>
      </c>
      <c r="N3222" s="6">
        <v>3.6027999999999998</v>
      </c>
      <c r="O3222" s="6">
        <v>1</v>
      </c>
      <c r="P3222" s="5">
        <v>212</v>
      </c>
      <c r="Q3222" s="4" t="s">
        <v>1390</v>
      </c>
    </row>
    <row r="3223" spans="1:17" x14ac:dyDescent="0.3">
      <c r="A3223" s="2" t="s">
        <v>1389</v>
      </c>
      <c r="B3223" s="3">
        <v>158817</v>
      </c>
      <c r="C3223" s="3">
        <v>908363</v>
      </c>
      <c r="D3223" s="4" t="s">
        <v>81</v>
      </c>
      <c r="E3223" s="4" t="s">
        <v>734</v>
      </c>
      <c r="F3223" s="4" t="s">
        <v>83</v>
      </c>
      <c r="G3223" s="4" t="s">
        <v>20</v>
      </c>
      <c r="H3223" s="5">
        <v>-100000</v>
      </c>
      <c r="I3223" s="4" t="s">
        <v>34</v>
      </c>
      <c r="J3223" s="5">
        <f t="shared" si="50"/>
        <v>117390</v>
      </c>
      <c r="K3223" s="4" t="s">
        <v>54</v>
      </c>
      <c r="L3223" s="6">
        <v>1.1738999999999999</v>
      </c>
      <c r="M3223" s="6">
        <v>0.85189999999999999</v>
      </c>
      <c r="N3223" s="6">
        <v>4.2118000000000002</v>
      </c>
      <c r="O3223" s="6">
        <v>3.5499000000000001</v>
      </c>
      <c r="P3223" s="5">
        <v>-4467.8887000000004</v>
      </c>
      <c r="Q3223" s="4" t="s">
        <v>1393</v>
      </c>
    </row>
    <row r="3224" spans="1:17" x14ac:dyDescent="0.3">
      <c r="A3224" s="2" t="s">
        <v>1389</v>
      </c>
      <c r="B3224" s="3">
        <v>158818</v>
      </c>
      <c r="C3224" s="3">
        <v>908369</v>
      </c>
      <c r="D3224" s="4" t="s">
        <v>81</v>
      </c>
      <c r="E3224" s="4" t="s">
        <v>734</v>
      </c>
      <c r="F3224" s="4" t="s">
        <v>83</v>
      </c>
      <c r="G3224" s="4" t="s">
        <v>20</v>
      </c>
      <c r="H3224" s="5">
        <v>-100000</v>
      </c>
      <c r="I3224" s="4" t="s">
        <v>34</v>
      </c>
      <c r="J3224" s="5">
        <f t="shared" si="50"/>
        <v>117380</v>
      </c>
      <c r="K3224" s="4" t="s">
        <v>54</v>
      </c>
      <c r="L3224" s="6">
        <v>1.1738</v>
      </c>
      <c r="M3224" s="6">
        <v>0.85189999999999999</v>
      </c>
      <c r="N3224" s="6">
        <v>4.2118000000000002</v>
      </c>
      <c r="O3224" s="6">
        <v>3.5499000000000001</v>
      </c>
      <c r="P3224" s="5">
        <v>-4478.5384000000004</v>
      </c>
      <c r="Q3224" s="4" t="s">
        <v>1393</v>
      </c>
    </row>
    <row r="3225" spans="1:17" x14ac:dyDescent="0.3">
      <c r="A3225" s="2" t="s">
        <v>1389</v>
      </c>
      <c r="B3225" s="3">
        <v>158819</v>
      </c>
      <c r="C3225" s="3">
        <v>908382</v>
      </c>
      <c r="D3225" s="4" t="s">
        <v>81</v>
      </c>
      <c r="E3225" s="4" t="s">
        <v>725</v>
      </c>
      <c r="F3225" s="4" t="s">
        <v>87</v>
      </c>
      <c r="G3225" s="4" t="s">
        <v>20</v>
      </c>
      <c r="H3225" s="5">
        <v>500000</v>
      </c>
      <c r="I3225" s="4" t="s">
        <v>21</v>
      </c>
      <c r="J3225" s="5">
        <f t="shared" si="50"/>
        <v>-2102700</v>
      </c>
      <c r="K3225" s="4" t="s">
        <v>54</v>
      </c>
      <c r="L3225" s="6">
        <v>4.2054</v>
      </c>
      <c r="M3225" s="6">
        <v>0.23780000000000001</v>
      </c>
      <c r="N3225" s="6">
        <v>4.2118000000000002</v>
      </c>
      <c r="O3225" s="6">
        <v>1</v>
      </c>
      <c r="P3225" s="5">
        <v>3225</v>
      </c>
      <c r="Q3225" s="4" t="s">
        <v>1392</v>
      </c>
    </row>
    <row r="3226" spans="1:17" x14ac:dyDescent="0.3">
      <c r="A3226" s="2" t="s">
        <v>1389</v>
      </c>
      <c r="B3226" s="3">
        <v>158820</v>
      </c>
      <c r="C3226" s="3">
        <v>908383</v>
      </c>
      <c r="D3226" s="4" t="s">
        <v>81</v>
      </c>
      <c r="E3226" s="4" t="s">
        <v>732</v>
      </c>
      <c r="F3226" s="4" t="s">
        <v>87</v>
      </c>
      <c r="G3226" s="4" t="s">
        <v>20</v>
      </c>
      <c r="H3226" s="5">
        <v>500000</v>
      </c>
      <c r="I3226" s="4" t="s">
        <v>21</v>
      </c>
      <c r="J3226" s="5">
        <f t="shared" si="50"/>
        <v>-2102600</v>
      </c>
      <c r="K3226" s="4" t="s">
        <v>54</v>
      </c>
      <c r="L3226" s="6">
        <v>4.2051999999999996</v>
      </c>
      <c r="M3226" s="6">
        <v>0.23780000000000001</v>
      </c>
      <c r="N3226" s="6">
        <v>4.2118000000000002</v>
      </c>
      <c r="O3226" s="6">
        <v>1</v>
      </c>
      <c r="P3226" s="5">
        <v>3300</v>
      </c>
      <c r="Q3226" s="4" t="s">
        <v>1394</v>
      </c>
    </row>
    <row r="3227" spans="1:17" x14ac:dyDescent="0.3">
      <c r="A3227" s="2" t="s">
        <v>1389</v>
      </c>
      <c r="B3227" s="3">
        <v>158821</v>
      </c>
      <c r="C3227" s="3">
        <v>219691</v>
      </c>
      <c r="D3227" s="4" t="s">
        <v>17</v>
      </c>
      <c r="E3227" s="4" t="s">
        <v>746</v>
      </c>
      <c r="F3227" s="4" t="s">
        <v>32</v>
      </c>
      <c r="G3227" s="4" t="s">
        <v>20</v>
      </c>
      <c r="H3227" s="5">
        <v>-200000</v>
      </c>
      <c r="I3227" s="4" t="s">
        <v>21</v>
      </c>
      <c r="J3227" s="5">
        <f t="shared" si="50"/>
        <v>842160</v>
      </c>
      <c r="K3227" s="4" t="s">
        <v>52</v>
      </c>
      <c r="L3227" s="6">
        <v>4.2107999999999999</v>
      </c>
      <c r="M3227" s="6">
        <v>0.23749999999999999</v>
      </c>
      <c r="N3227" s="6">
        <v>4.2127999999999997</v>
      </c>
      <c r="O3227" s="6">
        <v>1</v>
      </c>
      <c r="P3227" s="5">
        <v>-560</v>
      </c>
      <c r="Q3227" s="4" t="s">
        <v>1390</v>
      </c>
    </row>
    <row r="3228" spans="1:17" x14ac:dyDescent="0.3">
      <c r="A3228" s="2" t="s">
        <v>1389</v>
      </c>
      <c r="B3228" s="3">
        <v>158823</v>
      </c>
      <c r="C3228" s="3">
        <v>908391</v>
      </c>
      <c r="D3228" s="4" t="s">
        <v>81</v>
      </c>
      <c r="E3228" s="4" t="s">
        <v>732</v>
      </c>
      <c r="F3228" s="4" t="s">
        <v>83</v>
      </c>
      <c r="G3228" s="4" t="s">
        <v>20</v>
      </c>
      <c r="H3228" s="5">
        <v>-500000</v>
      </c>
      <c r="I3228" s="4" t="s">
        <v>21</v>
      </c>
      <c r="J3228" s="5">
        <f t="shared" si="50"/>
        <v>2102750</v>
      </c>
      <c r="K3228" s="4" t="s">
        <v>54</v>
      </c>
      <c r="L3228" s="6">
        <v>4.2054999999999998</v>
      </c>
      <c r="M3228" s="6">
        <v>0.23780000000000001</v>
      </c>
      <c r="N3228" s="6">
        <v>4.2118000000000002</v>
      </c>
      <c r="O3228" s="6">
        <v>1</v>
      </c>
      <c r="P3228" s="5">
        <v>-3150</v>
      </c>
      <c r="Q3228" s="4" t="s">
        <v>1394</v>
      </c>
    </row>
    <row r="3229" spans="1:17" x14ac:dyDescent="0.3">
      <c r="A3229" s="2" t="s">
        <v>1389</v>
      </c>
      <c r="B3229" s="3">
        <v>158826</v>
      </c>
      <c r="C3229" s="3">
        <v>219693</v>
      </c>
      <c r="D3229" s="4" t="s">
        <v>17</v>
      </c>
      <c r="E3229" s="4" t="s">
        <v>887</v>
      </c>
      <c r="F3229" s="4" t="s">
        <v>32</v>
      </c>
      <c r="G3229" s="4" t="s">
        <v>34</v>
      </c>
      <c r="H3229" s="5">
        <v>-10000</v>
      </c>
      <c r="I3229" s="4" t="s">
        <v>21</v>
      </c>
      <c r="J3229" s="5">
        <f t="shared" si="50"/>
        <v>35911</v>
      </c>
      <c r="K3229" s="4" t="s">
        <v>52</v>
      </c>
      <c r="L3229" s="6">
        <v>3.5911</v>
      </c>
      <c r="M3229" s="6">
        <v>0.27850000000000003</v>
      </c>
      <c r="N3229" s="6">
        <v>3.6027999999999998</v>
      </c>
      <c r="O3229" s="6">
        <v>1</v>
      </c>
      <c r="P3229" s="5">
        <v>-118</v>
      </c>
      <c r="Q3229" s="4" t="s">
        <v>1390</v>
      </c>
    </row>
    <row r="3230" spans="1:17" x14ac:dyDescent="0.3">
      <c r="A3230" s="2" t="s">
        <v>1389</v>
      </c>
      <c r="B3230" s="3">
        <v>158828</v>
      </c>
      <c r="C3230" s="3">
        <v>219696</v>
      </c>
      <c r="D3230" s="4" t="s">
        <v>17</v>
      </c>
      <c r="E3230" s="4" t="s">
        <v>875</v>
      </c>
      <c r="F3230" s="4" t="s">
        <v>19</v>
      </c>
      <c r="G3230" s="4" t="s">
        <v>20</v>
      </c>
      <c r="H3230" s="5">
        <v>10000</v>
      </c>
      <c r="I3230" s="4" t="s">
        <v>21</v>
      </c>
      <c r="J3230" s="5">
        <f t="shared" si="50"/>
        <v>-41940</v>
      </c>
      <c r="K3230" s="4" t="s">
        <v>52</v>
      </c>
      <c r="L3230" s="6">
        <v>4.194</v>
      </c>
      <c r="M3230" s="6">
        <v>0.2384</v>
      </c>
      <c r="N3230" s="6">
        <v>4.2127999999999997</v>
      </c>
      <c r="O3230" s="6">
        <v>1</v>
      </c>
      <c r="P3230" s="5">
        <v>188</v>
      </c>
      <c r="Q3230" s="4" t="s">
        <v>1390</v>
      </c>
    </row>
    <row r="3231" spans="1:17" x14ac:dyDescent="0.3">
      <c r="A3231" s="2" t="s">
        <v>1389</v>
      </c>
      <c r="B3231" s="3">
        <v>158830</v>
      </c>
      <c r="C3231" s="3">
        <v>908413</v>
      </c>
      <c r="D3231" s="4" t="s">
        <v>81</v>
      </c>
      <c r="E3231" s="4" t="s">
        <v>734</v>
      </c>
      <c r="F3231" s="4" t="s">
        <v>83</v>
      </c>
      <c r="G3231" s="4" t="s">
        <v>20</v>
      </c>
      <c r="H3231" s="5">
        <v>-100000</v>
      </c>
      <c r="I3231" s="4" t="s">
        <v>34</v>
      </c>
      <c r="J3231" s="5">
        <f t="shared" si="50"/>
        <v>117390</v>
      </c>
      <c r="K3231" s="4" t="s">
        <v>54</v>
      </c>
      <c r="L3231" s="6">
        <v>1.1738999999999999</v>
      </c>
      <c r="M3231" s="6">
        <v>0.85189999999999999</v>
      </c>
      <c r="N3231" s="6">
        <v>4.2118000000000002</v>
      </c>
      <c r="O3231" s="6">
        <v>3.5499000000000001</v>
      </c>
      <c r="P3231" s="5">
        <v>-4453.6890999999996</v>
      </c>
      <c r="Q3231" s="4" t="s">
        <v>1393</v>
      </c>
    </row>
    <row r="3232" spans="1:17" x14ac:dyDescent="0.3">
      <c r="A3232" s="2" t="s">
        <v>1389</v>
      </c>
      <c r="B3232" s="3">
        <v>158831</v>
      </c>
      <c r="C3232" s="3">
        <v>219700</v>
      </c>
      <c r="D3232" s="4" t="s">
        <v>17</v>
      </c>
      <c r="E3232" s="4" t="s">
        <v>1031</v>
      </c>
      <c r="F3232" s="4" t="s">
        <v>32</v>
      </c>
      <c r="G3232" s="4" t="s">
        <v>20</v>
      </c>
      <c r="H3232" s="5">
        <v>-60000</v>
      </c>
      <c r="I3232" s="4" t="s">
        <v>21</v>
      </c>
      <c r="J3232" s="5">
        <f t="shared" si="50"/>
        <v>252708</v>
      </c>
      <c r="K3232" s="4" t="s">
        <v>52</v>
      </c>
      <c r="L3232" s="6">
        <v>4.2118000000000002</v>
      </c>
      <c r="M3232" s="6">
        <v>0.2374</v>
      </c>
      <c r="N3232" s="6">
        <v>4.2127999999999997</v>
      </c>
      <c r="O3232" s="6">
        <v>1</v>
      </c>
      <c r="P3232" s="5">
        <v>-60</v>
      </c>
      <c r="Q3232" s="4" t="s">
        <v>1390</v>
      </c>
    </row>
    <row r="3233" spans="1:17" x14ac:dyDescent="0.3">
      <c r="A3233" s="2" t="s">
        <v>1389</v>
      </c>
      <c r="B3233" s="3">
        <v>158833</v>
      </c>
      <c r="C3233" s="3">
        <v>908423</v>
      </c>
      <c r="D3233" s="4" t="s">
        <v>81</v>
      </c>
      <c r="E3233" s="4" t="s">
        <v>735</v>
      </c>
      <c r="F3233" s="4" t="s">
        <v>83</v>
      </c>
      <c r="G3233" s="4" t="s">
        <v>20</v>
      </c>
      <c r="H3233" s="5">
        <v>-500000</v>
      </c>
      <c r="I3233" s="4" t="s">
        <v>21</v>
      </c>
      <c r="J3233" s="5">
        <f t="shared" si="50"/>
        <v>2103150</v>
      </c>
      <c r="K3233" s="4" t="s">
        <v>54</v>
      </c>
      <c r="L3233" s="6">
        <v>4.2062999999999997</v>
      </c>
      <c r="M3233" s="6">
        <v>0.23769999999999999</v>
      </c>
      <c r="N3233" s="6">
        <v>4.2118000000000002</v>
      </c>
      <c r="O3233" s="6">
        <v>1</v>
      </c>
      <c r="P3233" s="5">
        <v>-2750</v>
      </c>
      <c r="Q3233" s="4" t="s">
        <v>1394</v>
      </c>
    </row>
    <row r="3234" spans="1:17" x14ac:dyDescent="0.3">
      <c r="A3234" s="2" t="s">
        <v>1389</v>
      </c>
      <c r="B3234" s="3">
        <v>158834</v>
      </c>
      <c r="C3234" s="3">
        <v>908427</v>
      </c>
      <c r="D3234" s="4" t="s">
        <v>81</v>
      </c>
      <c r="E3234" s="4" t="s">
        <v>735</v>
      </c>
      <c r="F3234" s="4" t="s">
        <v>83</v>
      </c>
      <c r="G3234" s="4" t="s">
        <v>20</v>
      </c>
      <c r="H3234" s="5">
        <v>-500000</v>
      </c>
      <c r="I3234" s="4" t="s">
        <v>21</v>
      </c>
      <c r="J3234" s="5">
        <f t="shared" si="50"/>
        <v>2103100</v>
      </c>
      <c r="K3234" s="4" t="s">
        <v>54</v>
      </c>
      <c r="L3234" s="6">
        <v>4.2061999999999999</v>
      </c>
      <c r="M3234" s="6">
        <v>0.23769999999999999</v>
      </c>
      <c r="N3234" s="6">
        <v>4.2118000000000002</v>
      </c>
      <c r="O3234" s="6">
        <v>1</v>
      </c>
      <c r="P3234" s="5">
        <v>-2800</v>
      </c>
      <c r="Q3234" s="4" t="s">
        <v>1394</v>
      </c>
    </row>
    <row r="3235" spans="1:17" x14ac:dyDescent="0.3">
      <c r="A3235" s="2" t="s">
        <v>1389</v>
      </c>
      <c r="B3235" s="3">
        <v>158837</v>
      </c>
      <c r="C3235" s="3">
        <v>219705</v>
      </c>
      <c r="D3235" s="4" t="s">
        <v>17</v>
      </c>
      <c r="E3235" s="4" t="s">
        <v>1067</v>
      </c>
      <c r="F3235" s="4" t="s">
        <v>19</v>
      </c>
      <c r="G3235" s="4" t="s">
        <v>20</v>
      </c>
      <c r="H3235" s="5">
        <v>7600</v>
      </c>
      <c r="I3235" s="4" t="s">
        <v>21</v>
      </c>
      <c r="J3235" s="5">
        <f t="shared" si="50"/>
        <v>-31920</v>
      </c>
      <c r="K3235" s="4" t="s">
        <v>52</v>
      </c>
      <c r="L3235" s="6">
        <v>4.2</v>
      </c>
      <c r="M3235" s="6">
        <v>0.23810000000000001</v>
      </c>
      <c r="N3235" s="6">
        <v>4.2127999999999997</v>
      </c>
      <c r="O3235" s="6">
        <v>1</v>
      </c>
      <c r="P3235" s="5">
        <v>97.279999999998836</v>
      </c>
      <c r="Q3235" s="4" t="s">
        <v>1390</v>
      </c>
    </row>
    <row r="3236" spans="1:17" x14ac:dyDescent="0.3">
      <c r="A3236" s="2" t="s">
        <v>1389</v>
      </c>
      <c r="B3236" s="3">
        <v>158838</v>
      </c>
      <c r="C3236" s="3">
        <v>908440</v>
      </c>
      <c r="D3236" s="4" t="s">
        <v>81</v>
      </c>
      <c r="E3236" s="4" t="s">
        <v>742</v>
      </c>
      <c r="F3236" s="4" t="s">
        <v>83</v>
      </c>
      <c r="G3236" s="4" t="s">
        <v>20</v>
      </c>
      <c r="H3236" s="5">
        <v>-500000</v>
      </c>
      <c r="I3236" s="4" t="s">
        <v>21</v>
      </c>
      <c r="J3236" s="5">
        <f t="shared" si="50"/>
        <v>2103100</v>
      </c>
      <c r="K3236" s="4" t="s">
        <v>54</v>
      </c>
      <c r="L3236" s="6">
        <v>4.2061999999999999</v>
      </c>
      <c r="M3236" s="6">
        <v>0.23769999999999999</v>
      </c>
      <c r="N3236" s="6">
        <v>4.2118000000000002</v>
      </c>
      <c r="O3236" s="6">
        <v>1</v>
      </c>
      <c r="P3236" s="5">
        <v>-2785</v>
      </c>
      <c r="Q3236" s="4" t="s">
        <v>1396</v>
      </c>
    </row>
    <row r="3237" spans="1:17" x14ac:dyDescent="0.3">
      <c r="A3237" s="2" t="s">
        <v>1389</v>
      </c>
      <c r="B3237" s="3">
        <v>158839</v>
      </c>
      <c r="C3237" s="3">
        <v>219707</v>
      </c>
      <c r="D3237" s="4" t="s">
        <v>17</v>
      </c>
      <c r="E3237" s="4" t="s">
        <v>1180</v>
      </c>
      <c r="F3237" s="4" t="s">
        <v>19</v>
      </c>
      <c r="G3237" s="4" t="s">
        <v>20</v>
      </c>
      <c r="H3237" s="5">
        <v>5650</v>
      </c>
      <c r="I3237" s="4" t="s">
        <v>21</v>
      </c>
      <c r="J3237" s="5">
        <f t="shared" si="50"/>
        <v>-23730</v>
      </c>
      <c r="K3237" s="4" t="s">
        <v>52</v>
      </c>
      <c r="L3237" s="6">
        <v>4.2</v>
      </c>
      <c r="M3237" s="6">
        <v>0.23810000000000001</v>
      </c>
      <c r="N3237" s="6">
        <v>4.2127999999999997</v>
      </c>
      <c r="O3237" s="6">
        <v>1</v>
      </c>
      <c r="P3237" s="5">
        <v>72.319999999999709</v>
      </c>
      <c r="Q3237" s="4" t="s">
        <v>1390</v>
      </c>
    </row>
    <row r="3238" spans="1:17" x14ac:dyDescent="0.3">
      <c r="A3238" s="2" t="s">
        <v>1389</v>
      </c>
      <c r="B3238" s="3">
        <v>158840</v>
      </c>
      <c r="C3238" s="3">
        <v>219712</v>
      </c>
      <c r="D3238" s="4" t="s">
        <v>17</v>
      </c>
      <c r="E3238" s="4" t="s">
        <v>1120</v>
      </c>
      <c r="F3238" s="4" t="s">
        <v>19</v>
      </c>
      <c r="G3238" s="4" t="s">
        <v>20</v>
      </c>
      <c r="H3238" s="5">
        <v>20000</v>
      </c>
      <c r="I3238" s="4" t="s">
        <v>21</v>
      </c>
      <c r="J3238" s="5">
        <f t="shared" si="50"/>
        <v>-83818</v>
      </c>
      <c r="K3238" s="4" t="s">
        <v>52</v>
      </c>
      <c r="L3238" s="6">
        <v>4.1909000000000001</v>
      </c>
      <c r="M3238" s="6">
        <v>0.23860000000000001</v>
      </c>
      <c r="N3238" s="6">
        <v>4.2127999999999997</v>
      </c>
      <c r="O3238" s="6">
        <v>1</v>
      </c>
      <c r="P3238" s="5">
        <v>438</v>
      </c>
      <c r="Q3238" s="4" t="s">
        <v>1390</v>
      </c>
    </row>
    <row r="3239" spans="1:17" x14ac:dyDescent="0.3">
      <c r="A3239" s="2" t="s">
        <v>1389</v>
      </c>
      <c r="B3239" s="3">
        <v>158842</v>
      </c>
      <c r="C3239" s="3">
        <v>908476</v>
      </c>
      <c r="D3239" s="4" t="s">
        <v>81</v>
      </c>
      <c r="E3239" s="4" t="s">
        <v>732</v>
      </c>
      <c r="F3239" s="4" t="s">
        <v>83</v>
      </c>
      <c r="G3239" s="4" t="s">
        <v>20</v>
      </c>
      <c r="H3239" s="5">
        <v>-500000</v>
      </c>
      <c r="I3239" s="4" t="s">
        <v>21</v>
      </c>
      <c r="J3239" s="5">
        <f t="shared" si="50"/>
        <v>2103200</v>
      </c>
      <c r="K3239" s="4" t="s">
        <v>54</v>
      </c>
      <c r="L3239" s="6">
        <v>4.2064000000000004</v>
      </c>
      <c r="M3239" s="6">
        <v>0.23769999999999999</v>
      </c>
      <c r="N3239" s="6">
        <v>4.2118000000000002</v>
      </c>
      <c r="O3239" s="6">
        <v>1</v>
      </c>
      <c r="P3239" s="5">
        <v>-2705</v>
      </c>
      <c r="Q3239" s="4" t="s">
        <v>1394</v>
      </c>
    </row>
    <row r="3240" spans="1:17" x14ac:dyDescent="0.3">
      <c r="A3240" s="2" t="s">
        <v>1389</v>
      </c>
      <c r="B3240" s="3">
        <v>158843</v>
      </c>
      <c r="C3240" s="3">
        <v>908477</v>
      </c>
      <c r="D3240" s="4" t="s">
        <v>81</v>
      </c>
      <c r="E3240" s="4" t="s">
        <v>1155</v>
      </c>
      <c r="F3240" s="4" t="s">
        <v>83</v>
      </c>
      <c r="G3240" s="4" t="s">
        <v>20</v>
      </c>
      <c r="H3240" s="5">
        <v>-70000</v>
      </c>
      <c r="I3240" s="4" t="s">
        <v>74</v>
      </c>
      <c r="J3240" s="5">
        <f t="shared" si="50"/>
        <v>817782</v>
      </c>
      <c r="K3240" s="4" t="s">
        <v>52</v>
      </c>
      <c r="L3240" s="6">
        <v>11.682600000000001</v>
      </c>
      <c r="M3240" s="6">
        <v>8.5599999999999996E-2</v>
      </c>
      <c r="N3240" s="6">
        <v>4.2127999999999997</v>
      </c>
      <c r="O3240" s="6">
        <v>0.36380000000000001</v>
      </c>
      <c r="P3240" s="5">
        <v>2613.0916000000002</v>
      </c>
      <c r="Q3240" s="4" t="s">
        <v>1390</v>
      </c>
    </row>
    <row r="3241" spans="1:17" x14ac:dyDescent="0.3">
      <c r="A3241" s="2" t="s">
        <v>1389</v>
      </c>
      <c r="B3241" s="3">
        <v>158852</v>
      </c>
      <c r="C3241" s="3">
        <v>219720</v>
      </c>
      <c r="D3241" s="4" t="s">
        <v>17</v>
      </c>
      <c r="E3241" s="4" t="s">
        <v>1155</v>
      </c>
      <c r="F3241" s="4" t="s">
        <v>32</v>
      </c>
      <c r="G3241" s="4" t="s">
        <v>20</v>
      </c>
      <c r="H3241" s="5">
        <v>-30000</v>
      </c>
      <c r="I3241" s="4" t="s">
        <v>74</v>
      </c>
      <c r="J3241" s="5">
        <f t="shared" si="50"/>
        <v>346941</v>
      </c>
      <c r="K3241" s="4" t="s">
        <v>52</v>
      </c>
      <c r="L3241" s="6">
        <v>11.5647</v>
      </c>
      <c r="M3241" s="6">
        <v>8.6499999999999994E-2</v>
      </c>
      <c r="N3241" s="6">
        <v>4.2127999999999997</v>
      </c>
      <c r="O3241" s="6">
        <v>0.36380000000000001</v>
      </c>
      <c r="P3241" s="5">
        <v>-185.41800000000001</v>
      </c>
      <c r="Q3241" s="4" t="s">
        <v>1390</v>
      </c>
    </row>
    <row r="3242" spans="1:17" x14ac:dyDescent="0.3">
      <c r="A3242" s="2" t="s">
        <v>1389</v>
      </c>
      <c r="B3242" s="3">
        <v>158853</v>
      </c>
      <c r="C3242" s="3">
        <v>219721</v>
      </c>
      <c r="D3242" s="4" t="s">
        <v>17</v>
      </c>
      <c r="E3242" s="4" t="s">
        <v>1188</v>
      </c>
      <c r="F3242" s="4" t="s">
        <v>19</v>
      </c>
      <c r="G3242" s="4" t="s">
        <v>20</v>
      </c>
      <c r="H3242" s="5">
        <v>30000</v>
      </c>
      <c r="I3242" s="4" t="s">
        <v>21</v>
      </c>
      <c r="J3242" s="5">
        <f t="shared" si="50"/>
        <v>-126057</v>
      </c>
      <c r="K3242" s="4" t="s">
        <v>52</v>
      </c>
      <c r="L3242" s="6">
        <v>4.2019000000000002</v>
      </c>
      <c r="M3242" s="6">
        <v>0.23799999999999999</v>
      </c>
      <c r="N3242" s="6">
        <v>4.2127999999999997</v>
      </c>
      <c r="O3242" s="6">
        <v>1</v>
      </c>
      <c r="P3242" s="5">
        <v>326.99999999998545</v>
      </c>
      <c r="Q3242" s="4" t="s">
        <v>1390</v>
      </c>
    </row>
    <row r="3243" spans="1:17" x14ac:dyDescent="0.3">
      <c r="A3243" s="2" t="s">
        <v>1389</v>
      </c>
      <c r="B3243" s="3">
        <v>158854</v>
      </c>
      <c r="C3243" s="3">
        <v>219723</v>
      </c>
      <c r="D3243" s="4" t="s">
        <v>17</v>
      </c>
      <c r="E3243" s="4" t="s">
        <v>1155</v>
      </c>
      <c r="F3243" s="4" t="s">
        <v>32</v>
      </c>
      <c r="G3243" s="4" t="s">
        <v>20</v>
      </c>
      <c r="H3243" s="5">
        <v>-50000</v>
      </c>
      <c r="I3243" s="4" t="s">
        <v>74</v>
      </c>
      <c r="J3243" s="5">
        <f t="shared" si="50"/>
        <v>578740</v>
      </c>
      <c r="K3243" s="4" t="s">
        <v>52</v>
      </c>
      <c r="L3243" s="6">
        <v>11.5748</v>
      </c>
      <c r="M3243" s="6">
        <v>8.6400000000000005E-2</v>
      </c>
      <c r="N3243" s="6">
        <v>4.2127999999999997</v>
      </c>
      <c r="O3243" s="6">
        <v>0.36380000000000001</v>
      </c>
      <c r="P3243" s="5">
        <v>-125.31100000000001</v>
      </c>
      <c r="Q3243" s="4" t="s">
        <v>1390</v>
      </c>
    </row>
    <row r="3244" spans="1:17" x14ac:dyDescent="0.3">
      <c r="A3244" s="2" t="s">
        <v>1389</v>
      </c>
      <c r="B3244" s="3">
        <v>158855</v>
      </c>
      <c r="C3244" s="3">
        <v>219725</v>
      </c>
      <c r="D3244" s="4" t="s">
        <v>17</v>
      </c>
      <c r="E3244" s="4" t="s">
        <v>1155</v>
      </c>
      <c r="F3244" s="4" t="s">
        <v>32</v>
      </c>
      <c r="G3244" s="4" t="s">
        <v>20</v>
      </c>
      <c r="H3244" s="5">
        <v>-50000</v>
      </c>
      <c r="I3244" s="4" t="s">
        <v>74</v>
      </c>
      <c r="J3244" s="5">
        <f t="shared" si="50"/>
        <v>579590</v>
      </c>
      <c r="K3244" s="4" t="s">
        <v>52</v>
      </c>
      <c r="L3244" s="6">
        <v>11.591799999999999</v>
      </c>
      <c r="M3244" s="6">
        <v>8.6300000000000002E-2</v>
      </c>
      <c r="N3244" s="6">
        <v>4.2127999999999997</v>
      </c>
      <c r="O3244" s="6">
        <v>0.36380000000000001</v>
      </c>
      <c r="P3244" s="5">
        <v>183.91900000000001</v>
      </c>
      <c r="Q3244" s="4" t="s">
        <v>1390</v>
      </c>
    </row>
    <row r="3245" spans="1:17" x14ac:dyDescent="0.3">
      <c r="A3245" s="2" t="s">
        <v>1389</v>
      </c>
      <c r="B3245" s="3">
        <v>158857</v>
      </c>
      <c r="C3245" s="3">
        <v>219733</v>
      </c>
      <c r="D3245" s="4" t="s">
        <v>17</v>
      </c>
      <c r="E3245" s="4" t="s">
        <v>1122</v>
      </c>
      <c r="F3245" s="4" t="s">
        <v>32</v>
      </c>
      <c r="G3245" s="4" t="s">
        <v>20</v>
      </c>
      <c r="H3245" s="5">
        <v>-400000</v>
      </c>
      <c r="I3245" s="4" t="s">
        <v>21</v>
      </c>
      <c r="J3245" s="5">
        <f t="shared" si="50"/>
        <v>1682079.9999999998</v>
      </c>
      <c r="K3245" s="4" t="s">
        <v>52</v>
      </c>
      <c r="L3245" s="6">
        <v>4.2051999999999996</v>
      </c>
      <c r="M3245" s="6">
        <v>0.23780000000000001</v>
      </c>
      <c r="N3245" s="6">
        <v>4.2127999999999997</v>
      </c>
      <c r="O3245" s="6">
        <v>1</v>
      </c>
      <c r="P3245" s="5">
        <v>-3040</v>
      </c>
      <c r="Q3245" s="4" t="s">
        <v>1390</v>
      </c>
    </row>
    <row r="3246" spans="1:17" x14ac:dyDescent="0.3">
      <c r="A3246" s="2" t="s">
        <v>1389</v>
      </c>
      <c r="B3246" s="3">
        <v>158859</v>
      </c>
      <c r="C3246" s="3">
        <v>219736</v>
      </c>
      <c r="D3246" s="4" t="s">
        <v>17</v>
      </c>
      <c r="E3246" s="4" t="s">
        <v>1099</v>
      </c>
      <c r="F3246" s="4" t="s">
        <v>19</v>
      </c>
      <c r="G3246" s="4" t="s">
        <v>20</v>
      </c>
      <c r="H3246" s="5">
        <v>11000</v>
      </c>
      <c r="I3246" s="4" t="s">
        <v>21</v>
      </c>
      <c r="J3246" s="5">
        <f t="shared" si="50"/>
        <v>-46097.7</v>
      </c>
      <c r="K3246" s="4" t="s">
        <v>52</v>
      </c>
      <c r="L3246" s="6">
        <v>4.1906999999999996</v>
      </c>
      <c r="M3246" s="6">
        <v>0.23860000000000001</v>
      </c>
      <c r="N3246" s="6">
        <v>4.2127999999999997</v>
      </c>
      <c r="O3246" s="6">
        <v>1</v>
      </c>
      <c r="P3246" s="5">
        <v>243.09999999999854</v>
      </c>
      <c r="Q3246" s="4" t="s">
        <v>1390</v>
      </c>
    </row>
    <row r="3247" spans="1:17" x14ac:dyDescent="0.3">
      <c r="A3247" s="2" t="s">
        <v>1389</v>
      </c>
      <c r="B3247" s="3">
        <v>158861</v>
      </c>
      <c r="C3247" s="3">
        <v>908568</v>
      </c>
      <c r="D3247" s="4" t="s">
        <v>81</v>
      </c>
      <c r="E3247" s="4" t="s">
        <v>733</v>
      </c>
      <c r="F3247" s="4" t="s">
        <v>83</v>
      </c>
      <c r="G3247" s="4" t="s">
        <v>20</v>
      </c>
      <c r="H3247" s="5">
        <v>-1000000</v>
      </c>
      <c r="I3247" s="4" t="s">
        <v>21</v>
      </c>
      <c r="J3247" s="5">
        <f t="shared" si="50"/>
        <v>4203400</v>
      </c>
      <c r="K3247" s="4" t="s">
        <v>54</v>
      </c>
      <c r="L3247" s="6">
        <v>4.2034000000000002</v>
      </c>
      <c r="M3247" s="6">
        <v>0.2379</v>
      </c>
      <c r="N3247" s="6">
        <v>4.2118000000000002</v>
      </c>
      <c r="O3247" s="6">
        <v>1</v>
      </c>
      <c r="P3247" s="5">
        <v>-8390</v>
      </c>
      <c r="Q3247" s="4" t="s">
        <v>1391</v>
      </c>
    </row>
    <row r="3248" spans="1:17" x14ac:dyDescent="0.3">
      <c r="A3248" s="2" t="s">
        <v>1389</v>
      </c>
      <c r="B3248" s="3">
        <v>158863</v>
      </c>
      <c r="C3248" s="3">
        <v>219744</v>
      </c>
      <c r="D3248" s="4" t="s">
        <v>17</v>
      </c>
      <c r="E3248" s="4" t="s">
        <v>921</v>
      </c>
      <c r="F3248" s="4" t="s">
        <v>19</v>
      </c>
      <c r="G3248" s="4" t="s">
        <v>20</v>
      </c>
      <c r="H3248" s="5">
        <v>30000</v>
      </c>
      <c r="I3248" s="4" t="s">
        <v>21</v>
      </c>
      <c r="J3248" s="5">
        <f t="shared" si="50"/>
        <v>-125910</v>
      </c>
      <c r="K3248" s="4" t="s">
        <v>52</v>
      </c>
      <c r="L3248" s="6">
        <v>4.1970000000000001</v>
      </c>
      <c r="M3248" s="6">
        <v>0.23830000000000001</v>
      </c>
      <c r="N3248" s="6">
        <v>4.2127999999999997</v>
      </c>
      <c r="O3248" s="6">
        <v>1</v>
      </c>
      <c r="P3248" s="5">
        <v>473.99999999998545</v>
      </c>
      <c r="Q3248" s="4" t="s">
        <v>1390</v>
      </c>
    </row>
    <row r="3249" spans="1:17" x14ac:dyDescent="0.3">
      <c r="A3249" s="2" t="s">
        <v>1389</v>
      </c>
      <c r="B3249" s="3">
        <v>158865</v>
      </c>
      <c r="C3249" s="3">
        <v>908602</v>
      </c>
      <c r="D3249" s="4" t="s">
        <v>81</v>
      </c>
      <c r="E3249" s="4" t="s">
        <v>732</v>
      </c>
      <c r="F3249" s="4" t="s">
        <v>87</v>
      </c>
      <c r="G3249" s="4" t="s">
        <v>20</v>
      </c>
      <c r="H3249" s="5">
        <v>500000</v>
      </c>
      <c r="I3249" s="4" t="s">
        <v>21</v>
      </c>
      <c r="J3249" s="5">
        <f t="shared" si="50"/>
        <v>-2102500</v>
      </c>
      <c r="K3249" s="4" t="s">
        <v>54</v>
      </c>
      <c r="L3249" s="6">
        <v>4.2050000000000001</v>
      </c>
      <c r="M3249" s="6">
        <v>0.23780000000000001</v>
      </c>
      <c r="N3249" s="6">
        <v>4.2118000000000002</v>
      </c>
      <c r="O3249" s="6">
        <v>1</v>
      </c>
      <c r="P3249" s="5">
        <v>3400</v>
      </c>
      <c r="Q3249" s="4" t="s">
        <v>1394</v>
      </c>
    </row>
    <row r="3250" spans="1:17" x14ac:dyDescent="0.3">
      <c r="A3250" s="2" t="s">
        <v>1389</v>
      </c>
      <c r="B3250" s="3">
        <v>158866</v>
      </c>
      <c r="C3250" s="3">
        <v>908603</v>
      </c>
      <c r="D3250" s="4" t="s">
        <v>81</v>
      </c>
      <c r="E3250" s="4" t="s">
        <v>732</v>
      </c>
      <c r="F3250" s="4" t="s">
        <v>87</v>
      </c>
      <c r="G3250" s="4" t="s">
        <v>20</v>
      </c>
      <c r="H3250" s="5">
        <v>500000</v>
      </c>
      <c r="I3250" s="4" t="s">
        <v>21</v>
      </c>
      <c r="J3250" s="5">
        <f t="shared" si="50"/>
        <v>-2102500</v>
      </c>
      <c r="K3250" s="4" t="s">
        <v>54</v>
      </c>
      <c r="L3250" s="6">
        <v>4.2050000000000001</v>
      </c>
      <c r="M3250" s="6">
        <v>0.23780000000000001</v>
      </c>
      <c r="N3250" s="6">
        <v>4.2118000000000002</v>
      </c>
      <c r="O3250" s="6">
        <v>1</v>
      </c>
      <c r="P3250" s="5">
        <v>3400</v>
      </c>
      <c r="Q3250" s="4" t="s">
        <v>1394</v>
      </c>
    </row>
    <row r="3251" spans="1:17" x14ac:dyDescent="0.3">
      <c r="A3251" s="2" t="s">
        <v>1389</v>
      </c>
      <c r="B3251" s="3">
        <v>158867</v>
      </c>
      <c r="C3251" s="3">
        <v>908605</v>
      </c>
      <c r="D3251" s="4" t="s">
        <v>81</v>
      </c>
      <c r="E3251" s="4" t="s">
        <v>725</v>
      </c>
      <c r="F3251" s="4" t="s">
        <v>87</v>
      </c>
      <c r="G3251" s="4" t="s">
        <v>20</v>
      </c>
      <c r="H3251" s="5">
        <v>500000</v>
      </c>
      <c r="I3251" s="4" t="s">
        <v>21</v>
      </c>
      <c r="J3251" s="5">
        <f t="shared" si="50"/>
        <v>-2102650</v>
      </c>
      <c r="K3251" s="4" t="s">
        <v>54</v>
      </c>
      <c r="L3251" s="6">
        <v>4.2053000000000003</v>
      </c>
      <c r="M3251" s="6">
        <v>0.23780000000000001</v>
      </c>
      <c r="N3251" s="6">
        <v>4.2118000000000002</v>
      </c>
      <c r="O3251" s="6">
        <v>1</v>
      </c>
      <c r="P3251" s="5">
        <v>3265</v>
      </c>
      <c r="Q3251" s="4" t="s">
        <v>1392</v>
      </c>
    </row>
    <row r="3252" spans="1:17" x14ac:dyDescent="0.3">
      <c r="A3252" s="2" t="s">
        <v>1389</v>
      </c>
      <c r="B3252" s="3">
        <v>158868</v>
      </c>
      <c r="C3252" s="3">
        <v>908606</v>
      </c>
      <c r="D3252" s="4" t="s">
        <v>81</v>
      </c>
      <c r="E3252" s="4" t="s">
        <v>734</v>
      </c>
      <c r="F3252" s="4" t="s">
        <v>83</v>
      </c>
      <c r="G3252" s="4" t="s">
        <v>20</v>
      </c>
      <c r="H3252" s="5">
        <v>-500000</v>
      </c>
      <c r="I3252" s="4" t="s">
        <v>34</v>
      </c>
      <c r="J3252" s="5">
        <f t="shared" si="50"/>
        <v>587100</v>
      </c>
      <c r="K3252" s="4" t="s">
        <v>54</v>
      </c>
      <c r="L3252" s="6">
        <v>1.1741999999999999</v>
      </c>
      <c r="M3252" s="6">
        <v>0.85160000000000002</v>
      </c>
      <c r="N3252" s="6">
        <v>4.2118000000000002</v>
      </c>
      <c r="O3252" s="6">
        <v>3.5499000000000001</v>
      </c>
      <c r="P3252" s="5">
        <v>-21718.210999999999</v>
      </c>
      <c r="Q3252" s="4" t="s">
        <v>1393</v>
      </c>
    </row>
    <row r="3253" spans="1:17" x14ac:dyDescent="0.3">
      <c r="A3253" s="2" t="s">
        <v>1389</v>
      </c>
      <c r="B3253" s="3">
        <v>158870</v>
      </c>
      <c r="C3253" s="3">
        <v>219749</v>
      </c>
      <c r="D3253" s="4" t="s">
        <v>17</v>
      </c>
      <c r="E3253" s="4" t="s">
        <v>1379</v>
      </c>
      <c r="F3253" s="4" t="s">
        <v>32</v>
      </c>
      <c r="G3253" s="4" t="s">
        <v>20</v>
      </c>
      <c r="H3253" s="5">
        <v>-894682.8</v>
      </c>
      <c r="I3253" s="4" t="s">
        <v>21</v>
      </c>
      <c r="J3253" s="5">
        <f t="shared" si="50"/>
        <v>3767330.3342400002</v>
      </c>
      <c r="K3253" s="4" t="s">
        <v>52</v>
      </c>
      <c r="L3253" s="6">
        <v>4.2107999999999999</v>
      </c>
      <c r="M3253" s="6">
        <v>0.23749999999999999</v>
      </c>
      <c r="N3253" s="6">
        <v>4.2127999999999997</v>
      </c>
      <c r="O3253" s="6">
        <v>1</v>
      </c>
      <c r="P3253" s="5">
        <v>-2505.1098400000001</v>
      </c>
      <c r="Q3253" s="4" t="s">
        <v>1390</v>
      </c>
    </row>
    <row r="3254" spans="1:17" x14ac:dyDescent="0.3">
      <c r="A3254" s="2" t="s">
        <v>1389</v>
      </c>
      <c r="B3254" s="3">
        <v>158876</v>
      </c>
      <c r="C3254" s="3">
        <v>219752</v>
      </c>
      <c r="D3254" s="4" t="s">
        <v>17</v>
      </c>
      <c r="E3254" s="4" t="s">
        <v>1248</v>
      </c>
      <c r="F3254" s="4" t="s">
        <v>19</v>
      </c>
      <c r="G3254" s="4" t="s">
        <v>20</v>
      </c>
      <c r="H3254" s="5">
        <v>16000</v>
      </c>
      <c r="I3254" s="4" t="s">
        <v>21</v>
      </c>
      <c r="J3254" s="5">
        <f t="shared" si="50"/>
        <v>-66016</v>
      </c>
      <c r="K3254" s="4" t="s">
        <v>52</v>
      </c>
      <c r="L3254" s="6">
        <v>4.1260000000000003</v>
      </c>
      <c r="M3254" s="6">
        <v>0.2424</v>
      </c>
      <c r="N3254" s="6">
        <v>4.2127999999999997</v>
      </c>
      <c r="O3254" s="6">
        <v>1</v>
      </c>
      <c r="P3254" s="5">
        <v>1388.7999999999884</v>
      </c>
      <c r="Q3254" s="4" t="s">
        <v>1390</v>
      </c>
    </row>
    <row r="3255" spans="1:17" x14ac:dyDescent="0.3">
      <c r="A3255" s="2" t="s">
        <v>1389</v>
      </c>
      <c r="B3255" s="3">
        <v>158879</v>
      </c>
      <c r="C3255" s="3">
        <v>219755</v>
      </c>
      <c r="D3255" s="4" t="s">
        <v>17</v>
      </c>
      <c r="E3255" s="4" t="s">
        <v>1042</v>
      </c>
      <c r="F3255" s="4" t="s">
        <v>19</v>
      </c>
      <c r="G3255" s="4" t="s">
        <v>20</v>
      </c>
      <c r="H3255" s="5">
        <v>128095.38</v>
      </c>
      <c r="I3255" s="4" t="s">
        <v>21</v>
      </c>
      <c r="J3255" s="5">
        <f t="shared" si="50"/>
        <v>-537898.11969600001</v>
      </c>
      <c r="K3255" s="4" t="s">
        <v>52</v>
      </c>
      <c r="L3255" s="6">
        <v>4.1992000000000003</v>
      </c>
      <c r="M3255" s="6">
        <v>0.23810000000000001</v>
      </c>
      <c r="N3255" s="6">
        <v>4.2127999999999997</v>
      </c>
      <c r="O3255" s="6">
        <v>1</v>
      </c>
      <c r="P3255" s="5">
        <v>1742.0971679999493</v>
      </c>
      <c r="Q3255" s="4" t="s">
        <v>1390</v>
      </c>
    </row>
    <row r="3256" spans="1:17" x14ac:dyDescent="0.3">
      <c r="A3256" s="2" t="s">
        <v>1389</v>
      </c>
      <c r="B3256" s="3">
        <v>158880</v>
      </c>
      <c r="C3256" s="3">
        <v>908655</v>
      </c>
      <c r="D3256" s="4" t="s">
        <v>81</v>
      </c>
      <c r="E3256" s="4" t="s">
        <v>735</v>
      </c>
      <c r="F3256" s="4" t="s">
        <v>87</v>
      </c>
      <c r="G3256" s="4" t="s">
        <v>34</v>
      </c>
      <c r="H3256" s="5">
        <v>150000</v>
      </c>
      <c r="I3256" s="4" t="s">
        <v>74</v>
      </c>
      <c r="J3256" s="5">
        <f t="shared" si="50"/>
        <v>-1474500</v>
      </c>
      <c r="K3256" s="4" t="s">
        <v>54</v>
      </c>
      <c r="L3256" s="6">
        <v>9.83</v>
      </c>
      <c r="M3256" s="6">
        <v>0.1017</v>
      </c>
      <c r="N3256" s="6">
        <v>3.5499000000000001</v>
      </c>
      <c r="O3256" s="6">
        <v>0.36399999999999999</v>
      </c>
      <c r="P3256" s="5">
        <v>-4233</v>
      </c>
      <c r="Q3256" s="4" t="s">
        <v>1394</v>
      </c>
    </row>
    <row r="3257" spans="1:17" x14ac:dyDescent="0.3">
      <c r="A3257" s="2" t="s">
        <v>1389</v>
      </c>
      <c r="B3257" s="3">
        <v>158881</v>
      </c>
      <c r="C3257" s="3">
        <v>219759</v>
      </c>
      <c r="D3257" s="4" t="s">
        <v>17</v>
      </c>
      <c r="E3257" s="4" t="s">
        <v>1362</v>
      </c>
      <c r="F3257" s="4" t="s">
        <v>32</v>
      </c>
      <c r="G3257" s="4" t="s">
        <v>20</v>
      </c>
      <c r="H3257" s="5">
        <v>-190000</v>
      </c>
      <c r="I3257" s="4" t="s">
        <v>21</v>
      </c>
      <c r="J3257" s="5">
        <f t="shared" si="50"/>
        <v>800868.99999999988</v>
      </c>
      <c r="K3257" s="4" t="s">
        <v>52</v>
      </c>
      <c r="L3257" s="6">
        <v>4.2150999999999996</v>
      </c>
      <c r="M3257" s="6">
        <v>0.23719999999999999</v>
      </c>
      <c r="N3257" s="6">
        <v>4.2127999999999997</v>
      </c>
      <c r="O3257" s="6">
        <v>1</v>
      </c>
      <c r="P3257" s="5">
        <v>608</v>
      </c>
      <c r="Q3257" s="4" t="s">
        <v>1390</v>
      </c>
    </row>
    <row r="3258" spans="1:17" x14ac:dyDescent="0.3">
      <c r="A3258" s="2" t="s">
        <v>1389</v>
      </c>
      <c r="B3258" s="3">
        <v>158882</v>
      </c>
      <c r="C3258" s="3">
        <v>908691</v>
      </c>
      <c r="D3258" s="4" t="s">
        <v>81</v>
      </c>
      <c r="E3258" s="4" t="s">
        <v>734</v>
      </c>
      <c r="F3258" s="4" t="s">
        <v>87</v>
      </c>
      <c r="G3258" s="4" t="s">
        <v>20</v>
      </c>
      <c r="H3258" s="5">
        <v>100000</v>
      </c>
      <c r="I3258" s="4" t="s">
        <v>34</v>
      </c>
      <c r="J3258" s="5">
        <f t="shared" si="50"/>
        <v>-117370</v>
      </c>
      <c r="K3258" s="4" t="s">
        <v>54</v>
      </c>
      <c r="L3258" s="6">
        <v>1.1737</v>
      </c>
      <c r="M3258" s="6">
        <v>0.85199999999999998</v>
      </c>
      <c r="N3258" s="6">
        <v>4.2118000000000002</v>
      </c>
      <c r="O3258" s="6">
        <v>3.5499000000000001</v>
      </c>
      <c r="P3258" s="5">
        <v>4514.0374000000002</v>
      </c>
      <c r="Q3258" s="4" t="s">
        <v>1393</v>
      </c>
    </row>
    <row r="3259" spans="1:17" x14ac:dyDescent="0.3">
      <c r="A3259" s="2" t="s">
        <v>1389</v>
      </c>
      <c r="B3259" s="3">
        <v>158884</v>
      </c>
      <c r="C3259" s="3">
        <v>908701</v>
      </c>
      <c r="D3259" s="4" t="s">
        <v>81</v>
      </c>
      <c r="E3259" s="4" t="s">
        <v>736</v>
      </c>
      <c r="F3259" s="4" t="s">
        <v>87</v>
      </c>
      <c r="G3259" s="4" t="s">
        <v>74</v>
      </c>
      <c r="H3259" s="5">
        <v>340000</v>
      </c>
      <c r="I3259" s="4" t="s">
        <v>21</v>
      </c>
      <c r="J3259" s="5">
        <f t="shared" si="50"/>
        <v>-123896</v>
      </c>
      <c r="K3259" s="4" t="s">
        <v>54</v>
      </c>
      <c r="L3259" s="6">
        <v>0.3644</v>
      </c>
      <c r="M3259" s="6">
        <v>2.7442000000000002</v>
      </c>
      <c r="N3259" s="6">
        <v>0.36399999999999999</v>
      </c>
      <c r="O3259" s="6">
        <v>1</v>
      </c>
      <c r="P3259" s="5">
        <v>-136</v>
      </c>
      <c r="Q3259" s="4" t="s">
        <v>1390</v>
      </c>
    </row>
    <row r="3260" spans="1:17" x14ac:dyDescent="0.3">
      <c r="A3260" s="2" t="s">
        <v>1389</v>
      </c>
      <c r="B3260" s="3">
        <v>158885</v>
      </c>
      <c r="C3260" s="3">
        <v>219766</v>
      </c>
      <c r="D3260" s="4" t="s">
        <v>17</v>
      </c>
      <c r="E3260" s="4" t="s">
        <v>1084</v>
      </c>
      <c r="F3260" s="4" t="s">
        <v>19</v>
      </c>
      <c r="G3260" s="4" t="s">
        <v>20</v>
      </c>
      <c r="H3260" s="5">
        <v>50000</v>
      </c>
      <c r="I3260" s="4" t="s">
        <v>21</v>
      </c>
      <c r="J3260" s="5">
        <f t="shared" si="50"/>
        <v>-210225.00000000003</v>
      </c>
      <c r="K3260" s="4" t="s">
        <v>53</v>
      </c>
      <c r="L3260" s="6">
        <v>4.2045000000000003</v>
      </c>
      <c r="M3260" s="6">
        <v>0.23780000000000001</v>
      </c>
      <c r="N3260" s="6">
        <v>4.2050000000000001</v>
      </c>
      <c r="O3260" s="6">
        <v>1</v>
      </c>
      <c r="P3260" s="5">
        <v>24.999999999970896</v>
      </c>
      <c r="Q3260" s="4" t="s">
        <v>1390</v>
      </c>
    </row>
    <row r="3261" spans="1:17" x14ac:dyDescent="0.3">
      <c r="A3261" s="2" t="s">
        <v>1389</v>
      </c>
      <c r="B3261" s="3">
        <v>158886</v>
      </c>
      <c r="C3261" s="3">
        <v>908718</v>
      </c>
      <c r="D3261" s="4" t="s">
        <v>81</v>
      </c>
      <c r="E3261" s="4" t="s">
        <v>769</v>
      </c>
      <c r="F3261" s="4" t="s">
        <v>83</v>
      </c>
      <c r="G3261" s="4" t="s">
        <v>20</v>
      </c>
      <c r="H3261" s="5">
        <v>-100000</v>
      </c>
      <c r="I3261" s="4" t="s">
        <v>21</v>
      </c>
      <c r="J3261" s="5">
        <f t="shared" si="50"/>
        <v>421020.00000000006</v>
      </c>
      <c r="K3261" s="4" t="s">
        <v>54</v>
      </c>
      <c r="L3261" s="6">
        <v>4.2102000000000004</v>
      </c>
      <c r="M3261" s="6">
        <v>0.23749999999999999</v>
      </c>
      <c r="N3261" s="6">
        <v>4.2118000000000002</v>
      </c>
      <c r="O3261" s="6">
        <v>1</v>
      </c>
      <c r="P3261" s="5">
        <v>-160</v>
      </c>
      <c r="Q3261" s="4" t="s">
        <v>1390</v>
      </c>
    </row>
    <row r="3262" spans="1:17" x14ac:dyDescent="0.3">
      <c r="A3262" s="2" t="s">
        <v>1389</v>
      </c>
      <c r="B3262" s="3">
        <v>158887</v>
      </c>
      <c r="C3262" s="3">
        <v>908771</v>
      </c>
      <c r="D3262" s="4" t="s">
        <v>81</v>
      </c>
      <c r="E3262" s="4" t="s">
        <v>734</v>
      </c>
      <c r="F3262" s="4" t="s">
        <v>83</v>
      </c>
      <c r="G3262" s="4" t="s">
        <v>20</v>
      </c>
      <c r="H3262" s="5">
        <v>-500000</v>
      </c>
      <c r="I3262" s="4" t="s">
        <v>21</v>
      </c>
      <c r="J3262" s="5">
        <f t="shared" si="50"/>
        <v>2103250</v>
      </c>
      <c r="K3262" s="4" t="s">
        <v>54</v>
      </c>
      <c r="L3262" s="6">
        <v>4.2065000000000001</v>
      </c>
      <c r="M3262" s="6">
        <v>0.23769999999999999</v>
      </c>
      <c r="N3262" s="6">
        <v>4.2118000000000002</v>
      </c>
      <c r="O3262" s="6">
        <v>1</v>
      </c>
      <c r="P3262" s="5">
        <v>-2650</v>
      </c>
      <c r="Q3262" s="4" t="s">
        <v>1393</v>
      </c>
    </row>
    <row r="3263" spans="1:17" x14ac:dyDescent="0.3">
      <c r="A3263" s="2" t="s">
        <v>1389</v>
      </c>
      <c r="B3263" s="3">
        <v>158888</v>
      </c>
      <c r="C3263" s="3">
        <v>908774</v>
      </c>
      <c r="D3263" s="4" t="s">
        <v>81</v>
      </c>
      <c r="E3263" s="4" t="s">
        <v>734</v>
      </c>
      <c r="F3263" s="4" t="s">
        <v>83</v>
      </c>
      <c r="G3263" s="4" t="s">
        <v>20</v>
      </c>
      <c r="H3263" s="5">
        <v>-500000</v>
      </c>
      <c r="I3263" s="4" t="s">
        <v>21</v>
      </c>
      <c r="J3263" s="5">
        <f t="shared" si="50"/>
        <v>2103350</v>
      </c>
      <c r="K3263" s="4" t="s">
        <v>54</v>
      </c>
      <c r="L3263" s="6">
        <v>4.2066999999999997</v>
      </c>
      <c r="M3263" s="6">
        <v>0.23769999999999999</v>
      </c>
      <c r="N3263" s="6">
        <v>4.2118000000000002</v>
      </c>
      <c r="O3263" s="6">
        <v>1</v>
      </c>
      <c r="P3263" s="5">
        <v>-2550</v>
      </c>
      <c r="Q3263" s="4" t="s">
        <v>1393</v>
      </c>
    </row>
    <row r="3264" spans="1:17" x14ac:dyDescent="0.3">
      <c r="A3264" s="2" t="s">
        <v>1389</v>
      </c>
      <c r="B3264" s="3">
        <v>158889</v>
      </c>
      <c r="C3264" s="3">
        <v>908775</v>
      </c>
      <c r="D3264" s="4" t="s">
        <v>81</v>
      </c>
      <c r="E3264" s="4" t="s">
        <v>733</v>
      </c>
      <c r="F3264" s="4" t="s">
        <v>83</v>
      </c>
      <c r="G3264" s="4" t="s">
        <v>20</v>
      </c>
      <c r="H3264" s="5">
        <v>-500000</v>
      </c>
      <c r="I3264" s="4" t="s">
        <v>21</v>
      </c>
      <c r="J3264" s="5">
        <f t="shared" si="50"/>
        <v>2103400</v>
      </c>
      <c r="K3264" s="4" t="s">
        <v>54</v>
      </c>
      <c r="L3264" s="6">
        <v>4.2068000000000003</v>
      </c>
      <c r="M3264" s="6">
        <v>0.23769999999999999</v>
      </c>
      <c r="N3264" s="6">
        <v>4.2118000000000002</v>
      </c>
      <c r="O3264" s="6">
        <v>1</v>
      </c>
      <c r="P3264" s="5">
        <v>-2490</v>
      </c>
      <c r="Q3264" s="4" t="s">
        <v>1391</v>
      </c>
    </row>
    <row r="3265" spans="1:17" x14ac:dyDescent="0.3">
      <c r="A3265" s="2" t="s">
        <v>1389</v>
      </c>
      <c r="B3265" s="3">
        <v>158890</v>
      </c>
      <c r="C3265" s="3">
        <v>908778</v>
      </c>
      <c r="D3265" s="4" t="s">
        <v>81</v>
      </c>
      <c r="E3265" s="4" t="s">
        <v>734</v>
      </c>
      <c r="F3265" s="4" t="s">
        <v>83</v>
      </c>
      <c r="G3265" s="4" t="s">
        <v>20</v>
      </c>
      <c r="H3265" s="5">
        <v>-600000</v>
      </c>
      <c r="I3265" s="4" t="s">
        <v>34</v>
      </c>
      <c r="J3265" s="5">
        <f t="shared" si="50"/>
        <v>704280</v>
      </c>
      <c r="K3265" s="4" t="s">
        <v>54</v>
      </c>
      <c r="L3265" s="6">
        <v>1.1738</v>
      </c>
      <c r="M3265" s="6">
        <v>0.85189999999999999</v>
      </c>
      <c r="N3265" s="6">
        <v>4.2118000000000002</v>
      </c>
      <c r="O3265" s="6">
        <v>3.5499000000000001</v>
      </c>
      <c r="P3265" s="5">
        <v>-26892.5298</v>
      </c>
      <c r="Q3265" s="4" t="s">
        <v>1393</v>
      </c>
    </row>
    <row r="3266" spans="1:17" x14ac:dyDescent="0.3">
      <c r="A3266" s="2" t="s">
        <v>1389</v>
      </c>
      <c r="B3266" s="3">
        <v>158891</v>
      </c>
      <c r="C3266" s="3">
        <v>908818</v>
      </c>
      <c r="D3266" s="4" t="s">
        <v>81</v>
      </c>
      <c r="E3266" s="4" t="s">
        <v>733</v>
      </c>
      <c r="F3266" s="4" t="s">
        <v>87</v>
      </c>
      <c r="G3266" s="4" t="s">
        <v>20</v>
      </c>
      <c r="H3266" s="5">
        <v>500000</v>
      </c>
      <c r="I3266" s="4" t="s">
        <v>21</v>
      </c>
      <c r="J3266" s="5">
        <f t="shared" si="50"/>
        <v>-2103200</v>
      </c>
      <c r="K3266" s="4" t="s">
        <v>54</v>
      </c>
      <c r="L3266" s="6">
        <v>4.2064000000000004</v>
      </c>
      <c r="M3266" s="6">
        <v>0.23769999999999999</v>
      </c>
      <c r="N3266" s="6">
        <v>4.2118000000000002</v>
      </c>
      <c r="O3266" s="6">
        <v>1</v>
      </c>
      <c r="P3266" s="5">
        <v>2685</v>
      </c>
      <c r="Q3266" s="4" t="s">
        <v>1391</v>
      </c>
    </row>
    <row r="3267" spans="1:17" x14ac:dyDescent="0.3">
      <c r="A3267" s="2" t="s">
        <v>1389</v>
      </c>
      <c r="B3267" s="3">
        <v>158892</v>
      </c>
      <c r="C3267" s="3">
        <v>908821</v>
      </c>
      <c r="D3267" s="4" t="s">
        <v>81</v>
      </c>
      <c r="E3267" s="4" t="s">
        <v>733</v>
      </c>
      <c r="F3267" s="4" t="s">
        <v>83</v>
      </c>
      <c r="G3267" s="4" t="s">
        <v>20</v>
      </c>
      <c r="H3267" s="5">
        <v>-1000000</v>
      </c>
      <c r="I3267" s="4" t="s">
        <v>21</v>
      </c>
      <c r="J3267" s="5">
        <f t="shared" si="50"/>
        <v>4206300</v>
      </c>
      <c r="K3267" s="4" t="s">
        <v>54</v>
      </c>
      <c r="L3267" s="6">
        <v>4.2062999999999997</v>
      </c>
      <c r="M3267" s="6">
        <v>0.23769999999999999</v>
      </c>
      <c r="N3267" s="6">
        <v>4.2118000000000002</v>
      </c>
      <c r="O3267" s="6">
        <v>1</v>
      </c>
      <c r="P3267" s="5">
        <v>-5510</v>
      </c>
      <c r="Q3267" s="4" t="s">
        <v>1391</v>
      </c>
    </row>
    <row r="3268" spans="1:17" x14ac:dyDescent="0.3">
      <c r="A3268" s="2" t="s">
        <v>1389</v>
      </c>
      <c r="B3268" s="3">
        <v>158893</v>
      </c>
      <c r="C3268" s="3">
        <v>908835</v>
      </c>
      <c r="D3268" s="4" t="s">
        <v>81</v>
      </c>
      <c r="E3268" s="4" t="s">
        <v>742</v>
      </c>
      <c r="F3268" s="4" t="s">
        <v>87</v>
      </c>
      <c r="G3268" s="4" t="s">
        <v>20</v>
      </c>
      <c r="H3268" s="5">
        <v>500000</v>
      </c>
      <c r="I3268" s="4" t="s">
        <v>21</v>
      </c>
      <c r="J3268" s="5">
        <f t="shared" ref="J3268:J3331" si="51">-H3268*L3268</f>
        <v>-2102900</v>
      </c>
      <c r="K3268" s="4" t="s">
        <v>54</v>
      </c>
      <c r="L3268" s="6">
        <v>4.2058</v>
      </c>
      <c r="M3268" s="6">
        <v>0.23780000000000001</v>
      </c>
      <c r="N3268" s="6">
        <v>4.2118000000000002</v>
      </c>
      <c r="O3268" s="6">
        <v>1</v>
      </c>
      <c r="P3268" s="5">
        <v>3010</v>
      </c>
      <c r="Q3268" s="4" t="s">
        <v>1396</v>
      </c>
    </row>
    <row r="3269" spans="1:17" x14ac:dyDescent="0.3">
      <c r="A3269" s="2" t="s">
        <v>1389</v>
      </c>
      <c r="B3269" s="3">
        <v>158894</v>
      </c>
      <c r="C3269" s="3">
        <v>908845</v>
      </c>
      <c r="D3269" s="4" t="s">
        <v>81</v>
      </c>
      <c r="E3269" s="4" t="s">
        <v>725</v>
      </c>
      <c r="F3269" s="4" t="s">
        <v>83</v>
      </c>
      <c r="G3269" s="4" t="s">
        <v>20</v>
      </c>
      <c r="H3269" s="5">
        <v>-100000</v>
      </c>
      <c r="I3269" s="4" t="s">
        <v>453</v>
      </c>
      <c r="J3269" s="5">
        <f t="shared" si="51"/>
        <v>161630</v>
      </c>
      <c r="K3269" s="4" t="s">
        <v>54</v>
      </c>
      <c r="L3269" s="6">
        <v>1.6163000000000001</v>
      </c>
      <c r="M3269" s="6">
        <v>0.61870000000000003</v>
      </c>
      <c r="N3269" s="6">
        <v>4.2118000000000002</v>
      </c>
      <c r="O3269" s="6">
        <v>2.5958999999999999</v>
      </c>
      <c r="P3269" s="5">
        <v>-1607.2789</v>
      </c>
      <c r="Q3269" s="4" t="s">
        <v>1392</v>
      </c>
    </row>
    <row r="3270" spans="1:17" x14ac:dyDescent="0.3">
      <c r="A3270" s="2" t="s">
        <v>1389</v>
      </c>
      <c r="B3270" s="3">
        <v>158895</v>
      </c>
      <c r="C3270" s="3">
        <v>908849</v>
      </c>
      <c r="D3270" s="4" t="s">
        <v>81</v>
      </c>
      <c r="E3270" s="4" t="s">
        <v>742</v>
      </c>
      <c r="F3270" s="4" t="s">
        <v>87</v>
      </c>
      <c r="G3270" s="4" t="s">
        <v>20</v>
      </c>
      <c r="H3270" s="5">
        <v>500000</v>
      </c>
      <c r="I3270" s="4" t="s">
        <v>21</v>
      </c>
      <c r="J3270" s="5">
        <f t="shared" si="51"/>
        <v>-2102550</v>
      </c>
      <c r="K3270" s="4" t="s">
        <v>54</v>
      </c>
      <c r="L3270" s="6">
        <v>4.2050999999999998</v>
      </c>
      <c r="M3270" s="6">
        <v>0.23780000000000001</v>
      </c>
      <c r="N3270" s="6">
        <v>4.2118000000000002</v>
      </c>
      <c r="O3270" s="6">
        <v>1</v>
      </c>
      <c r="P3270" s="5">
        <v>3350</v>
      </c>
      <c r="Q3270" s="4" t="s">
        <v>1396</v>
      </c>
    </row>
    <row r="3271" spans="1:17" x14ac:dyDescent="0.3">
      <c r="A3271" s="2" t="s">
        <v>1389</v>
      </c>
      <c r="B3271" s="3">
        <v>158896</v>
      </c>
      <c r="C3271" s="3">
        <v>908850</v>
      </c>
      <c r="D3271" s="4" t="s">
        <v>81</v>
      </c>
      <c r="E3271" s="4" t="s">
        <v>732</v>
      </c>
      <c r="F3271" s="4" t="s">
        <v>83</v>
      </c>
      <c r="G3271" s="4" t="s">
        <v>20</v>
      </c>
      <c r="H3271" s="5">
        <v>-100000</v>
      </c>
      <c r="I3271" s="4" t="s">
        <v>21</v>
      </c>
      <c r="J3271" s="5">
        <f t="shared" si="51"/>
        <v>420490.00000000006</v>
      </c>
      <c r="K3271" s="4" t="s">
        <v>54</v>
      </c>
      <c r="L3271" s="6">
        <v>4.2049000000000003</v>
      </c>
      <c r="M3271" s="6">
        <v>0.23780000000000001</v>
      </c>
      <c r="N3271" s="6">
        <v>4.2118000000000002</v>
      </c>
      <c r="O3271" s="6">
        <v>1</v>
      </c>
      <c r="P3271" s="5">
        <v>-690</v>
      </c>
      <c r="Q3271" s="4" t="s">
        <v>1394</v>
      </c>
    </row>
    <row r="3272" spans="1:17" x14ac:dyDescent="0.3">
      <c r="A3272" s="2" t="s">
        <v>1389</v>
      </c>
      <c r="B3272" s="3">
        <v>158898</v>
      </c>
      <c r="C3272" s="3">
        <v>908857</v>
      </c>
      <c r="D3272" s="4" t="s">
        <v>81</v>
      </c>
      <c r="E3272" s="4" t="s">
        <v>734</v>
      </c>
      <c r="F3272" s="4" t="s">
        <v>83</v>
      </c>
      <c r="G3272" s="4" t="s">
        <v>20</v>
      </c>
      <c r="H3272" s="5">
        <v>-100000</v>
      </c>
      <c r="I3272" s="4" t="s">
        <v>34</v>
      </c>
      <c r="J3272" s="5">
        <f t="shared" si="51"/>
        <v>117429.99999999999</v>
      </c>
      <c r="K3272" s="4" t="s">
        <v>54</v>
      </c>
      <c r="L3272" s="6">
        <v>1.1742999999999999</v>
      </c>
      <c r="M3272" s="6">
        <v>0.85150000000000003</v>
      </c>
      <c r="N3272" s="6">
        <v>4.2118000000000002</v>
      </c>
      <c r="O3272" s="6">
        <v>3.5499000000000001</v>
      </c>
      <c r="P3272" s="5">
        <v>-4304.5933000000005</v>
      </c>
      <c r="Q3272" s="4" t="s">
        <v>1393</v>
      </c>
    </row>
    <row r="3273" spans="1:17" x14ac:dyDescent="0.3">
      <c r="A3273" s="2" t="s">
        <v>1389</v>
      </c>
      <c r="B3273" s="3">
        <v>158901</v>
      </c>
      <c r="C3273" s="3">
        <v>219785</v>
      </c>
      <c r="D3273" s="4" t="s">
        <v>17</v>
      </c>
      <c r="E3273" s="4" t="s">
        <v>948</v>
      </c>
      <c r="F3273" s="4" t="s">
        <v>19</v>
      </c>
      <c r="G3273" s="4" t="s">
        <v>34</v>
      </c>
      <c r="H3273" s="5">
        <v>140000</v>
      </c>
      <c r="I3273" s="4" t="s">
        <v>21</v>
      </c>
      <c r="J3273" s="5">
        <f t="shared" si="51"/>
        <v>-500080</v>
      </c>
      <c r="K3273" s="4" t="s">
        <v>52</v>
      </c>
      <c r="L3273" s="6">
        <v>3.5720000000000001</v>
      </c>
      <c r="M3273" s="6">
        <v>0.28000000000000003</v>
      </c>
      <c r="N3273" s="6">
        <v>3.6027999999999998</v>
      </c>
      <c r="O3273" s="6">
        <v>1</v>
      </c>
      <c r="P3273" s="5">
        <v>4311.9999999999418</v>
      </c>
      <c r="Q3273" s="4" t="s">
        <v>1390</v>
      </c>
    </row>
    <row r="3274" spans="1:17" x14ac:dyDescent="0.3">
      <c r="A3274" s="2" t="s">
        <v>1389</v>
      </c>
      <c r="B3274" s="3">
        <v>158902</v>
      </c>
      <c r="C3274" s="3">
        <v>219786</v>
      </c>
      <c r="D3274" s="4" t="s">
        <v>17</v>
      </c>
      <c r="E3274" s="4" t="s">
        <v>948</v>
      </c>
      <c r="F3274" s="4" t="s">
        <v>19</v>
      </c>
      <c r="G3274" s="4" t="s">
        <v>20</v>
      </c>
      <c r="H3274" s="5">
        <v>60000</v>
      </c>
      <c r="I3274" s="4" t="s">
        <v>21</v>
      </c>
      <c r="J3274" s="5">
        <f t="shared" si="51"/>
        <v>-251783.99999999997</v>
      </c>
      <c r="K3274" s="4" t="s">
        <v>52</v>
      </c>
      <c r="L3274" s="6">
        <v>4.1963999999999997</v>
      </c>
      <c r="M3274" s="6">
        <v>0.23830000000000001</v>
      </c>
      <c r="N3274" s="6">
        <v>4.2127999999999997</v>
      </c>
      <c r="O3274" s="6">
        <v>1</v>
      </c>
      <c r="P3274" s="5">
        <v>984</v>
      </c>
      <c r="Q3274" s="4" t="s">
        <v>1390</v>
      </c>
    </row>
    <row r="3275" spans="1:17" x14ac:dyDescent="0.3">
      <c r="A3275" s="2" t="s">
        <v>1389</v>
      </c>
      <c r="B3275" s="3">
        <v>158903</v>
      </c>
      <c r="C3275" s="3">
        <v>219787</v>
      </c>
      <c r="D3275" s="4" t="s">
        <v>17</v>
      </c>
      <c r="E3275" s="4" t="s">
        <v>1104</v>
      </c>
      <c r="F3275" s="4" t="s">
        <v>19</v>
      </c>
      <c r="G3275" s="4" t="s">
        <v>20</v>
      </c>
      <c r="H3275" s="5">
        <v>20000</v>
      </c>
      <c r="I3275" s="4" t="s">
        <v>21</v>
      </c>
      <c r="J3275" s="5">
        <f t="shared" si="51"/>
        <v>-84010</v>
      </c>
      <c r="K3275" s="4" t="s">
        <v>52</v>
      </c>
      <c r="L3275" s="6">
        <v>4.2004999999999999</v>
      </c>
      <c r="M3275" s="6">
        <v>0.23810000000000001</v>
      </c>
      <c r="N3275" s="6">
        <v>4.2127999999999997</v>
      </c>
      <c r="O3275" s="6">
        <v>1</v>
      </c>
      <c r="P3275" s="5">
        <v>246</v>
      </c>
      <c r="Q3275" s="4" t="s">
        <v>1390</v>
      </c>
    </row>
    <row r="3276" spans="1:17" x14ac:dyDescent="0.3">
      <c r="A3276" s="2" t="s">
        <v>1389</v>
      </c>
      <c r="B3276" s="3">
        <v>158904</v>
      </c>
      <c r="C3276" s="3">
        <v>908893</v>
      </c>
      <c r="D3276" s="4" t="s">
        <v>81</v>
      </c>
      <c r="E3276" s="4" t="s">
        <v>735</v>
      </c>
      <c r="F3276" s="4" t="s">
        <v>83</v>
      </c>
      <c r="G3276" s="4" t="s">
        <v>20</v>
      </c>
      <c r="H3276" s="5">
        <v>-100000</v>
      </c>
      <c r="I3276" s="4" t="s">
        <v>624</v>
      </c>
      <c r="J3276" s="5">
        <f t="shared" si="51"/>
        <v>509420</v>
      </c>
      <c r="K3276" s="4" t="s">
        <v>54</v>
      </c>
      <c r="L3276" s="6">
        <v>5.0941999999999998</v>
      </c>
      <c r="M3276" s="6">
        <v>0.1963</v>
      </c>
      <c r="N3276" s="6">
        <v>4.2118000000000002</v>
      </c>
      <c r="O3276" s="6">
        <v>0.82640000000000002</v>
      </c>
      <c r="P3276" s="5">
        <v>-195.31200000000001</v>
      </c>
      <c r="Q3276" s="4" t="s">
        <v>1394</v>
      </c>
    </row>
    <row r="3277" spans="1:17" x14ac:dyDescent="0.3">
      <c r="A3277" s="2" t="s">
        <v>1389</v>
      </c>
      <c r="B3277" s="3">
        <v>158906</v>
      </c>
      <c r="C3277" s="3">
        <v>908904</v>
      </c>
      <c r="D3277" s="4" t="s">
        <v>81</v>
      </c>
      <c r="E3277" s="4" t="s">
        <v>735</v>
      </c>
      <c r="F3277" s="4" t="s">
        <v>87</v>
      </c>
      <c r="G3277" s="4" t="s">
        <v>20</v>
      </c>
      <c r="H3277" s="5">
        <v>200000</v>
      </c>
      <c r="I3277" s="4" t="s">
        <v>624</v>
      </c>
      <c r="J3277" s="5">
        <f t="shared" si="51"/>
        <v>-1018840</v>
      </c>
      <c r="K3277" s="4" t="s">
        <v>54</v>
      </c>
      <c r="L3277" s="6">
        <v>5.0941999999999998</v>
      </c>
      <c r="M3277" s="6">
        <v>0.1963</v>
      </c>
      <c r="N3277" s="6">
        <v>4.2118000000000002</v>
      </c>
      <c r="O3277" s="6">
        <v>0.82640000000000002</v>
      </c>
      <c r="P3277" s="5">
        <v>390.62400000000002</v>
      </c>
      <c r="Q3277" s="4" t="s">
        <v>1394</v>
      </c>
    </row>
    <row r="3278" spans="1:17" x14ac:dyDescent="0.3">
      <c r="A3278" s="2" t="s">
        <v>1389</v>
      </c>
      <c r="B3278" s="3">
        <v>158907</v>
      </c>
      <c r="C3278" s="3">
        <v>219791</v>
      </c>
      <c r="D3278" s="4" t="s">
        <v>17</v>
      </c>
      <c r="E3278" s="4" t="s">
        <v>1321</v>
      </c>
      <c r="F3278" s="4" t="s">
        <v>32</v>
      </c>
      <c r="G3278" s="4" t="s">
        <v>20</v>
      </c>
      <c r="H3278" s="5">
        <v>-35000</v>
      </c>
      <c r="I3278" s="4" t="s">
        <v>21</v>
      </c>
      <c r="J3278" s="5">
        <f t="shared" si="51"/>
        <v>147297.5</v>
      </c>
      <c r="K3278" s="4" t="s">
        <v>52</v>
      </c>
      <c r="L3278" s="6">
        <v>4.2084999999999999</v>
      </c>
      <c r="M3278" s="6">
        <v>0.23760000000000001</v>
      </c>
      <c r="N3278" s="6">
        <v>4.2127999999999997</v>
      </c>
      <c r="O3278" s="6">
        <v>1</v>
      </c>
      <c r="P3278" s="5">
        <v>-150.5</v>
      </c>
      <c r="Q3278" s="4" t="s">
        <v>1390</v>
      </c>
    </row>
    <row r="3279" spans="1:17" x14ac:dyDescent="0.3">
      <c r="A3279" s="2" t="s">
        <v>1389</v>
      </c>
      <c r="B3279" s="3">
        <v>158909</v>
      </c>
      <c r="C3279" s="3">
        <v>219793</v>
      </c>
      <c r="D3279" s="4" t="s">
        <v>17</v>
      </c>
      <c r="E3279" s="4" t="s">
        <v>1168</v>
      </c>
      <c r="F3279" s="4" t="s">
        <v>32</v>
      </c>
      <c r="G3279" s="4" t="s">
        <v>20</v>
      </c>
      <c r="H3279" s="5">
        <v>-150000</v>
      </c>
      <c r="I3279" s="4" t="s">
        <v>21</v>
      </c>
      <c r="J3279" s="5">
        <f t="shared" si="51"/>
        <v>632670.00000000012</v>
      </c>
      <c r="K3279" s="4" t="s">
        <v>52</v>
      </c>
      <c r="L3279" s="6">
        <v>4.2178000000000004</v>
      </c>
      <c r="M3279" s="6">
        <v>0.23710000000000001</v>
      </c>
      <c r="N3279" s="6">
        <v>4.2127999999999997</v>
      </c>
      <c r="O3279" s="6">
        <v>1</v>
      </c>
      <c r="P3279" s="5">
        <v>630</v>
      </c>
      <c r="Q3279" s="4" t="s">
        <v>1390</v>
      </c>
    </row>
    <row r="3280" spans="1:17" x14ac:dyDescent="0.3">
      <c r="A3280" s="2" t="s">
        <v>1389</v>
      </c>
      <c r="B3280" s="3">
        <v>158910</v>
      </c>
      <c r="C3280" s="3">
        <v>219794</v>
      </c>
      <c r="D3280" s="4" t="s">
        <v>17</v>
      </c>
      <c r="E3280" s="4" t="s">
        <v>1051</v>
      </c>
      <c r="F3280" s="4" t="s">
        <v>32</v>
      </c>
      <c r="G3280" s="4" t="s">
        <v>34</v>
      </c>
      <c r="H3280" s="5">
        <v>-100000</v>
      </c>
      <c r="I3280" s="4" t="s">
        <v>21</v>
      </c>
      <c r="J3280" s="5">
        <f t="shared" si="51"/>
        <v>358010</v>
      </c>
      <c r="K3280" s="4" t="s">
        <v>52</v>
      </c>
      <c r="L3280" s="6">
        <v>3.5800999999999998</v>
      </c>
      <c r="M3280" s="6">
        <v>0.27929999999999999</v>
      </c>
      <c r="N3280" s="6">
        <v>3.6027999999999998</v>
      </c>
      <c r="O3280" s="6">
        <v>1</v>
      </c>
      <c r="P3280" s="5">
        <v>-2280</v>
      </c>
      <c r="Q3280" s="4" t="s">
        <v>1390</v>
      </c>
    </row>
    <row r="3281" spans="1:17" x14ac:dyDescent="0.3">
      <c r="A3281" s="2" t="s">
        <v>1389</v>
      </c>
      <c r="B3281" s="3">
        <v>158912</v>
      </c>
      <c r="C3281" s="3">
        <v>908929</v>
      </c>
      <c r="D3281" s="4" t="s">
        <v>81</v>
      </c>
      <c r="E3281" s="4" t="s">
        <v>735</v>
      </c>
      <c r="F3281" s="4" t="s">
        <v>83</v>
      </c>
      <c r="G3281" s="4" t="s">
        <v>34</v>
      </c>
      <c r="H3281" s="5">
        <v>-5374.3</v>
      </c>
      <c r="I3281" s="4" t="s">
        <v>21</v>
      </c>
      <c r="J3281" s="5">
        <f t="shared" si="51"/>
        <v>19213.122500000001</v>
      </c>
      <c r="K3281" s="4" t="s">
        <v>54</v>
      </c>
      <c r="L3281" s="6">
        <v>3.5750000000000002</v>
      </c>
      <c r="M3281" s="6">
        <v>0.2797</v>
      </c>
      <c r="N3281" s="6">
        <v>3.5499000000000001</v>
      </c>
      <c r="O3281" s="6">
        <v>1</v>
      </c>
      <c r="P3281" s="5">
        <v>134.89242999999999</v>
      </c>
      <c r="Q3281" s="4" t="s">
        <v>1394</v>
      </c>
    </row>
    <row r="3282" spans="1:17" x14ac:dyDescent="0.3">
      <c r="A3282" s="2" t="s">
        <v>1389</v>
      </c>
      <c r="B3282" s="3">
        <v>158913</v>
      </c>
      <c r="C3282" s="3">
        <v>908930</v>
      </c>
      <c r="D3282" s="4" t="s">
        <v>81</v>
      </c>
      <c r="E3282" s="4" t="s">
        <v>735</v>
      </c>
      <c r="F3282" s="4" t="s">
        <v>83</v>
      </c>
      <c r="G3282" s="4" t="s">
        <v>91</v>
      </c>
      <c r="H3282" s="5">
        <v>-4803.17</v>
      </c>
      <c r="I3282" s="4" t="s">
        <v>21</v>
      </c>
      <c r="J3282" s="5">
        <f t="shared" si="51"/>
        <v>23333.319543000001</v>
      </c>
      <c r="K3282" s="4" t="s">
        <v>54</v>
      </c>
      <c r="L3282" s="6">
        <v>4.8578999999999999</v>
      </c>
      <c r="M3282" s="6">
        <v>0.2059</v>
      </c>
      <c r="N3282" s="6">
        <v>4.8536999999999999</v>
      </c>
      <c r="O3282" s="6">
        <v>1</v>
      </c>
      <c r="P3282" s="5">
        <v>20.173770999999999</v>
      </c>
      <c r="Q3282" s="4" t="s">
        <v>1394</v>
      </c>
    </row>
    <row r="3283" spans="1:17" x14ac:dyDescent="0.3">
      <c r="A3283" s="2" t="s">
        <v>1389</v>
      </c>
      <c r="B3283" s="3">
        <v>158914</v>
      </c>
      <c r="C3283" s="3">
        <v>908931</v>
      </c>
      <c r="D3283" s="4" t="s">
        <v>81</v>
      </c>
      <c r="E3283" s="4" t="s">
        <v>735</v>
      </c>
      <c r="F3283" s="4" t="s">
        <v>83</v>
      </c>
      <c r="G3283" s="4" t="s">
        <v>20</v>
      </c>
      <c r="H3283" s="5">
        <v>-37302.43</v>
      </c>
      <c r="I3283" s="4" t="s">
        <v>21</v>
      </c>
      <c r="J3283" s="5">
        <f t="shared" si="51"/>
        <v>156964.89519700001</v>
      </c>
      <c r="K3283" s="4" t="s">
        <v>54</v>
      </c>
      <c r="L3283" s="6">
        <v>4.2079000000000004</v>
      </c>
      <c r="M3283" s="6">
        <v>0.23760000000000001</v>
      </c>
      <c r="N3283" s="6">
        <v>4.2118000000000002</v>
      </c>
      <c r="O3283" s="6">
        <v>1</v>
      </c>
      <c r="P3283" s="5">
        <v>-145.47467399999999</v>
      </c>
      <c r="Q3283" s="4" t="s">
        <v>1394</v>
      </c>
    </row>
    <row r="3284" spans="1:17" x14ac:dyDescent="0.3">
      <c r="A3284" s="2" t="s">
        <v>1389</v>
      </c>
      <c r="B3284" s="3">
        <v>158915</v>
      </c>
      <c r="C3284" s="3">
        <v>908932</v>
      </c>
      <c r="D3284" s="4" t="s">
        <v>81</v>
      </c>
      <c r="E3284" s="4" t="s">
        <v>735</v>
      </c>
      <c r="F3284" s="4" t="s">
        <v>83</v>
      </c>
      <c r="G3284" s="4" t="s">
        <v>93</v>
      </c>
      <c r="H3284" s="5">
        <v>-3944.08</v>
      </c>
      <c r="I3284" s="4" t="s">
        <v>21</v>
      </c>
      <c r="J3284" s="5">
        <f t="shared" si="51"/>
        <v>17894.685367999999</v>
      </c>
      <c r="K3284" s="4" t="s">
        <v>54</v>
      </c>
      <c r="L3284" s="6">
        <v>4.5370999999999997</v>
      </c>
      <c r="M3284" s="6">
        <v>0.22040000000000001</v>
      </c>
      <c r="N3284" s="6">
        <v>4.5758000000000001</v>
      </c>
      <c r="O3284" s="6">
        <v>1</v>
      </c>
      <c r="P3284" s="5">
        <v>-152.63126399999999</v>
      </c>
      <c r="Q3284" s="4" t="s">
        <v>1394</v>
      </c>
    </row>
    <row r="3285" spans="1:17" x14ac:dyDescent="0.3">
      <c r="A3285" s="2" t="s">
        <v>1389</v>
      </c>
      <c r="B3285" s="3">
        <v>158916</v>
      </c>
      <c r="C3285" s="3">
        <v>908937</v>
      </c>
      <c r="D3285" s="4" t="s">
        <v>81</v>
      </c>
      <c r="E3285" s="4" t="s">
        <v>734</v>
      </c>
      <c r="F3285" s="4" t="s">
        <v>87</v>
      </c>
      <c r="G3285" s="4" t="s">
        <v>34</v>
      </c>
      <c r="H3285" s="5">
        <v>200000</v>
      </c>
      <c r="I3285" s="4" t="s">
        <v>21</v>
      </c>
      <c r="J3285" s="5">
        <f t="shared" si="51"/>
        <v>-714680</v>
      </c>
      <c r="K3285" s="4" t="s">
        <v>54</v>
      </c>
      <c r="L3285" s="6">
        <v>3.5733999999999999</v>
      </c>
      <c r="M3285" s="6">
        <v>0.27979999999999999</v>
      </c>
      <c r="N3285" s="6">
        <v>3.5499000000000001</v>
      </c>
      <c r="O3285" s="6">
        <v>1</v>
      </c>
      <c r="P3285" s="5">
        <v>-4700</v>
      </c>
      <c r="Q3285" s="4" t="s">
        <v>1393</v>
      </c>
    </row>
    <row r="3286" spans="1:17" x14ac:dyDescent="0.3">
      <c r="A3286" s="2" t="s">
        <v>1389</v>
      </c>
      <c r="B3286" s="3">
        <v>158917</v>
      </c>
      <c r="C3286" s="3">
        <v>908938</v>
      </c>
      <c r="D3286" s="4" t="s">
        <v>81</v>
      </c>
      <c r="E3286" s="4" t="s">
        <v>734</v>
      </c>
      <c r="F3286" s="4" t="s">
        <v>87</v>
      </c>
      <c r="G3286" s="4" t="s">
        <v>34</v>
      </c>
      <c r="H3286" s="5">
        <v>200000</v>
      </c>
      <c r="I3286" s="4" t="s">
        <v>21</v>
      </c>
      <c r="J3286" s="5">
        <f t="shared" si="51"/>
        <v>-714500</v>
      </c>
      <c r="K3286" s="4" t="s">
        <v>54</v>
      </c>
      <c r="L3286" s="6">
        <v>3.5724999999999998</v>
      </c>
      <c r="M3286" s="6">
        <v>0.27989999999999998</v>
      </c>
      <c r="N3286" s="6">
        <v>3.5499000000000001</v>
      </c>
      <c r="O3286" s="6">
        <v>1</v>
      </c>
      <c r="P3286" s="5">
        <v>-4520</v>
      </c>
      <c r="Q3286" s="4" t="s">
        <v>1393</v>
      </c>
    </row>
    <row r="3287" spans="1:17" x14ac:dyDescent="0.3">
      <c r="A3287" s="2" t="s">
        <v>1389</v>
      </c>
      <c r="B3287" s="3">
        <v>158918</v>
      </c>
      <c r="C3287" s="3">
        <v>908939</v>
      </c>
      <c r="D3287" s="4" t="s">
        <v>81</v>
      </c>
      <c r="E3287" s="4" t="s">
        <v>735</v>
      </c>
      <c r="F3287" s="4" t="s">
        <v>83</v>
      </c>
      <c r="G3287" s="4" t="s">
        <v>20</v>
      </c>
      <c r="H3287" s="5">
        <v>-100397.03</v>
      </c>
      <c r="I3287" s="4" t="s">
        <v>21</v>
      </c>
      <c r="J3287" s="5">
        <f t="shared" si="51"/>
        <v>422239.78907100001</v>
      </c>
      <c r="K3287" s="4" t="s">
        <v>54</v>
      </c>
      <c r="L3287" s="6">
        <v>4.2057000000000002</v>
      </c>
      <c r="M3287" s="6">
        <v>0.23780000000000001</v>
      </c>
      <c r="N3287" s="6">
        <v>4.2118000000000002</v>
      </c>
      <c r="O3287" s="6">
        <v>1</v>
      </c>
      <c r="P3287" s="5">
        <v>-612.42095400000005</v>
      </c>
      <c r="Q3287" s="4" t="s">
        <v>1394</v>
      </c>
    </row>
    <row r="3288" spans="1:17" x14ac:dyDescent="0.3">
      <c r="A3288" s="2" t="s">
        <v>1389</v>
      </c>
      <c r="B3288" s="3">
        <v>158919</v>
      </c>
      <c r="C3288" s="3">
        <v>908941</v>
      </c>
      <c r="D3288" s="4" t="s">
        <v>81</v>
      </c>
      <c r="E3288" s="4" t="s">
        <v>734</v>
      </c>
      <c r="F3288" s="4" t="s">
        <v>83</v>
      </c>
      <c r="G3288" s="4" t="s">
        <v>34</v>
      </c>
      <c r="H3288" s="5">
        <v>-3994.25</v>
      </c>
      <c r="I3288" s="4" t="s">
        <v>21</v>
      </c>
      <c r="J3288" s="5">
        <f t="shared" si="51"/>
        <v>14226.719649999999</v>
      </c>
      <c r="K3288" s="4" t="s">
        <v>54</v>
      </c>
      <c r="L3288" s="6">
        <v>3.5617999999999999</v>
      </c>
      <c r="M3288" s="6">
        <v>0.28079999999999999</v>
      </c>
      <c r="N3288" s="6">
        <v>3.5499000000000001</v>
      </c>
      <c r="O3288" s="6">
        <v>1</v>
      </c>
      <c r="P3288" s="5">
        <v>47.451925000000003</v>
      </c>
      <c r="Q3288" s="4" t="s">
        <v>1393</v>
      </c>
    </row>
    <row r="3289" spans="1:17" x14ac:dyDescent="0.3">
      <c r="A3289" s="2" t="s">
        <v>1389</v>
      </c>
      <c r="B3289" s="3">
        <v>158920</v>
      </c>
      <c r="C3289" s="3">
        <v>908942</v>
      </c>
      <c r="D3289" s="4" t="s">
        <v>81</v>
      </c>
      <c r="E3289" s="4" t="s">
        <v>735</v>
      </c>
      <c r="F3289" s="4" t="s">
        <v>87</v>
      </c>
      <c r="G3289" s="4" t="s">
        <v>91</v>
      </c>
      <c r="H3289" s="5">
        <v>14324.2</v>
      </c>
      <c r="I3289" s="4" t="s">
        <v>21</v>
      </c>
      <c r="J3289" s="5">
        <f t="shared" si="51"/>
        <v>-69518.207440000013</v>
      </c>
      <c r="K3289" s="4" t="s">
        <v>54</v>
      </c>
      <c r="L3289" s="6">
        <v>4.8532000000000002</v>
      </c>
      <c r="M3289" s="6">
        <v>0.20599999999999999</v>
      </c>
      <c r="N3289" s="6">
        <v>4.8536999999999999</v>
      </c>
      <c r="O3289" s="6">
        <v>1</v>
      </c>
      <c r="P3289" s="5">
        <v>7.1595399999999998</v>
      </c>
      <c r="Q3289" s="4" t="s">
        <v>1394</v>
      </c>
    </row>
    <row r="3290" spans="1:17" x14ac:dyDescent="0.3">
      <c r="A3290" s="2" t="s">
        <v>1389</v>
      </c>
      <c r="B3290" s="3">
        <v>158921</v>
      </c>
      <c r="C3290" s="3">
        <v>908943</v>
      </c>
      <c r="D3290" s="4" t="s">
        <v>81</v>
      </c>
      <c r="E3290" s="4" t="s">
        <v>743</v>
      </c>
      <c r="F3290" s="4" t="s">
        <v>87</v>
      </c>
      <c r="G3290" s="4" t="s">
        <v>93</v>
      </c>
      <c r="H3290" s="5">
        <v>2102.9499999999998</v>
      </c>
      <c r="I3290" s="4" t="s">
        <v>21</v>
      </c>
      <c r="J3290" s="5">
        <f t="shared" si="51"/>
        <v>-9573.8901699999988</v>
      </c>
      <c r="K3290" s="4" t="s">
        <v>54</v>
      </c>
      <c r="L3290" s="6">
        <v>4.5526</v>
      </c>
      <c r="M3290" s="6">
        <v>0.21970000000000001</v>
      </c>
      <c r="N3290" s="6">
        <v>4.5758000000000001</v>
      </c>
      <c r="O3290" s="6">
        <v>1</v>
      </c>
      <c r="P3290" s="5">
        <v>48.768610000000002</v>
      </c>
      <c r="Q3290" s="4" t="s">
        <v>1395</v>
      </c>
    </row>
    <row r="3291" spans="1:17" x14ac:dyDescent="0.3">
      <c r="A3291" s="2" t="s">
        <v>1389</v>
      </c>
      <c r="B3291" s="3">
        <v>158922</v>
      </c>
      <c r="C3291" s="3">
        <v>908944</v>
      </c>
      <c r="D3291" s="4" t="s">
        <v>81</v>
      </c>
      <c r="E3291" s="4" t="s">
        <v>734</v>
      </c>
      <c r="F3291" s="4" t="s">
        <v>83</v>
      </c>
      <c r="G3291" s="4" t="s">
        <v>20</v>
      </c>
      <c r="H3291" s="5">
        <v>-57807.71</v>
      </c>
      <c r="I3291" s="4" t="s">
        <v>21</v>
      </c>
      <c r="J3291" s="5">
        <f t="shared" si="51"/>
        <v>243208.59751200001</v>
      </c>
      <c r="K3291" s="4" t="s">
        <v>54</v>
      </c>
      <c r="L3291" s="6">
        <v>4.2072000000000003</v>
      </c>
      <c r="M3291" s="6">
        <v>0.23769999999999999</v>
      </c>
      <c r="N3291" s="6">
        <v>4.2118000000000002</v>
      </c>
      <c r="O3291" s="6">
        <v>1</v>
      </c>
      <c r="P3291" s="5">
        <v>-268.802978</v>
      </c>
      <c r="Q3291" s="4" t="s">
        <v>1393</v>
      </c>
    </row>
    <row r="3292" spans="1:17" x14ac:dyDescent="0.3">
      <c r="A3292" s="2" t="s">
        <v>1389</v>
      </c>
      <c r="B3292" s="3">
        <v>158923</v>
      </c>
      <c r="C3292" s="3">
        <v>219797</v>
      </c>
      <c r="D3292" s="4" t="s">
        <v>17</v>
      </c>
      <c r="E3292" s="4" t="s">
        <v>734</v>
      </c>
      <c r="F3292" s="4" t="s">
        <v>19</v>
      </c>
      <c r="G3292" s="4" t="s">
        <v>20</v>
      </c>
      <c r="H3292" s="5">
        <v>5000</v>
      </c>
      <c r="I3292" s="4" t="s">
        <v>21</v>
      </c>
      <c r="J3292" s="5">
        <f t="shared" si="51"/>
        <v>-21038</v>
      </c>
      <c r="K3292" s="4" t="s">
        <v>53</v>
      </c>
      <c r="L3292" s="6">
        <v>4.2076000000000002</v>
      </c>
      <c r="M3292" s="6">
        <v>0.23769999999999999</v>
      </c>
      <c r="N3292" s="6">
        <v>4.2050000000000001</v>
      </c>
      <c r="O3292" s="6">
        <v>1</v>
      </c>
      <c r="P3292" s="5">
        <v>-13</v>
      </c>
      <c r="Q3292" s="4" t="s">
        <v>1393</v>
      </c>
    </row>
    <row r="3293" spans="1:17" x14ac:dyDescent="0.3">
      <c r="A3293" s="2" t="s">
        <v>1389</v>
      </c>
      <c r="B3293" s="3">
        <v>158924</v>
      </c>
      <c r="C3293" s="3">
        <v>219798</v>
      </c>
      <c r="D3293" s="4" t="s">
        <v>17</v>
      </c>
      <c r="E3293" s="4" t="s">
        <v>1018</v>
      </c>
      <c r="F3293" s="4" t="s">
        <v>32</v>
      </c>
      <c r="G3293" s="4" t="s">
        <v>20</v>
      </c>
      <c r="H3293" s="5">
        <v>-5000</v>
      </c>
      <c r="I3293" s="4" t="s">
        <v>21</v>
      </c>
      <c r="J3293" s="5">
        <f t="shared" si="51"/>
        <v>21061</v>
      </c>
      <c r="K3293" s="4" t="s">
        <v>53</v>
      </c>
      <c r="L3293" s="6">
        <v>4.2122000000000002</v>
      </c>
      <c r="M3293" s="6">
        <v>0.2374</v>
      </c>
      <c r="N3293" s="6">
        <v>4.2050000000000001</v>
      </c>
      <c r="O3293" s="6">
        <v>1</v>
      </c>
      <c r="P3293" s="5">
        <v>35</v>
      </c>
      <c r="Q3293" s="4" t="s">
        <v>1390</v>
      </c>
    </row>
    <row r="3294" spans="1:17" x14ac:dyDescent="0.3">
      <c r="A3294" s="2" t="s">
        <v>1389</v>
      </c>
      <c r="B3294" s="3">
        <v>158925</v>
      </c>
      <c r="C3294" s="3">
        <v>908953</v>
      </c>
      <c r="D3294" s="4" t="s">
        <v>81</v>
      </c>
      <c r="E3294" s="4" t="s">
        <v>735</v>
      </c>
      <c r="F3294" s="4" t="s">
        <v>87</v>
      </c>
      <c r="G3294" s="4" t="s">
        <v>34</v>
      </c>
      <c r="H3294" s="5">
        <v>121434.67</v>
      </c>
      <c r="I3294" s="4" t="s">
        <v>21</v>
      </c>
      <c r="J3294" s="5">
        <f t="shared" si="51"/>
        <v>-432538.15107299999</v>
      </c>
      <c r="K3294" s="4" t="s">
        <v>54</v>
      </c>
      <c r="L3294" s="6">
        <v>3.5619000000000001</v>
      </c>
      <c r="M3294" s="6">
        <v>0.28070000000000001</v>
      </c>
      <c r="N3294" s="6">
        <v>3.5499000000000001</v>
      </c>
      <c r="O3294" s="6">
        <v>1</v>
      </c>
      <c r="P3294" s="5">
        <v>-1457.2149669999999</v>
      </c>
      <c r="Q3294" s="4" t="s">
        <v>1394</v>
      </c>
    </row>
    <row r="3295" spans="1:17" x14ac:dyDescent="0.3">
      <c r="A3295" s="2" t="s">
        <v>1389</v>
      </c>
      <c r="B3295" s="3">
        <v>158926</v>
      </c>
      <c r="C3295" s="3">
        <v>908955</v>
      </c>
      <c r="D3295" s="4" t="s">
        <v>81</v>
      </c>
      <c r="E3295" s="4" t="s">
        <v>734</v>
      </c>
      <c r="F3295" s="4" t="s">
        <v>83</v>
      </c>
      <c r="G3295" s="4" t="s">
        <v>91</v>
      </c>
      <c r="H3295" s="5">
        <v>-2011</v>
      </c>
      <c r="I3295" s="4" t="s">
        <v>21</v>
      </c>
      <c r="J3295" s="5">
        <f t="shared" si="51"/>
        <v>9759.9863000000005</v>
      </c>
      <c r="K3295" s="4" t="s">
        <v>54</v>
      </c>
      <c r="L3295" s="6">
        <v>4.8532999999999999</v>
      </c>
      <c r="M3295" s="6">
        <v>0.20599999999999999</v>
      </c>
      <c r="N3295" s="6">
        <v>4.8536999999999999</v>
      </c>
      <c r="O3295" s="6">
        <v>1</v>
      </c>
      <c r="P3295" s="5">
        <v>-0.80069999999999997</v>
      </c>
      <c r="Q3295" s="4" t="s">
        <v>1393</v>
      </c>
    </row>
    <row r="3296" spans="1:17" x14ac:dyDescent="0.3">
      <c r="A3296" s="2" t="s">
        <v>1389</v>
      </c>
      <c r="B3296" s="3">
        <v>158927</v>
      </c>
      <c r="C3296" s="3">
        <v>908956</v>
      </c>
      <c r="D3296" s="4" t="s">
        <v>81</v>
      </c>
      <c r="E3296" s="4" t="s">
        <v>743</v>
      </c>
      <c r="F3296" s="4" t="s">
        <v>87</v>
      </c>
      <c r="G3296" s="4" t="s">
        <v>34</v>
      </c>
      <c r="H3296" s="5">
        <v>12559.23</v>
      </c>
      <c r="I3296" s="4" t="s">
        <v>21</v>
      </c>
      <c r="J3296" s="5">
        <f t="shared" si="51"/>
        <v>-44710.858800000002</v>
      </c>
      <c r="K3296" s="4" t="s">
        <v>54</v>
      </c>
      <c r="L3296" s="6">
        <v>3.56</v>
      </c>
      <c r="M3296" s="6">
        <v>0.28089999999999998</v>
      </c>
      <c r="N3296" s="6">
        <v>3.5499000000000001</v>
      </c>
      <c r="O3296" s="6">
        <v>1</v>
      </c>
      <c r="P3296" s="5">
        <v>-127.229423</v>
      </c>
      <c r="Q3296" s="4" t="s">
        <v>1395</v>
      </c>
    </row>
    <row r="3297" spans="1:17" x14ac:dyDescent="0.3">
      <c r="A3297" s="2" t="s">
        <v>1389</v>
      </c>
      <c r="B3297" s="3">
        <v>158928</v>
      </c>
      <c r="C3297" s="3">
        <v>908957</v>
      </c>
      <c r="D3297" s="4" t="s">
        <v>81</v>
      </c>
      <c r="E3297" s="4" t="s">
        <v>734</v>
      </c>
      <c r="F3297" s="4" t="s">
        <v>83</v>
      </c>
      <c r="G3297" s="4" t="s">
        <v>20</v>
      </c>
      <c r="H3297" s="5">
        <v>-17567.54</v>
      </c>
      <c r="I3297" s="4" t="s">
        <v>21</v>
      </c>
      <c r="J3297" s="5">
        <f t="shared" si="51"/>
        <v>73915.424549999996</v>
      </c>
      <c r="K3297" s="4" t="s">
        <v>54</v>
      </c>
      <c r="L3297" s="6">
        <v>4.2074999999999996</v>
      </c>
      <c r="M3297" s="6">
        <v>0.23769999999999999</v>
      </c>
      <c r="N3297" s="6">
        <v>4.2118000000000002</v>
      </c>
      <c r="O3297" s="6">
        <v>1</v>
      </c>
      <c r="P3297" s="5">
        <v>-76.244972000000004</v>
      </c>
      <c r="Q3297" s="4" t="s">
        <v>1393</v>
      </c>
    </row>
    <row r="3298" spans="1:17" x14ac:dyDescent="0.3">
      <c r="A3298" s="2" t="s">
        <v>1389</v>
      </c>
      <c r="B3298" s="3">
        <v>158929</v>
      </c>
      <c r="C3298" s="3">
        <v>908958</v>
      </c>
      <c r="D3298" s="4" t="s">
        <v>81</v>
      </c>
      <c r="E3298" s="4" t="s">
        <v>734</v>
      </c>
      <c r="F3298" s="4" t="s">
        <v>83</v>
      </c>
      <c r="G3298" s="4" t="s">
        <v>93</v>
      </c>
      <c r="H3298" s="5">
        <v>-2000</v>
      </c>
      <c r="I3298" s="4" t="s">
        <v>21</v>
      </c>
      <c r="J3298" s="5">
        <f t="shared" si="51"/>
        <v>9106.4000000000015</v>
      </c>
      <c r="K3298" s="4" t="s">
        <v>54</v>
      </c>
      <c r="L3298" s="6">
        <v>4.5532000000000004</v>
      </c>
      <c r="M3298" s="6">
        <v>0.21959999999999999</v>
      </c>
      <c r="N3298" s="6">
        <v>4.5758000000000001</v>
      </c>
      <c r="O3298" s="6">
        <v>1</v>
      </c>
      <c r="P3298" s="5">
        <v>-45.12</v>
      </c>
      <c r="Q3298" s="4" t="s">
        <v>1393</v>
      </c>
    </row>
    <row r="3299" spans="1:17" x14ac:dyDescent="0.3">
      <c r="A3299" s="2" t="s">
        <v>1389</v>
      </c>
      <c r="B3299" s="3">
        <v>158930</v>
      </c>
      <c r="C3299" s="3">
        <v>908963</v>
      </c>
      <c r="D3299" s="4" t="s">
        <v>81</v>
      </c>
      <c r="E3299" s="4" t="s">
        <v>735</v>
      </c>
      <c r="F3299" s="4" t="s">
        <v>83</v>
      </c>
      <c r="G3299" s="4" t="s">
        <v>20</v>
      </c>
      <c r="H3299" s="5">
        <v>-113655.16</v>
      </c>
      <c r="I3299" s="4" t="s">
        <v>21</v>
      </c>
      <c r="J3299" s="5">
        <f t="shared" si="51"/>
        <v>477942.67883199995</v>
      </c>
      <c r="K3299" s="4" t="s">
        <v>30</v>
      </c>
      <c r="L3299" s="6">
        <v>4.2051999999999996</v>
      </c>
      <c r="M3299" s="6">
        <v>0.23780000000000001</v>
      </c>
      <c r="N3299" s="6">
        <v>4.2031999999999998</v>
      </c>
      <c r="O3299" s="6">
        <v>1</v>
      </c>
      <c r="P3299" s="5">
        <v>227.311488</v>
      </c>
      <c r="Q3299" s="4" t="s">
        <v>1394</v>
      </c>
    </row>
    <row r="3300" spans="1:17" x14ac:dyDescent="0.3">
      <c r="A3300" s="2" t="s">
        <v>1389</v>
      </c>
      <c r="B3300" s="3">
        <v>158931</v>
      </c>
      <c r="C3300" s="3">
        <v>908964</v>
      </c>
      <c r="D3300" s="4" t="s">
        <v>81</v>
      </c>
      <c r="E3300" s="4" t="s">
        <v>743</v>
      </c>
      <c r="F3300" s="4" t="s">
        <v>87</v>
      </c>
      <c r="G3300" s="4" t="s">
        <v>34</v>
      </c>
      <c r="H3300" s="5">
        <v>111314.94</v>
      </c>
      <c r="I3300" s="4" t="s">
        <v>21</v>
      </c>
      <c r="J3300" s="5">
        <f t="shared" si="51"/>
        <v>-394366.56943200005</v>
      </c>
      <c r="K3300" s="4" t="s">
        <v>30</v>
      </c>
      <c r="L3300" s="6">
        <v>3.5428000000000002</v>
      </c>
      <c r="M3300" s="6">
        <v>0.2823</v>
      </c>
      <c r="N3300" s="6">
        <v>3.5354000000000001</v>
      </c>
      <c r="O3300" s="6">
        <v>1</v>
      </c>
      <c r="P3300" s="5">
        <v>-819.28112399999998</v>
      </c>
      <c r="Q3300" s="4" t="s">
        <v>1395</v>
      </c>
    </row>
    <row r="3301" spans="1:17" x14ac:dyDescent="0.3">
      <c r="A3301" s="2" t="s">
        <v>1389</v>
      </c>
      <c r="B3301" s="3">
        <v>158932</v>
      </c>
      <c r="C3301" s="3">
        <v>908965</v>
      </c>
      <c r="D3301" s="4" t="s">
        <v>81</v>
      </c>
      <c r="E3301" s="4" t="s">
        <v>735</v>
      </c>
      <c r="F3301" s="4" t="s">
        <v>83</v>
      </c>
      <c r="G3301" s="4" t="s">
        <v>20</v>
      </c>
      <c r="H3301" s="5">
        <v>-100210.94</v>
      </c>
      <c r="I3301" s="4" t="s">
        <v>21</v>
      </c>
      <c r="J3301" s="5">
        <f t="shared" si="51"/>
        <v>421407.04488799995</v>
      </c>
      <c r="K3301" s="4" t="s">
        <v>30</v>
      </c>
      <c r="L3301" s="6">
        <v>4.2051999999999996</v>
      </c>
      <c r="M3301" s="6">
        <v>0.23780000000000001</v>
      </c>
      <c r="N3301" s="6">
        <v>4.2031999999999998</v>
      </c>
      <c r="O3301" s="6">
        <v>1</v>
      </c>
      <c r="P3301" s="5">
        <v>200.41699199999999</v>
      </c>
      <c r="Q3301" s="4" t="s">
        <v>1394</v>
      </c>
    </row>
    <row r="3302" spans="1:17" x14ac:dyDescent="0.3">
      <c r="A3302" s="2" t="s">
        <v>1389</v>
      </c>
      <c r="B3302" s="3">
        <v>158933</v>
      </c>
      <c r="C3302" s="3">
        <v>908966</v>
      </c>
      <c r="D3302" s="4" t="s">
        <v>81</v>
      </c>
      <c r="E3302" s="4" t="s">
        <v>739</v>
      </c>
      <c r="F3302" s="4" t="s">
        <v>83</v>
      </c>
      <c r="G3302" s="4" t="s">
        <v>93</v>
      </c>
      <c r="H3302" s="5">
        <v>-100646.78</v>
      </c>
      <c r="I3302" s="4" t="s">
        <v>21</v>
      </c>
      <c r="J3302" s="5">
        <f t="shared" si="51"/>
        <v>459251.25713999994</v>
      </c>
      <c r="K3302" s="4" t="s">
        <v>30</v>
      </c>
      <c r="L3302" s="6">
        <v>4.5629999999999997</v>
      </c>
      <c r="M3302" s="6">
        <v>0.21920000000000001</v>
      </c>
      <c r="N3302" s="6">
        <v>4.5575000000000001</v>
      </c>
      <c r="O3302" s="6">
        <v>1</v>
      </c>
      <c r="P3302" s="5">
        <v>556.58015</v>
      </c>
      <c r="Q3302" s="4" t="s">
        <v>1391</v>
      </c>
    </row>
    <row r="3303" spans="1:17" x14ac:dyDescent="0.3">
      <c r="A3303" s="2" t="s">
        <v>1389</v>
      </c>
      <c r="B3303" s="3">
        <v>158934</v>
      </c>
      <c r="C3303" s="3">
        <v>908967</v>
      </c>
      <c r="D3303" s="4" t="s">
        <v>81</v>
      </c>
      <c r="E3303" s="4" t="s">
        <v>735</v>
      </c>
      <c r="F3303" s="4" t="s">
        <v>83</v>
      </c>
      <c r="G3303" s="4" t="s">
        <v>20</v>
      </c>
      <c r="H3303" s="5">
        <v>-108768.95</v>
      </c>
      <c r="I3303" s="4" t="s">
        <v>21</v>
      </c>
      <c r="J3303" s="5">
        <f t="shared" si="51"/>
        <v>457395.18853999994</v>
      </c>
      <c r="K3303" s="4" t="s">
        <v>30</v>
      </c>
      <c r="L3303" s="6">
        <v>4.2051999999999996</v>
      </c>
      <c r="M3303" s="6">
        <v>0.23780000000000001</v>
      </c>
      <c r="N3303" s="6">
        <v>4.2031999999999998</v>
      </c>
      <c r="O3303" s="6">
        <v>1</v>
      </c>
      <c r="P3303" s="5">
        <v>217.53935999999999</v>
      </c>
      <c r="Q3303" s="4" t="s">
        <v>1394</v>
      </c>
    </row>
    <row r="3304" spans="1:17" x14ac:dyDescent="0.3">
      <c r="A3304" s="2" t="s">
        <v>1389</v>
      </c>
      <c r="B3304" s="3">
        <v>158935</v>
      </c>
      <c r="C3304" s="3">
        <v>908968</v>
      </c>
      <c r="D3304" s="4" t="s">
        <v>81</v>
      </c>
      <c r="E3304" s="4" t="s">
        <v>735</v>
      </c>
      <c r="F3304" s="4" t="s">
        <v>83</v>
      </c>
      <c r="G3304" s="4" t="s">
        <v>20</v>
      </c>
      <c r="H3304" s="5">
        <v>-100414.24</v>
      </c>
      <c r="I3304" s="4" t="s">
        <v>21</v>
      </c>
      <c r="J3304" s="5">
        <f t="shared" si="51"/>
        <v>422261.96204799996</v>
      </c>
      <c r="K3304" s="4" t="s">
        <v>30</v>
      </c>
      <c r="L3304" s="6">
        <v>4.2051999999999996</v>
      </c>
      <c r="M3304" s="6">
        <v>0.23780000000000001</v>
      </c>
      <c r="N3304" s="6">
        <v>4.2031999999999998</v>
      </c>
      <c r="O3304" s="6">
        <v>1</v>
      </c>
      <c r="P3304" s="5">
        <v>200.82643200000001</v>
      </c>
      <c r="Q3304" s="4" t="s">
        <v>1394</v>
      </c>
    </row>
    <row r="3305" spans="1:17" x14ac:dyDescent="0.3">
      <c r="A3305" s="2" t="s">
        <v>1389</v>
      </c>
      <c r="B3305" s="3">
        <v>158936</v>
      </c>
      <c r="C3305" s="3">
        <v>908969</v>
      </c>
      <c r="D3305" s="4" t="s">
        <v>81</v>
      </c>
      <c r="E3305" s="4" t="s">
        <v>743</v>
      </c>
      <c r="F3305" s="4" t="s">
        <v>87</v>
      </c>
      <c r="G3305" s="4" t="s">
        <v>34</v>
      </c>
      <c r="H3305" s="5">
        <v>113885.02</v>
      </c>
      <c r="I3305" s="4" t="s">
        <v>21</v>
      </c>
      <c r="J3305" s="5">
        <f t="shared" si="51"/>
        <v>-403471.84885600006</v>
      </c>
      <c r="K3305" s="4" t="s">
        <v>30</v>
      </c>
      <c r="L3305" s="6">
        <v>3.5428000000000002</v>
      </c>
      <c r="M3305" s="6">
        <v>0.2823</v>
      </c>
      <c r="N3305" s="6">
        <v>3.5354000000000001</v>
      </c>
      <c r="O3305" s="6">
        <v>1</v>
      </c>
      <c r="P3305" s="5">
        <v>-838.190292</v>
      </c>
      <c r="Q3305" s="4" t="s">
        <v>1395</v>
      </c>
    </row>
    <row r="3306" spans="1:17" x14ac:dyDescent="0.3">
      <c r="A3306" s="2" t="s">
        <v>1389</v>
      </c>
      <c r="B3306" s="3">
        <v>158937</v>
      </c>
      <c r="C3306" s="3">
        <v>908970</v>
      </c>
      <c r="D3306" s="4" t="s">
        <v>81</v>
      </c>
      <c r="E3306" s="4" t="s">
        <v>735</v>
      </c>
      <c r="F3306" s="4" t="s">
        <v>83</v>
      </c>
      <c r="G3306" s="4" t="s">
        <v>20</v>
      </c>
      <c r="H3306" s="5">
        <v>-91217.75</v>
      </c>
      <c r="I3306" s="4" t="s">
        <v>21</v>
      </c>
      <c r="J3306" s="5">
        <f t="shared" si="51"/>
        <v>383588.88229999994</v>
      </c>
      <c r="K3306" s="4" t="s">
        <v>30</v>
      </c>
      <c r="L3306" s="6">
        <v>4.2051999999999996</v>
      </c>
      <c r="M3306" s="6">
        <v>0.23780000000000001</v>
      </c>
      <c r="N3306" s="6">
        <v>4.2031999999999998</v>
      </c>
      <c r="O3306" s="6">
        <v>1</v>
      </c>
      <c r="P3306" s="5">
        <v>182.4332</v>
      </c>
      <c r="Q3306" s="4" t="s">
        <v>1394</v>
      </c>
    </row>
    <row r="3307" spans="1:17" x14ac:dyDescent="0.3">
      <c r="A3307" s="2" t="s">
        <v>1389</v>
      </c>
      <c r="B3307" s="3">
        <v>158938</v>
      </c>
      <c r="C3307" s="3">
        <v>908971</v>
      </c>
      <c r="D3307" s="4" t="s">
        <v>81</v>
      </c>
      <c r="E3307" s="4" t="s">
        <v>743</v>
      </c>
      <c r="F3307" s="4" t="s">
        <v>87</v>
      </c>
      <c r="G3307" s="4" t="s">
        <v>34</v>
      </c>
      <c r="H3307" s="5">
        <v>10742.85</v>
      </c>
      <c r="I3307" s="4" t="s">
        <v>21</v>
      </c>
      <c r="J3307" s="5">
        <f t="shared" si="51"/>
        <v>-38059.768980000001</v>
      </c>
      <c r="K3307" s="4" t="s">
        <v>30</v>
      </c>
      <c r="L3307" s="6">
        <v>3.5428000000000002</v>
      </c>
      <c r="M3307" s="6">
        <v>0.2823</v>
      </c>
      <c r="N3307" s="6">
        <v>3.5354000000000001</v>
      </c>
      <c r="O3307" s="6">
        <v>1</v>
      </c>
      <c r="P3307" s="5">
        <v>-79.068110000000004</v>
      </c>
      <c r="Q3307" s="4" t="s">
        <v>1395</v>
      </c>
    </row>
    <row r="3308" spans="1:17" x14ac:dyDescent="0.3">
      <c r="A3308" s="2" t="s">
        <v>1389</v>
      </c>
      <c r="B3308" s="3">
        <v>158939</v>
      </c>
      <c r="C3308" s="3">
        <v>908972</v>
      </c>
      <c r="D3308" s="4" t="s">
        <v>81</v>
      </c>
      <c r="E3308" s="4" t="s">
        <v>735</v>
      </c>
      <c r="F3308" s="4" t="s">
        <v>83</v>
      </c>
      <c r="G3308" s="4" t="s">
        <v>20</v>
      </c>
      <c r="H3308" s="5">
        <v>-111818.56</v>
      </c>
      <c r="I3308" s="4" t="s">
        <v>21</v>
      </c>
      <c r="J3308" s="5">
        <f t="shared" si="51"/>
        <v>470219.40851199994</v>
      </c>
      <c r="K3308" s="4" t="s">
        <v>30</v>
      </c>
      <c r="L3308" s="6">
        <v>4.2051999999999996</v>
      </c>
      <c r="M3308" s="6">
        <v>0.23780000000000001</v>
      </c>
      <c r="N3308" s="6">
        <v>4.2031999999999998</v>
      </c>
      <c r="O3308" s="6">
        <v>1</v>
      </c>
      <c r="P3308" s="5">
        <v>223.638608</v>
      </c>
      <c r="Q3308" s="4" t="s">
        <v>1394</v>
      </c>
    </row>
    <row r="3309" spans="1:17" x14ac:dyDescent="0.3">
      <c r="A3309" s="2" t="s">
        <v>1389</v>
      </c>
      <c r="B3309" s="3">
        <v>158940</v>
      </c>
      <c r="C3309" s="3">
        <v>908973</v>
      </c>
      <c r="D3309" s="4" t="s">
        <v>81</v>
      </c>
      <c r="E3309" s="4" t="s">
        <v>743</v>
      </c>
      <c r="F3309" s="4" t="s">
        <v>87</v>
      </c>
      <c r="G3309" s="4" t="s">
        <v>34</v>
      </c>
      <c r="H3309" s="5">
        <v>35037.699999999997</v>
      </c>
      <c r="I3309" s="4" t="s">
        <v>21</v>
      </c>
      <c r="J3309" s="5">
        <f t="shared" si="51"/>
        <v>-124131.56356</v>
      </c>
      <c r="K3309" s="4" t="s">
        <v>30</v>
      </c>
      <c r="L3309" s="6">
        <v>3.5428000000000002</v>
      </c>
      <c r="M3309" s="6">
        <v>0.2823</v>
      </c>
      <c r="N3309" s="6">
        <v>3.5354000000000001</v>
      </c>
      <c r="O3309" s="6">
        <v>1</v>
      </c>
      <c r="P3309" s="5">
        <v>-257.87542000000002</v>
      </c>
      <c r="Q3309" s="4" t="s">
        <v>1395</v>
      </c>
    </row>
    <row r="3310" spans="1:17" x14ac:dyDescent="0.3">
      <c r="A3310" s="2" t="s">
        <v>1389</v>
      </c>
      <c r="B3310" s="3">
        <v>158941</v>
      </c>
      <c r="C3310" s="3">
        <v>908974</v>
      </c>
      <c r="D3310" s="4" t="s">
        <v>81</v>
      </c>
      <c r="E3310" s="4" t="s">
        <v>743</v>
      </c>
      <c r="F3310" s="4" t="s">
        <v>87</v>
      </c>
      <c r="G3310" s="4" t="s">
        <v>34</v>
      </c>
      <c r="H3310" s="5">
        <v>114962.88</v>
      </c>
      <c r="I3310" s="4" t="s">
        <v>21</v>
      </c>
      <c r="J3310" s="5">
        <f t="shared" si="51"/>
        <v>-407290.49126400001</v>
      </c>
      <c r="K3310" s="4" t="s">
        <v>30</v>
      </c>
      <c r="L3310" s="6">
        <v>3.5428000000000002</v>
      </c>
      <c r="M3310" s="6">
        <v>0.2823</v>
      </c>
      <c r="N3310" s="6">
        <v>3.5354000000000001</v>
      </c>
      <c r="O3310" s="6">
        <v>1</v>
      </c>
      <c r="P3310" s="5">
        <v>-846.12404800000002</v>
      </c>
      <c r="Q3310" s="4" t="s">
        <v>1395</v>
      </c>
    </row>
    <row r="3311" spans="1:17" x14ac:dyDescent="0.3">
      <c r="A3311" s="2" t="s">
        <v>1389</v>
      </c>
      <c r="B3311" s="3">
        <v>158942</v>
      </c>
      <c r="C3311" s="3">
        <v>908975</v>
      </c>
      <c r="D3311" s="4" t="s">
        <v>81</v>
      </c>
      <c r="E3311" s="4" t="s">
        <v>743</v>
      </c>
      <c r="F3311" s="4" t="s">
        <v>87</v>
      </c>
      <c r="G3311" s="4" t="s">
        <v>34</v>
      </c>
      <c r="H3311" s="5">
        <v>117191.24</v>
      </c>
      <c r="I3311" s="4" t="s">
        <v>21</v>
      </c>
      <c r="J3311" s="5">
        <f t="shared" si="51"/>
        <v>-415185.12507200002</v>
      </c>
      <c r="K3311" s="4" t="s">
        <v>30</v>
      </c>
      <c r="L3311" s="6">
        <v>3.5428000000000002</v>
      </c>
      <c r="M3311" s="6">
        <v>0.2823</v>
      </c>
      <c r="N3311" s="6">
        <v>3.5354000000000001</v>
      </c>
      <c r="O3311" s="6">
        <v>1</v>
      </c>
      <c r="P3311" s="5">
        <v>-862.53010400000005</v>
      </c>
      <c r="Q3311" s="4" t="s">
        <v>1395</v>
      </c>
    </row>
    <row r="3312" spans="1:17" x14ac:dyDescent="0.3">
      <c r="A3312" s="2" t="s">
        <v>1389</v>
      </c>
      <c r="B3312" s="3">
        <v>158943</v>
      </c>
      <c r="C3312" s="3">
        <v>908976</v>
      </c>
      <c r="D3312" s="4" t="s">
        <v>81</v>
      </c>
      <c r="E3312" s="4" t="s">
        <v>735</v>
      </c>
      <c r="F3312" s="4" t="s">
        <v>83</v>
      </c>
      <c r="G3312" s="4" t="s">
        <v>20</v>
      </c>
      <c r="H3312" s="5">
        <v>-100104.72</v>
      </c>
      <c r="I3312" s="4" t="s">
        <v>21</v>
      </c>
      <c r="J3312" s="5">
        <f t="shared" si="51"/>
        <v>420960.36854399997</v>
      </c>
      <c r="K3312" s="4" t="s">
        <v>30</v>
      </c>
      <c r="L3312" s="6">
        <v>4.2051999999999996</v>
      </c>
      <c r="M3312" s="6">
        <v>0.23780000000000001</v>
      </c>
      <c r="N3312" s="6">
        <v>4.2031999999999998</v>
      </c>
      <c r="O3312" s="6">
        <v>1</v>
      </c>
      <c r="P3312" s="5">
        <v>200.21089599999999</v>
      </c>
      <c r="Q3312" s="4" t="s">
        <v>1394</v>
      </c>
    </row>
    <row r="3313" spans="1:17" x14ac:dyDescent="0.3">
      <c r="A3313" s="2" t="s">
        <v>1389</v>
      </c>
      <c r="B3313" s="3">
        <v>158944</v>
      </c>
      <c r="C3313" s="3">
        <v>908977</v>
      </c>
      <c r="D3313" s="4" t="s">
        <v>81</v>
      </c>
      <c r="E3313" s="4" t="s">
        <v>735</v>
      </c>
      <c r="F3313" s="4" t="s">
        <v>83</v>
      </c>
      <c r="G3313" s="4" t="s">
        <v>20</v>
      </c>
      <c r="H3313" s="5">
        <v>-112407.02</v>
      </c>
      <c r="I3313" s="4" t="s">
        <v>21</v>
      </c>
      <c r="J3313" s="5">
        <f t="shared" si="51"/>
        <v>472694.000504</v>
      </c>
      <c r="K3313" s="4" t="s">
        <v>30</v>
      </c>
      <c r="L3313" s="6">
        <v>4.2051999999999996</v>
      </c>
      <c r="M3313" s="6">
        <v>0.23780000000000001</v>
      </c>
      <c r="N3313" s="6">
        <v>4.2031999999999998</v>
      </c>
      <c r="O3313" s="6">
        <v>1</v>
      </c>
      <c r="P3313" s="5">
        <v>224.813536</v>
      </c>
      <c r="Q3313" s="4" t="s">
        <v>1394</v>
      </c>
    </row>
    <row r="3314" spans="1:17" x14ac:dyDescent="0.3">
      <c r="A3314" s="2" t="s">
        <v>1389</v>
      </c>
      <c r="B3314" s="3">
        <v>158945</v>
      </c>
      <c r="C3314" s="3">
        <v>908978</v>
      </c>
      <c r="D3314" s="4" t="s">
        <v>81</v>
      </c>
      <c r="E3314" s="4" t="s">
        <v>735</v>
      </c>
      <c r="F3314" s="4" t="s">
        <v>83</v>
      </c>
      <c r="G3314" s="4" t="s">
        <v>20</v>
      </c>
      <c r="H3314" s="5">
        <v>-100297.91</v>
      </c>
      <c r="I3314" s="4" t="s">
        <v>21</v>
      </c>
      <c r="J3314" s="5">
        <f t="shared" si="51"/>
        <v>421772.77113199997</v>
      </c>
      <c r="K3314" s="4" t="s">
        <v>30</v>
      </c>
      <c r="L3314" s="6">
        <v>4.2051999999999996</v>
      </c>
      <c r="M3314" s="6">
        <v>0.23780000000000001</v>
      </c>
      <c r="N3314" s="6">
        <v>4.2031999999999998</v>
      </c>
      <c r="O3314" s="6">
        <v>1</v>
      </c>
      <c r="P3314" s="5">
        <v>200.59468799999999</v>
      </c>
      <c r="Q3314" s="4" t="s">
        <v>1394</v>
      </c>
    </row>
    <row r="3315" spans="1:17" x14ac:dyDescent="0.3">
      <c r="A3315" s="2" t="s">
        <v>1389</v>
      </c>
      <c r="B3315" s="3">
        <v>158946</v>
      </c>
      <c r="C3315" s="3">
        <v>908979</v>
      </c>
      <c r="D3315" s="4" t="s">
        <v>81</v>
      </c>
      <c r="E3315" s="4" t="s">
        <v>743</v>
      </c>
      <c r="F3315" s="4" t="s">
        <v>83</v>
      </c>
      <c r="G3315" s="4" t="s">
        <v>91</v>
      </c>
      <c r="H3315" s="5">
        <v>-31753.02</v>
      </c>
      <c r="I3315" s="4" t="s">
        <v>21</v>
      </c>
      <c r="J3315" s="5">
        <f t="shared" si="51"/>
        <v>153713.194518</v>
      </c>
      <c r="K3315" s="4" t="s">
        <v>30</v>
      </c>
      <c r="L3315" s="6">
        <v>4.8409000000000004</v>
      </c>
      <c r="M3315" s="6">
        <v>0.20660000000000001</v>
      </c>
      <c r="N3315" s="6">
        <v>4.8432000000000004</v>
      </c>
      <c r="O3315" s="6">
        <v>1</v>
      </c>
      <c r="P3315" s="5">
        <v>-72.716464000000002</v>
      </c>
      <c r="Q3315" s="4" t="s">
        <v>1395</v>
      </c>
    </row>
    <row r="3316" spans="1:17" x14ac:dyDescent="0.3">
      <c r="A3316" s="2" t="s">
        <v>1389</v>
      </c>
      <c r="B3316" s="3">
        <v>158947</v>
      </c>
      <c r="C3316" s="3">
        <v>908980</v>
      </c>
      <c r="D3316" s="4" t="s">
        <v>81</v>
      </c>
      <c r="E3316" s="4" t="s">
        <v>743</v>
      </c>
      <c r="F3316" s="4" t="s">
        <v>87</v>
      </c>
      <c r="G3316" s="4" t="s">
        <v>34</v>
      </c>
      <c r="H3316" s="5">
        <v>112423.86</v>
      </c>
      <c r="I3316" s="4" t="s">
        <v>21</v>
      </c>
      <c r="J3316" s="5">
        <f t="shared" si="51"/>
        <v>-398227.79689199995</v>
      </c>
      <c r="K3316" s="4" t="s">
        <v>30</v>
      </c>
      <c r="L3316" s="6">
        <v>3.5421999999999998</v>
      </c>
      <c r="M3316" s="6">
        <v>0.2823</v>
      </c>
      <c r="N3316" s="6">
        <v>3.5354000000000001</v>
      </c>
      <c r="O3316" s="6">
        <v>1</v>
      </c>
      <c r="P3316" s="5">
        <v>-761.10535600000003</v>
      </c>
      <c r="Q3316" s="4" t="s">
        <v>1395</v>
      </c>
    </row>
    <row r="3317" spans="1:17" x14ac:dyDescent="0.3">
      <c r="A3317" s="2" t="s">
        <v>1389</v>
      </c>
      <c r="B3317" s="3">
        <v>158948</v>
      </c>
      <c r="C3317" s="3">
        <v>908999</v>
      </c>
      <c r="D3317" s="4" t="s">
        <v>81</v>
      </c>
      <c r="E3317" s="4" t="s">
        <v>735</v>
      </c>
      <c r="F3317" s="4" t="s">
        <v>87</v>
      </c>
      <c r="G3317" s="4" t="s">
        <v>34</v>
      </c>
      <c r="H3317" s="5">
        <v>124374.81</v>
      </c>
      <c r="I3317" s="4" t="s">
        <v>21</v>
      </c>
      <c r="J3317" s="5">
        <f t="shared" si="51"/>
        <v>-442090.26214499999</v>
      </c>
      <c r="K3317" s="4" t="s">
        <v>30</v>
      </c>
      <c r="L3317" s="6">
        <v>3.5545</v>
      </c>
      <c r="M3317" s="6">
        <v>0.28129999999999999</v>
      </c>
      <c r="N3317" s="6">
        <v>3.5354000000000001</v>
      </c>
      <c r="O3317" s="6">
        <v>1</v>
      </c>
      <c r="P3317" s="5">
        <v>-2375.5567259999998</v>
      </c>
      <c r="Q3317" s="4" t="s">
        <v>1394</v>
      </c>
    </row>
    <row r="3318" spans="1:17" x14ac:dyDescent="0.3">
      <c r="A3318" s="2" t="s">
        <v>1389</v>
      </c>
      <c r="B3318" s="3">
        <v>158949</v>
      </c>
      <c r="C3318" s="3">
        <v>909052</v>
      </c>
      <c r="D3318" s="4" t="s">
        <v>81</v>
      </c>
      <c r="E3318" s="4" t="s">
        <v>735</v>
      </c>
      <c r="F3318" s="4" t="s">
        <v>83</v>
      </c>
      <c r="G3318" s="4" t="s">
        <v>20</v>
      </c>
      <c r="H3318" s="5">
        <v>-16077.39</v>
      </c>
      <c r="I3318" s="4" t="s">
        <v>21</v>
      </c>
      <c r="J3318" s="5">
        <f t="shared" si="51"/>
        <v>67737.259547999987</v>
      </c>
      <c r="K3318" s="4" t="s">
        <v>30</v>
      </c>
      <c r="L3318" s="6">
        <v>4.2131999999999996</v>
      </c>
      <c r="M3318" s="6">
        <v>0.23730000000000001</v>
      </c>
      <c r="N3318" s="6">
        <v>4.2031999999999998</v>
      </c>
      <c r="O3318" s="6">
        <v>1</v>
      </c>
      <c r="P3318" s="5">
        <v>160.77435199999999</v>
      </c>
      <c r="Q3318" s="4" t="s">
        <v>1394</v>
      </c>
    </row>
    <row r="3319" spans="1:17" x14ac:dyDescent="0.3">
      <c r="A3319" s="2" t="s">
        <v>1389</v>
      </c>
      <c r="B3319" s="3">
        <v>158950</v>
      </c>
      <c r="C3319" s="3">
        <v>909053</v>
      </c>
      <c r="D3319" s="4" t="s">
        <v>81</v>
      </c>
      <c r="E3319" s="4" t="s">
        <v>734</v>
      </c>
      <c r="F3319" s="4" t="s">
        <v>83</v>
      </c>
      <c r="G3319" s="4" t="s">
        <v>93</v>
      </c>
      <c r="H3319" s="5">
        <v>-100</v>
      </c>
      <c r="I3319" s="4" t="s">
        <v>21</v>
      </c>
      <c r="J3319" s="5">
        <f t="shared" si="51"/>
        <v>457.03</v>
      </c>
      <c r="K3319" s="4" t="s">
        <v>30</v>
      </c>
      <c r="L3319" s="6">
        <v>4.5702999999999996</v>
      </c>
      <c r="M3319" s="6">
        <v>0.21879999999999999</v>
      </c>
      <c r="N3319" s="6">
        <v>4.5575000000000001</v>
      </c>
      <c r="O3319" s="6">
        <v>1</v>
      </c>
      <c r="P3319" s="5">
        <v>1.28</v>
      </c>
      <c r="Q3319" s="4" t="s">
        <v>1393</v>
      </c>
    </row>
    <row r="3320" spans="1:17" x14ac:dyDescent="0.3">
      <c r="A3320" s="2" t="s">
        <v>1389</v>
      </c>
      <c r="B3320" s="3">
        <v>158951</v>
      </c>
      <c r="C3320" s="3">
        <v>219799</v>
      </c>
      <c r="D3320" s="4" t="s">
        <v>17</v>
      </c>
      <c r="E3320" s="4" t="s">
        <v>727</v>
      </c>
      <c r="F3320" s="4" t="s">
        <v>19</v>
      </c>
      <c r="G3320" s="4" t="s">
        <v>34</v>
      </c>
      <c r="H3320" s="5">
        <v>100000</v>
      </c>
      <c r="I3320" s="4" t="s">
        <v>21</v>
      </c>
      <c r="J3320" s="5">
        <f t="shared" si="51"/>
        <v>-355360</v>
      </c>
      <c r="K3320" s="4" t="s">
        <v>53</v>
      </c>
      <c r="L3320" s="6">
        <v>3.5535999999999999</v>
      </c>
      <c r="M3320" s="6">
        <v>0.28139999999999998</v>
      </c>
      <c r="N3320" s="6">
        <v>3.5831</v>
      </c>
      <c r="O3320" s="6">
        <v>1</v>
      </c>
      <c r="P3320" s="5">
        <v>2950</v>
      </c>
      <c r="Q3320" s="4" t="s">
        <v>1397</v>
      </c>
    </row>
    <row r="3321" spans="1:17" x14ac:dyDescent="0.3">
      <c r="A3321" s="2" t="s">
        <v>1389</v>
      </c>
      <c r="B3321" s="3">
        <v>158952</v>
      </c>
      <c r="C3321" s="3">
        <v>219801</v>
      </c>
      <c r="D3321" s="4" t="s">
        <v>17</v>
      </c>
      <c r="E3321" s="4" t="s">
        <v>727</v>
      </c>
      <c r="F3321" s="4" t="s">
        <v>19</v>
      </c>
      <c r="G3321" s="4" t="s">
        <v>34</v>
      </c>
      <c r="H3321" s="5">
        <v>100000</v>
      </c>
      <c r="I3321" s="4" t="s">
        <v>21</v>
      </c>
      <c r="J3321" s="5">
        <f t="shared" si="51"/>
        <v>-355350</v>
      </c>
      <c r="K3321" s="4" t="s">
        <v>53</v>
      </c>
      <c r="L3321" s="6">
        <v>3.5535000000000001</v>
      </c>
      <c r="M3321" s="6">
        <v>0.28139999999999998</v>
      </c>
      <c r="N3321" s="6">
        <v>3.5831</v>
      </c>
      <c r="O3321" s="6">
        <v>1</v>
      </c>
      <c r="P3321" s="5">
        <v>2960</v>
      </c>
      <c r="Q3321" s="4" t="s">
        <v>1397</v>
      </c>
    </row>
    <row r="3322" spans="1:17" x14ac:dyDescent="0.3">
      <c r="A3322" s="2" t="s">
        <v>1389</v>
      </c>
      <c r="B3322" s="3">
        <v>158953</v>
      </c>
      <c r="C3322" s="3">
        <v>219803</v>
      </c>
      <c r="D3322" s="4" t="s">
        <v>17</v>
      </c>
      <c r="E3322" s="4" t="s">
        <v>727</v>
      </c>
      <c r="F3322" s="4" t="s">
        <v>19</v>
      </c>
      <c r="G3322" s="4" t="s">
        <v>34</v>
      </c>
      <c r="H3322" s="5">
        <v>100000</v>
      </c>
      <c r="I3322" s="4" t="s">
        <v>21</v>
      </c>
      <c r="J3322" s="5">
        <f t="shared" si="51"/>
        <v>-355360</v>
      </c>
      <c r="K3322" s="4" t="s">
        <v>53</v>
      </c>
      <c r="L3322" s="6">
        <v>3.5535999999999999</v>
      </c>
      <c r="M3322" s="6">
        <v>0.28139999999999998</v>
      </c>
      <c r="N3322" s="6">
        <v>3.5831</v>
      </c>
      <c r="O3322" s="6">
        <v>1</v>
      </c>
      <c r="P3322" s="5">
        <v>2950</v>
      </c>
      <c r="Q3322" s="4" t="s">
        <v>1397</v>
      </c>
    </row>
    <row r="3323" spans="1:17" x14ac:dyDescent="0.3">
      <c r="A3323" s="2" t="s">
        <v>1389</v>
      </c>
      <c r="B3323" s="3">
        <v>158954</v>
      </c>
      <c r="C3323" s="3">
        <v>219805</v>
      </c>
      <c r="D3323" s="4" t="s">
        <v>17</v>
      </c>
      <c r="E3323" s="4" t="s">
        <v>734</v>
      </c>
      <c r="F3323" s="4" t="s">
        <v>32</v>
      </c>
      <c r="G3323" s="4" t="s">
        <v>20</v>
      </c>
      <c r="H3323" s="5">
        <v>-1000</v>
      </c>
      <c r="I3323" s="4" t="s">
        <v>21</v>
      </c>
      <c r="J3323" s="5">
        <f t="shared" si="51"/>
        <v>4212.9000000000005</v>
      </c>
      <c r="K3323" s="4" t="s">
        <v>53</v>
      </c>
      <c r="L3323" s="6">
        <v>4.2129000000000003</v>
      </c>
      <c r="M3323" s="6">
        <v>0.2374</v>
      </c>
      <c r="N3323" s="6">
        <v>4.2050000000000001</v>
      </c>
      <c r="O3323" s="6">
        <v>1</v>
      </c>
      <c r="P3323" s="5">
        <v>7.21</v>
      </c>
      <c r="Q3323" s="4" t="s">
        <v>1393</v>
      </c>
    </row>
    <row r="3324" spans="1:17" x14ac:dyDescent="0.3">
      <c r="A3324" s="2" t="s">
        <v>1389</v>
      </c>
      <c r="B3324" s="3">
        <v>158955</v>
      </c>
      <c r="C3324" s="3">
        <v>219807</v>
      </c>
      <c r="D3324" s="4" t="s">
        <v>17</v>
      </c>
      <c r="E3324" s="4" t="s">
        <v>734</v>
      </c>
      <c r="F3324" s="4" t="s">
        <v>32</v>
      </c>
      <c r="G3324" s="4" t="s">
        <v>20</v>
      </c>
      <c r="H3324" s="5">
        <v>-1000</v>
      </c>
      <c r="I3324" s="4" t="s">
        <v>21</v>
      </c>
      <c r="J3324" s="5">
        <f t="shared" si="51"/>
        <v>4213.3</v>
      </c>
      <c r="K3324" s="4" t="s">
        <v>53</v>
      </c>
      <c r="L3324" s="6">
        <v>4.2133000000000003</v>
      </c>
      <c r="M3324" s="6">
        <v>0.23730000000000001</v>
      </c>
      <c r="N3324" s="6">
        <v>4.2050000000000001</v>
      </c>
      <c r="O3324" s="6">
        <v>1</v>
      </c>
      <c r="P3324" s="5">
        <v>7.82</v>
      </c>
      <c r="Q3324" s="4" t="s">
        <v>1393</v>
      </c>
    </row>
    <row r="3325" spans="1:17" x14ac:dyDescent="0.3">
      <c r="A3325" s="2" t="s">
        <v>1389</v>
      </c>
      <c r="B3325" s="3">
        <v>158956</v>
      </c>
      <c r="C3325" s="3">
        <v>219809</v>
      </c>
      <c r="D3325" s="4" t="s">
        <v>17</v>
      </c>
      <c r="E3325" s="4" t="s">
        <v>734</v>
      </c>
      <c r="F3325" s="4" t="s">
        <v>32</v>
      </c>
      <c r="G3325" s="4" t="s">
        <v>20</v>
      </c>
      <c r="H3325" s="5">
        <v>-7000</v>
      </c>
      <c r="I3325" s="4" t="s">
        <v>21</v>
      </c>
      <c r="J3325" s="5">
        <f t="shared" si="51"/>
        <v>29486.799999999999</v>
      </c>
      <c r="K3325" s="4" t="s">
        <v>53</v>
      </c>
      <c r="L3325" s="6">
        <v>4.2123999999999997</v>
      </c>
      <c r="M3325" s="6">
        <v>0.2374</v>
      </c>
      <c r="N3325" s="6">
        <v>4.2050000000000001</v>
      </c>
      <c r="O3325" s="6">
        <v>1</v>
      </c>
      <c r="P3325" s="5">
        <v>48.46</v>
      </c>
      <c r="Q3325" s="4" t="s">
        <v>1393</v>
      </c>
    </row>
    <row r="3326" spans="1:17" x14ac:dyDescent="0.3">
      <c r="A3326" s="2" t="s">
        <v>1389</v>
      </c>
      <c r="B3326" s="3">
        <v>158957</v>
      </c>
      <c r="C3326" s="3">
        <v>219811</v>
      </c>
      <c r="D3326" s="4" t="s">
        <v>17</v>
      </c>
      <c r="E3326" s="4" t="s">
        <v>727</v>
      </c>
      <c r="F3326" s="4" t="s">
        <v>19</v>
      </c>
      <c r="G3326" s="4" t="s">
        <v>34</v>
      </c>
      <c r="H3326" s="5">
        <v>10000</v>
      </c>
      <c r="I3326" s="4" t="s">
        <v>21</v>
      </c>
      <c r="J3326" s="5">
        <f t="shared" si="51"/>
        <v>-35519</v>
      </c>
      <c r="K3326" s="4" t="s">
        <v>53</v>
      </c>
      <c r="L3326" s="6">
        <v>3.5518999999999998</v>
      </c>
      <c r="M3326" s="6">
        <v>0.28149999999999997</v>
      </c>
      <c r="N3326" s="6">
        <v>3.5831</v>
      </c>
      <c r="O3326" s="6">
        <v>1</v>
      </c>
      <c r="P3326" s="5">
        <v>312</v>
      </c>
      <c r="Q3326" s="4" t="s">
        <v>1397</v>
      </c>
    </row>
    <row r="3327" spans="1:17" x14ac:dyDescent="0.3">
      <c r="A3327" s="2" t="s">
        <v>1389</v>
      </c>
      <c r="B3327" s="3">
        <v>158958</v>
      </c>
      <c r="C3327" s="3">
        <v>909084</v>
      </c>
      <c r="D3327" s="4" t="s">
        <v>81</v>
      </c>
      <c r="E3327" s="4" t="s">
        <v>739</v>
      </c>
      <c r="F3327" s="4" t="s">
        <v>83</v>
      </c>
      <c r="G3327" s="4" t="s">
        <v>20</v>
      </c>
      <c r="H3327" s="5">
        <v>-12654.06</v>
      </c>
      <c r="I3327" s="4" t="s">
        <v>34</v>
      </c>
      <c r="J3327" s="5">
        <f t="shared" si="51"/>
        <v>15000.122723999999</v>
      </c>
      <c r="K3327" s="4" t="s">
        <v>30</v>
      </c>
      <c r="L3327" s="6">
        <v>1.1854</v>
      </c>
      <c r="M3327" s="6">
        <v>0.84360000000000002</v>
      </c>
      <c r="N3327" s="6">
        <v>4.2031999999999998</v>
      </c>
      <c r="O3327" s="6">
        <v>3.5354000000000001</v>
      </c>
      <c r="P3327" s="5">
        <v>-156.54499200000001</v>
      </c>
      <c r="Q3327" s="4" t="s">
        <v>1391</v>
      </c>
    </row>
    <row r="3328" spans="1:17" x14ac:dyDescent="0.3">
      <c r="A3328" s="2" t="s">
        <v>1389</v>
      </c>
      <c r="B3328" s="3">
        <v>158959</v>
      </c>
      <c r="C3328" s="3">
        <v>909085</v>
      </c>
      <c r="D3328" s="4" t="s">
        <v>81</v>
      </c>
      <c r="E3328" s="4" t="s">
        <v>1226</v>
      </c>
      <c r="F3328" s="4" t="s">
        <v>87</v>
      </c>
      <c r="G3328" s="4" t="s">
        <v>20</v>
      </c>
      <c r="H3328" s="5">
        <v>12672.13</v>
      </c>
      <c r="I3328" s="4" t="s">
        <v>34</v>
      </c>
      <c r="J3328" s="5">
        <f t="shared" si="51"/>
        <v>-15000.000280999999</v>
      </c>
      <c r="K3328" s="4" t="s">
        <v>30</v>
      </c>
      <c r="L3328" s="6">
        <v>1.1837</v>
      </c>
      <c r="M3328" s="6">
        <v>0.8448</v>
      </c>
      <c r="N3328" s="6">
        <v>4.2031999999999998</v>
      </c>
      <c r="O3328" s="6">
        <v>3.5354000000000001</v>
      </c>
      <c r="P3328" s="5">
        <v>232.496816</v>
      </c>
      <c r="Q3328" s="4" t="s">
        <v>1390</v>
      </c>
    </row>
    <row r="3329" spans="1:17" x14ac:dyDescent="0.3">
      <c r="A3329" s="2" t="s">
        <v>1389</v>
      </c>
      <c r="B3329" s="3">
        <v>158960</v>
      </c>
      <c r="C3329" s="3">
        <v>219813</v>
      </c>
      <c r="D3329" s="4" t="s">
        <v>17</v>
      </c>
      <c r="E3329" s="4" t="s">
        <v>727</v>
      </c>
      <c r="F3329" s="4" t="s">
        <v>19</v>
      </c>
      <c r="G3329" s="4" t="s">
        <v>20</v>
      </c>
      <c r="H3329" s="5">
        <v>2000</v>
      </c>
      <c r="I3329" s="4" t="s">
        <v>21</v>
      </c>
      <c r="J3329" s="5">
        <f t="shared" si="51"/>
        <v>-8426.7999999999993</v>
      </c>
      <c r="K3329" s="4" t="s">
        <v>53</v>
      </c>
      <c r="L3329" s="6">
        <v>4.2134</v>
      </c>
      <c r="M3329" s="6">
        <v>0.23730000000000001</v>
      </c>
      <c r="N3329" s="6">
        <v>4.2050000000000001</v>
      </c>
      <c r="O3329" s="6">
        <v>1</v>
      </c>
      <c r="P3329" s="5">
        <v>-16.799999999999272</v>
      </c>
      <c r="Q3329" s="4" t="s">
        <v>1397</v>
      </c>
    </row>
    <row r="3330" spans="1:17" x14ac:dyDescent="0.3">
      <c r="A3330" s="2" t="s">
        <v>1389</v>
      </c>
      <c r="B3330" s="3">
        <v>158961</v>
      </c>
      <c r="C3330" s="3">
        <v>219815</v>
      </c>
      <c r="D3330" s="4" t="s">
        <v>17</v>
      </c>
      <c r="E3330" s="4" t="s">
        <v>727</v>
      </c>
      <c r="F3330" s="4" t="s">
        <v>19</v>
      </c>
      <c r="G3330" s="4" t="s">
        <v>34</v>
      </c>
      <c r="H3330" s="5">
        <v>100000</v>
      </c>
      <c r="I3330" s="4" t="s">
        <v>21</v>
      </c>
      <c r="J3330" s="5">
        <f t="shared" si="51"/>
        <v>-355520</v>
      </c>
      <c r="K3330" s="4" t="s">
        <v>53</v>
      </c>
      <c r="L3330" s="6">
        <v>3.5552000000000001</v>
      </c>
      <c r="M3330" s="6">
        <v>0.28129999999999999</v>
      </c>
      <c r="N3330" s="6">
        <v>3.5831</v>
      </c>
      <c r="O3330" s="6">
        <v>1</v>
      </c>
      <c r="P3330" s="5">
        <v>2790</v>
      </c>
      <c r="Q3330" s="4" t="s">
        <v>1397</v>
      </c>
    </row>
    <row r="3331" spans="1:17" x14ac:dyDescent="0.3">
      <c r="A3331" s="2" t="s">
        <v>1389</v>
      </c>
      <c r="B3331" s="3">
        <v>158962</v>
      </c>
      <c r="C3331" s="3">
        <v>219817</v>
      </c>
      <c r="D3331" s="4" t="s">
        <v>17</v>
      </c>
      <c r="E3331" s="4" t="s">
        <v>734</v>
      </c>
      <c r="F3331" s="4" t="s">
        <v>32</v>
      </c>
      <c r="G3331" s="4" t="s">
        <v>20</v>
      </c>
      <c r="H3331" s="5">
        <v>-5000</v>
      </c>
      <c r="I3331" s="4" t="s">
        <v>21</v>
      </c>
      <c r="J3331" s="5">
        <f t="shared" si="51"/>
        <v>21062</v>
      </c>
      <c r="K3331" s="4" t="s">
        <v>53</v>
      </c>
      <c r="L3331" s="6">
        <v>4.2123999999999997</v>
      </c>
      <c r="M3331" s="6">
        <v>0.2374</v>
      </c>
      <c r="N3331" s="6">
        <v>4.2050000000000001</v>
      </c>
      <c r="O3331" s="6">
        <v>1</v>
      </c>
      <c r="P3331" s="5">
        <v>34.51</v>
      </c>
      <c r="Q3331" s="4" t="s">
        <v>1393</v>
      </c>
    </row>
    <row r="3332" spans="1:17" x14ac:dyDescent="0.3">
      <c r="A3332" s="2" t="s">
        <v>1389</v>
      </c>
      <c r="B3332" s="3">
        <v>158963</v>
      </c>
      <c r="C3332" s="3">
        <v>219819</v>
      </c>
      <c r="D3332" s="4" t="s">
        <v>17</v>
      </c>
      <c r="E3332" s="4" t="s">
        <v>734</v>
      </c>
      <c r="F3332" s="4" t="s">
        <v>32</v>
      </c>
      <c r="G3332" s="4" t="s">
        <v>20</v>
      </c>
      <c r="H3332" s="5">
        <v>-40000</v>
      </c>
      <c r="I3332" s="4" t="s">
        <v>21</v>
      </c>
      <c r="J3332" s="5">
        <f t="shared" ref="J3332:J3395" si="52">-H3332*L3332</f>
        <v>168496</v>
      </c>
      <c r="K3332" s="4" t="s">
        <v>53</v>
      </c>
      <c r="L3332" s="6">
        <v>4.2123999999999997</v>
      </c>
      <c r="M3332" s="6">
        <v>0.2374</v>
      </c>
      <c r="N3332" s="6">
        <v>4.2050000000000001</v>
      </c>
      <c r="O3332" s="6">
        <v>1</v>
      </c>
      <c r="P3332" s="5">
        <v>275.72000000000003</v>
      </c>
      <c r="Q3332" s="4" t="s">
        <v>1393</v>
      </c>
    </row>
    <row r="3333" spans="1:17" x14ac:dyDescent="0.3">
      <c r="A3333" s="2" t="s">
        <v>1389</v>
      </c>
      <c r="B3333" s="3">
        <v>158964</v>
      </c>
      <c r="C3333" s="3">
        <v>219821</v>
      </c>
      <c r="D3333" s="4" t="s">
        <v>17</v>
      </c>
      <c r="E3333" s="4" t="s">
        <v>734</v>
      </c>
      <c r="F3333" s="4" t="s">
        <v>32</v>
      </c>
      <c r="G3333" s="4" t="s">
        <v>20</v>
      </c>
      <c r="H3333" s="5">
        <v>-5000</v>
      </c>
      <c r="I3333" s="4" t="s">
        <v>21</v>
      </c>
      <c r="J3333" s="5">
        <f t="shared" si="52"/>
        <v>21062.5</v>
      </c>
      <c r="K3333" s="4" t="s">
        <v>53</v>
      </c>
      <c r="L3333" s="6">
        <v>4.2125000000000004</v>
      </c>
      <c r="M3333" s="6">
        <v>0.2374</v>
      </c>
      <c r="N3333" s="6">
        <v>4.2050000000000001</v>
      </c>
      <c r="O3333" s="6">
        <v>1</v>
      </c>
      <c r="P3333" s="5">
        <v>35.01</v>
      </c>
      <c r="Q3333" s="4" t="s">
        <v>1393</v>
      </c>
    </row>
    <row r="3334" spans="1:17" x14ac:dyDescent="0.3">
      <c r="A3334" s="2" t="s">
        <v>1389</v>
      </c>
      <c r="B3334" s="3">
        <v>158965</v>
      </c>
      <c r="C3334" s="3">
        <v>219823</v>
      </c>
      <c r="D3334" s="4" t="s">
        <v>17</v>
      </c>
      <c r="E3334" s="4" t="s">
        <v>734</v>
      </c>
      <c r="F3334" s="4" t="s">
        <v>32</v>
      </c>
      <c r="G3334" s="4" t="s">
        <v>20</v>
      </c>
      <c r="H3334" s="5">
        <v>-5000</v>
      </c>
      <c r="I3334" s="4" t="s">
        <v>21</v>
      </c>
      <c r="J3334" s="5">
        <f t="shared" si="52"/>
        <v>21062.5</v>
      </c>
      <c r="K3334" s="4" t="s">
        <v>53</v>
      </c>
      <c r="L3334" s="6">
        <v>4.2125000000000004</v>
      </c>
      <c r="M3334" s="6">
        <v>0.2374</v>
      </c>
      <c r="N3334" s="6">
        <v>4.2050000000000001</v>
      </c>
      <c r="O3334" s="6">
        <v>1</v>
      </c>
      <c r="P3334" s="5">
        <v>35.01</v>
      </c>
      <c r="Q3334" s="4" t="s">
        <v>1393</v>
      </c>
    </row>
    <row r="3335" spans="1:17" x14ac:dyDescent="0.3">
      <c r="A3335" s="2" t="s">
        <v>1389</v>
      </c>
      <c r="B3335" s="3">
        <v>158966</v>
      </c>
      <c r="C3335" s="3">
        <v>219826</v>
      </c>
      <c r="D3335" s="4" t="s">
        <v>17</v>
      </c>
      <c r="E3335" s="4" t="s">
        <v>734</v>
      </c>
      <c r="F3335" s="4" t="s">
        <v>19</v>
      </c>
      <c r="G3335" s="4" t="s">
        <v>34</v>
      </c>
      <c r="H3335" s="5">
        <v>30000</v>
      </c>
      <c r="I3335" s="4" t="s">
        <v>21</v>
      </c>
      <c r="J3335" s="5">
        <f t="shared" si="52"/>
        <v>-106662</v>
      </c>
      <c r="K3335" s="4" t="s">
        <v>53</v>
      </c>
      <c r="L3335" s="6">
        <v>3.5554000000000001</v>
      </c>
      <c r="M3335" s="6">
        <v>0.28129999999999999</v>
      </c>
      <c r="N3335" s="6">
        <v>3.5831</v>
      </c>
      <c r="O3335" s="6">
        <v>1</v>
      </c>
      <c r="P3335" s="5">
        <v>831</v>
      </c>
      <c r="Q3335" s="4" t="s">
        <v>1393</v>
      </c>
    </row>
    <row r="3336" spans="1:17" x14ac:dyDescent="0.3">
      <c r="A3336" s="2" t="s">
        <v>1389</v>
      </c>
      <c r="B3336" s="3">
        <v>158967</v>
      </c>
      <c r="C3336" s="3">
        <v>219828</v>
      </c>
      <c r="D3336" s="4" t="s">
        <v>17</v>
      </c>
      <c r="E3336" s="4" t="s">
        <v>734</v>
      </c>
      <c r="F3336" s="4" t="s">
        <v>32</v>
      </c>
      <c r="G3336" s="4" t="s">
        <v>20</v>
      </c>
      <c r="H3336" s="5">
        <v>-5000</v>
      </c>
      <c r="I3336" s="4" t="s">
        <v>21</v>
      </c>
      <c r="J3336" s="5">
        <f t="shared" si="52"/>
        <v>21062.5</v>
      </c>
      <c r="K3336" s="4" t="s">
        <v>53</v>
      </c>
      <c r="L3336" s="6">
        <v>4.2125000000000004</v>
      </c>
      <c r="M3336" s="6">
        <v>0.2374</v>
      </c>
      <c r="N3336" s="6">
        <v>4.2050000000000001</v>
      </c>
      <c r="O3336" s="6">
        <v>1</v>
      </c>
      <c r="P3336" s="5">
        <v>35.21</v>
      </c>
      <c r="Q3336" s="4" t="s">
        <v>1393</v>
      </c>
    </row>
    <row r="3337" spans="1:17" x14ac:dyDescent="0.3">
      <c r="A3337" s="2" t="s">
        <v>1389</v>
      </c>
      <c r="B3337" s="3">
        <v>158968</v>
      </c>
      <c r="C3337" s="3">
        <v>219830</v>
      </c>
      <c r="D3337" s="4" t="s">
        <v>17</v>
      </c>
      <c r="E3337" s="4" t="s">
        <v>734</v>
      </c>
      <c r="F3337" s="4" t="s">
        <v>32</v>
      </c>
      <c r="G3337" s="4" t="s">
        <v>20</v>
      </c>
      <c r="H3337" s="5">
        <v>-3000</v>
      </c>
      <c r="I3337" s="4" t="s">
        <v>21</v>
      </c>
      <c r="J3337" s="5">
        <f t="shared" si="52"/>
        <v>12641.4</v>
      </c>
      <c r="K3337" s="4" t="s">
        <v>53</v>
      </c>
      <c r="L3337" s="6">
        <v>4.2138</v>
      </c>
      <c r="M3337" s="6">
        <v>0.23730000000000001</v>
      </c>
      <c r="N3337" s="6">
        <v>4.2050000000000001</v>
      </c>
      <c r="O3337" s="6">
        <v>1</v>
      </c>
      <c r="P3337" s="5">
        <v>25.03</v>
      </c>
      <c r="Q3337" s="4" t="s">
        <v>1393</v>
      </c>
    </row>
    <row r="3338" spans="1:17" x14ac:dyDescent="0.3">
      <c r="A3338" s="2" t="s">
        <v>1389</v>
      </c>
      <c r="B3338" s="3">
        <v>158969</v>
      </c>
      <c r="C3338" s="3">
        <v>219832</v>
      </c>
      <c r="D3338" s="4" t="s">
        <v>17</v>
      </c>
      <c r="E3338" s="4" t="s">
        <v>727</v>
      </c>
      <c r="F3338" s="4" t="s">
        <v>19</v>
      </c>
      <c r="G3338" s="4" t="s">
        <v>20</v>
      </c>
      <c r="H3338" s="5">
        <v>19090.599999999999</v>
      </c>
      <c r="I3338" s="4" t="s">
        <v>21</v>
      </c>
      <c r="J3338" s="5">
        <f t="shared" si="52"/>
        <v>-80453.515579999992</v>
      </c>
      <c r="K3338" s="4" t="s">
        <v>53</v>
      </c>
      <c r="L3338" s="6">
        <v>4.2142999999999997</v>
      </c>
      <c r="M3338" s="6">
        <v>0.23730000000000001</v>
      </c>
      <c r="N3338" s="6">
        <v>4.2050000000000001</v>
      </c>
      <c r="O3338" s="6">
        <v>1</v>
      </c>
      <c r="P3338" s="5">
        <v>-177.5425799999939</v>
      </c>
      <c r="Q3338" s="4" t="s">
        <v>1397</v>
      </c>
    </row>
    <row r="3339" spans="1:17" x14ac:dyDescent="0.3">
      <c r="A3339" s="2" t="s">
        <v>1389</v>
      </c>
      <c r="B3339" s="3">
        <v>158970</v>
      </c>
      <c r="C3339" s="3">
        <v>219834</v>
      </c>
      <c r="D3339" s="4" t="s">
        <v>17</v>
      </c>
      <c r="E3339" s="4" t="s">
        <v>734</v>
      </c>
      <c r="F3339" s="4" t="s">
        <v>32</v>
      </c>
      <c r="G3339" s="4" t="s">
        <v>20</v>
      </c>
      <c r="H3339" s="5">
        <v>-5000</v>
      </c>
      <c r="I3339" s="4" t="s">
        <v>21</v>
      </c>
      <c r="J3339" s="5">
        <f t="shared" si="52"/>
        <v>21070.5</v>
      </c>
      <c r="K3339" s="4" t="s">
        <v>53</v>
      </c>
      <c r="L3339" s="6">
        <v>4.2141000000000002</v>
      </c>
      <c r="M3339" s="6">
        <v>0.23730000000000001</v>
      </c>
      <c r="N3339" s="6">
        <v>4.2050000000000001</v>
      </c>
      <c r="O3339" s="6">
        <v>1</v>
      </c>
      <c r="P3339" s="5">
        <v>43.11</v>
      </c>
      <c r="Q3339" s="4" t="s">
        <v>1393</v>
      </c>
    </row>
    <row r="3340" spans="1:17" x14ac:dyDescent="0.3">
      <c r="A3340" s="2" t="s">
        <v>1389</v>
      </c>
      <c r="B3340" s="3">
        <v>158971</v>
      </c>
      <c r="C3340" s="3">
        <v>219835</v>
      </c>
      <c r="D3340" s="4" t="s">
        <v>17</v>
      </c>
      <c r="E3340" s="4" t="s">
        <v>734</v>
      </c>
      <c r="F3340" s="4" t="s">
        <v>32</v>
      </c>
      <c r="G3340" s="4" t="s">
        <v>20</v>
      </c>
      <c r="H3340" s="5">
        <v>-1000</v>
      </c>
      <c r="I3340" s="4" t="s">
        <v>21</v>
      </c>
      <c r="J3340" s="5">
        <f t="shared" si="52"/>
        <v>4211.8999999999996</v>
      </c>
      <c r="K3340" s="4" t="s">
        <v>53</v>
      </c>
      <c r="L3340" s="6">
        <v>4.2119</v>
      </c>
      <c r="M3340" s="6">
        <v>0.2374</v>
      </c>
      <c r="N3340" s="6">
        <v>4.2050000000000001</v>
      </c>
      <c r="O3340" s="6">
        <v>1</v>
      </c>
      <c r="P3340" s="5">
        <v>6.41</v>
      </c>
      <c r="Q3340" s="4" t="s">
        <v>1393</v>
      </c>
    </row>
    <row r="3341" spans="1:17" x14ac:dyDescent="0.3">
      <c r="A3341" s="2" t="s">
        <v>1389</v>
      </c>
      <c r="B3341" s="3">
        <v>158972</v>
      </c>
      <c r="C3341" s="3">
        <v>219837</v>
      </c>
      <c r="D3341" s="4" t="s">
        <v>17</v>
      </c>
      <c r="E3341" s="4" t="s">
        <v>727</v>
      </c>
      <c r="F3341" s="4" t="s">
        <v>19</v>
      </c>
      <c r="G3341" s="4" t="s">
        <v>34</v>
      </c>
      <c r="H3341" s="5">
        <v>137313</v>
      </c>
      <c r="I3341" s="4" t="s">
        <v>21</v>
      </c>
      <c r="J3341" s="5">
        <f t="shared" si="52"/>
        <v>-487859.35770000005</v>
      </c>
      <c r="K3341" s="4" t="s">
        <v>53</v>
      </c>
      <c r="L3341" s="6">
        <v>3.5529000000000002</v>
      </c>
      <c r="M3341" s="6">
        <v>0.28149999999999997</v>
      </c>
      <c r="N3341" s="6">
        <v>3.5831</v>
      </c>
      <c r="O3341" s="6">
        <v>1</v>
      </c>
      <c r="P3341" s="5">
        <v>4146.8525999999256</v>
      </c>
      <c r="Q3341" s="4" t="s">
        <v>1397</v>
      </c>
    </row>
    <row r="3342" spans="1:17" x14ac:dyDescent="0.3">
      <c r="A3342" s="2" t="s">
        <v>1389</v>
      </c>
      <c r="B3342" s="3">
        <v>158973</v>
      </c>
      <c r="C3342" s="3">
        <v>909139</v>
      </c>
      <c r="D3342" s="4" t="s">
        <v>81</v>
      </c>
      <c r="E3342" s="4" t="s">
        <v>743</v>
      </c>
      <c r="F3342" s="4" t="s">
        <v>83</v>
      </c>
      <c r="G3342" s="4" t="s">
        <v>93</v>
      </c>
      <c r="H3342" s="5">
        <v>-6662.81</v>
      </c>
      <c r="I3342" s="4" t="s">
        <v>21</v>
      </c>
      <c r="J3342" s="5">
        <f t="shared" si="52"/>
        <v>30447.709138000002</v>
      </c>
      <c r="K3342" s="4" t="s">
        <v>30</v>
      </c>
      <c r="L3342" s="6">
        <v>4.5697999999999999</v>
      </c>
      <c r="M3342" s="6">
        <v>0.21879999999999999</v>
      </c>
      <c r="N3342" s="6">
        <v>4.5575000000000001</v>
      </c>
      <c r="O3342" s="6">
        <v>1</v>
      </c>
      <c r="P3342" s="5">
        <v>82.223425000000006</v>
      </c>
      <c r="Q3342" s="4" t="s">
        <v>1395</v>
      </c>
    </row>
    <row r="3343" spans="1:17" x14ac:dyDescent="0.3">
      <c r="A3343" s="2" t="s">
        <v>1389</v>
      </c>
      <c r="B3343" s="3">
        <v>158974</v>
      </c>
      <c r="C3343" s="3">
        <v>909140</v>
      </c>
      <c r="D3343" s="4" t="s">
        <v>81</v>
      </c>
      <c r="E3343" s="4" t="s">
        <v>730</v>
      </c>
      <c r="F3343" s="4" t="s">
        <v>87</v>
      </c>
      <c r="G3343" s="4" t="s">
        <v>34</v>
      </c>
      <c r="H3343" s="5">
        <v>3814.67</v>
      </c>
      <c r="I3343" s="4" t="s">
        <v>21</v>
      </c>
      <c r="J3343" s="5">
        <f t="shared" si="52"/>
        <v>-13554.285443999999</v>
      </c>
      <c r="K3343" s="4" t="s">
        <v>30</v>
      </c>
      <c r="L3343" s="6">
        <v>3.5531999999999999</v>
      </c>
      <c r="M3343" s="6">
        <v>0.28139999999999998</v>
      </c>
      <c r="N3343" s="6">
        <v>3.5354000000000001</v>
      </c>
      <c r="O3343" s="6">
        <v>1</v>
      </c>
      <c r="P3343" s="5">
        <v>-67.975682000000006</v>
      </c>
      <c r="Q3343" s="4" t="s">
        <v>1396</v>
      </c>
    </row>
    <row r="3344" spans="1:17" x14ac:dyDescent="0.3">
      <c r="A3344" s="2" t="s">
        <v>1389</v>
      </c>
      <c r="B3344" s="3">
        <v>158975</v>
      </c>
      <c r="C3344" s="3">
        <v>909141</v>
      </c>
      <c r="D3344" s="4" t="s">
        <v>81</v>
      </c>
      <c r="E3344" s="4" t="s">
        <v>743</v>
      </c>
      <c r="F3344" s="4" t="s">
        <v>83</v>
      </c>
      <c r="G3344" s="4" t="s">
        <v>20</v>
      </c>
      <c r="H3344" s="5">
        <v>-48222.400000000001</v>
      </c>
      <c r="I3344" s="4" t="s">
        <v>21</v>
      </c>
      <c r="J3344" s="5">
        <f t="shared" si="52"/>
        <v>203098.28208000003</v>
      </c>
      <c r="K3344" s="4" t="s">
        <v>30</v>
      </c>
      <c r="L3344" s="6">
        <v>4.2117000000000004</v>
      </c>
      <c r="M3344" s="6">
        <v>0.2374</v>
      </c>
      <c r="N3344" s="6">
        <v>4.2031999999999998</v>
      </c>
      <c r="O3344" s="6">
        <v>1</v>
      </c>
      <c r="P3344" s="5">
        <v>407.95832000000001</v>
      </c>
      <c r="Q3344" s="4" t="s">
        <v>1395</v>
      </c>
    </row>
    <row r="3345" spans="1:17" x14ac:dyDescent="0.3">
      <c r="A3345" s="2" t="s">
        <v>1389</v>
      </c>
      <c r="B3345" s="3">
        <v>158976</v>
      </c>
      <c r="C3345" s="3">
        <v>219839</v>
      </c>
      <c r="D3345" s="4" t="s">
        <v>17</v>
      </c>
      <c r="E3345" s="4" t="s">
        <v>727</v>
      </c>
      <c r="F3345" s="4" t="s">
        <v>19</v>
      </c>
      <c r="G3345" s="4" t="s">
        <v>34</v>
      </c>
      <c r="H3345" s="5">
        <v>25000</v>
      </c>
      <c r="I3345" s="4" t="s">
        <v>21</v>
      </c>
      <c r="J3345" s="5">
        <f t="shared" si="52"/>
        <v>-88832.5</v>
      </c>
      <c r="K3345" s="4" t="s">
        <v>53</v>
      </c>
      <c r="L3345" s="6">
        <v>3.5533000000000001</v>
      </c>
      <c r="M3345" s="6">
        <v>0.28139999999999998</v>
      </c>
      <c r="N3345" s="6">
        <v>3.5831</v>
      </c>
      <c r="O3345" s="6">
        <v>1</v>
      </c>
      <c r="P3345" s="5">
        <v>745</v>
      </c>
      <c r="Q3345" s="4" t="s">
        <v>1397</v>
      </c>
    </row>
    <row r="3346" spans="1:17" x14ac:dyDescent="0.3">
      <c r="A3346" s="2" t="s">
        <v>1389</v>
      </c>
      <c r="B3346" s="3">
        <v>158977</v>
      </c>
      <c r="C3346" s="3">
        <v>219840</v>
      </c>
      <c r="D3346" s="4" t="s">
        <v>17</v>
      </c>
      <c r="E3346" s="4" t="s">
        <v>1272</v>
      </c>
      <c r="F3346" s="4" t="s">
        <v>32</v>
      </c>
      <c r="G3346" s="4" t="s">
        <v>34</v>
      </c>
      <c r="H3346" s="5">
        <v>-25000</v>
      </c>
      <c r="I3346" s="4" t="s">
        <v>21</v>
      </c>
      <c r="J3346" s="5">
        <f t="shared" si="52"/>
        <v>88960</v>
      </c>
      <c r="K3346" s="4" t="s">
        <v>53</v>
      </c>
      <c r="L3346" s="6">
        <v>3.5583999999999998</v>
      </c>
      <c r="M3346" s="6">
        <v>0.28100000000000003</v>
      </c>
      <c r="N3346" s="6">
        <v>3.5831</v>
      </c>
      <c r="O3346" s="6">
        <v>1</v>
      </c>
      <c r="P3346" s="5">
        <v>-615</v>
      </c>
      <c r="Q3346" s="4" t="s">
        <v>1390</v>
      </c>
    </row>
    <row r="3347" spans="1:17" x14ac:dyDescent="0.3">
      <c r="A3347" s="2" t="s">
        <v>1389</v>
      </c>
      <c r="B3347" s="3">
        <v>158978</v>
      </c>
      <c r="C3347" s="3">
        <v>219841</v>
      </c>
      <c r="D3347" s="4" t="s">
        <v>17</v>
      </c>
      <c r="E3347" s="4" t="s">
        <v>727</v>
      </c>
      <c r="F3347" s="4" t="s">
        <v>19</v>
      </c>
      <c r="G3347" s="4" t="s">
        <v>20</v>
      </c>
      <c r="H3347" s="5">
        <v>1000</v>
      </c>
      <c r="I3347" s="4" t="s">
        <v>21</v>
      </c>
      <c r="J3347" s="5">
        <f t="shared" si="52"/>
        <v>-4212.5</v>
      </c>
      <c r="K3347" s="4" t="s">
        <v>53</v>
      </c>
      <c r="L3347" s="6">
        <v>4.2125000000000004</v>
      </c>
      <c r="M3347" s="6">
        <v>0.2374</v>
      </c>
      <c r="N3347" s="6">
        <v>4.2050000000000001</v>
      </c>
      <c r="O3347" s="6">
        <v>1</v>
      </c>
      <c r="P3347" s="5">
        <v>-7.5</v>
      </c>
      <c r="Q3347" s="4" t="s">
        <v>1397</v>
      </c>
    </row>
    <row r="3348" spans="1:17" x14ac:dyDescent="0.3">
      <c r="A3348" s="2" t="s">
        <v>1389</v>
      </c>
      <c r="B3348" s="3">
        <v>158979</v>
      </c>
      <c r="C3348" s="3">
        <v>219843</v>
      </c>
      <c r="D3348" s="4" t="s">
        <v>17</v>
      </c>
      <c r="E3348" s="4" t="s">
        <v>735</v>
      </c>
      <c r="F3348" s="4" t="s">
        <v>19</v>
      </c>
      <c r="G3348" s="4" t="s">
        <v>34</v>
      </c>
      <c r="H3348" s="5">
        <v>200000</v>
      </c>
      <c r="I3348" s="4" t="s">
        <v>21</v>
      </c>
      <c r="J3348" s="5">
        <f t="shared" si="52"/>
        <v>-710520</v>
      </c>
      <c r="K3348" s="4" t="s">
        <v>53</v>
      </c>
      <c r="L3348" s="6">
        <v>3.5526</v>
      </c>
      <c r="M3348" s="6">
        <v>0.28149999999999997</v>
      </c>
      <c r="N3348" s="6">
        <v>3.5831</v>
      </c>
      <c r="O3348" s="6">
        <v>1</v>
      </c>
      <c r="P3348" s="5">
        <v>6100</v>
      </c>
      <c r="Q3348" s="4" t="s">
        <v>1394</v>
      </c>
    </row>
    <row r="3349" spans="1:17" x14ac:dyDescent="0.3">
      <c r="A3349" s="2" t="s">
        <v>1389</v>
      </c>
      <c r="B3349" s="3">
        <v>158980</v>
      </c>
      <c r="C3349" s="3">
        <v>219845</v>
      </c>
      <c r="D3349" s="4" t="s">
        <v>17</v>
      </c>
      <c r="E3349" s="4" t="s">
        <v>735</v>
      </c>
      <c r="F3349" s="4" t="s">
        <v>19</v>
      </c>
      <c r="G3349" s="4" t="s">
        <v>34</v>
      </c>
      <c r="H3349" s="5">
        <v>20000</v>
      </c>
      <c r="I3349" s="4" t="s">
        <v>21</v>
      </c>
      <c r="J3349" s="5">
        <f t="shared" si="52"/>
        <v>-71020</v>
      </c>
      <c r="K3349" s="4" t="s">
        <v>53</v>
      </c>
      <c r="L3349" s="6">
        <v>3.5510000000000002</v>
      </c>
      <c r="M3349" s="6">
        <v>0.28160000000000002</v>
      </c>
      <c r="N3349" s="6">
        <v>3.5831</v>
      </c>
      <c r="O3349" s="6">
        <v>1</v>
      </c>
      <c r="P3349" s="5">
        <v>642</v>
      </c>
      <c r="Q3349" s="4" t="s">
        <v>1394</v>
      </c>
    </row>
    <row r="3350" spans="1:17" x14ac:dyDescent="0.3">
      <c r="A3350" s="2" t="s">
        <v>1389</v>
      </c>
      <c r="B3350" s="3">
        <v>158981</v>
      </c>
      <c r="C3350" s="3">
        <v>219847</v>
      </c>
      <c r="D3350" s="4" t="s">
        <v>17</v>
      </c>
      <c r="E3350" s="4" t="s">
        <v>730</v>
      </c>
      <c r="F3350" s="4" t="s">
        <v>19</v>
      </c>
      <c r="G3350" s="4" t="s">
        <v>20</v>
      </c>
      <c r="H3350" s="5">
        <v>25000</v>
      </c>
      <c r="I3350" s="4" t="s">
        <v>21</v>
      </c>
      <c r="J3350" s="5">
        <f t="shared" si="52"/>
        <v>-105272.49999999999</v>
      </c>
      <c r="K3350" s="4" t="s">
        <v>53</v>
      </c>
      <c r="L3350" s="6">
        <v>4.2108999999999996</v>
      </c>
      <c r="M3350" s="6">
        <v>0.23749999999999999</v>
      </c>
      <c r="N3350" s="6">
        <v>4.2050000000000001</v>
      </c>
      <c r="O3350" s="6">
        <v>1</v>
      </c>
      <c r="P3350" s="5">
        <v>-147.49999999998545</v>
      </c>
      <c r="Q3350" s="4" t="s">
        <v>1396</v>
      </c>
    </row>
    <row r="3351" spans="1:17" x14ac:dyDescent="0.3">
      <c r="A3351" s="2" t="s">
        <v>1389</v>
      </c>
      <c r="B3351" s="3">
        <v>158982</v>
      </c>
      <c r="C3351" s="3">
        <v>219849</v>
      </c>
      <c r="D3351" s="4" t="s">
        <v>17</v>
      </c>
      <c r="E3351" s="4" t="s">
        <v>735</v>
      </c>
      <c r="F3351" s="4" t="s">
        <v>19</v>
      </c>
      <c r="G3351" s="4" t="s">
        <v>20</v>
      </c>
      <c r="H3351" s="5">
        <v>2500</v>
      </c>
      <c r="I3351" s="4" t="s">
        <v>21</v>
      </c>
      <c r="J3351" s="5">
        <f t="shared" si="52"/>
        <v>-10525</v>
      </c>
      <c r="K3351" s="4" t="s">
        <v>53</v>
      </c>
      <c r="L3351" s="6">
        <v>4.21</v>
      </c>
      <c r="M3351" s="6">
        <v>0.23749999999999999</v>
      </c>
      <c r="N3351" s="6">
        <v>4.2050000000000001</v>
      </c>
      <c r="O3351" s="6">
        <v>1</v>
      </c>
      <c r="P3351" s="5">
        <v>-12.5</v>
      </c>
      <c r="Q3351" s="4" t="s">
        <v>1394</v>
      </c>
    </row>
    <row r="3352" spans="1:17" x14ac:dyDescent="0.3">
      <c r="A3352" s="2" t="s">
        <v>1389</v>
      </c>
      <c r="B3352" s="3">
        <v>158983</v>
      </c>
      <c r="C3352" s="3">
        <v>219851</v>
      </c>
      <c r="D3352" s="4" t="s">
        <v>17</v>
      </c>
      <c r="E3352" s="4" t="s">
        <v>735</v>
      </c>
      <c r="F3352" s="4" t="s">
        <v>32</v>
      </c>
      <c r="G3352" s="4" t="s">
        <v>20</v>
      </c>
      <c r="H3352" s="5">
        <v>-7000</v>
      </c>
      <c r="I3352" s="4" t="s">
        <v>21</v>
      </c>
      <c r="J3352" s="5">
        <f t="shared" si="52"/>
        <v>29465.799999999996</v>
      </c>
      <c r="K3352" s="4" t="s">
        <v>53</v>
      </c>
      <c r="L3352" s="6">
        <v>4.2093999999999996</v>
      </c>
      <c r="M3352" s="6">
        <v>0.23760000000000001</v>
      </c>
      <c r="N3352" s="6">
        <v>4.2050000000000001</v>
      </c>
      <c r="O3352" s="6">
        <v>1</v>
      </c>
      <c r="P3352" s="5">
        <v>26.8</v>
      </c>
      <c r="Q3352" s="4" t="s">
        <v>1394</v>
      </c>
    </row>
    <row r="3353" spans="1:17" x14ac:dyDescent="0.3">
      <c r="A3353" s="2" t="s">
        <v>1389</v>
      </c>
      <c r="B3353" s="3">
        <v>158984</v>
      </c>
      <c r="C3353" s="3">
        <v>219852</v>
      </c>
      <c r="D3353" s="4" t="s">
        <v>17</v>
      </c>
      <c r="E3353" s="4" t="s">
        <v>826</v>
      </c>
      <c r="F3353" s="4" t="s">
        <v>19</v>
      </c>
      <c r="G3353" s="4" t="s">
        <v>20</v>
      </c>
      <c r="H3353" s="5">
        <v>7000</v>
      </c>
      <c r="I3353" s="4" t="s">
        <v>21</v>
      </c>
      <c r="J3353" s="5">
        <f t="shared" si="52"/>
        <v>-29437.8</v>
      </c>
      <c r="K3353" s="4" t="s">
        <v>53</v>
      </c>
      <c r="L3353" s="6">
        <v>4.2054</v>
      </c>
      <c r="M3353" s="6">
        <v>0.23780000000000001</v>
      </c>
      <c r="N3353" s="6">
        <v>4.2050000000000001</v>
      </c>
      <c r="O3353" s="6">
        <v>1</v>
      </c>
      <c r="P3353" s="5">
        <v>-2.7999999999992724</v>
      </c>
      <c r="Q3353" s="4" t="s">
        <v>1390</v>
      </c>
    </row>
    <row r="3354" spans="1:17" x14ac:dyDescent="0.3">
      <c r="A3354" s="2" t="s">
        <v>1389</v>
      </c>
      <c r="B3354" s="3">
        <v>158985</v>
      </c>
      <c r="C3354" s="3">
        <v>219856</v>
      </c>
      <c r="D3354" s="4" t="s">
        <v>17</v>
      </c>
      <c r="E3354" s="4" t="s">
        <v>1221</v>
      </c>
      <c r="F3354" s="4" t="s">
        <v>32</v>
      </c>
      <c r="G3354" s="4" t="s">
        <v>34</v>
      </c>
      <c r="H3354" s="5">
        <v>-100000</v>
      </c>
      <c r="I3354" s="4" t="s">
        <v>21</v>
      </c>
      <c r="J3354" s="5">
        <f t="shared" si="52"/>
        <v>356900</v>
      </c>
      <c r="K3354" s="4" t="s">
        <v>53</v>
      </c>
      <c r="L3354" s="6">
        <v>3.569</v>
      </c>
      <c r="M3354" s="6">
        <v>0.2802</v>
      </c>
      <c r="N3354" s="6">
        <v>3.5831</v>
      </c>
      <c r="O3354" s="6">
        <v>1</v>
      </c>
      <c r="P3354" s="5">
        <v>-1410</v>
      </c>
      <c r="Q3354" s="4" t="s">
        <v>1390</v>
      </c>
    </row>
    <row r="3355" spans="1:17" x14ac:dyDescent="0.3">
      <c r="A3355" s="2" t="s">
        <v>1389</v>
      </c>
      <c r="B3355" s="3">
        <v>158986</v>
      </c>
      <c r="C3355" s="3">
        <v>219863</v>
      </c>
      <c r="D3355" s="4" t="s">
        <v>17</v>
      </c>
      <c r="E3355" s="4" t="s">
        <v>1138</v>
      </c>
      <c r="F3355" s="4" t="s">
        <v>19</v>
      </c>
      <c r="G3355" s="4" t="s">
        <v>20</v>
      </c>
      <c r="H3355" s="5">
        <v>65000</v>
      </c>
      <c r="I3355" s="4" t="s">
        <v>34</v>
      </c>
      <c r="J3355" s="5">
        <f t="shared" si="52"/>
        <v>-76849.5</v>
      </c>
      <c r="K3355" s="4" t="s">
        <v>53</v>
      </c>
      <c r="L3355" s="6">
        <v>1.1822999999999999</v>
      </c>
      <c r="M3355" s="6">
        <v>0.8458</v>
      </c>
      <c r="N3355" s="6">
        <v>4.2050000000000001</v>
      </c>
      <c r="O3355" s="6">
        <v>3.5831</v>
      </c>
      <c r="P3355" s="5">
        <v>-2034.4434500000207</v>
      </c>
      <c r="Q3355" s="4" t="s">
        <v>1390</v>
      </c>
    </row>
    <row r="3356" spans="1:17" x14ac:dyDescent="0.3">
      <c r="A3356" s="2" t="s">
        <v>1389</v>
      </c>
      <c r="B3356" s="3">
        <v>158988</v>
      </c>
      <c r="C3356" s="3">
        <v>909215</v>
      </c>
      <c r="D3356" s="4" t="s">
        <v>81</v>
      </c>
      <c r="E3356" s="4" t="s">
        <v>1155</v>
      </c>
      <c r="F3356" s="4" t="s">
        <v>83</v>
      </c>
      <c r="G3356" s="4" t="s">
        <v>34</v>
      </c>
      <c r="H3356" s="5">
        <v>-450000</v>
      </c>
      <c r="I3356" s="4" t="s">
        <v>74</v>
      </c>
      <c r="J3356" s="5">
        <f t="shared" si="52"/>
        <v>4389615</v>
      </c>
      <c r="K3356" s="4" t="s">
        <v>30</v>
      </c>
      <c r="L3356" s="6">
        <v>9.7546999999999997</v>
      </c>
      <c r="M3356" s="6">
        <v>0.10249999999999999</v>
      </c>
      <c r="N3356" s="6">
        <v>3.5354000000000001</v>
      </c>
      <c r="O3356" s="6">
        <v>0.36259999999999998</v>
      </c>
      <c r="P3356" s="5">
        <v>744.399</v>
      </c>
      <c r="Q3356" s="4" t="s">
        <v>1390</v>
      </c>
    </row>
    <row r="3357" spans="1:17" x14ac:dyDescent="0.3">
      <c r="A3357" s="2" t="s">
        <v>1389</v>
      </c>
      <c r="B3357" s="3">
        <v>158990</v>
      </c>
      <c r="C3357" s="3">
        <v>219867</v>
      </c>
      <c r="D3357" s="4" t="s">
        <v>17</v>
      </c>
      <c r="E3357" s="4" t="s">
        <v>770</v>
      </c>
      <c r="F3357" s="4" t="s">
        <v>32</v>
      </c>
      <c r="G3357" s="4" t="s">
        <v>20</v>
      </c>
      <c r="H3357" s="5">
        <v>-1000</v>
      </c>
      <c r="I3357" s="4" t="s">
        <v>21</v>
      </c>
      <c r="J3357" s="5">
        <f t="shared" si="52"/>
        <v>4215.9000000000005</v>
      </c>
      <c r="K3357" s="4" t="s">
        <v>53</v>
      </c>
      <c r="L3357" s="6">
        <v>4.2159000000000004</v>
      </c>
      <c r="M3357" s="6">
        <v>0.23719999999999999</v>
      </c>
      <c r="N3357" s="6">
        <v>4.2050000000000001</v>
      </c>
      <c r="O3357" s="6">
        <v>1</v>
      </c>
      <c r="P3357" s="5">
        <v>10.5</v>
      </c>
      <c r="Q3357" s="4" t="s">
        <v>1390</v>
      </c>
    </row>
    <row r="3358" spans="1:17" x14ac:dyDescent="0.3">
      <c r="A3358" s="2" t="s">
        <v>1389</v>
      </c>
      <c r="B3358" s="3">
        <v>158993</v>
      </c>
      <c r="C3358" s="3">
        <v>219870</v>
      </c>
      <c r="D3358" s="4" t="s">
        <v>17</v>
      </c>
      <c r="E3358" s="4" t="s">
        <v>1092</v>
      </c>
      <c r="F3358" s="4" t="s">
        <v>32</v>
      </c>
      <c r="G3358" s="4" t="s">
        <v>34</v>
      </c>
      <c r="H3358" s="5">
        <v>-20700</v>
      </c>
      <c r="I3358" s="4" t="s">
        <v>21</v>
      </c>
      <c r="J3358" s="5">
        <f t="shared" si="52"/>
        <v>73658.87999999999</v>
      </c>
      <c r="K3358" s="4" t="s">
        <v>53</v>
      </c>
      <c r="L3358" s="6">
        <v>3.5583999999999998</v>
      </c>
      <c r="M3358" s="6">
        <v>0.28100000000000003</v>
      </c>
      <c r="N3358" s="6">
        <v>3.5831</v>
      </c>
      <c r="O3358" s="6">
        <v>1</v>
      </c>
      <c r="P3358" s="5">
        <v>-511.29</v>
      </c>
      <c r="Q3358" s="4" t="s">
        <v>1390</v>
      </c>
    </row>
    <row r="3359" spans="1:17" x14ac:dyDescent="0.3">
      <c r="A3359" s="2" t="s">
        <v>1389</v>
      </c>
      <c r="B3359" s="3">
        <v>158994</v>
      </c>
      <c r="C3359" s="3">
        <v>219871</v>
      </c>
      <c r="D3359" s="4" t="s">
        <v>17</v>
      </c>
      <c r="E3359" s="4" t="s">
        <v>1092</v>
      </c>
      <c r="F3359" s="4" t="s">
        <v>32</v>
      </c>
      <c r="G3359" s="4" t="s">
        <v>20</v>
      </c>
      <c r="H3359" s="5">
        <v>-2200</v>
      </c>
      <c r="I3359" s="4" t="s">
        <v>21</v>
      </c>
      <c r="J3359" s="5">
        <f t="shared" si="52"/>
        <v>9271.02</v>
      </c>
      <c r="K3359" s="4" t="s">
        <v>53</v>
      </c>
      <c r="L3359" s="6">
        <v>4.2141000000000002</v>
      </c>
      <c r="M3359" s="6">
        <v>0.23730000000000001</v>
      </c>
      <c r="N3359" s="6">
        <v>4.2050000000000001</v>
      </c>
      <c r="O3359" s="6">
        <v>1</v>
      </c>
      <c r="P3359" s="5">
        <v>19.14</v>
      </c>
      <c r="Q3359" s="4" t="s">
        <v>1390</v>
      </c>
    </row>
    <row r="3360" spans="1:17" x14ac:dyDescent="0.3">
      <c r="A3360" s="2" t="s">
        <v>1389</v>
      </c>
      <c r="B3360" s="3">
        <v>158995</v>
      </c>
      <c r="C3360" s="3">
        <v>219875</v>
      </c>
      <c r="D3360" s="4" t="s">
        <v>17</v>
      </c>
      <c r="E3360" s="4" t="s">
        <v>1011</v>
      </c>
      <c r="F3360" s="4" t="s">
        <v>19</v>
      </c>
      <c r="G3360" s="4" t="s">
        <v>20</v>
      </c>
      <c r="H3360" s="5">
        <v>1500000</v>
      </c>
      <c r="I3360" s="4" t="s">
        <v>21</v>
      </c>
      <c r="J3360" s="5">
        <f t="shared" si="52"/>
        <v>-6291600</v>
      </c>
      <c r="K3360" s="4" t="s">
        <v>53</v>
      </c>
      <c r="L3360" s="6">
        <v>4.1943999999999999</v>
      </c>
      <c r="M3360" s="6">
        <v>0.2384</v>
      </c>
      <c r="N3360" s="6">
        <v>4.2050000000000001</v>
      </c>
      <c r="O3360" s="6">
        <v>1</v>
      </c>
      <c r="P3360" s="5">
        <v>15900</v>
      </c>
      <c r="Q3360" s="4" t="s">
        <v>1390</v>
      </c>
    </row>
    <row r="3361" spans="1:17" x14ac:dyDescent="0.3">
      <c r="A3361" s="2" t="s">
        <v>1389</v>
      </c>
      <c r="B3361" s="3">
        <v>158996</v>
      </c>
      <c r="C3361" s="3">
        <v>219876</v>
      </c>
      <c r="D3361" s="4" t="s">
        <v>17</v>
      </c>
      <c r="E3361" s="4" t="s">
        <v>830</v>
      </c>
      <c r="F3361" s="4" t="s">
        <v>19</v>
      </c>
      <c r="G3361" s="4" t="s">
        <v>20</v>
      </c>
      <c r="H3361" s="5">
        <v>20000</v>
      </c>
      <c r="I3361" s="4" t="s">
        <v>21</v>
      </c>
      <c r="J3361" s="5">
        <f t="shared" si="52"/>
        <v>-83910</v>
      </c>
      <c r="K3361" s="4" t="s">
        <v>53</v>
      </c>
      <c r="L3361" s="6">
        <v>4.1955</v>
      </c>
      <c r="M3361" s="6">
        <v>0.2384</v>
      </c>
      <c r="N3361" s="6">
        <v>4.2050000000000001</v>
      </c>
      <c r="O3361" s="6">
        <v>1</v>
      </c>
      <c r="P3361" s="5">
        <v>190</v>
      </c>
      <c r="Q3361" s="4" t="s">
        <v>1390</v>
      </c>
    </row>
    <row r="3362" spans="1:17" x14ac:dyDescent="0.3">
      <c r="A3362" s="2" t="s">
        <v>1389</v>
      </c>
      <c r="B3362" s="3">
        <v>158997</v>
      </c>
      <c r="C3362" s="3">
        <v>219877</v>
      </c>
      <c r="D3362" s="4" t="s">
        <v>17</v>
      </c>
      <c r="E3362" s="4" t="s">
        <v>891</v>
      </c>
      <c r="F3362" s="4" t="s">
        <v>19</v>
      </c>
      <c r="G3362" s="4" t="s">
        <v>20</v>
      </c>
      <c r="H3362" s="5">
        <v>93000</v>
      </c>
      <c r="I3362" s="4" t="s">
        <v>34</v>
      </c>
      <c r="J3362" s="5">
        <f t="shared" si="52"/>
        <v>-110084.09999999999</v>
      </c>
      <c r="K3362" s="4" t="s">
        <v>53</v>
      </c>
      <c r="L3362" s="6">
        <v>1.1837</v>
      </c>
      <c r="M3362" s="6">
        <v>0.8448</v>
      </c>
      <c r="N3362" s="6">
        <v>4.2050000000000001</v>
      </c>
      <c r="O3362" s="6">
        <v>3.5831</v>
      </c>
      <c r="P3362" s="5">
        <v>-3377.3387099999818</v>
      </c>
      <c r="Q3362" s="4" t="s">
        <v>1390</v>
      </c>
    </row>
    <row r="3363" spans="1:17" x14ac:dyDescent="0.3">
      <c r="A3363" s="2" t="s">
        <v>1389</v>
      </c>
      <c r="B3363" s="3">
        <v>158998</v>
      </c>
      <c r="C3363" s="3">
        <v>219878</v>
      </c>
      <c r="D3363" s="4" t="s">
        <v>17</v>
      </c>
      <c r="E3363" s="4" t="s">
        <v>1229</v>
      </c>
      <c r="F3363" s="4" t="s">
        <v>19</v>
      </c>
      <c r="G3363" s="4" t="s">
        <v>20</v>
      </c>
      <c r="H3363" s="5">
        <v>50000</v>
      </c>
      <c r="I3363" s="4" t="s">
        <v>21</v>
      </c>
      <c r="J3363" s="5">
        <f t="shared" si="52"/>
        <v>-210100</v>
      </c>
      <c r="K3363" s="4" t="s">
        <v>53</v>
      </c>
      <c r="L3363" s="6">
        <v>4.202</v>
      </c>
      <c r="M3363" s="6">
        <v>0.23799999999999999</v>
      </c>
      <c r="N3363" s="6">
        <v>4.2050000000000001</v>
      </c>
      <c r="O3363" s="6">
        <v>1</v>
      </c>
      <c r="P3363" s="5">
        <v>150</v>
      </c>
      <c r="Q3363" s="4" t="s">
        <v>1390</v>
      </c>
    </row>
    <row r="3364" spans="1:17" x14ac:dyDescent="0.3">
      <c r="A3364" s="2" t="s">
        <v>1389</v>
      </c>
      <c r="B3364" s="3">
        <v>158999</v>
      </c>
      <c r="C3364" s="3">
        <v>219879</v>
      </c>
      <c r="D3364" s="4" t="s">
        <v>17</v>
      </c>
      <c r="E3364" s="4" t="s">
        <v>1232</v>
      </c>
      <c r="F3364" s="4" t="s">
        <v>32</v>
      </c>
      <c r="G3364" s="4" t="s">
        <v>20</v>
      </c>
      <c r="H3364" s="5">
        <v>-21200</v>
      </c>
      <c r="I3364" s="4" t="s">
        <v>21</v>
      </c>
      <c r="J3364" s="5">
        <f t="shared" si="52"/>
        <v>89294.399999999994</v>
      </c>
      <c r="K3364" s="4" t="s">
        <v>53</v>
      </c>
      <c r="L3364" s="6">
        <v>4.2119999999999997</v>
      </c>
      <c r="M3364" s="6">
        <v>0.2374</v>
      </c>
      <c r="N3364" s="6">
        <v>4.2050000000000001</v>
      </c>
      <c r="O3364" s="6">
        <v>1</v>
      </c>
      <c r="P3364" s="5">
        <v>148.4</v>
      </c>
      <c r="Q3364" s="4" t="s">
        <v>1390</v>
      </c>
    </row>
    <row r="3365" spans="1:17" x14ac:dyDescent="0.3">
      <c r="A3365" s="2" t="s">
        <v>1389</v>
      </c>
      <c r="B3365" s="3">
        <v>159000</v>
      </c>
      <c r="C3365" s="3">
        <v>219880</v>
      </c>
      <c r="D3365" s="4" t="s">
        <v>17</v>
      </c>
      <c r="E3365" s="4" t="s">
        <v>1131</v>
      </c>
      <c r="F3365" s="4" t="s">
        <v>32</v>
      </c>
      <c r="G3365" s="4" t="s">
        <v>34</v>
      </c>
      <c r="H3365" s="5">
        <v>-500000</v>
      </c>
      <c r="I3365" s="4" t="s">
        <v>21</v>
      </c>
      <c r="J3365" s="5">
        <f t="shared" si="52"/>
        <v>1779000</v>
      </c>
      <c r="K3365" s="4" t="s">
        <v>53</v>
      </c>
      <c r="L3365" s="6">
        <v>3.5579999999999998</v>
      </c>
      <c r="M3365" s="6">
        <v>0.28110000000000002</v>
      </c>
      <c r="N3365" s="6">
        <v>3.5831</v>
      </c>
      <c r="O3365" s="6">
        <v>1</v>
      </c>
      <c r="P3365" s="5">
        <v>-12550</v>
      </c>
      <c r="Q3365" s="4" t="s">
        <v>1390</v>
      </c>
    </row>
    <row r="3366" spans="1:17" x14ac:dyDescent="0.3">
      <c r="A3366" s="2" t="s">
        <v>1389</v>
      </c>
      <c r="B3366" s="3">
        <v>159001</v>
      </c>
      <c r="C3366" s="3">
        <v>219881</v>
      </c>
      <c r="D3366" s="4" t="s">
        <v>17</v>
      </c>
      <c r="E3366" s="4" t="s">
        <v>951</v>
      </c>
      <c r="F3366" s="4" t="s">
        <v>32</v>
      </c>
      <c r="G3366" s="4" t="s">
        <v>20</v>
      </c>
      <c r="H3366" s="5">
        <v>-20800</v>
      </c>
      <c r="I3366" s="4" t="s">
        <v>21</v>
      </c>
      <c r="J3366" s="5">
        <f t="shared" si="52"/>
        <v>87553.44</v>
      </c>
      <c r="K3366" s="4" t="s">
        <v>53</v>
      </c>
      <c r="L3366" s="6">
        <v>4.2092999999999998</v>
      </c>
      <c r="M3366" s="6">
        <v>0.23760000000000001</v>
      </c>
      <c r="N3366" s="6">
        <v>4.2050000000000001</v>
      </c>
      <c r="O3366" s="6">
        <v>1</v>
      </c>
      <c r="P3366" s="5">
        <v>81.12</v>
      </c>
      <c r="Q3366" s="4" t="s">
        <v>1390</v>
      </c>
    </row>
    <row r="3367" spans="1:17" x14ac:dyDescent="0.3">
      <c r="A3367" s="2" t="s">
        <v>1389</v>
      </c>
      <c r="B3367" s="3">
        <v>159002</v>
      </c>
      <c r="C3367" s="3">
        <v>219882</v>
      </c>
      <c r="D3367" s="4" t="s">
        <v>17</v>
      </c>
      <c r="E3367" s="4" t="s">
        <v>1224</v>
      </c>
      <c r="F3367" s="4" t="s">
        <v>32</v>
      </c>
      <c r="G3367" s="4" t="s">
        <v>20</v>
      </c>
      <c r="H3367" s="5">
        <v>-20000</v>
      </c>
      <c r="I3367" s="4" t="s">
        <v>21</v>
      </c>
      <c r="J3367" s="5">
        <f t="shared" si="52"/>
        <v>84198</v>
      </c>
      <c r="K3367" s="4" t="s">
        <v>53</v>
      </c>
      <c r="L3367" s="6">
        <v>4.2099000000000002</v>
      </c>
      <c r="M3367" s="6">
        <v>0.23749999999999999</v>
      </c>
      <c r="N3367" s="6">
        <v>4.2050000000000001</v>
      </c>
      <c r="O3367" s="6">
        <v>1</v>
      </c>
      <c r="P3367" s="5">
        <v>90</v>
      </c>
      <c r="Q3367" s="4" t="s">
        <v>1390</v>
      </c>
    </row>
    <row r="3368" spans="1:17" x14ac:dyDescent="0.3">
      <c r="A3368" s="2" t="s">
        <v>1389</v>
      </c>
      <c r="B3368" s="3">
        <v>159003</v>
      </c>
      <c r="C3368" s="3">
        <v>219883</v>
      </c>
      <c r="D3368" s="4" t="s">
        <v>17</v>
      </c>
      <c r="E3368" s="4" t="s">
        <v>951</v>
      </c>
      <c r="F3368" s="4" t="s">
        <v>32</v>
      </c>
      <c r="G3368" s="4" t="s">
        <v>20</v>
      </c>
      <c r="H3368" s="5">
        <v>-50000</v>
      </c>
      <c r="I3368" s="4" t="s">
        <v>21</v>
      </c>
      <c r="J3368" s="5">
        <f t="shared" si="52"/>
        <v>210469.99999999997</v>
      </c>
      <c r="K3368" s="4" t="s">
        <v>53</v>
      </c>
      <c r="L3368" s="6">
        <v>4.2093999999999996</v>
      </c>
      <c r="M3368" s="6">
        <v>0.23760000000000001</v>
      </c>
      <c r="N3368" s="6">
        <v>4.2050000000000001</v>
      </c>
      <c r="O3368" s="6">
        <v>1</v>
      </c>
      <c r="P3368" s="5">
        <v>200</v>
      </c>
      <c r="Q3368" s="4" t="s">
        <v>1390</v>
      </c>
    </row>
    <row r="3369" spans="1:17" x14ac:dyDescent="0.3">
      <c r="A3369" s="2" t="s">
        <v>1389</v>
      </c>
      <c r="B3369" s="3">
        <v>159004</v>
      </c>
      <c r="C3369" s="3">
        <v>219884</v>
      </c>
      <c r="D3369" s="4" t="s">
        <v>17</v>
      </c>
      <c r="E3369" s="4" t="s">
        <v>1281</v>
      </c>
      <c r="F3369" s="4" t="s">
        <v>19</v>
      </c>
      <c r="G3369" s="4" t="s">
        <v>20</v>
      </c>
      <c r="H3369" s="5">
        <v>8500</v>
      </c>
      <c r="I3369" s="4" t="s">
        <v>21</v>
      </c>
      <c r="J3369" s="5">
        <f t="shared" si="52"/>
        <v>-35193.399999999994</v>
      </c>
      <c r="K3369" s="4" t="s">
        <v>53</v>
      </c>
      <c r="L3369" s="6">
        <v>4.1403999999999996</v>
      </c>
      <c r="M3369" s="6">
        <v>0.24149999999999999</v>
      </c>
      <c r="N3369" s="6">
        <v>4.2050000000000001</v>
      </c>
      <c r="O3369" s="6">
        <v>1</v>
      </c>
      <c r="P3369" s="5">
        <v>549.10000000000582</v>
      </c>
      <c r="Q3369" s="4" t="s">
        <v>1390</v>
      </c>
    </row>
    <row r="3370" spans="1:17" x14ac:dyDescent="0.3">
      <c r="A3370" s="2" t="s">
        <v>1389</v>
      </c>
      <c r="B3370" s="3">
        <v>159005</v>
      </c>
      <c r="C3370" s="3">
        <v>219885</v>
      </c>
      <c r="D3370" s="4" t="s">
        <v>17</v>
      </c>
      <c r="E3370" s="4" t="s">
        <v>1102</v>
      </c>
      <c r="F3370" s="4" t="s">
        <v>32</v>
      </c>
      <c r="G3370" s="4" t="s">
        <v>20</v>
      </c>
      <c r="H3370" s="5">
        <v>-220000</v>
      </c>
      <c r="I3370" s="4" t="s">
        <v>21</v>
      </c>
      <c r="J3370" s="5">
        <f t="shared" si="52"/>
        <v>925848</v>
      </c>
      <c r="K3370" s="4" t="s">
        <v>53</v>
      </c>
      <c r="L3370" s="6">
        <v>4.2084000000000001</v>
      </c>
      <c r="M3370" s="6">
        <v>0.23760000000000001</v>
      </c>
      <c r="N3370" s="6">
        <v>4.2050000000000001</v>
      </c>
      <c r="O3370" s="6">
        <v>1</v>
      </c>
      <c r="P3370" s="5">
        <v>660</v>
      </c>
      <c r="Q3370" s="4" t="s">
        <v>1390</v>
      </c>
    </row>
    <row r="3371" spans="1:17" x14ac:dyDescent="0.3">
      <c r="A3371" s="2" t="s">
        <v>1389</v>
      </c>
      <c r="B3371" s="3">
        <v>159006</v>
      </c>
      <c r="C3371" s="3">
        <v>909290</v>
      </c>
      <c r="D3371" s="4" t="s">
        <v>81</v>
      </c>
      <c r="E3371" s="4" t="s">
        <v>734</v>
      </c>
      <c r="F3371" s="4" t="s">
        <v>83</v>
      </c>
      <c r="G3371" s="4" t="s">
        <v>20</v>
      </c>
      <c r="H3371" s="5">
        <v>-5000000</v>
      </c>
      <c r="I3371" s="4" t="s">
        <v>21</v>
      </c>
      <c r="J3371" s="5">
        <f t="shared" si="52"/>
        <v>21041500.000000004</v>
      </c>
      <c r="K3371" s="4" t="s">
        <v>30</v>
      </c>
      <c r="L3371" s="6">
        <v>4.2083000000000004</v>
      </c>
      <c r="M3371" s="6">
        <v>0.23760000000000001</v>
      </c>
      <c r="N3371" s="6">
        <v>4.2031999999999998</v>
      </c>
      <c r="O3371" s="6">
        <v>1</v>
      </c>
      <c r="P3371" s="5">
        <v>25500</v>
      </c>
      <c r="Q3371" s="4" t="s">
        <v>1393</v>
      </c>
    </row>
    <row r="3372" spans="1:17" x14ac:dyDescent="0.3">
      <c r="A3372" s="2" t="s">
        <v>1389</v>
      </c>
      <c r="B3372" s="3">
        <v>159007</v>
      </c>
      <c r="C3372" s="3">
        <v>909291</v>
      </c>
      <c r="D3372" s="4" t="s">
        <v>81</v>
      </c>
      <c r="E3372" s="4" t="s">
        <v>734</v>
      </c>
      <c r="F3372" s="4" t="s">
        <v>83</v>
      </c>
      <c r="G3372" s="4" t="s">
        <v>20</v>
      </c>
      <c r="H3372" s="5">
        <v>-5000000</v>
      </c>
      <c r="I3372" s="4" t="s">
        <v>21</v>
      </c>
      <c r="J3372" s="5">
        <f t="shared" si="52"/>
        <v>21038500</v>
      </c>
      <c r="K3372" s="4" t="s">
        <v>30</v>
      </c>
      <c r="L3372" s="6">
        <v>4.2077</v>
      </c>
      <c r="M3372" s="6">
        <v>0.23769999999999999</v>
      </c>
      <c r="N3372" s="6">
        <v>4.2031999999999998</v>
      </c>
      <c r="O3372" s="6">
        <v>1</v>
      </c>
      <c r="P3372" s="5">
        <v>22500</v>
      </c>
      <c r="Q3372" s="4" t="s">
        <v>1393</v>
      </c>
    </row>
    <row r="3373" spans="1:17" x14ac:dyDescent="0.3">
      <c r="A3373" s="2" t="s">
        <v>1389</v>
      </c>
      <c r="B3373" s="3">
        <v>159008</v>
      </c>
      <c r="C3373" s="3">
        <v>909292</v>
      </c>
      <c r="D3373" s="4" t="s">
        <v>81</v>
      </c>
      <c r="E3373" s="4" t="s">
        <v>734</v>
      </c>
      <c r="F3373" s="4" t="s">
        <v>83</v>
      </c>
      <c r="G3373" s="4" t="s">
        <v>20</v>
      </c>
      <c r="H3373" s="5">
        <v>-5000000</v>
      </c>
      <c r="I3373" s="4" t="s">
        <v>21</v>
      </c>
      <c r="J3373" s="5">
        <f t="shared" si="52"/>
        <v>21038000</v>
      </c>
      <c r="K3373" s="4" t="s">
        <v>30</v>
      </c>
      <c r="L3373" s="6">
        <v>4.2076000000000002</v>
      </c>
      <c r="M3373" s="6">
        <v>0.23769999999999999</v>
      </c>
      <c r="N3373" s="6">
        <v>4.2031999999999998</v>
      </c>
      <c r="O3373" s="6">
        <v>1</v>
      </c>
      <c r="P3373" s="5">
        <v>22000</v>
      </c>
      <c r="Q3373" s="4" t="s">
        <v>1393</v>
      </c>
    </row>
    <row r="3374" spans="1:17" x14ac:dyDescent="0.3">
      <c r="A3374" s="2" t="s">
        <v>1389</v>
      </c>
      <c r="B3374" s="3">
        <v>159009</v>
      </c>
      <c r="C3374" s="3">
        <v>909293</v>
      </c>
      <c r="D3374" s="4" t="s">
        <v>81</v>
      </c>
      <c r="E3374" s="4" t="s">
        <v>734</v>
      </c>
      <c r="F3374" s="4" t="s">
        <v>83</v>
      </c>
      <c r="G3374" s="4" t="s">
        <v>20</v>
      </c>
      <c r="H3374" s="5">
        <v>-5000000</v>
      </c>
      <c r="I3374" s="4" t="s">
        <v>21</v>
      </c>
      <c r="J3374" s="5">
        <f t="shared" si="52"/>
        <v>21036000</v>
      </c>
      <c r="K3374" s="4" t="s">
        <v>30</v>
      </c>
      <c r="L3374" s="6">
        <v>4.2072000000000003</v>
      </c>
      <c r="M3374" s="6">
        <v>0.23769999999999999</v>
      </c>
      <c r="N3374" s="6">
        <v>4.2031999999999998</v>
      </c>
      <c r="O3374" s="6">
        <v>1</v>
      </c>
      <c r="P3374" s="5">
        <v>20000</v>
      </c>
      <c r="Q3374" s="4" t="s">
        <v>1393</v>
      </c>
    </row>
    <row r="3375" spans="1:17" x14ac:dyDescent="0.3">
      <c r="A3375" s="2" t="s">
        <v>1389</v>
      </c>
      <c r="B3375" s="3">
        <v>159010</v>
      </c>
      <c r="C3375" s="3">
        <v>909294</v>
      </c>
      <c r="D3375" s="4" t="s">
        <v>81</v>
      </c>
      <c r="E3375" s="4" t="s">
        <v>734</v>
      </c>
      <c r="F3375" s="4" t="s">
        <v>83</v>
      </c>
      <c r="G3375" s="4" t="s">
        <v>20</v>
      </c>
      <c r="H3375" s="5">
        <v>-5000000</v>
      </c>
      <c r="I3375" s="4" t="s">
        <v>21</v>
      </c>
      <c r="J3375" s="5">
        <f t="shared" si="52"/>
        <v>21038500</v>
      </c>
      <c r="K3375" s="4" t="s">
        <v>30</v>
      </c>
      <c r="L3375" s="6">
        <v>4.2077</v>
      </c>
      <c r="M3375" s="6">
        <v>0.23769999999999999</v>
      </c>
      <c r="N3375" s="6">
        <v>4.2031999999999998</v>
      </c>
      <c r="O3375" s="6">
        <v>1</v>
      </c>
      <c r="P3375" s="5">
        <v>22500</v>
      </c>
      <c r="Q3375" s="4" t="s">
        <v>1393</v>
      </c>
    </row>
    <row r="3376" spans="1:17" x14ac:dyDescent="0.3">
      <c r="A3376" s="2" t="s">
        <v>1389</v>
      </c>
      <c r="B3376" s="3">
        <v>159011</v>
      </c>
      <c r="C3376" s="3">
        <v>909295</v>
      </c>
      <c r="D3376" s="4" t="s">
        <v>81</v>
      </c>
      <c r="E3376" s="4" t="s">
        <v>730</v>
      </c>
      <c r="F3376" s="4" t="s">
        <v>83</v>
      </c>
      <c r="G3376" s="4" t="s">
        <v>20</v>
      </c>
      <c r="H3376" s="5">
        <v>-5000000</v>
      </c>
      <c r="I3376" s="4" t="s">
        <v>21</v>
      </c>
      <c r="J3376" s="5">
        <f t="shared" si="52"/>
        <v>21037499.999999996</v>
      </c>
      <c r="K3376" s="4" t="s">
        <v>30</v>
      </c>
      <c r="L3376" s="6">
        <v>4.2074999999999996</v>
      </c>
      <c r="M3376" s="6">
        <v>0.23769999999999999</v>
      </c>
      <c r="N3376" s="6">
        <v>4.2031999999999998</v>
      </c>
      <c r="O3376" s="6">
        <v>1</v>
      </c>
      <c r="P3376" s="5">
        <v>21550</v>
      </c>
      <c r="Q3376" s="4" t="s">
        <v>1396</v>
      </c>
    </row>
    <row r="3377" spans="1:17" x14ac:dyDescent="0.3">
      <c r="A3377" s="2" t="s">
        <v>1389</v>
      </c>
      <c r="B3377" s="3">
        <v>159012</v>
      </c>
      <c r="C3377" s="3">
        <v>909296</v>
      </c>
      <c r="D3377" s="4" t="s">
        <v>81</v>
      </c>
      <c r="E3377" s="4" t="s">
        <v>734</v>
      </c>
      <c r="F3377" s="4" t="s">
        <v>83</v>
      </c>
      <c r="G3377" s="4" t="s">
        <v>20</v>
      </c>
      <c r="H3377" s="5">
        <v>-5000000</v>
      </c>
      <c r="I3377" s="4" t="s">
        <v>21</v>
      </c>
      <c r="J3377" s="5">
        <f t="shared" si="52"/>
        <v>21034000</v>
      </c>
      <c r="K3377" s="4" t="s">
        <v>30</v>
      </c>
      <c r="L3377" s="6">
        <v>4.2068000000000003</v>
      </c>
      <c r="M3377" s="6">
        <v>0.23769999999999999</v>
      </c>
      <c r="N3377" s="6">
        <v>4.2031999999999998</v>
      </c>
      <c r="O3377" s="6">
        <v>1</v>
      </c>
      <c r="P3377" s="5">
        <v>18000</v>
      </c>
      <c r="Q3377" s="4" t="s">
        <v>1393</v>
      </c>
    </row>
    <row r="3378" spans="1:17" x14ac:dyDescent="0.3">
      <c r="A3378" s="2" t="s">
        <v>1389</v>
      </c>
      <c r="B3378" s="3">
        <v>159013</v>
      </c>
      <c r="C3378" s="3">
        <v>909297</v>
      </c>
      <c r="D3378" s="4" t="s">
        <v>81</v>
      </c>
      <c r="E3378" s="4" t="s">
        <v>730</v>
      </c>
      <c r="F3378" s="4" t="s">
        <v>83</v>
      </c>
      <c r="G3378" s="4" t="s">
        <v>20</v>
      </c>
      <c r="H3378" s="5">
        <v>-1000000</v>
      </c>
      <c r="I3378" s="4" t="s">
        <v>21</v>
      </c>
      <c r="J3378" s="5">
        <f t="shared" si="52"/>
        <v>4207400</v>
      </c>
      <c r="K3378" s="4" t="s">
        <v>30</v>
      </c>
      <c r="L3378" s="6">
        <v>4.2073999999999998</v>
      </c>
      <c r="M3378" s="6">
        <v>0.23769999999999999</v>
      </c>
      <c r="N3378" s="6">
        <v>4.2031999999999998</v>
      </c>
      <c r="O3378" s="6">
        <v>1</v>
      </c>
      <c r="P3378" s="5">
        <v>4190</v>
      </c>
      <c r="Q3378" s="4" t="s">
        <v>1396</v>
      </c>
    </row>
    <row r="3379" spans="1:17" x14ac:dyDescent="0.3">
      <c r="A3379" s="2" t="s">
        <v>1389</v>
      </c>
      <c r="B3379" s="3">
        <v>159014</v>
      </c>
      <c r="C3379" s="3">
        <v>909298</v>
      </c>
      <c r="D3379" s="4" t="s">
        <v>81</v>
      </c>
      <c r="E3379" s="4" t="s">
        <v>730</v>
      </c>
      <c r="F3379" s="4" t="s">
        <v>83</v>
      </c>
      <c r="G3379" s="4" t="s">
        <v>20</v>
      </c>
      <c r="H3379" s="5">
        <v>-1000000</v>
      </c>
      <c r="I3379" s="4" t="s">
        <v>21</v>
      </c>
      <c r="J3379" s="5">
        <f t="shared" si="52"/>
        <v>4207100</v>
      </c>
      <c r="K3379" s="4" t="s">
        <v>30</v>
      </c>
      <c r="L3379" s="6">
        <v>4.2070999999999996</v>
      </c>
      <c r="M3379" s="6">
        <v>0.23769999999999999</v>
      </c>
      <c r="N3379" s="6">
        <v>4.2031999999999998</v>
      </c>
      <c r="O3379" s="6">
        <v>1</v>
      </c>
      <c r="P3379" s="5">
        <v>3920</v>
      </c>
      <c r="Q3379" s="4" t="s">
        <v>1396</v>
      </c>
    </row>
    <row r="3380" spans="1:17" x14ac:dyDescent="0.3">
      <c r="A3380" s="2" t="s">
        <v>1389</v>
      </c>
      <c r="B3380" s="3">
        <v>159015</v>
      </c>
      <c r="C3380" s="3">
        <v>909299</v>
      </c>
      <c r="D3380" s="4" t="s">
        <v>81</v>
      </c>
      <c r="E3380" s="4" t="s">
        <v>730</v>
      </c>
      <c r="F3380" s="4" t="s">
        <v>83</v>
      </c>
      <c r="G3380" s="4" t="s">
        <v>20</v>
      </c>
      <c r="H3380" s="5">
        <v>-1000000</v>
      </c>
      <c r="I3380" s="4" t="s">
        <v>21</v>
      </c>
      <c r="J3380" s="5">
        <f t="shared" si="52"/>
        <v>4207100</v>
      </c>
      <c r="K3380" s="4" t="s">
        <v>30</v>
      </c>
      <c r="L3380" s="6">
        <v>4.2070999999999996</v>
      </c>
      <c r="M3380" s="6">
        <v>0.23769999999999999</v>
      </c>
      <c r="N3380" s="6">
        <v>4.2031999999999998</v>
      </c>
      <c r="O3380" s="6">
        <v>1</v>
      </c>
      <c r="P3380" s="5">
        <v>3940</v>
      </c>
      <c r="Q3380" s="4" t="s">
        <v>1396</v>
      </c>
    </row>
    <row r="3381" spans="1:17" x14ac:dyDescent="0.3">
      <c r="A3381" s="2" t="s">
        <v>1389</v>
      </c>
      <c r="B3381" s="3">
        <v>159016</v>
      </c>
      <c r="C3381" s="3">
        <v>909300</v>
      </c>
      <c r="D3381" s="4" t="s">
        <v>81</v>
      </c>
      <c r="E3381" s="4" t="s">
        <v>730</v>
      </c>
      <c r="F3381" s="4" t="s">
        <v>83</v>
      </c>
      <c r="G3381" s="4" t="s">
        <v>20</v>
      </c>
      <c r="H3381" s="5">
        <v>-1000000</v>
      </c>
      <c r="I3381" s="4" t="s">
        <v>21</v>
      </c>
      <c r="J3381" s="5">
        <f t="shared" si="52"/>
        <v>4207100</v>
      </c>
      <c r="K3381" s="4" t="s">
        <v>30</v>
      </c>
      <c r="L3381" s="6">
        <v>4.2070999999999996</v>
      </c>
      <c r="M3381" s="6">
        <v>0.23769999999999999</v>
      </c>
      <c r="N3381" s="6">
        <v>4.2031999999999998</v>
      </c>
      <c r="O3381" s="6">
        <v>1</v>
      </c>
      <c r="P3381" s="5">
        <v>3890</v>
      </c>
      <c r="Q3381" s="4" t="s">
        <v>1396</v>
      </c>
    </row>
    <row r="3382" spans="1:17" x14ac:dyDescent="0.3">
      <c r="A3382" s="2" t="s">
        <v>1389</v>
      </c>
      <c r="B3382" s="3">
        <v>159017</v>
      </c>
      <c r="C3382" s="3">
        <v>909301</v>
      </c>
      <c r="D3382" s="4" t="s">
        <v>81</v>
      </c>
      <c r="E3382" s="4" t="s">
        <v>742</v>
      </c>
      <c r="F3382" s="4" t="s">
        <v>83</v>
      </c>
      <c r="G3382" s="4" t="s">
        <v>20</v>
      </c>
      <c r="H3382" s="5">
        <v>-500000</v>
      </c>
      <c r="I3382" s="4" t="s">
        <v>21</v>
      </c>
      <c r="J3382" s="5">
        <f t="shared" si="52"/>
        <v>2103250</v>
      </c>
      <c r="K3382" s="4" t="s">
        <v>30</v>
      </c>
      <c r="L3382" s="6">
        <v>4.2065000000000001</v>
      </c>
      <c r="M3382" s="6">
        <v>0.23769999999999999</v>
      </c>
      <c r="N3382" s="6">
        <v>4.2031999999999998</v>
      </c>
      <c r="O3382" s="6">
        <v>1</v>
      </c>
      <c r="P3382" s="5">
        <v>1625</v>
      </c>
      <c r="Q3382" s="4" t="s">
        <v>1396</v>
      </c>
    </row>
    <row r="3383" spans="1:17" x14ac:dyDescent="0.3">
      <c r="A3383" s="2" t="s">
        <v>1389</v>
      </c>
      <c r="B3383" s="3">
        <v>159018</v>
      </c>
      <c r="C3383" s="3">
        <v>909302</v>
      </c>
      <c r="D3383" s="4" t="s">
        <v>81</v>
      </c>
      <c r="E3383" s="4" t="s">
        <v>734</v>
      </c>
      <c r="F3383" s="4" t="s">
        <v>83</v>
      </c>
      <c r="G3383" s="4" t="s">
        <v>20</v>
      </c>
      <c r="H3383" s="5">
        <v>-1000000</v>
      </c>
      <c r="I3383" s="4" t="s">
        <v>21</v>
      </c>
      <c r="J3383" s="5">
        <f t="shared" si="52"/>
        <v>4207300</v>
      </c>
      <c r="K3383" s="4" t="s">
        <v>30</v>
      </c>
      <c r="L3383" s="6">
        <v>4.2073</v>
      </c>
      <c r="M3383" s="6">
        <v>0.23769999999999999</v>
      </c>
      <c r="N3383" s="6">
        <v>4.2031999999999998</v>
      </c>
      <c r="O3383" s="6">
        <v>1</v>
      </c>
      <c r="P3383" s="5">
        <v>4100</v>
      </c>
      <c r="Q3383" s="4" t="s">
        <v>1393</v>
      </c>
    </row>
    <row r="3384" spans="1:17" x14ac:dyDescent="0.3">
      <c r="A3384" s="2" t="s">
        <v>1389</v>
      </c>
      <c r="B3384" s="3">
        <v>159019</v>
      </c>
      <c r="C3384" s="3">
        <v>909303</v>
      </c>
      <c r="D3384" s="4" t="s">
        <v>81</v>
      </c>
      <c r="E3384" s="4" t="s">
        <v>730</v>
      </c>
      <c r="F3384" s="4" t="s">
        <v>87</v>
      </c>
      <c r="G3384" s="4" t="s">
        <v>34</v>
      </c>
      <c r="H3384" s="5">
        <v>1450000</v>
      </c>
      <c r="I3384" s="4" t="s">
        <v>74</v>
      </c>
      <c r="J3384" s="5">
        <f t="shared" si="52"/>
        <v>-14153449.999999998</v>
      </c>
      <c r="K3384" s="4" t="s">
        <v>30</v>
      </c>
      <c r="L3384" s="6">
        <v>9.7609999999999992</v>
      </c>
      <c r="M3384" s="6">
        <v>0.1024</v>
      </c>
      <c r="N3384" s="6">
        <v>3.5354000000000001</v>
      </c>
      <c r="O3384" s="6">
        <v>0.36259999999999998</v>
      </c>
      <c r="P3384" s="5">
        <v>-5695.1968999999999</v>
      </c>
      <c r="Q3384" s="4" t="s">
        <v>1396</v>
      </c>
    </row>
    <row r="3385" spans="1:17" x14ac:dyDescent="0.3">
      <c r="A3385" s="2" t="s">
        <v>1389</v>
      </c>
      <c r="B3385" s="3">
        <v>159020</v>
      </c>
      <c r="C3385" s="3">
        <v>909304</v>
      </c>
      <c r="D3385" s="4" t="s">
        <v>81</v>
      </c>
      <c r="E3385" s="4" t="s">
        <v>734</v>
      </c>
      <c r="F3385" s="4" t="s">
        <v>87</v>
      </c>
      <c r="G3385" s="4" t="s">
        <v>34</v>
      </c>
      <c r="H3385" s="5">
        <v>500000</v>
      </c>
      <c r="I3385" s="4" t="s">
        <v>21</v>
      </c>
      <c r="J3385" s="5">
        <f t="shared" si="52"/>
        <v>-1775800</v>
      </c>
      <c r="K3385" s="4" t="s">
        <v>30</v>
      </c>
      <c r="L3385" s="6">
        <v>3.5516000000000001</v>
      </c>
      <c r="M3385" s="6">
        <v>0.28160000000000002</v>
      </c>
      <c r="N3385" s="6">
        <v>3.5354000000000001</v>
      </c>
      <c r="O3385" s="6">
        <v>1</v>
      </c>
      <c r="P3385" s="5">
        <v>-8100</v>
      </c>
      <c r="Q3385" s="4" t="s">
        <v>1393</v>
      </c>
    </row>
    <row r="3386" spans="1:17" x14ac:dyDescent="0.3">
      <c r="A3386" s="2" t="s">
        <v>1389</v>
      </c>
      <c r="B3386" s="3">
        <v>159021</v>
      </c>
      <c r="C3386" s="3">
        <v>219886</v>
      </c>
      <c r="D3386" s="4" t="s">
        <v>17</v>
      </c>
      <c r="E3386" s="4" t="s">
        <v>1053</v>
      </c>
      <c r="F3386" s="4" t="s">
        <v>19</v>
      </c>
      <c r="G3386" s="4" t="s">
        <v>20</v>
      </c>
      <c r="H3386" s="5">
        <v>22000</v>
      </c>
      <c r="I3386" s="4" t="s">
        <v>21</v>
      </c>
      <c r="J3386" s="5">
        <f t="shared" si="52"/>
        <v>-92048</v>
      </c>
      <c r="K3386" s="4" t="s">
        <v>53</v>
      </c>
      <c r="L3386" s="6">
        <v>4.1840000000000002</v>
      </c>
      <c r="M3386" s="6">
        <v>0.23899999999999999</v>
      </c>
      <c r="N3386" s="6">
        <v>4.2050000000000001</v>
      </c>
      <c r="O3386" s="6">
        <v>1</v>
      </c>
      <c r="P3386" s="5">
        <v>462</v>
      </c>
      <c r="Q3386" s="4" t="s">
        <v>1390</v>
      </c>
    </row>
    <row r="3387" spans="1:17" x14ac:dyDescent="0.3">
      <c r="A3387" s="2" t="s">
        <v>1389</v>
      </c>
      <c r="B3387" s="3">
        <v>159022</v>
      </c>
      <c r="C3387" s="3">
        <v>909308</v>
      </c>
      <c r="D3387" s="4" t="s">
        <v>81</v>
      </c>
      <c r="E3387" s="4" t="s">
        <v>734</v>
      </c>
      <c r="F3387" s="4" t="s">
        <v>83</v>
      </c>
      <c r="G3387" s="4" t="s">
        <v>20</v>
      </c>
      <c r="H3387" s="5">
        <v>-300000</v>
      </c>
      <c r="I3387" s="4" t="s">
        <v>34</v>
      </c>
      <c r="J3387" s="5">
        <f t="shared" si="52"/>
        <v>355500</v>
      </c>
      <c r="K3387" s="4" t="s">
        <v>30</v>
      </c>
      <c r="L3387" s="6">
        <v>1.1850000000000001</v>
      </c>
      <c r="M3387" s="6">
        <v>0.84389999999999998</v>
      </c>
      <c r="N3387" s="6">
        <v>4.2031999999999998</v>
      </c>
      <c r="O3387" s="6">
        <v>3.5354000000000001</v>
      </c>
      <c r="P3387" s="5">
        <v>-4114.6938</v>
      </c>
      <c r="Q3387" s="4" t="s">
        <v>1393</v>
      </c>
    </row>
    <row r="3388" spans="1:17" x14ac:dyDescent="0.3">
      <c r="A3388" s="2" t="s">
        <v>1389</v>
      </c>
      <c r="B3388" s="3">
        <v>159023</v>
      </c>
      <c r="C3388" s="3">
        <v>219890</v>
      </c>
      <c r="D3388" s="4" t="s">
        <v>17</v>
      </c>
      <c r="E3388" s="4" t="s">
        <v>801</v>
      </c>
      <c r="F3388" s="4" t="s">
        <v>32</v>
      </c>
      <c r="G3388" s="4" t="s">
        <v>20</v>
      </c>
      <c r="H3388" s="5">
        <v>-3000</v>
      </c>
      <c r="I3388" s="4" t="s">
        <v>21</v>
      </c>
      <c r="J3388" s="5">
        <f t="shared" si="52"/>
        <v>12661.199999999999</v>
      </c>
      <c r="K3388" s="4" t="s">
        <v>53</v>
      </c>
      <c r="L3388" s="6">
        <v>4.2203999999999997</v>
      </c>
      <c r="M3388" s="6">
        <v>0.2369</v>
      </c>
      <c r="N3388" s="6">
        <v>4.2050000000000001</v>
      </c>
      <c r="O3388" s="6">
        <v>1</v>
      </c>
      <c r="P3388" s="5">
        <v>45</v>
      </c>
      <c r="Q3388" s="4" t="s">
        <v>1390</v>
      </c>
    </row>
    <row r="3389" spans="1:17" x14ac:dyDescent="0.3">
      <c r="A3389" s="2" t="s">
        <v>1389</v>
      </c>
      <c r="B3389" s="3">
        <v>159024</v>
      </c>
      <c r="C3389" s="3">
        <v>219892</v>
      </c>
      <c r="D3389" s="4" t="s">
        <v>17</v>
      </c>
      <c r="E3389" s="4" t="s">
        <v>942</v>
      </c>
      <c r="F3389" s="4" t="s">
        <v>32</v>
      </c>
      <c r="G3389" s="4" t="s">
        <v>20</v>
      </c>
      <c r="H3389" s="5">
        <v>-16635.77</v>
      </c>
      <c r="I3389" s="4" t="s">
        <v>21</v>
      </c>
      <c r="J3389" s="5">
        <f t="shared" si="52"/>
        <v>70843.426544999995</v>
      </c>
      <c r="K3389" s="4" t="s">
        <v>53</v>
      </c>
      <c r="L3389" s="6">
        <v>4.2584999999999997</v>
      </c>
      <c r="M3389" s="6">
        <v>0.23480000000000001</v>
      </c>
      <c r="N3389" s="6">
        <v>4.2050000000000001</v>
      </c>
      <c r="O3389" s="6">
        <v>1</v>
      </c>
      <c r="P3389" s="5">
        <v>46.587150000000001</v>
      </c>
      <c r="Q3389" s="4" t="s">
        <v>1390</v>
      </c>
    </row>
    <row r="3390" spans="1:17" x14ac:dyDescent="0.3">
      <c r="A3390" s="2" t="s">
        <v>1389</v>
      </c>
      <c r="B3390" s="3">
        <v>159025</v>
      </c>
      <c r="C3390" s="3">
        <v>219893</v>
      </c>
      <c r="D3390" s="4" t="s">
        <v>17</v>
      </c>
      <c r="E3390" s="4" t="s">
        <v>750</v>
      </c>
      <c r="F3390" s="4" t="s">
        <v>19</v>
      </c>
      <c r="G3390" s="4" t="s">
        <v>20</v>
      </c>
      <c r="H3390" s="5">
        <v>13763</v>
      </c>
      <c r="I3390" s="4" t="s">
        <v>21</v>
      </c>
      <c r="J3390" s="5">
        <f t="shared" si="52"/>
        <v>-57673.851500000004</v>
      </c>
      <c r="K3390" s="4" t="s">
        <v>53</v>
      </c>
      <c r="L3390" s="6">
        <v>4.1905000000000001</v>
      </c>
      <c r="M3390" s="6">
        <v>0.23860000000000001</v>
      </c>
      <c r="N3390" s="6">
        <v>4.2050000000000001</v>
      </c>
      <c r="O3390" s="6">
        <v>1</v>
      </c>
      <c r="P3390" s="5">
        <v>199.56349999999657</v>
      </c>
      <c r="Q3390" s="4" t="s">
        <v>1390</v>
      </c>
    </row>
    <row r="3391" spans="1:17" x14ac:dyDescent="0.3">
      <c r="A3391" s="2" t="s">
        <v>1389</v>
      </c>
      <c r="B3391" s="3">
        <v>159026</v>
      </c>
      <c r="C3391" s="3">
        <v>909337</v>
      </c>
      <c r="D3391" s="4" t="s">
        <v>81</v>
      </c>
      <c r="E3391" s="4" t="s">
        <v>735</v>
      </c>
      <c r="F3391" s="4" t="s">
        <v>87</v>
      </c>
      <c r="G3391" s="4" t="s">
        <v>20</v>
      </c>
      <c r="H3391" s="5">
        <v>100000</v>
      </c>
      <c r="I3391" s="4" t="s">
        <v>93</v>
      </c>
      <c r="J3391" s="5">
        <f t="shared" si="52"/>
        <v>-92120</v>
      </c>
      <c r="K3391" s="4" t="s">
        <v>30</v>
      </c>
      <c r="L3391" s="6">
        <v>0.92120000000000002</v>
      </c>
      <c r="M3391" s="6">
        <v>1.0854999999999999</v>
      </c>
      <c r="N3391" s="6">
        <v>4.2031999999999998</v>
      </c>
      <c r="O3391" s="6">
        <v>4.5575000000000001</v>
      </c>
      <c r="P3391" s="5">
        <v>478.54250000000002</v>
      </c>
      <c r="Q3391" s="4" t="s">
        <v>1394</v>
      </c>
    </row>
    <row r="3392" spans="1:17" x14ac:dyDescent="0.3">
      <c r="A3392" s="2" t="s">
        <v>1389</v>
      </c>
      <c r="B3392" s="3">
        <v>159027</v>
      </c>
      <c r="C3392" s="3">
        <v>219894</v>
      </c>
      <c r="D3392" s="4" t="s">
        <v>17</v>
      </c>
      <c r="E3392" s="4" t="s">
        <v>1180</v>
      </c>
      <c r="F3392" s="4" t="s">
        <v>19</v>
      </c>
      <c r="G3392" s="4" t="s">
        <v>91</v>
      </c>
      <c r="H3392" s="5">
        <v>7318.71</v>
      </c>
      <c r="I3392" s="4" t="s">
        <v>21</v>
      </c>
      <c r="J3392" s="5">
        <f t="shared" si="52"/>
        <v>-35429.875110000001</v>
      </c>
      <c r="K3392" s="4" t="s">
        <v>53</v>
      </c>
      <c r="L3392" s="6">
        <v>4.8410000000000002</v>
      </c>
      <c r="M3392" s="6">
        <v>0.20660000000000001</v>
      </c>
      <c r="N3392" s="6">
        <v>4.8478000000000003</v>
      </c>
      <c r="O3392" s="6">
        <v>1</v>
      </c>
      <c r="P3392" s="5">
        <v>49.767228000004252</v>
      </c>
      <c r="Q3392" s="4" t="s">
        <v>1390</v>
      </c>
    </row>
    <row r="3393" spans="1:17" x14ac:dyDescent="0.3">
      <c r="A3393" s="2" t="s">
        <v>1389</v>
      </c>
      <c r="B3393" s="3">
        <v>159030</v>
      </c>
      <c r="C3393" s="3">
        <v>219895</v>
      </c>
      <c r="D3393" s="4" t="s">
        <v>17</v>
      </c>
      <c r="E3393" s="4" t="s">
        <v>1231</v>
      </c>
      <c r="F3393" s="4" t="s">
        <v>19</v>
      </c>
      <c r="G3393" s="4" t="s">
        <v>20</v>
      </c>
      <c r="H3393" s="5">
        <v>50000</v>
      </c>
      <c r="I3393" s="4" t="s">
        <v>21</v>
      </c>
      <c r="J3393" s="5">
        <f t="shared" si="52"/>
        <v>-210000</v>
      </c>
      <c r="K3393" s="4" t="s">
        <v>53</v>
      </c>
      <c r="L3393" s="6">
        <v>4.2</v>
      </c>
      <c r="M3393" s="6">
        <v>0.23810000000000001</v>
      </c>
      <c r="N3393" s="6">
        <v>4.2050000000000001</v>
      </c>
      <c r="O3393" s="6">
        <v>1</v>
      </c>
      <c r="P3393" s="5">
        <v>250</v>
      </c>
      <c r="Q3393" s="4" t="s">
        <v>1390</v>
      </c>
    </row>
    <row r="3394" spans="1:17" x14ac:dyDescent="0.3">
      <c r="A3394" s="2" t="s">
        <v>1389</v>
      </c>
      <c r="B3394" s="3">
        <v>159031</v>
      </c>
      <c r="C3394" s="3">
        <v>219897</v>
      </c>
      <c r="D3394" s="4" t="s">
        <v>17</v>
      </c>
      <c r="E3394" s="4" t="s">
        <v>1161</v>
      </c>
      <c r="F3394" s="4" t="s">
        <v>32</v>
      </c>
      <c r="G3394" s="4" t="s">
        <v>84</v>
      </c>
      <c r="H3394" s="5">
        <v>-501900</v>
      </c>
      <c r="I3394" s="4" t="s">
        <v>21</v>
      </c>
      <c r="J3394" s="5">
        <f t="shared" si="52"/>
        <v>200709.81</v>
      </c>
      <c r="K3394" s="4" t="s">
        <v>53</v>
      </c>
      <c r="L3394" s="6">
        <v>0.39989999999999998</v>
      </c>
      <c r="M3394" s="6">
        <v>2.5005999999999999</v>
      </c>
      <c r="N3394" s="6">
        <v>0.3967</v>
      </c>
      <c r="O3394" s="6">
        <v>1</v>
      </c>
      <c r="P3394" s="5">
        <v>1606.08</v>
      </c>
      <c r="Q3394" s="4" t="s">
        <v>1390</v>
      </c>
    </row>
    <row r="3395" spans="1:17" x14ac:dyDescent="0.3">
      <c r="A3395" s="2" t="s">
        <v>1389</v>
      </c>
      <c r="B3395" s="3">
        <v>159032</v>
      </c>
      <c r="C3395" s="3">
        <v>219898</v>
      </c>
      <c r="D3395" s="4" t="s">
        <v>17</v>
      </c>
      <c r="E3395" s="4" t="s">
        <v>1275</v>
      </c>
      <c r="F3395" s="4" t="s">
        <v>19</v>
      </c>
      <c r="G3395" s="4" t="s">
        <v>20</v>
      </c>
      <c r="H3395" s="5">
        <v>9000</v>
      </c>
      <c r="I3395" s="4" t="s">
        <v>21</v>
      </c>
      <c r="J3395" s="5">
        <f t="shared" si="52"/>
        <v>-37827</v>
      </c>
      <c r="K3395" s="4" t="s">
        <v>53</v>
      </c>
      <c r="L3395" s="6">
        <v>4.2030000000000003</v>
      </c>
      <c r="M3395" s="6">
        <v>0.2379</v>
      </c>
      <c r="N3395" s="6">
        <v>4.2050000000000001</v>
      </c>
      <c r="O3395" s="6">
        <v>1</v>
      </c>
      <c r="P3395" s="5">
        <v>18</v>
      </c>
      <c r="Q3395" s="4" t="s">
        <v>1390</v>
      </c>
    </row>
    <row r="3396" spans="1:17" x14ac:dyDescent="0.3">
      <c r="A3396" s="2" t="s">
        <v>1389</v>
      </c>
      <c r="B3396" s="3">
        <v>159033</v>
      </c>
      <c r="C3396" s="3">
        <v>219899</v>
      </c>
      <c r="D3396" s="4" t="s">
        <v>17</v>
      </c>
      <c r="E3396" s="4" t="s">
        <v>1341</v>
      </c>
      <c r="F3396" s="4" t="s">
        <v>19</v>
      </c>
      <c r="G3396" s="4" t="s">
        <v>34</v>
      </c>
      <c r="H3396" s="5">
        <v>50000</v>
      </c>
      <c r="I3396" s="4" t="s">
        <v>20</v>
      </c>
      <c r="J3396" s="5">
        <f t="shared" ref="J3396:J3459" si="53">-H3396*L3396</f>
        <v>-59380</v>
      </c>
      <c r="K3396" s="4" t="s">
        <v>53</v>
      </c>
      <c r="L3396" s="6">
        <v>1.1876</v>
      </c>
      <c r="M3396" s="6">
        <v>0.84199999999999997</v>
      </c>
      <c r="N3396" s="6">
        <v>3.5831</v>
      </c>
      <c r="O3396" s="6">
        <v>4.2050000000000001</v>
      </c>
      <c r="P3396" s="5">
        <v>-70537.899999999994</v>
      </c>
      <c r="Q3396" s="4" t="s">
        <v>1390</v>
      </c>
    </row>
    <row r="3397" spans="1:17" x14ac:dyDescent="0.3">
      <c r="A3397" s="2" t="s">
        <v>1389</v>
      </c>
      <c r="B3397" s="3">
        <v>159034</v>
      </c>
      <c r="C3397" s="3">
        <v>219905</v>
      </c>
      <c r="D3397" s="4" t="s">
        <v>17</v>
      </c>
      <c r="E3397" s="4" t="s">
        <v>1154</v>
      </c>
      <c r="F3397" s="4" t="s">
        <v>32</v>
      </c>
      <c r="G3397" s="4" t="s">
        <v>20</v>
      </c>
      <c r="H3397" s="5">
        <v>-100000</v>
      </c>
      <c r="I3397" s="4" t="s">
        <v>21</v>
      </c>
      <c r="J3397" s="5">
        <f t="shared" si="53"/>
        <v>420840</v>
      </c>
      <c r="K3397" s="4" t="s">
        <v>53</v>
      </c>
      <c r="L3397" s="6">
        <v>4.2084000000000001</v>
      </c>
      <c r="M3397" s="6">
        <v>0.23760000000000001</v>
      </c>
      <c r="N3397" s="6">
        <v>4.2050000000000001</v>
      </c>
      <c r="O3397" s="6">
        <v>1</v>
      </c>
      <c r="P3397" s="5">
        <v>300</v>
      </c>
      <c r="Q3397" s="4" t="s">
        <v>1390</v>
      </c>
    </row>
    <row r="3398" spans="1:17" x14ac:dyDescent="0.3">
      <c r="A3398" s="2" t="s">
        <v>1389</v>
      </c>
      <c r="B3398" s="3">
        <v>159035</v>
      </c>
      <c r="C3398" s="3">
        <v>909381</v>
      </c>
      <c r="D3398" s="4" t="s">
        <v>81</v>
      </c>
      <c r="E3398" s="4" t="s">
        <v>735</v>
      </c>
      <c r="F3398" s="4" t="s">
        <v>83</v>
      </c>
      <c r="G3398" s="4" t="s">
        <v>20</v>
      </c>
      <c r="H3398" s="5">
        <v>-500000</v>
      </c>
      <c r="I3398" s="4" t="s">
        <v>21</v>
      </c>
      <c r="J3398" s="5">
        <f t="shared" si="53"/>
        <v>2104050</v>
      </c>
      <c r="K3398" s="4" t="s">
        <v>30</v>
      </c>
      <c r="L3398" s="6">
        <v>4.2081</v>
      </c>
      <c r="M3398" s="6">
        <v>0.23760000000000001</v>
      </c>
      <c r="N3398" s="6">
        <v>4.2031999999999998</v>
      </c>
      <c r="O3398" s="6">
        <v>1</v>
      </c>
      <c r="P3398" s="5">
        <v>2450</v>
      </c>
      <c r="Q3398" s="4" t="s">
        <v>1394</v>
      </c>
    </row>
    <row r="3399" spans="1:17" x14ac:dyDescent="0.3">
      <c r="A3399" s="2" t="s">
        <v>1389</v>
      </c>
      <c r="B3399" s="3">
        <v>159036</v>
      </c>
      <c r="C3399" s="3">
        <v>219906</v>
      </c>
      <c r="D3399" s="4" t="s">
        <v>17</v>
      </c>
      <c r="E3399" s="4" t="s">
        <v>1170</v>
      </c>
      <c r="F3399" s="4" t="s">
        <v>32</v>
      </c>
      <c r="G3399" s="4" t="s">
        <v>20</v>
      </c>
      <c r="H3399" s="5">
        <v>-50000</v>
      </c>
      <c r="I3399" s="4" t="s">
        <v>21</v>
      </c>
      <c r="J3399" s="5">
        <f t="shared" si="53"/>
        <v>210500</v>
      </c>
      <c r="K3399" s="4" t="s">
        <v>53</v>
      </c>
      <c r="L3399" s="6">
        <v>4.21</v>
      </c>
      <c r="M3399" s="6">
        <v>0.23749999999999999</v>
      </c>
      <c r="N3399" s="6">
        <v>4.2050000000000001</v>
      </c>
      <c r="O3399" s="6">
        <v>1</v>
      </c>
      <c r="P3399" s="5">
        <v>250</v>
      </c>
      <c r="Q3399" s="4" t="s">
        <v>1390</v>
      </c>
    </row>
    <row r="3400" spans="1:17" x14ac:dyDescent="0.3">
      <c r="A3400" s="2" t="s">
        <v>1389</v>
      </c>
      <c r="B3400" s="3">
        <v>159037</v>
      </c>
      <c r="C3400" s="3">
        <v>219907</v>
      </c>
      <c r="D3400" s="4" t="s">
        <v>17</v>
      </c>
      <c r="E3400" s="4" t="s">
        <v>1170</v>
      </c>
      <c r="F3400" s="4" t="s">
        <v>32</v>
      </c>
      <c r="G3400" s="4" t="s">
        <v>34</v>
      </c>
      <c r="H3400" s="5">
        <v>-50000</v>
      </c>
      <c r="I3400" s="4" t="s">
        <v>21</v>
      </c>
      <c r="J3400" s="5">
        <f t="shared" si="53"/>
        <v>177700</v>
      </c>
      <c r="K3400" s="4" t="s">
        <v>53</v>
      </c>
      <c r="L3400" s="6">
        <v>3.5539999999999998</v>
      </c>
      <c r="M3400" s="6">
        <v>0.28139999999999998</v>
      </c>
      <c r="N3400" s="6">
        <v>3.5831</v>
      </c>
      <c r="O3400" s="6">
        <v>1</v>
      </c>
      <c r="P3400" s="5">
        <v>-1455</v>
      </c>
      <c r="Q3400" s="4" t="s">
        <v>1390</v>
      </c>
    </row>
    <row r="3401" spans="1:17" x14ac:dyDescent="0.3">
      <c r="A3401" s="2" t="s">
        <v>1389</v>
      </c>
      <c r="B3401" s="3">
        <v>159039</v>
      </c>
      <c r="C3401" s="3">
        <v>219911</v>
      </c>
      <c r="D3401" s="4" t="s">
        <v>17</v>
      </c>
      <c r="E3401" s="4" t="s">
        <v>1085</v>
      </c>
      <c r="F3401" s="4" t="s">
        <v>19</v>
      </c>
      <c r="G3401" s="4" t="s">
        <v>20</v>
      </c>
      <c r="H3401" s="5">
        <v>650000</v>
      </c>
      <c r="I3401" s="4" t="s">
        <v>21</v>
      </c>
      <c r="J3401" s="5">
        <f t="shared" si="53"/>
        <v>-2725385</v>
      </c>
      <c r="K3401" s="4" t="s">
        <v>53</v>
      </c>
      <c r="L3401" s="6">
        <v>4.1928999999999998</v>
      </c>
      <c r="M3401" s="6">
        <v>0.23849999999999999</v>
      </c>
      <c r="N3401" s="6">
        <v>4.2050000000000001</v>
      </c>
      <c r="O3401" s="6">
        <v>1</v>
      </c>
      <c r="P3401" s="5">
        <v>7865</v>
      </c>
      <c r="Q3401" s="4" t="s">
        <v>1390</v>
      </c>
    </row>
    <row r="3402" spans="1:17" x14ac:dyDescent="0.3">
      <c r="A3402" s="2" t="s">
        <v>1389</v>
      </c>
      <c r="B3402" s="3">
        <v>159040</v>
      </c>
      <c r="C3402" s="3">
        <v>219912</v>
      </c>
      <c r="D3402" s="4" t="s">
        <v>17</v>
      </c>
      <c r="E3402" s="4" t="s">
        <v>760</v>
      </c>
      <c r="F3402" s="4" t="s">
        <v>32</v>
      </c>
      <c r="G3402" s="4" t="s">
        <v>20</v>
      </c>
      <c r="H3402" s="5">
        <v>-10000</v>
      </c>
      <c r="I3402" s="4" t="s">
        <v>21</v>
      </c>
      <c r="J3402" s="5">
        <f t="shared" si="53"/>
        <v>42140.000000000007</v>
      </c>
      <c r="K3402" s="4" t="s">
        <v>54</v>
      </c>
      <c r="L3402" s="6">
        <v>4.2140000000000004</v>
      </c>
      <c r="M3402" s="6">
        <v>0.23730000000000001</v>
      </c>
      <c r="N3402" s="6">
        <v>4.2118000000000002</v>
      </c>
      <c r="O3402" s="6">
        <v>1</v>
      </c>
      <c r="P3402" s="5">
        <v>20</v>
      </c>
      <c r="Q3402" s="4" t="s">
        <v>1390</v>
      </c>
    </row>
    <row r="3403" spans="1:17" x14ac:dyDescent="0.3">
      <c r="A3403" s="2" t="s">
        <v>1389</v>
      </c>
      <c r="B3403" s="3">
        <v>159041</v>
      </c>
      <c r="C3403" s="3">
        <v>219919</v>
      </c>
      <c r="D3403" s="4" t="s">
        <v>17</v>
      </c>
      <c r="E3403" s="4" t="s">
        <v>1222</v>
      </c>
      <c r="F3403" s="4" t="s">
        <v>19</v>
      </c>
      <c r="G3403" s="4" t="s">
        <v>20</v>
      </c>
      <c r="H3403" s="5">
        <v>20000</v>
      </c>
      <c r="I3403" s="4" t="s">
        <v>21</v>
      </c>
      <c r="J3403" s="5">
        <f t="shared" si="53"/>
        <v>-83840</v>
      </c>
      <c r="K3403" s="4" t="s">
        <v>53</v>
      </c>
      <c r="L3403" s="6">
        <v>4.1920000000000002</v>
      </c>
      <c r="M3403" s="6">
        <v>0.23849999999999999</v>
      </c>
      <c r="N3403" s="6">
        <v>4.2050000000000001</v>
      </c>
      <c r="O3403" s="6">
        <v>1</v>
      </c>
      <c r="P3403" s="5">
        <v>260</v>
      </c>
      <c r="Q3403" s="4" t="s">
        <v>1390</v>
      </c>
    </row>
    <row r="3404" spans="1:17" x14ac:dyDescent="0.3">
      <c r="A3404" s="2" t="s">
        <v>1389</v>
      </c>
      <c r="B3404" s="3">
        <v>159042</v>
      </c>
      <c r="C3404" s="3">
        <v>219920</v>
      </c>
      <c r="D3404" s="4" t="s">
        <v>17</v>
      </c>
      <c r="E3404" s="4" t="s">
        <v>1386</v>
      </c>
      <c r="F3404" s="4" t="s">
        <v>19</v>
      </c>
      <c r="G3404" s="4" t="s">
        <v>20</v>
      </c>
      <c r="H3404" s="5">
        <v>2608.92</v>
      </c>
      <c r="I3404" s="4" t="s">
        <v>21</v>
      </c>
      <c r="J3404" s="5">
        <f t="shared" si="53"/>
        <v>-10722.6612</v>
      </c>
      <c r="K3404" s="4" t="s">
        <v>53</v>
      </c>
      <c r="L3404" s="6">
        <v>4.1100000000000003</v>
      </c>
      <c r="M3404" s="6">
        <v>0.24329999999999999</v>
      </c>
      <c r="N3404" s="6">
        <v>4.2050000000000001</v>
      </c>
      <c r="O3404" s="6">
        <v>1</v>
      </c>
      <c r="P3404" s="5">
        <v>247.84740000000056</v>
      </c>
      <c r="Q3404" s="4" t="s">
        <v>1390</v>
      </c>
    </row>
    <row r="3405" spans="1:17" x14ac:dyDescent="0.3">
      <c r="A3405" s="2" t="s">
        <v>1389</v>
      </c>
      <c r="B3405" s="3">
        <v>159043</v>
      </c>
      <c r="C3405" s="3">
        <v>219921</v>
      </c>
      <c r="D3405" s="4" t="s">
        <v>17</v>
      </c>
      <c r="E3405" s="4" t="s">
        <v>1386</v>
      </c>
      <c r="F3405" s="4" t="s">
        <v>19</v>
      </c>
      <c r="G3405" s="4" t="s">
        <v>20</v>
      </c>
      <c r="H3405" s="5">
        <v>2678.92</v>
      </c>
      <c r="I3405" s="4" t="s">
        <v>21</v>
      </c>
      <c r="J3405" s="5">
        <f t="shared" si="53"/>
        <v>-11010.361200000001</v>
      </c>
      <c r="K3405" s="4" t="s">
        <v>53</v>
      </c>
      <c r="L3405" s="6">
        <v>4.1100000000000003</v>
      </c>
      <c r="M3405" s="6">
        <v>0.24329999999999999</v>
      </c>
      <c r="N3405" s="6">
        <v>4.2050000000000001</v>
      </c>
      <c r="O3405" s="6">
        <v>1</v>
      </c>
      <c r="P3405" s="5">
        <v>254.4974000000002</v>
      </c>
      <c r="Q3405" s="4" t="s">
        <v>1390</v>
      </c>
    </row>
    <row r="3406" spans="1:17" x14ac:dyDescent="0.3">
      <c r="A3406" s="2" t="s">
        <v>1389</v>
      </c>
      <c r="B3406" s="3">
        <v>159045</v>
      </c>
      <c r="C3406" s="3">
        <v>219922</v>
      </c>
      <c r="D3406" s="4" t="s">
        <v>17</v>
      </c>
      <c r="E3406" s="4" t="s">
        <v>1386</v>
      </c>
      <c r="F3406" s="4" t="s">
        <v>19</v>
      </c>
      <c r="G3406" s="4" t="s">
        <v>20</v>
      </c>
      <c r="H3406" s="5">
        <v>2230.69</v>
      </c>
      <c r="I3406" s="4" t="s">
        <v>21</v>
      </c>
      <c r="J3406" s="5">
        <f t="shared" si="53"/>
        <v>-9168.1359000000011</v>
      </c>
      <c r="K3406" s="4" t="s">
        <v>53</v>
      </c>
      <c r="L3406" s="6">
        <v>4.1100000000000003</v>
      </c>
      <c r="M3406" s="6">
        <v>0.24329999999999999</v>
      </c>
      <c r="N3406" s="6">
        <v>4.2050000000000001</v>
      </c>
      <c r="O3406" s="6">
        <v>1</v>
      </c>
      <c r="P3406" s="5">
        <v>211.91554999999971</v>
      </c>
      <c r="Q3406" s="4" t="s">
        <v>1390</v>
      </c>
    </row>
    <row r="3407" spans="1:17" x14ac:dyDescent="0.3">
      <c r="A3407" s="2" t="s">
        <v>1389</v>
      </c>
      <c r="B3407" s="3">
        <v>159046</v>
      </c>
      <c r="C3407" s="3">
        <v>909435</v>
      </c>
      <c r="D3407" s="4" t="s">
        <v>81</v>
      </c>
      <c r="E3407" s="4" t="s">
        <v>734</v>
      </c>
      <c r="F3407" s="4" t="s">
        <v>83</v>
      </c>
      <c r="G3407" s="4" t="s">
        <v>20</v>
      </c>
      <c r="H3407" s="5">
        <v>-300000</v>
      </c>
      <c r="I3407" s="4" t="s">
        <v>34</v>
      </c>
      <c r="J3407" s="5">
        <f t="shared" si="53"/>
        <v>355680</v>
      </c>
      <c r="K3407" s="4" t="s">
        <v>30</v>
      </c>
      <c r="L3407" s="6">
        <v>1.1856</v>
      </c>
      <c r="M3407" s="6">
        <v>0.84350000000000003</v>
      </c>
      <c r="N3407" s="6">
        <v>4.2031999999999998</v>
      </c>
      <c r="O3407" s="6">
        <v>3.5354000000000001</v>
      </c>
      <c r="P3407" s="5">
        <v>-3520.7465999999999</v>
      </c>
      <c r="Q3407" s="4" t="s">
        <v>1393</v>
      </c>
    </row>
    <row r="3408" spans="1:17" x14ac:dyDescent="0.3">
      <c r="A3408" s="2" t="s">
        <v>1389</v>
      </c>
      <c r="B3408" s="3">
        <v>159047</v>
      </c>
      <c r="C3408" s="3">
        <v>219923</v>
      </c>
      <c r="D3408" s="4" t="s">
        <v>17</v>
      </c>
      <c r="E3408" s="4" t="s">
        <v>1386</v>
      </c>
      <c r="F3408" s="4" t="s">
        <v>19</v>
      </c>
      <c r="G3408" s="4" t="s">
        <v>20</v>
      </c>
      <c r="H3408" s="5">
        <v>2206.71</v>
      </c>
      <c r="I3408" s="4" t="s">
        <v>21</v>
      </c>
      <c r="J3408" s="5">
        <f t="shared" si="53"/>
        <v>-9069.5781000000006</v>
      </c>
      <c r="K3408" s="4" t="s">
        <v>53</v>
      </c>
      <c r="L3408" s="6">
        <v>4.1100000000000003</v>
      </c>
      <c r="M3408" s="6">
        <v>0.24329999999999999</v>
      </c>
      <c r="N3408" s="6">
        <v>4.2050000000000001</v>
      </c>
      <c r="O3408" s="6">
        <v>1</v>
      </c>
      <c r="P3408" s="5">
        <v>209.63745000000017</v>
      </c>
      <c r="Q3408" s="4" t="s">
        <v>1390</v>
      </c>
    </row>
    <row r="3409" spans="1:17" x14ac:dyDescent="0.3">
      <c r="A3409" s="2" t="s">
        <v>1389</v>
      </c>
      <c r="B3409" s="3">
        <v>159048</v>
      </c>
      <c r="C3409" s="3">
        <v>909440</v>
      </c>
      <c r="D3409" s="4" t="s">
        <v>81</v>
      </c>
      <c r="E3409" s="4" t="s">
        <v>734</v>
      </c>
      <c r="F3409" s="4" t="s">
        <v>83</v>
      </c>
      <c r="G3409" s="4" t="s">
        <v>34</v>
      </c>
      <c r="H3409" s="5">
        <v>-500000</v>
      </c>
      <c r="I3409" s="4" t="s">
        <v>21</v>
      </c>
      <c r="J3409" s="5">
        <f t="shared" si="53"/>
        <v>1775650</v>
      </c>
      <c r="K3409" s="4" t="s">
        <v>30</v>
      </c>
      <c r="L3409" s="6">
        <v>3.5512999999999999</v>
      </c>
      <c r="M3409" s="6">
        <v>0.28160000000000002</v>
      </c>
      <c r="N3409" s="6">
        <v>3.5354000000000001</v>
      </c>
      <c r="O3409" s="6">
        <v>1</v>
      </c>
      <c r="P3409" s="5">
        <v>7950</v>
      </c>
      <c r="Q3409" s="4" t="s">
        <v>1393</v>
      </c>
    </row>
    <row r="3410" spans="1:17" x14ac:dyDescent="0.3">
      <c r="A3410" s="2" t="s">
        <v>1389</v>
      </c>
      <c r="B3410" s="3">
        <v>159049</v>
      </c>
      <c r="C3410" s="3">
        <v>909441</v>
      </c>
      <c r="D3410" s="4" t="s">
        <v>81</v>
      </c>
      <c r="E3410" s="4" t="s">
        <v>735</v>
      </c>
      <c r="F3410" s="4" t="s">
        <v>87</v>
      </c>
      <c r="G3410" s="4" t="s">
        <v>20</v>
      </c>
      <c r="H3410" s="5">
        <v>500000</v>
      </c>
      <c r="I3410" s="4" t="s">
        <v>21</v>
      </c>
      <c r="J3410" s="5">
        <f t="shared" si="53"/>
        <v>-2105450</v>
      </c>
      <c r="K3410" s="4" t="s">
        <v>30</v>
      </c>
      <c r="L3410" s="6">
        <v>4.2108999999999996</v>
      </c>
      <c r="M3410" s="6">
        <v>0.23749999999999999</v>
      </c>
      <c r="N3410" s="6">
        <v>4.2031999999999998</v>
      </c>
      <c r="O3410" s="6">
        <v>1</v>
      </c>
      <c r="P3410" s="5">
        <v>-3850</v>
      </c>
      <c r="Q3410" s="4" t="s">
        <v>1394</v>
      </c>
    </row>
    <row r="3411" spans="1:17" x14ac:dyDescent="0.3">
      <c r="A3411" s="2" t="s">
        <v>1389</v>
      </c>
      <c r="B3411" s="3">
        <v>159050</v>
      </c>
      <c r="C3411" s="3">
        <v>909442</v>
      </c>
      <c r="D3411" s="4" t="s">
        <v>81</v>
      </c>
      <c r="E3411" s="4" t="s">
        <v>734</v>
      </c>
      <c r="F3411" s="4" t="s">
        <v>83</v>
      </c>
      <c r="G3411" s="4" t="s">
        <v>20</v>
      </c>
      <c r="H3411" s="5">
        <v>-400000</v>
      </c>
      <c r="I3411" s="4" t="s">
        <v>34</v>
      </c>
      <c r="J3411" s="5">
        <f t="shared" si="53"/>
        <v>474320</v>
      </c>
      <c r="K3411" s="4" t="s">
        <v>30</v>
      </c>
      <c r="L3411" s="6">
        <v>1.1858</v>
      </c>
      <c r="M3411" s="6">
        <v>0.84330000000000005</v>
      </c>
      <c r="N3411" s="6">
        <v>4.2031999999999998</v>
      </c>
      <c r="O3411" s="6">
        <v>3.5354000000000001</v>
      </c>
      <c r="P3411" s="5">
        <v>-4326.6472000000003</v>
      </c>
      <c r="Q3411" s="4" t="s">
        <v>1393</v>
      </c>
    </row>
    <row r="3412" spans="1:17" x14ac:dyDescent="0.3">
      <c r="A3412" s="2" t="s">
        <v>1389</v>
      </c>
      <c r="B3412" s="3">
        <v>159051</v>
      </c>
      <c r="C3412" s="3">
        <v>219925</v>
      </c>
      <c r="D3412" s="4" t="s">
        <v>17</v>
      </c>
      <c r="E3412" s="4" t="s">
        <v>924</v>
      </c>
      <c r="F3412" s="4" t="s">
        <v>32</v>
      </c>
      <c r="G3412" s="4" t="s">
        <v>34</v>
      </c>
      <c r="H3412" s="5">
        <v>-200000</v>
      </c>
      <c r="I3412" s="4" t="s">
        <v>21</v>
      </c>
      <c r="J3412" s="5">
        <f t="shared" si="53"/>
        <v>715000</v>
      </c>
      <c r="K3412" s="4" t="s">
        <v>54</v>
      </c>
      <c r="L3412" s="6">
        <v>3.5750000000000002</v>
      </c>
      <c r="M3412" s="6">
        <v>0.2797</v>
      </c>
      <c r="N3412" s="6">
        <v>3.5499000000000001</v>
      </c>
      <c r="O3412" s="6">
        <v>1</v>
      </c>
      <c r="P3412" s="5">
        <v>5020</v>
      </c>
      <c r="Q3412" s="4" t="s">
        <v>1390</v>
      </c>
    </row>
    <row r="3413" spans="1:17" x14ac:dyDescent="0.3">
      <c r="A3413" s="2" t="s">
        <v>1389</v>
      </c>
      <c r="B3413" s="3">
        <v>159052</v>
      </c>
      <c r="C3413" s="3">
        <v>219927</v>
      </c>
      <c r="D3413" s="4" t="s">
        <v>17</v>
      </c>
      <c r="E3413" s="4" t="s">
        <v>1319</v>
      </c>
      <c r="F3413" s="4" t="s">
        <v>19</v>
      </c>
      <c r="G3413" s="4" t="s">
        <v>20</v>
      </c>
      <c r="H3413" s="5">
        <v>20000000</v>
      </c>
      <c r="I3413" s="4" t="s">
        <v>21</v>
      </c>
      <c r="J3413" s="5">
        <f t="shared" si="53"/>
        <v>-84110000</v>
      </c>
      <c r="K3413" s="4" t="s">
        <v>54</v>
      </c>
      <c r="L3413" s="6">
        <v>4.2054999999999998</v>
      </c>
      <c r="M3413" s="6">
        <v>0.23780000000000001</v>
      </c>
      <c r="N3413" s="6">
        <v>4.2118000000000002</v>
      </c>
      <c r="O3413" s="6">
        <v>1</v>
      </c>
      <c r="P3413" s="5">
        <v>126000</v>
      </c>
      <c r="Q3413" s="4" t="s">
        <v>1390</v>
      </c>
    </row>
    <row r="3414" spans="1:17" x14ac:dyDescent="0.3">
      <c r="A3414" s="2" t="s">
        <v>1389</v>
      </c>
      <c r="B3414" s="3">
        <v>159053</v>
      </c>
      <c r="C3414" s="3">
        <v>219928</v>
      </c>
      <c r="D3414" s="4" t="s">
        <v>17</v>
      </c>
      <c r="E3414" s="4" t="s">
        <v>1143</v>
      </c>
      <c r="F3414" s="4" t="s">
        <v>32</v>
      </c>
      <c r="G3414" s="4" t="s">
        <v>20</v>
      </c>
      <c r="H3414" s="5">
        <v>-100000</v>
      </c>
      <c r="I3414" s="4" t="s">
        <v>21</v>
      </c>
      <c r="J3414" s="5">
        <f t="shared" si="53"/>
        <v>421670.00000000006</v>
      </c>
      <c r="K3414" s="4" t="s">
        <v>53</v>
      </c>
      <c r="L3414" s="6">
        <v>4.2167000000000003</v>
      </c>
      <c r="M3414" s="6">
        <v>0.23719999999999999</v>
      </c>
      <c r="N3414" s="6">
        <v>4.2050000000000001</v>
      </c>
      <c r="O3414" s="6">
        <v>1</v>
      </c>
      <c r="P3414" s="5">
        <v>1130</v>
      </c>
      <c r="Q3414" s="4" t="s">
        <v>1390</v>
      </c>
    </row>
    <row r="3415" spans="1:17" x14ac:dyDescent="0.3">
      <c r="A3415" s="2" t="s">
        <v>1389</v>
      </c>
      <c r="B3415" s="3">
        <v>159054</v>
      </c>
      <c r="C3415" s="3">
        <v>909463</v>
      </c>
      <c r="D3415" s="4" t="s">
        <v>81</v>
      </c>
      <c r="E3415" s="4" t="s">
        <v>742</v>
      </c>
      <c r="F3415" s="4" t="s">
        <v>83</v>
      </c>
      <c r="G3415" s="4" t="s">
        <v>34</v>
      </c>
      <c r="H3415" s="5">
        <v>-1000000</v>
      </c>
      <c r="I3415" s="4" t="s">
        <v>21</v>
      </c>
      <c r="J3415" s="5">
        <f t="shared" si="53"/>
        <v>3550400</v>
      </c>
      <c r="K3415" s="4" t="s">
        <v>30</v>
      </c>
      <c r="L3415" s="6">
        <v>3.5503999999999998</v>
      </c>
      <c r="M3415" s="6">
        <v>0.28170000000000001</v>
      </c>
      <c r="N3415" s="6">
        <v>3.5354000000000001</v>
      </c>
      <c r="O3415" s="6">
        <v>1</v>
      </c>
      <c r="P3415" s="5">
        <v>15000</v>
      </c>
      <c r="Q3415" s="4" t="s">
        <v>1396</v>
      </c>
    </row>
    <row r="3416" spans="1:17" x14ac:dyDescent="0.3">
      <c r="A3416" s="2" t="s">
        <v>1389</v>
      </c>
      <c r="B3416" s="3">
        <v>159055</v>
      </c>
      <c r="C3416" s="3">
        <v>219929</v>
      </c>
      <c r="D3416" s="4" t="s">
        <v>17</v>
      </c>
      <c r="E3416" s="4" t="s">
        <v>924</v>
      </c>
      <c r="F3416" s="4" t="s">
        <v>32</v>
      </c>
      <c r="G3416" s="4" t="s">
        <v>34</v>
      </c>
      <c r="H3416" s="5">
        <v>-200000</v>
      </c>
      <c r="I3416" s="4" t="s">
        <v>21</v>
      </c>
      <c r="J3416" s="5">
        <f t="shared" si="53"/>
        <v>715200</v>
      </c>
      <c r="K3416" s="4" t="s">
        <v>54</v>
      </c>
      <c r="L3416" s="6">
        <v>3.5760000000000001</v>
      </c>
      <c r="M3416" s="6">
        <v>0.27960000000000002</v>
      </c>
      <c r="N3416" s="6">
        <v>3.5499000000000001</v>
      </c>
      <c r="O3416" s="6">
        <v>1</v>
      </c>
      <c r="P3416" s="5">
        <v>5220</v>
      </c>
      <c r="Q3416" s="4" t="s">
        <v>1390</v>
      </c>
    </row>
    <row r="3417" spans="1:17" x14ac:dyDescent="0.3">
      <c r="A3417" s="2" t="s">
        <v>1389</v>
      </c>
      <c r="B3417" s="3">
        <v>159056</v>
      </c>
      <c r="C3417" s="3">
        <v>909473</v>
      </c>
      <c r="D3417" s="4" t="s">
        <v>81</v>
      </c>
      <c r="E3417" s="4" t="s">
        <v>742</v>
      </c>
      <c r="F3417" s="4" t="s">
        <v>87</v>
      </c>
      <c r="G3417" s="4" t="s">
        <v>34</v>
      </c>
      <c r="H3417" s="5">
        <v>1000000</v>
      </c>
      <c r="I3417" s="4" t="s">
        <v>21</v>
      </c>
      <c r="J3417" s="5">
        <f t="shared" si="53"/>
        <v>-3549500</v>
      </c>
      <c r="K3417" s="4" t="s">
        <v>30</v>
      </c>
      <c r="L3417" s="6">
        <v>3.5495000000000001</v>
      </c>
      <c r="M3417" s="6">
        <v>0.28170000000000001</v>
      </c>
      <c r="N3417" s="6">
        <v>3.5354000000000001</v>
      </c>
      <c r="O3417" s="6">
        <v>1</v>
      </c>
      <c r="P3417" s="5">
        <v>-14100</v>
      </c>
      <c r="Q3417" s="4" t="s">
        <v>1396</v>
      </c>
    </row>
    <row r="3418" spans="1:17" x14ac:dyDescent="0.3">
      <c r="A3418" s="2" t="s">
        <v>1389</v>
      </c>
      <c r="B3418" s="3">
        <v>159057</v>
      </c>
      <c r="C3418" s="3">
        <v>219933</v>
      </c>
      <c r="D3418" s="4" t="s">
        <v>17</v>
      </c>
      <c r="E3418" s="4" t="s">
        <v>1319</v>
      </c>
      <c r="F3418" s="4" t="s">
        <v>19</v>
      </c>
      <c r="G3418" s="4" t="s">
        <v>20</v>
      </c>
      <c r="H3418" s="5">
        <v>20000000</v>
      </c>
      <c r="I3418" s="4" t="s">
        <v>21</v>
      </c>
      <c r="J3418" s="5">
        <f t="shared" si="53"/>
        <v>-84130000</v>
      </c>
      <c r="K3418" s="4" t="s">
        <v>54</v>
      </c>
      <c r="L3418" s="6">
        <v>4.2065000000000001</v>
      </c>
      <c r="M3418" s="6">
        <v>0.23769999999999999</v>
      </c>
      <c r="N3418" s="6">
        <v>4.2118000000000002</v>
      </c>
      <c r="O3418" s="6">
        <v>1</v>
      </c>
      <c r="P3418" s="5">
        <v>106000</v>
      </c>
      <c r="Q3418" s="4" t="s">
        <v>1390</v>
      </c>
    </row>
    <row r="3419" spans="1:17" x14ac:dyDescent="0.3">
      <c r="A3419" s="2" t="s">
        <v>1389</v>
      </c>
      <c r="B3419" s="3">
        <v>159058</v>
      </c>
      <c r="C3419" s="3">
        <v>909480</v>
      </c>
      <c r="D3419" s="4" t="s">
        <v>81</v>
      </c>
      <c r="E3419" s="4" t="s">
        <v>733</v>
      </c>
      <c r="F3419" s="4" t="s">
        <v>83</v>
      </c>
      <c r="G3419" s="4" t="s">
        <v>34</v>
      </c>
      <c r="H3419" s="5">
        <v>-1000000</v>
      </c>
      <c r="I3419" s="4" t="s">
        <v>21</v>
      </c>
      <c r="J3419" s="5">
        <f t="shared" si="53"/>
        <v>3550000</v>
      </c>
      <c r="K3419" s="4" t="s">
        <v>30</v>
      </c>
      <c r="L3419" s="6">
        <v>3.55</v>
      </c>
      <c r="M3419" s="6">
        <v>0.28170000000000001</v>
      </c>
      <c r="N3419" s="6">
        <v>3.5354000000000001</v>
      </c>
      <c r="O3419" s="6">
        <v>1</v>
      </c>
      <c r="P3419" s="5">
        <v>14580</v>
      </c>
      <c r="Q3419" s="4" t="s">
        <v>1391</v>
      </c>
    </row>
    <row r="3420" spans="1:17" x14ac:dyDescent="0.3">
      <c r="A3420" s="2" t="s">
        <v>1389</v>
      </c>
      <c r="B3420" s="3">
        <v>159059</v>
      </c>
      <c r="C3420" s="3">
        <v>909487</v>
      </c>
      <c r="D3420" s="4" t="s">
        <v>81</v>
      </c>
      <c r="E3420" s="4" t="s">
        <v>725</v>
      </c>
      <c r="F3420" s="4" t="s">
        <v>83</v>
      </c>
      <c r="G3420" s="4" t="s">
        <v>34</v>
      </c>
      <c r="H3420" s="5">
        <v>-1000000</v>
      </c>
      <c r="I3420" s="4" t="s">
        <v>21</v>
      </c>
      <c r="J3420" s="5">
        <f t="shared" si="53"/>
        <v>3550300</v>
      </c>
      <c r="K3420" s="4" t="s">
        <v>30</v>
      </c>
      <c r="L3420" s="6">
        <v>3.5503</v>
      </c>
      <c r="M3420" s="6">
        <v>0.28170000000000001</v>
      </c>
      <c r="N3420" s="6">
        <v>3.5354000000000001</v>
      </c>
      <c r="O3420" s="6">
        <v>1</v>
      </c>
      <c r="P3420" s="5">
        <v>14930</v>
      </c>
      <c r="Q3420" s="4" t="s">
        <v>1392</v>
      </c>
    </row>
    <row r="3421" spans="1:17" x14ac:dyDescent="0.3">
      <c r="A3421" s="2" t="s">
        <v>1389</v>
      </c>
      <c r="B3421" s="3">
        <v>159060</v>
      </c>
      <c r="C3421" s="3">
        <v>909492</v>
      </c>
      <c r="D3421" s="4" t="s">
        <v>81</v>
      </c>
      <c r="E3421" s="4" t="s">
        <v>742</v>
      </c>
      <c r="F3421" s="4" t="s">
        <v>87</v>
      </c>
      <c r="G3421" s="4" t="s">
        <v>34</v>
      </c>
      <c r="H3421" s="5">
        <v>1000000</v>
      </c>
      <c r="I3421" s="4" t="s">
        <v>21</v>
      </c>
      <c r="J3421" s="5">
        <f t="shared" si="53"/>
        <v>-3549300</v>
      </c>
      <c r="K3421" s="4" t="s">
        <v>30</v>
      </c>
      <c r="L3421" s="6">
        <v>3.5493000000000001</v>
      </c>
      <c r="M3421" s="6">
        <v>0.28170000000000001</v>
      </c>
      <c r="N3421" s="6">
        <v>3.5354000000000001</v>
      </c>
      <c r="O3421" s="6">
        <v>1</v>
      </c>
      <c r="P3421" s="5">
        <v>-13900</v>
      </c>
      <c r="Q3421" s="4" t="s">
        <v>1396</v>
      </c>
    </row>
    <row r="3422" spans="1:17" x14ac:dyDescent="0.3">
      <c r="A3422" s="2" t="s">
        <v>1389</v>
      </c>
      <c r="B3422" s="3">
        <v>159061</v>
      </c>
      <c r="C3422" s="3">
        <v>909493</v>
      </c>
      <c r="D3422" s="4" t="s">
        <v>81</v>
      </c>
      <c r="E3422" s="4" t="s">
        <v>742</v>
      </c>
      <c r="F3422" s="4" t="s">
        <v>87</v>
      </c>
      <c r="G3422" s="4" t="s">
        <v>34</v>
      </c>
      <c r="H3422" s="5">
        <v>1000000</v>
      </c>
      <c r="I3422" s="4" t="s">
        <v>21</v>
      </c>
      <c r="J3422" s="5">
        <f t="shared" si="53"/>
        <v>-3549200</v>
      </c>
      <c r="K3422" s="4" t="s">
        <v>30</v>
      </c>
      <c r="L3422" s="6">
        <v>3.5491999999999999</v>
      </c>
      <c r="M3422" s="6">
        <v>0.28179999999999999</v>
      </c>
      <c r="N3422" s="6">
        <v>3.5354000000000001</v>
      </c>
      <c r="O3422" s="6">
        <v>1</v>
      </c>
      <c r="P3422" s="5">
        <v>-13800</v>
      </c>
      <c r="Q3422" s="4" t="s">
        <v>1396</v>
      </c>
    </row>
    <row r="3423" spans="1:17" x14ac:dyDescent="0.3">
      <c r="A3423" s="2" t="s">
        <v>1389</v>
      </c>
      <c r="B3423" s="3">
        <v>159062</v>
      </c>
      <c r="C3423" s="3">
        <v>909494</v>
      </c>
      <c r="D3423" s="4" t="s">
        <v>81</v>
      </c>
      <c r="E3423" s="4" t="s">
        <v>733</v>
      </c>
      <c r="F3423" s="4" t="s">
        <v>87</v>
      </c>
      <c r="G3423" s="4" t="s">
        <v>34</v>
      </c>
      <c r="H3423" s="5">
        <v>1000000</v>
      </c>
      <c r="I3423" s="4" t="s">
        <v>21</v>
      </c>
      <c r="J3423" s="5">
        <f t="shared" si="53"/>
        <v>-3549600</v>
      </c>
      <c r="K3423" s="4" t="s">
        <v>30</v>
      </c>
      <c r="L3423" s="6">
        <v>3.5495999999999999</v>
      </c>
      <c r="M3423" s="6">
        <v>0.28170000000000001</v>
      </c>
      <c r="N3423" s="6">
        <v>3.5354000000000001</v>
      </c>
      <c r="O3423" s="6">
        <v>1</v>
      </c>
      <c r="P3423" s="5">
        <v>-14180</v>
      </c>
      <c r="Q3423" s="4" t="s">
        <v>1391</v>
      </c>
    </row>
    <row r="3424" spans="1:17" x14ac:dyDescent="0.3">
      <c r="A3424" s="2" t="s">
        <v>1389</v>
      </c>
      <c r="B3424" s="3">
        <v>159063</v>
      </c>
      <c r="C3424" s="3">
        <v>909495</v>
      </c>
      <c r="D3424" s="4" t="s">
        <v>81</v>
      </c>
      <c r="E3424" s="4" t="s">
        <v>735</v>
      </c>
      <c r="F3424" s="4" t="s">
        <v>87</v>
      </c>
      <c r="G3424" s="4" t="s">
        <v>34</v>
      </c>
      <c r="H3424" s="5">
        <v>1000000</v>
      </c>
      <c r="I3424" s="4" t="s">
        <v>21</v>
      </c>
      <c r="J3424" s="5">
        <f t="shared" si="53"/>
        <v>-3549300</v>
      </c>
      <c r="K3424" s="4" t="s">
        <v>30</v>
      </c>
      <c r="L3424" s="6">
        <v>3.5493000000000001</v>
      </c>
      <c r="M3424" s="6">
        <v>0.28170000000000001</v>
      </c>
      <c r="N3424" s="6">
        <v>3.5354000000000001</v>
      </c>
      <c r="O3424" s="6">
        <v>1</v>
      </c>
      <c r="P3424" s="5">
        <v>-13900</v>
      </c>
      <c r="Q3424" s="4" t="s">
        <v>1394</v>
      </c>
    </row>
    <row r="3425" spans="1:17" x14ac:dyDescent="0.3">
      <c r="A3425" s="2" t="s">
        <v>1389</v>
      </c>
      <c r="B3425" s="3">
        <v>159064</v>
      </c>
      <c r="C3425" s="3">
        <v>909496</v>
      </c>
      <c r="D3425" s="4" t="s">
        <v>81</v>
      </c>
      <c r="E3425" s="4" t="s">
        <v>735</v>
      </c>
      <c r="F3425" s="4" t="s">
        <v>87</v>
      </c>
      <c r="G3425" s="4" t="s">
        <v>34</v>
      </c>
      <c r="H3425" s="5">
        <v>20000000</v>
      </c>
      <c r="I3425" s="4" t="s">
        <v>21</v>
      </c>
      <c r="J3425" s="5">
        <f t="shared" si="53"/>
        <v>-70990000</v>
      </c>
      <c r="K3425" s="4" t="s">
        <v>30</v>
      </c>
      <c r="L3425" s="6">
        <v>3.5495000000000001</v>
      </c>
      <c r="M3425" s="6">
        <v>0.28170000000000001</v>
      </c>
      <c r="N3425" s="6">
        <v>3.5354000000000001</v>
      </c>
      <c r="O3425" s="6">
        <v>1</v>
      </c>
      <c r="P3425" s="5">
        <v>-282000</v>
      </c>
      <c r="Q3425" s="4" t="s">
        <v>1394</v>
      </c>
    </row>
    <row r="3426" spans="1:17" x14ac:dyDescent="0.3">
      <c r="A3426" s="2" t="s">
        <v>1389</v>
      </c>
      <c r="B3426" s="3">
        <v>159065</v>
      </c>
      <c r="C3426" s="3">
        <v>909500</v>
      </c>
      <c r="D3426" s="4" t="s">
        <v>81</v>
      </c>
      <c r="E3426" s="4" t="s">
        <v>742</v>
      </c>
      <c r="F3426" s="4" t="s">
        <v>87</v>
      </c>
      <c r="G3426" s="4" t="s">
        <v>34</v>
      </c>
      <c r="H3426" s="5">
        <v>1000000</v>
      </c>
      <c r="I3426" s="4" t="s">
        <v>21</v>
      </c>
      <c r="J3426" s="5">
        <f t="shared" si="53"/>
        <v>-3549200</v>
      </c>
      <c r="K3426" s="4" t="s">
        <v>30</v>
      </c>
      <c r="L3426" s="6">
        <v>3.5491999999999999</v>
      </c>
      <c r="M3426" s="6">
        <v>0.28179999999999999</v>
      </c>
      <c r="N3426" s="6">
        <v>3.5354000000000001</v>
      </c>
      <c r="O3426" s="6">
        <v>1</v>
      </c>
      <c r="P3426" s="5">
        <v>-13750</v>
      </c>
      <c r="Q3426" s="4" t="s">
        <v>1396</v>
      </c>
    </row>
    <row r="3427" spans="1:17" x14ac:dyDescent="0.3">
      <c r="A3427" s="2" t="s">
        <v>1389</v>
      </c>
      <c r="B3427" s="3">
        <v>159066</v>
      </c>
      <c r="C3427" s="3">
        <v>909504</v>
      </c>
      <c r="D3427" s="4" t="s">
        <v>81</v>
      </c>
      <c r="E3427" s="4" t="s">
        <v>742</v>
      </c>
      <c r="F3427" s="4" t="s">
        <v>87</v>
      </c>
      <c r="G3427" s="4" t="s">
        <v>34</v>
      </c>
      <c r="H3427" s="5">
        <v>1000000</v>
      </c>
      <c r="I3427" s="4" t="s">
        <v>21</v>
      </c>
      <c r="J3427" s="5">
        <f t="shared" si="53"/>
        <v>-3549100</v>
      </c>
      <c r="K3427" s="4" t="s">
        <v>30</v>
      </c>
      <c r="L3427" s="6">
        <v>3.5491000000000001</v>
      </c>
      <c r="M3427" s="6">
        <v>0.28179999999999999</v>
      </c>
      <c r="N3427" s="6">
        <v>3.5354000000000001</v>
      </c>
      <c r="O3427" s="6">
        <v>1</v>
      </c>
      <c r="P3427" s="5">
        <v>-13700</v>
      </c>
      <c r="Q3427" s="4" t="s">
        <v>1396</v>
      </c>
    </row>
    <row r="3428" spans="1:17" x14ac:dyDescent="0.3">
      <c r="A3428" s="2" t="s">
        <v>1389</v>
      </c>
      <c r="B3428" s="3">
        <v>159067</v>
      </c>
      <c r="C3428" s="3">
        <v>909505</v>
      </c>
      <c r="D3428" s="4" t="s">
        <v>81</v>
      </c>
      <c r="E3428" s="4" t="s">
        <v>734</v>
      </c>
      <c r="F3428" s="4" t="s">
        <v>87</v>
      </c>
      <c r="G3428" s="4" t="s">
        <v>34</v>
      </c>
      <c r="H3428" s="5">
        <v>9900000</v>
      </c>
      <c r="I3428" s="4" t="s">
        <v>21</v>
      </c>
      <c r="J3428" s="5">
        <f t="shared" si="53"/>
        <v>-35140050</v>
      </c>
      <c r="K3428" s="4" t="s">
        <v>30</v>
      </c>
      <c r="L3428" s="6">
        <v>3.5495000000000001</v>
      </c>
      <c r="M3428" s="6">
        <v>0.28170000000000001</v>
      </c>
      <c r="N3428" s="6">
        <v>3.5354000000000001</v>
      </c>
      <c r="O3428" s="6">
        <v>1</v>
      </c>
      <c r="P3428" s="5">
        <v>-139590</v>
      </c>
      <c r="Q3428" s="4" t="s">
        <v>1393</v>
      </c>
    </row>
    <row r="3429" spans="1:17" x14ac:dyDescent="0.3">
      <c r="A3429" s="2" t="s">
        <v>1389</v>
      </c>
      <c r="B3429" s="3">
        <v>159068</v>
      </c>
      <c r="C3429" s="3">
        <v>909506</v>
      </c>
      <c r="D3429" s="4" t="s">
        <v>81</v>
      </c>
      <c r="E3429" s="4" t="s">
        <v>742</v>
      </c>
      <c r="F3429" s="4" t="s">
        <v>87</v>
      </c>
      <c r="G3429" s="4" t="s">
        <v>34</v>
      </c>
      <c r="H3429" s="5">
        <v>1000000</v>
      </c>
      <c r="I3429" s="4" t="s">
        <v>21</v>
      </c>
      <c r="J3429" s="5">
        <f t="shared" si="53"/>
        <v>-3548700</v>
      </c>
      <c r="K3429" s="4" t="s">
        <v>30</v>
      </c>
      <c r="L3429" s="6">
        <v>3.5487000000000002</v>
      </c>
      <c r="M3429" s="6">
        <v>0.28179999999999999</v>
      </c>
      <c r="N3429" s="6">
        <v>3.5354000000000001</v>
      </c>
      <c r="O3429" s="6">
        <v>1</v>
      </c>
      <c r="P3429" s="5">
        <v>-13300</v>
      </c>
      <c r="Q3429" s="4" t="s">
        <v>1396</v>
      </c>
    </row>
    <row r="3430" spans="1:17" x14ac:dyDescent="0.3">
      <c r="A3430" s="2" t="s">
        <v>1389</v>
      </c>
      <c r="B3430" s="3">
        <v>159069</v>
      </c>
      <c r="C3430" s="3">
        <v>909507</v>
      </c>
      <c r="D3430" s="4" t="s">
        <v>81</v>
      </c>
      <c r="E3430" s="4" t="s">
        <v>742</v>
      </c>
      <c r="F3430" s="4" t="s">
        <v>87</v>
      </c>
      <c r="G3430" s="4" t="s">
        <v>34</v>
      </c>
      <c r="H3430" s="5">
        <v>1000000</v>
      </c>
      <c r="I3430" s="4" t="s">
        <v>21</v>
      </c>
      <c r="J3430" s="5">
        <f t="shared" si="53"/>
        <v>-3548900</v>
      </c>
      <c r="K3430" s="4" t="s">
        <v>30</v>
      </c>
      <c r="L3430" s="6">
        <v>3.5489000000000002</v>
      </c>
      <c r="M3430" s="6">
        <v>0.28179999999999999</v>
      </c>
      <c r="N3430" s="6">
        <v>3.5354000000000001</v>
      </c>
      <c r="O3430" s="6">
        <v>1</v>
      </c>
      <c r="P3430" s="5">
        <v>-13470</v>
      </c>
      <c r="Q3430" s="4" t="s">
        <v>1396</v>
      </c>
    </row>
    <row r="3431" spans="1:17" x14ac:dyDescent="0.3">
      <c r="A3431" s="2" t="s">
        <v>1389</v>
      </c>
      <c r="B3431" s="3">
        <v>159070</v>
      </c>
      <c r="C3431" s="3">
        <v>909508</v>
      </c>
      <c r="D3431" s="4" t="s">
        <v>81</v>
      </c>
      <c r="E3431" s="4" t="s">
        <v>742</v>
      </c>
      <c r="F3431" s="4" t="s">
        <v>87</v>
      </c>
      <c r="G3431" s="4" t="s">
        <v>34</v>
      </c>
      <c r="H3431" s="5">
        <v>1000000</v>
      </c>
      <c r="I3431" s="4" t="s">
        <v>21</v>
      </c>
      <c r="J3431" s="5">
        <f t="shared" si="53"/>
        <v>-3549100</v>
      </c>
      <c r="K3431" s="4" t="s">
        <v>30</v>
      </c>
      <c r="L3431" s="6">
        <v>3.5491000000000001</v>
      </c>
      <c r="M3431" s="6">
        <v>0.28179999999999999</v>
      </c>
      <c r="N3431" s="6">
        <v>3.5354000000000001</v>
      </c>
      <c r="O3431" s="6">
        <v>1</v>
      </c>
      <c r="P3431" s="5">
        <v>-13700</v>
      </c>
      <c r="Q3431" s="4" t="s">
        <v>1396</v>
      </c>
    </row>
    <row r="3432" spans="1:17" x14ac:dyDescent="0.3">
      <c r="A3432" s="2" t="s">
        <v>1389</v>
      </c>
      <c r="B3432" s="3">
        <v>159071</v>
      </c>
      <c r="C3432" s="3">
        <v>909509</v>
      </c>
      <c r="D3432" s="4" t="s">
        <v>81</v>
      </c>
      <c r="E3432" s="4" t="s">
        <v>742</v>
      </c>
      <c r="F3432" s="4" t="s">
        <v>87</v>
      </c>
      <c r="G3432" s="4" t="s">
        <v>34</v>
      </c>
      <c r="H3432" s="5">
        <v>1000000</v>
      </c>
      <c r="I3432" s="4" t="s">
        <v>21</v>
      </c>
      <c r="J3432" s="5">
        <f t="shared" si="53"/>
        <v>-3549100</v>
      </c>
      <c r="K3432" s="4" t="s">
        <v>30</v>
      </c>
      <c r="L3432" s="6">
        <v>3.5491000000000001</v>
      </c>
      <c r="M3432" s="6">
        <v>0.28179999999999999</v>
      </c>
      <c r="N3432" s="6">
        <v>3.5354000000000001</v>
      </c>
      <c r="O3432" s="6">
        <v>1</v>
      </c>
      <c r="P3432" s="5">
        <v>-13700</v>
      </c>
      <c r="Q3432" s="4" t="s">
        <v>1396</v>
      </c>
    </row>
    <row r="3433" spans="1:17" x14ac:dyDescent="0.3">
      <c r="A3433" s="2" t="s">
        <v>1389</v>
      </c>
      <c r="B3433" s="3">
        <v>159072</v>
      </c>
      <c r="C3433" s="3">
        <v>219939</v>
      </c>
      <c r="D3433" s="4" t="s">
        <v>17</v>
      </c>
      <c r="E3433" s="4" t="s">
        <v>897</v>
      </c>
      <c r="F3433" s="4" t="s">
        <v>19</v>
      </c>
      <c r="G3433" s="4" t="s">
        <v>20</v>
      </c>
      <c r="H3433" s="5">
        <v>33723.97</v>
      </c>
      <c r="I3433" s="4" t="s">
        <v>34</v>
      </c>
      <c r="J3433" s="5">
        <f t="shared" si="53"/>
        <v>-39868.477333999996</v>
      </c>
      <c r="K3433" s="4" t="s">
        <v>53</v>
      </c>
      <c r="L3433" s="6">
        <v>1.1821999999999999</v>
      </c>
      <c r="M3433" s="6">
        <v>0.84589999999999999</v>
      </c>
      <c r="N3433" s="6">
        <v>4.2050000000000001</v>
      </c>
      <c r="O3433" s="6">
        <v>3.5831</v>
      </c>
      <c r="P3433" s="5">
        <v>-1043.4472854553605</v>
      </c>
      <c r="Q3433" s="4" t="s">
        <v>1391</v>
      </c>
    </row>
    <row r="3434" spans="1:17" x14ac:dyDescent="0.3">
      <c r="A3434" s="2" t="s">
        <v>1389</v>
      </c>
      <c r="B3434" s="3">
        <v>159073</v>
      </c>
      <c r="C3434" s="3">
        <v>219940</v>
      </c>
      <c r="D3434" s="4" t="s">
        <v>17</v>
      </c>
      <c r="E3434" s="4" t="s">
        <v>897</v>
      </c>
      <c r="F3434" s="4" t="s">
        <v>19</v>
      </c>
      <c r="G3434" s="4" t="s">
        <v>20</v>
      </c>
      <c r="H3434" s="5">
        <v>7360</v>
      </c>
      <c r="I3434" s="4" t="s">
        <v>21</v>
      </c>
      <c r="J3434" s="5">
        <f t="shared" si="53"/>
        <v>-30915.68</v>
      </c>
      <c r="K3434" s="4" t="s">
        <v>53</v>
      </c>
      <c r="L3434" s="6">
        <v>4.2004999999999999</v>
      </c>
      <c r="M3434" s="6">
        <v>0.23810000000000001</v>
      </c>
      <c r="N3434" s="6">
        <v>4.2050000000000001</v>
      </c>
      <c r="O3434" s="6">
        <v>1</v>
      </c>
      <c r="P3434" s="5">
        <v>33.119999999998981</v>
      </c>
      <c r="Q3434" s="4" t="s">
        <v>1391</v>
      </c>
    </row>
    <row r="3435" spans="1:17" x14ac:dyDescent="0.3">
      <c r="A3435" s="2" t="s">
        <v>1389</v>
      </c>
      <c r="B3435" s="3">
        <v>159074</v>
      </c>
      <c r="C3435" s="3">
        <v>909518</v>
      </c>
      <c r="D3435" s="4" t="s">
        <v>81</v>
      </c>
      <c r="E3435" s="4" t="s">
        <v>733</v>
      </c>
      <c r="F3435" s="4" t="s">
        <v>87</v>
      </c>
      <c r="G3435" s="4" t="s">
        <v>34</v>
      </c>
      <c r="H3435" s="5">
        <v>1000000</v>
      </c>
      <c r="I3435" s="4" t="s">
        <v>21</v>
      </c>
      <c r="J3435" s="5">
        <f t="shared" si="53"/>
        <v>-3548900</v>
      </c>
      <c r="K3435" s="4" t="s">
        <v>30</v>
      </c>
      <c r="L3435" s="6">
        <v>3.5489000000000002</v>
      </c>
      <c r="M3435" s="6">
        <v>0.28179999999999999</v>
      </c>
      <c r="N3435" s="6">
        <v>3.5354000000000001</v>
      </c>
      <c r="O3435" s="6">
        <v>1</v>
      </c>
      <c r="P3435" s="5">
        <v>-13470</v>
      </c>
      <c r="Q3435" s="4" t="s">
        <v>1391</v>
      </c>
    </row>
    <row r="3436" spans="1:17" x14ac:dyDescent="0.3">
      <c r="A3436" s="2" t="s">
        <v>1389</v>
      </c>
      <c r="B3436" s="3">
        <v>159075</v>
      </c>
      <c r="C3436" s="3">
        <v>909521</v>
      </c>
      <c r="D3436" s="4" t="s">
        <v>81</v>
      </c>
      <c r="E3436" s="4" t="s">
        <v>742</v>
      </c>
      <c r="F3436" s="4" t="s">
        <v>87</v>
      </c>
      <c r="G3436" s="4" t="s">
        <v>34</v>
      </c>
      <c r="H3436" s="5">
        <v>1000000</v>
      </c>
      <c r="I3436" s="4" t="s">
        <v>21</v>
      </c>
      <c r="J3436" s="5">
        <f t="shared" si="53"/>
        <v>-3548900</v>
      </c>
      <c r="K3436" s="4" t="s">
        <v>30</v>
      </c>
      <c r="L3436" s="6">
        <v>3.5489000000000002</v>
      </c>
      <c r="M3436" s="6">
        <v>0.28179999999999999</v>
      </c>
      <c r="N3436" s="6">
        <v>3.5354000000000001</v>
      </c>
      <c r="O3436" s="6">
        <v>1</v>
      </c>
      <c r="P3436" s="5">
        <v>-13500</v>
      </c>
      <c r="Q3436" s="4" t="s">
        <v>1396</v>
      </c>
    </row>
    <row r="3437" spans="1:17" x14ac:dyDescent="0.3">
      <c r="A3437" s="2" t="s">
        <v>1389</v>
      </c>
      <c r="B3437" s="3">
        <v>159076</v>
      </c>
      <c r="C3437" s="3">
        <v>909525</v>
      </c>
      <c r="D3437" s="4" t="s">
        <v>81</v>
      </c>
      <c r="E3437" s="4" t="s">
        <v>735</v>
      </c>
      <c r="F3437" s="4" t="s">
        <v>87</v>
      </c>
      <c r="G3437" s="4" t="s">
        <v>34</v>
      </c>
      <c r="H3437" s="5">
        <v>1000000</v>
      </c>
      <c r="I3437" s="4" t="s">
        <v>21</v>
      </c>
      <c r="J3437" s="5">
        <f t="shared" si="53"/>
        <v>-3548900</v>
      </c>
      <c r="K3437" s="4" t="s">
        <v>30</v>
      </c>
      <c r="L3437" s="6">
        <v>3.5489000000000002</v>
      </c>
      <c r="M3437" s="6">
        <v>0.28179999999999999</v>
      </c>
      <c r="N3437" s="6">
        <v>3.5354000000000001</v>
      </c>
      <c r="O3437" s="6">
        <v>1</v>
      </c>
      <c r="P3437" s="5">
        <v>-13500</v>
      </c>
      <c r="Q3437" s="4" t="s">
        <v>1394</v>
      </c>
    </row>
    <row r="3438" spans="1:17" x14ac:dyDescent="0.3">
      <c r="A3438" s="2" t="s">
        <v>1389</v>
      </c>
      <c r="B3438" s="3">
        <v>159077</v>
      </c>
      <c r="C3438" s="3">
        <v>909526</v>
      </c>
      <c r="D3438" s="4" t="s">
        <v>81</v>
      </c>
      <c r="E3438" s="4" t="s">
        <v>733</v>
      </c>
      <c r="F3438" s="4" t="s">
        <v>87</v>
      </c>
      <c r="G3438" s="4" t="s">
        <v>34</v>
      </c>
      <c r="H3438" s="5">
        <v>1000000</v>
      </c>
      <c r="I3438" s="4" t="s">
        <v>21</v>
      </c>
      <c r="J3438" s="5">
        <f t="shared" si="53"/>
        <v>-3548600</v>
      </c>
      <c r="K3438" s="4" t="s">
        <v>30</v>
      </c>
      <c r="L3438" s="6">
        <v>3.5486</v>
      </c>
      <c r="M3438" s="6">
        <v>0.28179999999999999</v>
      </c>
      <c r="N3438" s="6">
        <v>3.5354000000000001</v>
      </c>
      <c r="O3438" s="6">
        <v>1</v>
      </c>
      <c r="P3438" s="5">
        <v>-13190</v>
      </c>
      <c r="Q3438" s="4" t="s">
        <v>1391</v>
      </c>
    </row>
    <row r="3439" spans="1:17" x14ac:dyDescent="0.3">
      <c r="A3439" s="2" t="s">
        <v>1389</v>
      </c>
      <c r="B3439" s="3">
        <v>159078</v>
      </c>
      <c r="C3439" s="3">
        <v>219943</v>
      </c>
      <c r="D3439" s="4" t="s">
        <v>17</v>
      </c>
      <c r="E3439" s="4" t="s">
        <v>951</v>
      </c>
      <c r="F3439" s="4" t="s">
        <v>32</v>
      </c>
      <c r="G3439" s="4" t="s">
        <v>20</v>
      </c>
      <c r="H3439" s="5">
        <v>-25000</v>
      </c>
      <c r="I3439" s="4" t="s">
        <v>21</v>
      </c>
      <c r="J3439" s="5">
        <f t="shared" si="53"/>
        <v>105327.5</v>
      </c>
      <c r="K3439" s="4" t="s">
        <v>53</v>
      </c>
      <c r="L3439" s="6">
        <v>4.2130999999999998</v>
      </c>
      <c r="M3439" s="6">
        <v>0.2374</v>
      </c>
      <c r="N3439" s="6">
        <v>4.2050000000000001</v>
      </c>
      <c r="O3439" s="6">
        <v>1</v>
      </c>
      <c r="P3439" s="5">
        <v>192.5</v>
      </c>
      <c r="Q3439" s="4" t="s">
        <v>1390</v>
      </c>
    </row>
    <row r="3440" spans="1:17" x14ac:dyDescent="0.3">
      <c r="A3440" s="2" t="s">
        <v>1389</v>
      </c>
      <c r="B3440" s="3">
        <v>159079</v>
      </c>
      <c r="C3440" s="3">
        <v>909530</v>
      </c>
      <c r="D3440" s="4" t="s">
        <v>81</v>
      </c>
      <c r="E3440" s="4" t="s">
        <v>730</v>
      </c>
      <c r="F3440" s="4" t="s">
        <v>87</v>
      </c>
      <c r="G3440" s="4" t="s">
        <v>34</v>
      </c>
      <c r="H3440" s="5">
        <v>1000000</v>
      </c>
      <c r="I3440" s="4" t="s">
        <v>21</v>
      </c>
      <c r="J3440" s="5">
        <f t="shared" si="53"/>
        <v>-3548500</v>
      </c>
      <c r="K3440" s="4" t="s">
        <v>30</v>
      </c>
      <c r="L3440" s="6">
        <v>3.5485000000000002</v>
      </c>
      <c r="M3440" s="6">
        <v>0.28179999999999999</v>
      </c>
      <c r="N3440" s="6">
        <v>3.5354000000000001</v>
      </c>
      <c r="O3440" s="6">
        <v>1</v>
      </c>
      <c r="P3440" s="5">
        <v>-13080</v>
      </c>
      <c r="Q3440" s="4" t="s">
        <v>1396</v>
      </c>
    </row>
    <row r="3441" spans="1:17" x14ac:dyDescent="0.3">
      <c r="A3441" s="2" t="s">
        <v>1389</v>
      </c>
      <c r="B3441" s="3">
        <v>159080</v>
      </c>
      <c r="C3441" s="3">
        <v>909531</v>
      </c>
      <c r="D3441" s="4" t="s">
        <v>81</v>
      </c>
      <c r="E3441" s="4" t="s">
        <v>726</v>
      </c>
      <c r="F3441" s="4" t="s">
        <v>87</v>
      </c>
      <c r="G3441" s="4" t="s">
        <v>34</v>
      </c>
      <c r="H3441" s="5">
        <v>1000000</v>
      </c>
      <c r="I3441" s="4" t="s">
        <v>21</v>
      </c>
      <c r="J3441" s="5">
        <f t="shared" si="53"/>
        <v>-3548900</v>
      </c>
      <c r="K3441" s="4" t="s">
        <v>30</v>
      </c>
      <c r="L3441" s="6">
        <v>3.5489000000000002</v>
      </c>
      <c r="M3441" s="6">
        <v>0.28179999999999999</v>
      </c>
      <c r="N3441" s="6">
        <v>3.5354000000000001</v>
      </c>
      <c r="O3441" s="6">
        <v>1</v>
      </c>
      <c r="P3441" s="5">
        <v>-13520</v>
      </c>
      <c r="Q3441" s="4" t="s">
        <v>1390</v>
      </c>
    </row>
    <row r="3442" spans="1:17" x14ac:dyDescent="0.3">
      <c r="A3442" s="2" t="s">
        <v>1389</v>
      </c>
      <c r="B3442" s="3">
        <v>159081</v>
      </c>
      <c r="C3442" s="3">
        <v>909532</v>
      </c>
      <c r="D3442" s="4" t="s">
        <v>81</v>
      </c>
      <c r="E3442" s="4" t="s">
        <v>742</v>
      </c>
      <c r="F3442" s="4" t="s">
        <v>87</v>
      </c>
      <c r="G3442" s="4" t="s">
        <v>34</v>
      </c>
      <c r="H3442" s="5">
        <v>1000000</v>
      </c>
      <c r="I3442" s="4" t="s">
        <v>21</v>
      </c>
      <c r="J3442" s="5">
        <f t="shared" si="53"/>
        <v>-3549100</v>
      </c>
      <c r="K3442" s="4" t="s">
        <v>30</v>
      </c>
      <c r="L3442" s="6">
        <v>3.5491000000000001</v>
      </c>
      <c r="M3442" s="6">
        <v>0.28179999999999999</v>
      </c>
      <c r="N3442" s="6">
        <v>3.5354000000000001</v>
      </c>
      <c r="O3442" s="6">
        <v>1</v>
      </c>
      <c r="P3442" s="5">
        <v>-13700</v>
      </c>
      <c r="Q3442" s="4" t="s">
        <v>1396</v>
      </c>
    </row>
    <row r="3443" spans="1:17" x14ac:dyDescent="0.3">
      <c r="A3443" s="2" t="s">
        <v>1389</v>
      </c>
      <c r="B3443" s="3">
        <v>159082</v>
      </c>
      <c r="C3443" s="3">
        <v>909536</v>
      </c>
      <c r="D3443" s="4" t="s">
        <v>81</v>
      </c>
      <c r="E3443" s="4" t="s">
        <v>726</v>
      </c>
      <c r="F3443" s="4" t="s">
        <v>87</v>
      </c>
      <c r="G3443" s="4" t="s">
        <v>34</v>
      </c>
      <c r="H3443" s="5">
        <v>1000000</v>
      </c>
      <c r="I3443" s="4" t="s">
        <v>21</v>
      </c>
      <c r="J3443" s="5">
        <f t="shared" si="53"/>
        <v>-3549700</v>
      </c>
      <c r="K3443" s="4" t="s">
        <v>30</v>
      </c>
      <c r="L3443" s="6">
        <v>3.5497000000000001</v>
      </c>
      <c r="M3443" s="6">
        <v>0.28170000000000001</v>
      </c>
      <c r="N3443" s="6">
        <v>3.5354000000000001</v>
      </c>
      <c r="O3443" s="6">
        <v>1</v>
      </c>
      <c r="P3443" s="5">
        <v>-14330</v>
      </c>
      <c r="Q3443" s="4" t="s">
        <v>1390</v>
      </c>
    </row>
    <row r="3444" spans="1:17" x14ac:dyDescent="0.3">
      <c r="A3444" s="2" t="s">
        <v>1389</v>
      </c>
      <c r="B3444" s="3">
        <v>159083</v>
      </c>
      <c r="C3444" s="3">
        <v>909537</v>
      </c>
      <c r="D3444" s="4" t="s">
        <v>81</v>
      </c>
      <c r="E3444" s="4" t="s">
        <v>735</v>
      </c>
      <c r="F3444" s="4" t="s">
        <v>87</v>
      </c>
      <c r="G3444" s="4" t="s">
        <v>34</v>
      </c>
      <c r="H3444" s="5">
        <v>1000000</v>
      </c>
      <c r="I3444" s="4" t="s">
        <v>21</v>
      </c>
      <c r="J3444" s="5">
        <f t="shared" si="53"/>
        <v>-3549300</v>
      </c>
      <c r="K3444" s="4" t="s">
        <v>30</v>
      </c>
      <c r="L3444" s="6">
        <v>3.5493000000000001</v>
      </c>
      <c r="M3444" s="6">
        <v>0.28170000000000001</v>
      </c>
      <c r="N3444" s="6">
        <v>3.5354000000000001</v>
      </c>
      <c r="O3444" s="6">
        <v>1</v>
      </c>
      <c r="P3444" s="5">
        <v>-13900</v>
      </c>
      <c r="Q3444" s="4" t="s">
        <v>1394</v>
      </c>
    </row>
    <row r="3445" spans="1:17" x14ac:dyDescent="0.3">
      <c r="A3445" s="2" t="s">
        <v>1389</v>
      </c>
      <c r="B3445" s="3">
        <v>159084</v>
      </c>
      <c r="C3445" s="3">
        <v>909538</v>
      </c>
      <c r="D3445" s="4" t="s">
        <v>81</v>
      </c>
      <c r="E3445" s="4" t="s">
        <v>730</v>
      </c>
      <c r="F3445" s="4" t="s">
        <v>87</v>
      </c>
      <c r="G3445" s="4" t="s">
        <v>34</v>
      </c>
      <c r="H3445" s="5">
        <v>1000000</v>
      </c>
      <c r="I3445" s="4" t="s">
        <v>21</v>
      </c>
      <c r="J3445" s="5">
        <f t="shared" si="53"/>
        <v>-3549200</v>
      </c>
      <c r="K3445" s="4" t="s">
        <v>30</v>
      </c>
      <c r="L3445" s="6">
        <v>3.5491999999999999</v>
      </c>
      <c r="M3445" s="6">
        <v>0.28179999999999999</v>
      </c>
      <c r="N3445" s="6">
        <v>3.5354000000000001</v>
      </c>
      <c r="O3445" s="6">
        <v>1</v>
      </c>
      <c r="P3445" s="5">
        <v>-13790</v>
      </c>
      <c r="Q3445" s="4" t="s">
        <v>1396</v>
      </c>
    </row>
    <row r="3446" spans="1:17" x14ac:dyDescent="0.3">
      <c r="A3446" s="2" t="s">
        <v>1389</v>
      </c>
      <c r="B3446" s="3">
        <v>159085</v>
      </c>
      <c r="C3446" s="3">
        <v>219945</v>
      </c>
      <c r="D3446" s="4" t="s">
        <v>17</v>
      </c>
      <c r="E3446" s="4" t="s">
        <v>857</v>
      </c>
      <c r="F3446" s="4" t="s">
        <v>32</v>
      </c>
      <c r="G3446" s="4" t="s">
        <v>34</v>
      </c>
      <c r="H3446" s="5">
        <v>-8602</v>
      </c>
      <c r="I3446" s="4" t="s">
        <v>21</v>
      </c>
      <c r="J3446" s="5">
        <f t="shared" si="53"/>
        <v>30544.841799999998</v>
      </c>
      <c r="K3446" s="4" t="s">
        <v>53</v>
      </c>
      <c r="L3446" s="6">
        <v>3.5508999999999999</v>
      </c>
      <c r="M3446" s="6">
        <v>0.28160000000000002</v>
      </c>
      <c r="N3446" s="6">
        <v>3.5831</v>
      </c>
      <c r="O3446" s="6">
        <v>1</v>
      </c>
      <c r="P3446" s="5">
        <v>-276.9862</v>
      </c>
      <c r="Q3446" s="4" t="s">
        <v>1390</v>
      </c>
    </row>
    <row r="3447" spans="1:17" x14ac:dyDescent="0.3">
      <c r="A3447" s="2" t="s">
        <v>1389</v>
      </c>
      <c r="B3447" s="3">
        <v>159086</v>
      </c>
      <c r="C3447" s="3">
        <v>909542</v>
      </c>
      <c r="D3447" s="4" t="s">
        <v>81</v>
      </c>
      <c r="E3447" s="4" t="s">
        <v>735</v>
      </c>
      <c r="F3447" s="4" t="s">
        <v>87</v>
      </c>
      <c r="G3447" s="4" t="s">
        <v>34</v>
      </c>
      <c r="H3447" s="5">
        <v>1000000</v>
      </c>
      <c r="I3447" s="4" t="s">
        <v>21</v>
      </c>
      <c r="J3447" s="5">
        <f t="shared" si="53"/>
        <v>-3549100</v>
      </c>
      <c r="K3447" s="4" t="s">
        <v>30</v>
      </c>
      <c r="L3447" s="6">
        <v>3.5491000000000001</v>
      </c>
      <c r="M3447" s="6">
        <v>0.28179999999999999</v>
      </c>
      <c r="N3447" s="6">
        <v>3.5354000000000001</v>
      </c>
      <c r="O3447" s="6">
        <v>1</v>
      </c>
      <c r="P3447" s="5">
        <v>-13700</v>
      </c>
      <c r="Q3447" s="4" t="s">
        <v>1394</v>
      </c>
    </row>
    <row r="3448" spans="1:17" x14ac:dyDescent="0.3">
      <c r="A3448" s="2" t="s">
        <v>1389</v>
      </c>
      <c r="B3448" s="3">
        <v>159087</v>
      </c>
      <c r="C3448" s="3">
        <v>909543</v>
      </c>
      <c r="D3448" s="4" t="s">
        <v>81</v>
      </c>
      <c r="E3448" s="4" t="s">
        <v>733</v>
      </c>
      <c r="F3448" s="4" t="s">
        <v>87</v>
      </c>
      <c r="G3448" s="4" t="s">
        <v>34</v>
      </c>
      <c r="H3448" s="5">
        <v>1000000</v>
      </c>
      <c r="I3448" s="4" t="s">
        <v>21</v>
      </c>
      <c r="J3448" s="5">
        <f t="shared" si="53"/>
        <v>-3549300</v>
      </c>
      <c r="K3448" s="4" t="s">
        <v>30</v>
      </c>
      <c r="L3448" s="6">
        <v>3.5493000000000001</v>
      </c>
      <c r="M3448" s="6">
        <v>0.28170000000000001</v>
      </c>
      <c r="N3448" s="6">
        <v>3.5354000000000001</v>
      </c>
      <c r="O3448" s="6">
        <v>1</v>
      </c>
      <c r="P3448" s="5">
        <v>-13930</v>
      </c>
      <c r="Q3448" s="4" t="s">
        <v>1391</v>
      </c>
    </row>
    <row r="3449" spans="1:17" x14ac:dyDescent="0.3">
      <c r="A3449" s="2" t="s">
        <v>1389</v>
      </c>
      <c r="B3449" s="3">
        <v>159088</v>
      </c>
      <c r="C3449" s="3">
        <v>909544</v>
      </c>
      <c r="D3449" s="4" t="s">
        <v>81</v>
      </c>
      <c r="E3449" s="4" t="s">
        <v>735</v>
      </c>
      <c r="F3449" s="4" t="s">
        <v>87</v>
      </c>
      <c r="G3449" s="4" t="s">
        <v>34</v>
      </c>
      <c r="H3449" s="5">
        <v>1000000</v>
      </c>
      <c r="I3449" s="4" t="s">
        <v>21</v>
      </c>
      <c r="J3449" s="5">
        <f t="shared" si="53"/>
        <v>-3549800</v>
      </c>
      <c r="K3449" s="4" t="s">
        <v>30</v>
      </c>
      <c r="L3449" s="6">
        <v>3.5497999999999998</v>
      </c>
      <c r="M3449" s="6">
        <v>0.28170000000000001</v>
      </c>
      <c r="N3449" s="6">
        <v>3.5354000000000001</v>
      </c>
      <c r="O3449" s="6">
        <v>1</v>
      </c>
      <c r="P3449" s="5">
        <v>-14400</v>
      </c>
      <c r="Q3449" s="4" t="s">
        <v>1394</v>
      </c>
    </row>
    <row r="3450" spans="1:17" x14ac:dyDescent="0.3">
      <c r="A3450" s="2" t="s">
        <v>1389</v>
      </c>
      <c r="B3450" s="3">
        <v>159089</v>
      </c>
      <c r="C3450" s="3">
        <v>909545</v>
      </c>
      <c r="D3450" s="4" t="s">
        <v>81</v>
      </c>
      <c r="E3450" s="4" t="s">
        <v>742</v>
      </c>
      <c r="F3450" s="4" t="s">
        <v>87</v>
      </c>
      <c r="G3450" s="4" t="s">
        <v>34</v>
      </c>
      <c r="H3450" s="5">
        <v>1000000</v>
      </c>
      <c r="I3450" s="4" t="s">
        <v>21</v>
      </c>
      <c r="J3450" s="5">
        <f t="shared" si="53"/>
        <v>-3549700</v>
      </c>
      <c r="K3450" s="4" t="s">
        <v>30</v>
      </c>
      <c r="L3450" s="6">
        <v>3.5497000000000001</v>
      </c>
      <c r="M3450" s="6">
        <v>0.28170000000000001</v>
      </c>
      <c r="N3450" s="6">
        <v>3.5354000000000001</v>
      </c>
      <c r="O3450" s="6">
        <v>1</v>
      </c>
      <c r="P3450" s="5">
        <v>-14300</v>
      </c>
      <c r="Q3450" s="4" t="s">
        <v>1396</v>
      </c>
    </row>
    <row r="3451" spans="1:17" x14ac:dyDescent="0.3">
      <c r="A3451" s="2" t="s">
        <v>1389</v>
      </c>
      <c r="B3451" s="3">
        <v>159090</v>
      </c>
      <c r="C3451" s="3">
        <v>909546</v>
      </c>
      <c r="D3451" s="4" t="s">
        <v>81</v>
      </c>
      <c r="E3451" s="4" t="s">
        <v>733</v>
      </c>
      <c r="F3451" s="4" t="s">
        <v>87</v>
      </c>
      <c r="G3451" s="4" t="s">
        <v>34</v>
      </c>
      <c r="H3451" s="5">
        <v>1000000</v>
      </c>
      <c r="I3451" s="4" t="s">
        <v>21</v>
      </c>
      <c r="J3451" s="5">
        <f t="shared" si="53"/>
        <v>-3549600</v>
      </c>
      <c r="K3451" s="4" t="s">
        <v>30</v>
      </c>
      <c r="L3451" s="6">
        <v>3.5495999999999999</v>
      </c>
      <c r="M3451" s="6">
        <v>0.28170000000000001</v>
      </c>
      <c r="N3451" s="6">
        <v>3.5354000000000001</v>
      </c>
      <c r="O3451" s="6">
        <v>1</v>
      </c>
      <c r="P3451" s="5">
        <v>-14190</v>
      </c>
      <c r="Q3451" s="4" t="s">
        <v>1391</v>
      </c>
    </row>
    <row r="3452" spans="1:17" x14ac:dyDescent="0.3">
      <c r="A3452" s="2" t="s">
        <v>1389</v>
      </c>
      <c r="B3452" s="3">
        <v>159091</v>
      </c>
      <c r="C3452" s="3">
        <v>909547</v>
      </c>
      <c r="D3452" s="4" t="s">
        <v>81</v>
      </c>
      <c r="E3452" s="4" t="s">
        <v>735</v>
      </c>
      <c r="F3452" s="4" t="s">
        <v>87</v>
      </c>
      <c r="G3452" s="4" t="s">
        <v>34</v>
      </c>
      <c r="H3452" s="5">
        <v>1000000</v>
      </c>
      <c r="I3452" s="4" t="s">
        <v>21</v>
      </c>
      <c r="J3452" s="5">
        <f t="shared" si="53"/>
        <v>-3549400</v>
      </c>
      <c r="K3452" s="4" t="s">
        <v>30</v>
      </c>
      <c r="L3452" s="6">
        <v>3.5493999999999999</v>
      </c>
      <c r="M3452" s="6">
        <v>0.28170000000000001</v>
      </c>
      <c r="N3452" s="6">
        <v>3.5354000000000001</v>
      </c>
      <c r="O3452" s="6">
        <v>1</v>
      </c>
      <c r="P3452" s="5">
        <v>-14000</v>
      </c>
      <c r="Q3452" s="4" t="s">
        <v>1394</v>
      </c>
    </row>
    <row r="3453" spans="1:17" x14ac:dyDescent="0.3">
      <c r="A3453" s="2" t="s">
        <v>1389</v>
      </c>
      <c r="B3453" s="3">
        <v>159092</v>
      </c>
      <c r="C3453" s="3">
        <v>909548</v>
      </c>
      <c r="D3453" s="4" t="s">
        <v>81</v>
      </c>
      <c r="E3453" s="4" t="s">
        <v>733</v>
      </c>
      <c r="F3453" s="4" t="s">
        <v>87</v>
      </c>
      <c r="G3453" s="4" t="s">
        <v>34</v>
      </c>
      <c r="H3453" s="5">
        <v>1000000</v>
      </c>
      <c r="I3453" s="4" t="s">
        <v>21</v>
      </c>
      <c r="J3453" s="5">
        <f t="shared" si="53"/>
        <v>-3549300</v>
      </c>
      <c r="K3453" s="4" t="s">
        <v>30</v>
      </c>
      <c r="L3453" s="6">
        <v>3.5493000000000001</v>
      </c>
      <c r="M3453" s="6">
        <v>0.28170000000000001</v>
      </c>
      <c r="N3453" s="6">
        <v>3.5354000000000001</v>
      </c>
      <c r="O3453" s="6">
        <v>1</v>
      </c>
      <c r="P3453" s="5">
        <v>-13930</v>
      </c>
      <c r="Q3453" s="4" t="s">
        <v>1391</v>
      </c>
    </row>
    <row r="3454" spans="1:17" x14ac:dyDescent="0.3">
      <c r="A3454" s="2" t="s">
        <v>1389</v>
      </c>
      <c r="B3454" s="3">
        <v>159093</v>
      </c>
      <c r="C3454" s="3">
        <v>219946</v>
      </c>
      <c r="D3454" s="4" t="s">
        <v>17</v>
      </c>
      <c r="E3454" s="4" t="s">
        <v>857</v>
      </c>
      <c r="F3454" s="4" t="s">
        <v>32</v>
      </c>
      <c r="G3454" s="4" t="s">
        <v>34</v>
      </c>
      <c r="H3454" s="5">
        <v>-111192</v>
      </c>
      <c r="I3454" s="4" t="s">
        <v>21</v>
      </c>
      <c r="J3454" s="5">
        <f t="shared" si="53"/>
        <v>394887.26880000002</v>
      </c>
      <c r="K3454" s="4" t="s">
        <v>55</v>
      </c>
      <c r="L3454" s="6">
        <v>3.5514000000000001</v>
      </c>
      <c r="M3454" s="6">
        <v>0.28160000000000002</v>
      </c>
      <c r="N3454" s="6">
        <v>3.5045000000000002</v>
      </c>
      <c r="O3454" s="6">
        <v>1</v>
      </c>
      <c r="P3454" s="5">
        <v>5214.9059999999999</v>
      </c>
      <c r="Q3454" s="4" t="s">
        <v>1390</v>
      </c>
    </row>
    <row r="3455" spans="1:17" x14ac:dyDescent="0.3">
      <c r="A3455" s="2" t="s">
        <v>1389</v>
      </c>
      <c r="B3455" s="3">
        <v>159094</v>
      </c>
      <c r="C3455" s="3">
        <v>909552</v>
      </c>
      <c r="D3455" s="4" t="s">
        <v>81</v>
      </c>
      <c r="E3455" s="4" t="s">
        <v>735</v>
      </c>
      <c r="F3455" s="4" t="s">
        <v>87</v>
      </c>
      <c r="G3455" s="4" t="s">
        <v>34</v>
      </c>
      <c r="H3455" s="5">
        <v>1000000</v>
      </c>
      <c r="I3455" s="4" t="s">
        <v>21</v>
      </c>
      <c r="J3455" s="5">
        <f t="shared" si="53"/>
        <v>-3549600</v>
      </c>
      <c r="K3455" s="4" t="s">
        <v>30</v>
      </c>
      <c r="L3455" s="6">
        <v>3.5495999999999999</v>
      </c>
      <c r="M3455" s="6">
        <v>0.28170000000000001</v>
      </c>
      <c r="N3455" s="6">
        <v>3.5354000000000001</v>
      </c>
      <c r="O3455" s="6">
        <v>1</v>
      </c>
      <c r="P3455" s="5">
        <v>-14200</v>
      </c>
      <c r="Q3455" s="4" t="s">
        <v>1394</v>
      </c>
    </row>
    <row r="3456" spans="1:17" x14ac:dyDescent="0.3">
      <c r="A3456" s="2" t="s">
        <v>1389</v>
      </c>
      <c r="B3456" s="3">
        <v>159095</v>
      </c>
      <c r="C3456" s="3">
        <v>909553</v>
      </c>
      <c r="D3456" s="4" t="s">
        <v>81</v>
      </c>
      <c r="E3456" s="4" t="s">
        <v>742</v>
      </c>
      <c r="F3456" s="4" t="s">
        <v>87</v>
      </c>
      <c r="G3456" s="4" t="s">
        <v>34</v>
      </c>
      <c r="H3456" s="5">
        <v>1000000</v>
      </c>
      <c r="I3456" s="4" t="s">
        <v>21</v>
      </c>
      <c r="J3456" s="5">
        <f t="shared" si="53"/>
        <v>-3549200</v>
      </c>
      <c r="K3456" s="4" t="s">
        <v>30</v>
      </c>
      <c r="L3456" s="6">
        <v>3.5491999999999999</v>
      </c>
      <c r="M3456" s="6">
        <v>0.28179999999999999</v>
      </c>
      <c r="N3456" s="6">
        <v>3.5354000000000001</v>
      </c>
      <c r="O3456" s="6">
        <v>1</v>
      </c>
      <c r="P3456" s="5">
        <v>-13760</v>
      </c>
      <c r="Q3456" s="4" t="s">
        <v>1396</v>
      </c>
    </row>
    <row r="3457" spans="1:17" x14ac:dyDescent="0.3">
      <c r="A3457" s="2" t="s">
        <v>1389</v>
      </c>
      <c r="B3457" s="3">
        <v>159096</v>
      </c>
      <c r="C3457" s="3">
        <v>909554</v>
      </c>
      <c r="D3457" s="4" t="s">
        <v>81</v>
      </c>
      <c r="E3457" s="4" t="s">
        <v>733</v>
      </c>
      <c r="F3457" s="4" t="s">
        <v>87</v>
      </c>
      <c r="G3457" s="4" t="s">
        <v>34</v>
      </c>
      <c r="H3457" s="5">
        <v>1000000</v>
      </c>
      <c r="I3457" s="4" t="s">
        <v>21</v>
      </c>
      <c r="J3457" s="5">
        <f t="shared" si="53"/>
        <v>-3549100</v>
      </c>
      <c r="K3457" s="4" t="s">
        <v>30</v>
      </c>
      <c r="L3457" s="6">
        <v>3.5491000000000001</v>
      </c>
      <c r="M3457" s="6">
        <v>0.28179999999999999</v>
      </c>
      <c r="N3457" s="6">
        <v>3.5354000000000001</v>
      </c>
      <c r="O3457" s="6">
        <v>1</v>
      </c>
      <c r="P3457" s="5">
        <v>-13720</v>
      </c>
      <c r="Q3457" s="4" t="s">
        <v>1391</v>
      </c>
    </row>
    <row r="3458" spans="1:17" x14ac:dyDescent="0.3">
      <c r="A3458" s="2" t="s">
        <v>1389</v>
      </c>
      <c r="B3458" s="3">
        <v>159097</v>
      </c>
      <c r="C3458" s="3">
        <v>909555</v>
      </c>
      <c r="D3458" s="4" t="s">
        <v>81</v>
      </c>
      <c r="E3458" s="4" t="s">
        <v>735</v>
      </c>
      <c r="F3458" s="4" t="s">
        <v>87</v>
      </c>
      <c r="G3458" s="4" t="s">
        <v>34</v>
      </c>
      <c r="H3458" s="5">
        <v>1000000</v>
      </c>
      <c r="I3458" s="4" t="s">
        <v>21</v>
      </c>
      <c r="J3458" s="5">
        <f t="shared" si="53"/>
        <v>-3549100</v>
      </c>
      <c r="K3458" s="4" t="s">
        <v>30</v>
      </c>
      <c r="L3458" s="6">
        <v>3.5491000000000001</v>
      </c>
      <c r="M3458" s="6">
        <v>0.28179999999999999</v>
      </c>
      <c r="N3458" s="6">
        <v>3.5354000000000001</v>
      </c>
      <c r="O3458" s="6">
        <v>1</v>
      </c>
      <c r="P3458" s="5">
        <v>-13700</v>
      </c>
      <c r="Q3458" s="4" t="s">
        <v>1394</v>
      </c>
    </row>
    <row r="3459" spans="1:17" x14ac:dyDescent="0.3">
      <c r="A3459" s="2" t="s">
        <v>1389</v>
      </c>
      <c r="B3459" s="3">
        <v>159098</v>
      </c>
      <c r="C3459" s="3">
        <v>909556</v>
      </c>
      <c r="D3459" s="4" t="s">
        <v>81</v>
      </c>
      <c r="E3459" s="4" t="s">
        <v>742</v>
      </c>
      <c r="F3459" s="4" t="s">
        <v>87</v>
      </c>
      <c r="G3459" s="4" t="s">
        <v>34</v>
      </c>
      <c r="H3459" s="5">
        <v>1000000</v>
      </c>
      <c r="I3459" s="4" t="s">
        <v>21</v>
      </c>
      <c r="J3459" s="5">
        <f t="shared" si="53"/>
        <v>-3549000</v>
      </c>
      <c r="K3459" s="4" t="s">
        <v>30</v>
      </c>
      <c r="L3459" s="6">
        <v>3.5489999999999999</v>
      </c>
      <c r="M3459" s="6">
        <v>0.28179999999999999</v>
      </c>
      <c r="N3459" s="6">
        <v>3.5354000000000001</v>
      </c>
      <c r="O3459" s="6">
        <v>1</v>
      </c>
      <c r="P3459" s="5">
        <v>-13600</v>
      </c>
      <c r="Q3459" s="4" t="s">
        <v>1396</v>
      </c>
    </row>
    <row r="3460" spans="1:17" x14ac:dyDescent="0.3">
      <c r="A3460" s="2" t="s">
        <v>1389</v>
      </c>
      <c r="B3460" s="3">
        <v>159099</v>
      </c>
      <c r="C3460" s="3">
        <v>909560</v>
      </c>
      <c r="D3460" s="4" t="s">
        <v>81</v>
      </c>
      <c r="E3460" s="4" t="s">
        <v>730</v>
      </c>
      <c r="F3460" s="4" t="s">
        <v>87</v>
      </c>
      <c r="G3460" s="4" t="s">
        <v>20</v>
      </c>
      <c r="H3460" s="5">
        <v>500000</v>
      </c>
      <c r="I3460" s="4" t="s">
        <v>21</v>
      </c>
      <c r="J3460" s="5">
        <f t="shared" ref="J3460:J3523" si="54">-H3460*L3460</f>
        <v>-2105950</v>
      </c>
      <c r="K3460" s="4" t="s">
        <v>30</v>
      </c>
      <c r="L3460" s="6">
        <v>4.2119</v>
      </c>
      <c r="M3460" s="6">
        <v>0.2374</v>
      </c>
      <c r="N3460" s="6">
        <v>4.2031999999999998</v>
      </c>
      <c r="O3460" s="6">
        <v>1</v>
      </c>
      <c r="P3460" s="5">
        <v>-4340</v>
      </c>
      <c r="Q3460" s="4" t="s">
        <v>1396</v>
      </c>
    </row>
    <row r="3461" spans="1:17" x14ac:dyDescent="0.3">
      <c r="A3461" s="2" t="s">
        <v>1389</v>
      </c>
      <c r="B3461" s="3">
        <v>159101</v>
      </c>
      <c r="C3461" s="3">
        <v>909561</v>
      </c>
      <c r="D3461" s="4" t="s">
        <v>81</v>
      </c>
      <c r="E3461" s="4" t="s">
        <v>742</v>
      </c>
      <c r="F3461" s="4" t="s">
        <v>87</v>
      </c>
      <c r="G3461" s="4" t="s">
        <v>20</v>
      </c>
      <c r="H3461" s="5">
        <v>500000</v>
      </c>
      <c r="I3461" s="4" t="s">
        <v>21</v>
      </c>
      <c r="J3461" s="5">
        <f t="shared" si="54"/>
        <v>-2105950</v>
      </c>
      <c r="K3461" s="4" t="s">
        <v>30</v>
      </c>
      <c r="L3461" s="6">
        <v>4.2119</v>
      </c>
      <c r="M3461" s="6">
        <v>0.2374</v>
      </c>
      <c r="N3461" s="6">
        <v>4.2031999999999998</v>
      </c>
      <c r="O3461" s="6">
        <v>1</v>
      </c>
      <c r="P3461" s="5">
        <v>-4335</v>
      </c>
      <c r="Q3461" s="4" t="s">
        <v>1396</v>
      </c>
    </row>
    <row r="3462" spans="1:17" x14ac:dyDescent="0.3">
      <c r="A3462" s="2" t="s">
        <v>1389</v>
      </c>
      <c r="B3462" s="3">
        <v>159102</v>
      </c>
      <c r="C3462" s="3">
        <v>909562</v>
      </c>
      <c r="D3462" s="4" t="s">
        <v>81</v>
      </c>
      <c r="E3462" s="4" t="s">
        <v>733</v>
      </c>
      <c r="F3462" s="4" t="s">
        <v>87</v>
      </c>
      <c r="G3462" s="4" t="s">
        <v>20</v>
      </c>
      <c r="H3462" s="5">
        <v>500000</v>
      </c>
      <c r="I3462" s="4" t="s">
        <v>21</v>
      </c>
      <c r="J3462" s="5">
        <f t="shared" si="54"/>
        <v>-2105900</v>
      </c>
      <c r="K3462" s="4" t="s">
        <v>30</v>
      </c>
      <c r="L3462" s="6">
        <v>4.2118000000000002</v>
      </c>
      <c r="M3462" s="6">
        <v>0.2374</v>
      </c>
      <c r="N3462" s="6">
        <v>4.2031999999999998</v>
      </c>
      <c r="O3462" s="6">
        <v>1</v>
      </c>
      <c r="P3462" s="5">
        <v>-4280</v>
      </c>
      <c r="Q3462" s="4" t="s">
        <v>1391</v>
      </c>
    </row>
    <row r="3463" spans="1:17" x14ac:dyDescent="0.3">
      <c r="A3463" s="2" t="s">
        <v>1389</v>
      </c>
      <c r="B3463" s="3">
        <v>159104</v>
      </c>
      <c r="C3463" s="3">
        <v>909566</v>
      </c>
      <c r="D3463" s="4" t="s">
        <v>81</v>
      </c>
      <c r="E3463" s="4" t="s">
        <v>742</v>
      </c>
      <c r="F3463" s="4" t="s">
        <v>87</v>
      </c>
      <c r="G3463" s="4" t="s">
        <v>34</v>
      </c>
      <c r="H3463" s="5">
        <v>500000</v>
      </c>
      <c r="I3463" s="4" t="s">
        <v>21</v>
      </c>
      <c r="J3463" s="5">
        <f t="shared" si="54"/>
        <v>-1774800</v>
      </c>
      <c r="K3463" s="4" t="s">
        <v>30</v>
      </c>
      <c r="L3463" s="6">
        <v>3.5495999999999999</v>
      </c>
      <c r="M3463" s="6">
        <v>0.28170000000000001</v>
      </c>
      <c r="N3463" s="6">
        <v>3.5354000000000001</v>
      </c>
      <c r="O3463" s="6">
        <v>1</v>
      </c>
      <c r="P3463" s="5">
        <v>-7115</v>
      </c>
      <c r="Q3463" s="4" t="s">
        <v>1396</v>
      </c>
    </row>
    <row r="3464" spans="1:17" x14ac:dyDescent="0.3">
      <c r="A3464" s="2" t="s">
        <v>1389</v>
      </c>
      <c r="B3464" s="3">
        <v>159105</v>
      </c>
      <c r="C3464" s="3">
        <v>219948</v>
      </c>
      <c r="D3464" s="4" t="s">
        <v>17</v>
      </c>
      <c r="E3464" s="4" t="s">
        <v>959</v>
      </c>
      <c r="F3464" s="4" t="s">
        <v>32</v>
      </c>
      <c r="G3464" s="4" t="s">
        <v>20</v>
      </c>
      <c r="H3464" s="5">
        <v>-16564.13</v>
      </c>
      <c r="I3464" s="4" t="s">
        <v>21</v>
      </c>
      <c r="J3464" s="5">
        <f t="shared" si="54"/>
        <v>70008.295444999996</v>
      </c>
      <c r="K3464" s="4" t="s">
        <v>53</v>
      </c>
      <c r="L3464" s="6">
        <v>4.2264999999999997</v>
      </c>
      <c r="M3464" s="6">
        <v>0.2366</v>
      </c>
      <c r="N3464" s="6">
        <v>4.2050000000000001</v>
      </c>
      <c r="O3464" s="6">
        <v>1</v>
      </c>
      <c r="P3464" s="5">
        <v>347.84334999999999</v>
      </c>
      <c r="Q3464" s="4" t="s">
        <v>1390</v>
      </c>
    </row>
    <row r="3465" spans="1:17" x14ac:dyDescent="0.3">
      <c r="A3465" s="2" t="s">
        <v>1389</v>
      </c>
      <c r="B3465" s="3">
        <v>159106</v>
      </c>
      <c r="C3465" s="3">
        <v>909570</v>
      </c>
      <c r="D3465" s="4" t="s">
        <v>81</v>
      </c>
      <c r="E3465" s="4" t="s">
        <v>733</v>
      </c>
      <c r="F3465" s="4" t="s">
        <v>87</v>
      </c>
      <c r="G3465" s="4" t="s">
        <v>20</v>
      </c>
      <c r="H3465" s="5">
        <v>500000</v>
      </c>
      <c r="I3465" s="4" t="s">
        <v>21</v>
      </c>
      <c r="J3465" s="5">
        <f t="shared" si="54"/>
        <v>-2106000</v>
      </c>
      <c r="K3465" s="4" t="s">
        <v>30</v>
      </c>
      <c r="L3465" s="6">
        <v>4.2119999999999997</v>
      </c>
      <c r="M3465" s="6">
        <v>0.2374</v>
      </c>
      <c r="N3465" s="6">
        <v>4.2031999999999998</v>
      </c>
      <c r="O3465" s="6">
        <v>1</v>
      </c>
      <c r="P3465" s="5">
        <v>-4420</v>
      </c>
      <c r="Q3465" s="4" t="s">
        <v>1391</v>
      </c>
    </row>
    <row r="3466" spans="1:17" x14ac:dyDescent="0.3">
      <c r="A3466" s="2" t="s">
        <v>1389</v>
      </c>
      <c r="B3466" s="3">
        <v>159107</v>
      </c>
      <c r="C3466" s="3">
        <v>909571</v>
      </c>
      <c r="D3466" s="4" t="s">
        <v>81</v>
      </c>
      <c r="E3466" s="4" t="s">
        <v>730</v>
      </c>
      <c r="F3466" s="4" t="s">
        <v>87</v>
      </c>
      <c r="G3466" s="4" t="s">
        <v>20</v>
      </c>
      <c r="H3466" s="5">
        <v>500000</v>
      </c>
      <c r="I3466" s="4" t="s">
        <v>21</v>
      </c>
      <c r="J3466" s="5">
        <f t="shared" si="54"/>
        <v>-2105950</v>
      </c>
      <c r="K3466" s="4" t="s">
        <v>30</v>
      </c>
      <c r="L3466" s="6">
        <v>4.2119</v>
      </c>
      <c r="M3466" s="6">
        <v>0.2374</v>
      </c>
      <c r="N3466" s="6">
        <v>4.2031999999999998</v>
      </c>
      <c r="O3466" s="6">
        <v>1</v>
      </c>
      <c r="P3466" s="5">
        <v>-4360</v>
      </c>
      <c r="Q3466" s="4" t="s">
        <v>1396</v>
      </c>
    </row>
    <row r="3467" spans="1:17" x14ac:dyDescent="0.3">
      <c r="A3467" s="2" t="s">
        <v>1389</v>
      </c>
      <c r="B3467" s="3">
        <v>159108</v>
      </c>
      <c r="C3467" s="3">
        <v>909572</v>
      </c>
      <c r="D3467" s="4" t="s">
        <v>81</v>
      </c>
      <c r="E3467" s="4" t="s">
        <v>735</v>
      </c>
      <c r="F3467" s="4" t="s">
        <v>87</v>
      </c>
      <c r="G3467" s="4" t="s">
        <v>20</v>
      </c>
      <c r="H3467" s="5">
        <v>500000</v>
      </c>
      <c r="I3467" s="4" t="s">
        <v>21</v>
      </c>
      <c r="J3467" s="5">
        <f t="shared" si="54"/>
        <v>-2105950</v>
      </c>
      <c r="K3467" s="4" t="s">
        <v>30</v>
      </c>
      <c r="L3467" s="6">
        <v>4.2119</v>
      </c>
      <c r="M3467" s="6">
        <v>0.2374</v>
      </c>
      <c r="N3467" s="6">
        <v>4.2031999999999998</v>
      </c>
      <c r="O3467" s="6">
        <v>1</v>
      </c>
      <c r="P3467" s="5">
        <v>-4350</v>
      </c>
      <c r="Q3467" s="4" t="s">
        <v>1394</v>
      </c>
    </row>
    <row r="3468" spans="1:17" x14ac:dyDescent="0.3">
      <c r="A3468" s="2" t="s">
        <v>1389</v>
      </c>
      <c r="B3468" s="3">
        <v>159109</v>
      </c>
      <c r="C3468" s="3">
        <v>219951</v>
      </c>
      <c r="D3468" s="4" t="s">
        <v>17</v>
      </c>
      <c r="E3468" s="4" t="s">
        <v>1289</v>
      </c>
      <c r="F3468" s="4" t="s">
        <v>19</v>
      </c>
      <c r="G3468" s="4" t="s">
        <v>20</v>
      </c>
      <c r="H3468" s="5">
        <v>6000</v>
      </c>
      <c r="I3468" s="4" t="s">
        <v>21</v>
      </c>
      <c r="J3468" s="5">
        <f t="shared" si="54"/>
        <v>-25200</v>
      </c>
      <c r="K3468" s="4" t="s">
        <v>53</v>
      </c>
      <c r="L3468" s="6">
        <v>4.2</v>
      </c>
      <c r="M3468" s="6">
        <v>0.23810000000000001</v>
      </c>
      <c r="N3468" s="6">
        <v>4.2050000000000001</v>
      </c>
      <c r="O3468" s="6">
        <v>1</v>
      </c>
      <c r="P3468" s="5">
        <v>30</v>
      </c>
      <c r="Q3468" s="4" t="s">
        <v>1390</v>
      </c>
    </row>
    <row r="3469" spans="1:17" x14ac:dyDescent="0.3">
      <c r="A3469" s="2" t="s">
        <v>1389</v>
      </c>
      <c r="B3469" s="3">
        <v>159110</v>
      </c>
      <c r="C3469" s="3">
        <v>219953</v>
      </c>
      <c r="D3469" s="4" t="s">
        <v>17</v>
      </c>
      <c r="E3469" s="4" t="s">
        <v>1234</v>
      </c>
      <c r="F3469" s="4" t="s">
        <v>19</v>
      </c>
      <c r="G3469" s="4" t="s">
        <v>20</v>
      </c>
      <c r="H3469" s="5">
        <v>34310.86</v>
      </c>
      <c r="I3469" s="4" t="s">
        <v>21</v>
      </c>
      <c r="J3469" s="5">
        <f t="shared" si="54"/>
        <v>-144208.54458000002</v>
      </c>
      <c r="K3469" s="4" t="s">
        <v>53</v>
      </c>
      <c r="L3469" s="6">
        <v>4.2030000000000003</v>
      </c>
      <c r="M3469" s="6">
        <v>0.2379</v>
      </c>
      <c r="N3469" s="6">
        <v>4.2050000000000001</v>
      </c>
      <c r="O3469" s="6">
        <v>1</v>
      </c>
      <c r="P3469" s="5">
        <v>68.621719999995548</v>
      </c>
      <c r="Q3469" s="4" t="s">
        <v>1390</v>
      </c>
    </row>
    <row r="3470" spans="1:17" x14ac:dyDescent="0.3">
      <c r="A3470" s="2" t="s">
        <v>1389</v>
      </c>
      <c r="B3470" s="3">
        <v>159111</v>
      </c>
      <c r="C3470" s="3">
        <v>909600</v>
      </c>
      <c r="D3470" s="4" t="s">
        <v>81</v>
      </c>
      <c r="E3470" s="4" t="s">
        <v>734</v>
      </c>
      <c r="F3470" s="4" t="s">
        <v>83</v>
      </c>
      <c r="G3470" s="4" t="s">
        <v>20</v>
      </c>
      <c r="H3470" s="5">
        <v>-100000</v>
      </c>
      <c r="I3470" s="4" t="s">
        <v>34</v>
      </c>
      <c r="J3470" s="5">
        <f t="shared" si="54"/>
        <v>118610</v>
      </c>
      <c r="K3470" s="4" t="s">
        <v>30</v>
      </c>
      <c r="L3470" s="6">
        <v>1.1860999999999999</v>
      </c>
      <c r="M3470" s="6">
        <v>0.84309999999999996</v>
      </c>
      <c r="N3470" s="6">
        <v>4.2031999999999998</v>
      </c>
      <c r="O3470" s="6">
        <v>3.5354000000000001</v>
      </c>
      <c r="P3470" s="5">
        <v>-996.81219999999996</v>
      </c>
      <c r="Q3470" s="4" t="s">
        <v>1393</v>
      </c>
    </row>
    <row r="3471" spans="1:17" x14ac:dyDescent="0.3">
      <c r="A3471" s="2" t="s">
        <v>1389</v>
      </c>
      <c r="B3471" s="3">
        <v>159112</v>
      </c>
      <c r="C3471" s="3">
        <v>219955</v>
      </c>
      <c r="D3471" s="4" t="s">
        <v>17</v>
      </c>
      <c r="E3471" s="4" t="s">
        <v>1262</v>
      </c>
      <c r="F3471" s="4" t="s">
        <v>19</v>
      </c>
      <c r="G3471" s="4" t="s">
        <v>20</v>
      </c>
      <c r="H3471" s="5">
        <v>39200</v>
      </c>
      <c r="I3471" s="4" t="s">
        <v>21</v>
      </c>
      <c r="J3471" s="5">
        <f t="shared" si="54"/>
        <v>-164879.12</v>
      </c>
      <c r="K3471" s="4" t="s">
        <v>54</v>
      </c>
      <c r="L3471" s="6">
        <v>4.2061000000000002</v>
      </c>
      <c r="M3471" s="6">
        <v>0.23769999999999999</v>
      </c>
      <c r="N3471" s="6">
        <v>4.2118000000000002</v>
      </c>
      <c r="O3471" s="6">
        <v>1</v>
      </c>
      <c r="P3471" s="5">
        <v>223.44000000000233</v>
      </c>
      <c r="Q3471" s="4" t="s">
        <v>1390</v>
      </c>
    </row>
    <row r="3472" spans="1:17" x14ac:dyDescent="0.3">
      <c r="A3472" s="2" t="s">
        <v>1389</v>
      </c>
      <c r="B3472" s="3">
        <v>159113</v>
      </c>
      <c r="C3472" s="3">
        <v>909613</v>
      </c>
      <c r="D3472" s="4" t="s">
        <v>81</v>
      </c>
      <c r="E3472" s="4" t="s">
        <v>734</v>
      </c>
      <c r="F3472" s="4" t="s">
        <v>83</v>
      </c>
      <c r="G3472" s="4" t="s">
        <v>20</v>
      </c>
      <c r="H3472" s="5">
        <v>-100000</v>
      </c>
      <c r="I3472" s="4" t="s">
        <v>34</v>
      </c>
      <c r="J3472" s="5">
        <f t="shared" si="54"/>
        <v>118610</v>
      </c>
      <c r="K3472" s="4" t="s">
        <v>30</v>
      </c>
      <c r="L3472" s="6">
        <v>1.1860999999999999</v>
      </c>
      <c r="M3472" s="6">
        <v>0.84309999999999996</v>
      </c>
      <c r="N3472" s="6">
        <v>4.2031999999999998</v>
      </c>
      <c r="O3472" s="6">
        <v>3.5354000000000001</v>
      </c>
      <c r="P3472" s="5">
        <v>-986.20600000000002</v>
      </c>
      <c r="Q3472" s="4" t="s">
        <v>1393</v>
      </c>
    </row>
    <row r="3473" spans="1:17" x14ac:dyDescent="0.3">
      <c r="A3473" s="2" t="s">
        <v>1389</v>
      </c>
      <c r="B3473" s="3">
        <v>159114</v>
      </c>
      <c r="C3473" s="3">
        <v>909623</v>
      </c>
      <c r="D3473" s="4" t="s">
        <v>81</v>
      </c>
      <c r="E3473" s="4" t="s">
        <v>929</v>
      </c>
      <c r="F3473" s="4" t="s">
        <v>87</v>
      </c>
      <c r="G3473" s="4" t="s">
        <v>20</v>
      </c>
      <c r="H3473" s="5">
        <v>50000</v>
      </c>
      <c r="I3473" s="4" t="s">
        <v>21</v>
      </c>
      <c r="J3473" s="5">
        <f t="shared" si="54"/>
        <v>-210290</v>
      </c>
      <c r="K3473" s="4" t="s">
        <v>30</v>
      </c>
      <c r="L3473" s="6">
        <v>4.2058</v>
      </c>
      <c r="M3473" s="6">
        <v>0.23780000000000001</v>
      </c>
      <c r="N3473" s="6">
        <v>4.2031999999999998</v>
      </c>
      <c r="O3473" s="6">
        <v>1</v>
      </c>
      <c r="P3473" s="5">
        <v>-130</v>
      </c>
      <c r="Q3473" s="4" t="s">
        <v>1390</v>
      </c>
    </row>
    <row r="3474" spans="1:17" x14ac:dyDescent="0.3">
      <c r="A3474" s="2" t="s">
        <v>1389</v>
      </c>
      <c r="B3474" s="3">
        <v>159115</v>
      </c>
      <c r="C3474" s="3">
        <v>219960</v>
      </c>
      <c r="D3474" s="4" t="s">
        <v>17</v>
      </c>
      <c r="E3474" s="4" t="s">
        <v>1079</v>
      </c>
      <c r="F3474" s="4" t="s">
        <v>32</v>
      </c>
      <c r="G3474" s="4" t="s">
        <v>34</v>
      </c>
      <c r="H3474" s="5">
        <v>-26210</v>
      </c>
      <c r="I3474" s="4" t="s">
        <v>21</v>
      </c>
      <c r="J3474" s="5">
        <f t="shared" si="54"/>
        <v>93181.792000000001</v>
      </c>
      <c r="K3474" s="4" t="s">
        <v>53</v>
      </c>
      <c r="L3474" s="6">
        <v>3.5552000000000001</v>
      </c>
      <c r="M3474" s="6">
        <v>0.28129999999999999</v>
      </c>
      <c r="N3474" s="6">
        <v>3.5831</v>
      </c>
      <c r="O3474" s="6">
        <v>1</v>
      </c>
      <c r="P3474" s="5">
        <v>-736.50099999999998</v>
      </c>
      <c r="Q3474" s="4" t="s">
        <v>1390</v>
      </c>
    </row>
    <row r="3475" spans="1:17" x14ac:dyDescent="0.3">
      <c r="A3475" s="2" t="s">
        <v>1389</v>
      </c>
      <c r="B3475" s="3">
        <v>159116</v>
      </c>
      <c r="C3475" s="3">
        <v>909640</v>
      </c>
      <c r="D3475" s="4" t="s">
        <v>81</v>
      </c>
      <c r="E3475" s="4" t="s">
        <v>734</v>
      </c>
      <c r="F3475" s="4" t="s">
        <v>83</v>
      </c>
      <c r="G3475" s="4" t="s">
        <v>20</v>
      </c>
      <c r="H3475" s="5">
        <v>-100000</v>
      </c>
      <c r="I3475" s="4" t="s">
        <v>34</v>
      </c>
      <c r="J3475" s="5">
        <f t="shared" si="54"/>
        <v>118639.99999999999</v>
      </c>
      <c r="K3475" s="4" t="s">
        <v>30</v>
      </c>
      <c r="L3475" s="6">
        <v>1.1863999999999999</v>
      </c>
      <c r="M3475" s="6">
        <v>0.84289999999999998</v>
      </c>
      <c r="N3475" s="6">
        <v>4.2031999999999998</v>
      </c>
      <c r="O3475" s="6">
        <v>3.5354000000000001</v>
      </c>
      <c r="P3475" s="5">
        <v>-869.53779999999995</v>
      </c>
      <c r="Q3475" s="4" t="s">
        <v>1393</v>
      </c>
    </row>
    <row r="3476" spans="1:17" x14ac:dyDescent="0.3">
      <c r="A3476" s="2" t="s">
        <v>1389</v>
      </c>
      <c r="B3476" s="3">
        <v>159118</v>
      </c>
      <c r="C3476" s="3">
        <v>219968</v>
      </c>
      <c r="D3476" s="4" t="s">
        <v>17</v>
      </c>
      <c r="E3476" s="4" t="s">
        <v>1279</v>
      </c>
      <c r="F3476" s="4" t="s">
        <v>32</v>
      </c>
      <c r="G3476" s="4" t="s">
        <v>20</v>
      </c>
      <c r="H3476" s="5">
        <v>-300000</v>
      </c>
      <c r="I3476" s="4" t="s">
        <v>21</v>
      </c>
      <c r="J3476" s="5">
        <f t="shared" si="54"/>
        <v>1263840</v>
      </c>
      <c r="K3476" s="4" t="s">
        <v>53</v>
      </c>
      <c r="L3476" s="6">
        <v>4.2127999999999997</v>
      </c>
      <c r="M3476" s="6">
        <v>0.2374</v>
      </c>
      <c r="N3476" s="6">
        <v>4.2050000000000001</v>
      </c>
      <c r="O3476" s="6">
        <v>1</v>
      </c>
      <c r="P3476" s="5">
        <v>2220</v>
      </c>
      <c r="Q3476" s="4" t="s">
        <v>1390</v>
      </c>
    </row>
    <row r="3477" spans="1:17" x14ac:dyDescent="0.3">
      <c r="A3477" s="2" t="s">
        <v>1389</v>
      </c>
      <c r="B3477" s="3">
        <v>159119</v>
      </c>
      <c r="C3477" s="3">
        <v>219969</v>
      </c>
      <c r="D3477" s="4" t="s">
        <v>17</v>
      </c>
      <c r="E3477" s="4" t="s">
        <v>818</v>
      </c>
      <c r="F3477" s="4" t="s">
        <v>19</v>
      </c>
      <c r="G3477" s="4" t="s">
        <v>20</v>
      </c>
      <c r="H3477" s="5">
        <v>50000</v>
      </c>
      <c r="I3477" s="4" t="s">
        <v>21</v>
      </c>
      <c r="J3477" s="5">
        <f t="shared" si="54"/>
        <v>-210300.00000000003</v>
      </c>
      <c r="K3477" s="4" t="s">
        <v>53</v>
      </c>
      <c r="L3477" s="6">
        <v>4.2060000000000004</v>
      </c>
      <c r="M3477" s="6">
        <v>0.23780000000000001</v>
      </c>
      <c r="N3477" s="6">
        <v>4.2050000000000001</v>
      </c>
      <c r="O3477" s="6">
        <v>1</v>
      </c>
      <c r="P3477" s="5">
        <v>-50.000000000029104</v>
      </c>
      <c r="Q3477" s="4" t="s">
        <v>1390</v>
      </c>
    </row>
    <row r="3478" spans="1:17" x14ac:dyDescent="0.3">
      <c r="A3478" s="2" t="s">
        <v>1389</v>
      </c>
      <c r="B3478" s="3">
        <v>159120</v>
      </c>
      <c r="C3478" s="3">
        <v>909660</v>
      </c>
      <c r="D3478" s="4" t="s">
        <v>81</v>
      </c>
      <c r="E3478" s="4" t="s">
        <v>929</v>
      </c>
      <c r="F3478" s="4" t="s">
        <v>87</v>
      </c>
      <c r="G3478" s="4" t="s">
        <v>20</v>
      </c>
      <c r="H3478" s="5">
        <v>50000</v>
      </c>
      <c r="I3478" s="4" t="s">
        <v>21</v>
      </c>
      <c r="J3478" s="5">
        <f t="shared" si="54"/>
        <v>-210245.00000000003</v>
      </c>
      <c r="K3478" s="4" t="s">
        <v>30</v>
      </c>
      <c r="L3478" s="6">
        <v>4.2049000000000003</v>
      </c>
      <c r="M3478" s="6">
        <v>0.23780000000000001</v>
      </c>
      <c r="N3478" s="6">
        <v>4.2031999999999998</v>
      </c>
      <c r="O3478" s="6">
        <v>1</v>
      </c>
      <c r="P3478" s="5">
        <v>-85</v>
      </c>
      <c r="Q3478" s="4" t="s">
        <v>1390</v>
      </c>
    </row>
    <row r="3479" spans="1:17" x14ac:dyDescent="0.3">
      <c r="A3479" s="2" t="s">
        <v>1389</v>
      </c>
      <c r="B3479" s="3">
        <v>159121</v>
      </c>
      <c r="C3479" s="3">
        <v>909661</v>
      </c>
      <c r="D3479" s="4" t="s">
        <v>81</v>
      </c>
      <c r="E3479" s="4" t="s">
        <v>733</v>
      </c>
      <c r="F3479" s="4" t="s">
        <v>87</v>
      </c>
      <c r="G3479" s="4" t="s">
        <v>34</v>
      </c>
      <c r="H3479" s="5">
        <v>500000</v>
      </c>
      <c r="I3479" s="4" t="s">
        <v>21</v>
      </c>
      <c r="J3479" s="5">
        <f t="shared" si="54"/>
        <v>-1774550</v>
      </c>
      <c r="K3479" s="4" t="s">
        <v>30</v>
      </c>
      <c r="L3479" s="6">
        <v>3.5491000000000001</v>
      </c>
      <c r="M3479" s="6">
        <v>0.28179999999999999</v>
      </c>
      <c r="N3479" s="6">
        <v>3.5354000000000001</v>
      </c>
      <c r="O3479" s="6">
        <v>1</v>
      </c>
      <c r="P3479" s="5">
        <v>-6870</v>
      </c>
      <c r="Q3479" s="4" t="s">
        <v>1391</v>
      </c>
    </row>
    <row r="3480" spans="1:17" x14ac:dyDescent="0.3">
      <c r="A3480" s="2" t="s">
        <v>1389</v>
      </c>
      <c r="B3480" s="3">
        <v>159122</v>
      </c>
      <c r="C3480" s="3">
        <v>219971</v>
      </c>
      <c r="D3480" s="4" t="s">
        <v>17</v>
      </c>
      <c r="E3480" s="4" t="s">
        <v>1154</v>
      </c>
      <c r="F3480" s="4" t="s">
        <v>32</v>
      </c>
      <c r="G3480" s="4" t="s">
        <v>20</v>
      </c>
      <c r="H3480" s="5">
        <v>-10000</v>
      </c>
      <c r="I3480" s="4" t="s">
        <v>21</v>
      </c>
      <c r="J3480" s="5">
        <f t="shared" si="54"/>
        <v>42117.000000000007</v>
      </c>
      <c r="K3480" s="4" t="s">
        <v>53</v>
      </c>
      <c r="L3480" s="6">
        <v>4.2117000000000004</v>
      </c>
      <c r="M3480" s="6">
        <v>0.2374</v>
      </c>
      <c r="N3480" s="6">
        <v>4.2050000000000001</v>
      </c>
      <c r="O3480" s="6">
        <v>1</v>
      </c>
      <c r="P3480" s="5">
        <v>63</v>
      </c>
      <c r="Q3480" s="4" t="s">
        <v>1390</v>
      </c>
    </row>
    <row r="3481" spans="1:17" x14ac:dyDescent="0.3">
      <c r="A3481" s="2" t="s">
        <v>1389</v>
      </c>
      <c r="B3481" s="3">
        <v>159123</v>
      </c>
      <c r="C3481" s="3">
        <v>219972</v>
      </c>
      <c r="D3481" s="4" t="s">
        <v>17</v>
      </c>
      <c r="E3481" s="4" t="s">
        <v>1154</v>
      </c>
      <c r="F3481" s="4" t="s">
        <v>32</v>
      </c>
      <c r="G3481" s="4" t="s">
        <v>20</v>
      </c>
      <c r="H3481" s="5">
        <v>-100000</v>
      </c>
      <c r="I3481" s="4" t="s">
        <v>21</v>
      </c>
      <c r="J3481" s="5">
        <f t="shared" si="54"/>
        <v>421100.00000000006</v>
      </c>
      <c r="K3481" s="4" t="s">
        <v>53</v>
      </c>
      <c r="L3481" s="6">
        <v>4.2110000000000003</v>
      </c>
      <c r="M3481" s="6">
        <v>0.23749999999999999</v>
      </c>
      <c r="N3481" s="6">
        <v>4.2050000000000001</v>
      </c>
      <c r="O3481" s="6">
        <v>1</v>
      </c>
      <c r="P3481" s="5">
        <v>560</v>
      </c>
      <c r="Q3481" s="4" t="s">
        <v>1390</v>
      </c>
    </row>
    <row r="3482" spans="1:17" x14ac:dyDescent="0.3">
      <c r="A3482" s="2" t="s">
        <v>1389</v>
      </c>
      <c r="B3482" s="3">
        <v>159124</v>
      </c>
      <c r="C3482" s="3">
        <v>219973</v>
      </c>
      <c r="D3482" s="4" t="s">
        <v>17</v>
      </c>
      <c r="E3482" s="4" t="s">
        <v>1156</v>
      </c>
      <c r="F3482" s="4" t="s">
        <v>19</v>
      </c>
      <c r="G3482" s="4" t="s">
        <v>20</v>
      </c>
      <c r="H3482" s="5">
        <v>15000</v>
      </c>
      <c r="I3482" s="4" t="s">
        <v>21</v>
      </c>
      <c r="J3482" s="5">
        <f t="shared" si="54"/>
        <v>-63014.999999999993</v>
      </c>
      <c r="K3482" s="4" t="s">
        <v>53</v>
      </c>
      <c r="L3482" s="6">
        <v>4.2009999999999996</v>
      </c>
      <c r="M3482" s="6">
        <v>0.23799999999999999</v>
      </c>
      <c r="N3482" s="6">
        <v>4.2050000000000001</v>
      </c>
      <c r="O3482" s="6">
        <v>1</v>
      </c>
      <c r="P3482" s="5">
        <v>60.000000000007276</v>
      </c>
      <c r="Q3482" s="4" t="s">
        <v>1390</v>
      </c>
    </row>
    <row r="3483" spans="1:17" x14ac:dyDescent="0.3">
      <c r="A3483" s="2" t="s">
        <v>1389</v>
      </c>
      <c r="B3483" s="3">
        <v>159126</v>
      </c>
      <c r="C3483" s="3">
        <v>219978</v>
      </c>
      <c r="D3483" s="4" t="s">
        <v>17</v>
      </c>
      <c r="E3483" s="4" t="s">
        <v>1224</v>
      </c>
      <c r="F3483" s="4" t="s">
        <v>32</v>
      </c>
      <c r="G3483" s="4" t="s">
        <v>20</v>
      </c>
      <c r="H3483" s="5">
        <v>-20000</v>
      </c>
      <c r="I3483" s="4" t="s">
        <v>21</v>
      </c>
      <c r="J3483" s="5">
        <f t="shared" si="54"/>
        <v>84254</v>
      </c>
      <c r="K3483" s="4" t="s">
        <v>53</v>
      </c>
      <c r="L3483" s="6">
        <v>4.2126999999999999</v>
      </c>
      <c r="M3483" s="6">
        <v>0.2374</v>
      </c>
      <c r="N3483" s="6">
        <v>4.2050000000000001</v>
      </c>
      <c r="O3483" s="6">
        <v>1</v>
      </c>
      <c r="P3483" s="5">
        <v>146</v>
      </c>
      <c r="Q3483" s="4" t="s">
        <v>1390</v>
      </c>
    </row>
    <row r="3484" spans="1:17" x14ac:dyDescent="0.3">
      <c r="A3484" s="2" t="s">
        <v>1389</v>
      </c>
      <c r="B3484" s="3">
        <v>159128</v>
      </c>
      <c r="C3484" s="3">
        <v>219979</v>
      </c>
      <c r="D3484" s="4" t="s">
        <v>17</v>
      </c>
      <c r="E3484" s="4" t="s">
        <v>1306</v>
      </c>
      <c r="F3484" s="4" t="s">
        <v>19</v>
      </c>
      <c r="G3484" s="4" t="s">
        <v>20</v>
      </c>
      <c r="H3484" s="5">
        <v>10000</v>
      </c>
      <c r="I3484" s="4" t="s">
        <v>21</v>
      </c>
      <c r="J3484" s="5">
        <f t="shared" si="54"/>
        <v>-41994.999999999993</v>
      </c>
      <c r="K3484" s="4" t="s">
        <v>53</v>
      </c>
      <c r="L3484" s="6">
        <v>4.1994999999999996</v>
      </c>
      <c r="M3484" s="6">
        <v>0.23810000000000001</v>
      </c>
      <c r="N3484" s="6">
        <v>4.2050000000000001</v>
      </c>
      <c r="O3484" s="6">
        <v>1</v>
      </c>
      <c r="P3484" s="5">
        <v>55.000000000007276</v>
      </c>
      <c r="Q3484" s="4" t="s">
        <v>1390</v>
      </c>
    </row>
    <row r="3485" spans="1:17" x14ac:dyDescent="0.3">
      <c r="A3485" s="2" t="s">
        <v>1389</v>
      </c>
      <c r="B3485" s="3">
        <v>159130</v>
      </c>
      <c r="C3485" s="3">
        <v>909692</v>
      </c>
      <c r="D3485" s="4" t="s">
        <v>81</v>
      </c>
      <c r="E3485" s="4" t="s">
        <v>734</v>
      </c>
      <c r="F3485" s="4" t="s">
        <v>87</v>
      </c>
      <c r="G3485" s="4" t="s">
        <v>20</v>
      </c>
      <c r="H3485" s="5">
        <v>100000</v>
      </c>
      <c r="I3485" s="4" t="s">
        <v>34</v>
      </c>
      <c r="J3485" s="5">
        <f t="shared" si="54"/>
        <v>-118540</v>
      </c>
      <c r="K3485" s="4" t="s">
        <v>30</v>
      </c>
      <c r="L3485" s="6">
        <v>1.1854</v>
      </c>
      <c r="M3485" s="6">
        <v>0.84360000000000002</v>
      </c>
      <c r="N3485" s="6">
        <v>4.2031999999999998</v>
      </c>
      <c r="O3485" s="6">
        <v>3.5354000000000001</v>
      </c>
      <c r="P3485" s="5">
        <v>1247.8255999999999</v>
      </c>
      <c r="Q3485" s="4" t="s">
        <v>1393</v>
      </c>
    </row>
    <row r="3486" spans="1:17" x14ac:dyDescent="0.3">
      <c r="A3486" s="2" t="s">
        <v>1389</v>
      </c>
      <c r="B3486" s="3">
        <v>159131</v>
      </c>
      <c r="C3486" s="3">
        <v>219981</v>
      </c>
      <c r="D3486" s="4" t="s">
        <v>17</v>
      </c>
      <c r="E3486" s="4" t="s">
        <v>841</v>
      </c>
      <c r="F3486" s="4" t="s">
        <v>32</v>
      </c>
      <c r="G3486" s="4" t="s">
        <v>20</v>
      </c>
      <c r="H3486" s="5">
        <v>-25000</v>
      </c>
      <c r="I3486" s="4" t="s">
        <v>21</v>
      </c>
      <c r="J3486" s="5">
        <f t="shared" si="54"/>
        <v>105362.5</v>
      </c>
      <c r="K3486" s="4" t="s">
        <v>53</v>
      </c>
      <c r="L3486" s="6">
        <v>4.2145000000000001</v>
      </c>
      <c r="M3486" s="6">
        <v>0.23730000000000001</v>
      </c>
      <c r="N3486" s="6">
        <v>4.2050000000000001</v>
      </c>
      <c r="O3486" s="6">
        <v>1</v>
      </c>
      <c r="P3486" s="5">
        <v>237.5</v>
      </c>
      <c r="Q3486" s="4" t="s">
        <v>1390</v>
      </c>
    </row>
    <row r="3487" spans="1:17" x14ac:dyDescent="0.3">
      <c r="A3487" s="2" t="s">
        <v>1389</v>
      </c>
      <c r="B3487" s="3">
        <v>159132</v>
      </c>
      <c r="C3487" s="3">
        <v>219982</v>
      </c>
      <c r="D3487" s="4" t="s">
        <v>17</v>
      </c>
      <c r="E3487" s="4" t="s">
        <v>1224</v>
      </c>
      <c r="F3487" s="4" t="s">
        <v>32</v>
      </c>
      <c r="G3487" s="4" t="s">
        <v>20</v>
      </c>
      <c r="H3487" s="5">
        <v>-20000</v>
      </c>
      <c r="I3487" s="4" t="s">
        <v>21</v>
      </c>
      <c r="J3487" s="5">
        <f t="shared" si="54"/>
        <v>84240</v>
      </c>
      <c r="K3487" s="4" t="s">
        <v>53</v>
      </c>
      <c r="L3487" s="6">
        <v>4.2119999999999997</v>
      </c>
      <c r="M3487" s="6">
        <v>0.2374</v>
      </c>
      <c r="N3487" s="6">
        <v>4.2050000000000001</v>
      </c>
      <c r="O3487" s="6">
        <v>1</v>
      </c>
      <c r="P3487" s="5">
        <v>132</v>
      </c>
      <c r="Q3487" s="4" t="s">
        <v>1390</v>
      </c>
    </row>
    <row r="3488" spans="1:17" x14ac:dyDescent="0.3">
      <c r="A3488" s="2" t="s">
        <v>1389</v>
      </c>
      <c r="B3488" s="3">
        <v>159138</v>
      </c>
      <c r="C3488" s="3">
        <v>219988</v>
      </c>
      <c r="D3488" s="4" t="s">
        <v>17</v>
      </c>
      <c r="E3488" s="4" t="s">
        <v>1227</v>
      </c>
      <c r="F3488" s="4" t="s">
        <v>32</v>
      </c>
      <c r="G3488" s="4" t="s">
        <v>20</v>
      </c>
      <c r="H3488" s="5">
        <v>-3000000</v>
      </c>
      <c r="I3488" s="4" t="s">
        <v>21</v>
      </c>
      <c r="J3488" s="5">
        <f t="shared" si="54"/>
        <v>12640500</v>
      </c>
      <c r="K3488" s="4" t="s">
        <v>53</v>
      </c>
      <c r="L3488" s="6">
        <v>4.2134999999999998</v>
      </c>
      <c r="M3488" s="6">
        <v>0.23730000000000001</v>
      </c>
      <c r="N3488" s="6">
        <v>4.2050000000000001</v>
      </c>
      <c r="O3488" s="6">
        <v>1</v>
      </c>
      <c r="P3488" s="5">
        <v>25500</v>
      </c>
      <c r="Q3488" s="4" t="s">
        <v>1390</v>
      </c>
    </row>
    <row r="3489" spans="1:17" x14ac:dyDescent="0.3">
      <c r="A3489" s="2" t="s">
        <v>1389</v>
      </c>
      <c r="B3489" s="3">
        <v>159142</v>
      </c>
      <c r="C3489" s="3">
        <v>219993</v>
      </c>
      <c r="D3489" s="4" t="s">
        <v>17</v>
      </c>
      <c r="E3489" s="4" t="s">
        <v>1224</v>
      </c>
      <c r="F3489" s="4" t="s">
        <v>32</v>
      </c>
      <c r="G3489" s="4" t="s">
        <v>20</v>
      </c>
      <c r="H3489" s="5">
        <v>-20000</v>
      </c>
      <c r="I3489" s="4" t="s">
        <v>21</v>
      </c>
      <c r="J3489" s="5">
        <f t="shared" si="54"/>
        <v>84194</v>
      </c>
      <c r="K3489" s="4" t="s">
        <v>53</v>
      </c>
      <c r="L3489" s="6">
        <v>4.2096999999999998</v>
      </c>
      <c r="M3489" s="6">
        <v>0.23749999999999999</v>
      </c>
      <c r="N3489" s="6">
        <v>4.2050000000000001</v>
      </c>
      <c r="O3489" s="6">
        <v>1</v>
      </c>
      <c r="P3489" s="5">
        <v>86</v>
      </c>
      <c r="Q3489" s="4" t="s">
        <v>1390</v>
      </c>
    </row>
    <row r="3490" spans="1:17" x14ac:dyDescent="0.3">
      <c r="A3490" s="2" t="s">
        <v>1389</v>
      </c>
      <c r="B3490" s="3">
        <v>159143</v>
      </c>
      <c r="C3490" s="3">
        <v>909744</v>
      </c>
      <c r="D3490" s="4" t="s">
        <v>81</v>
      </c>
      <c r="E3490" s="4" t="s">
        <v>734</v>
      </c>
      <c r="F3490" s="4" t="s">
        <v>83</v>
      </c>
      <c r="G3490" s="4" t="s">
        <v>20</v>
      </c>
      <c r="H3490" s="5">
        <v>-500000</v>
      </c>
      <c r="I3490" s="4" t="s">
        <v>34</v>
      </c>
      <c r="J3490" s="5">
        <f t="shared" si="54"/>
        <v>593000</v>
      </c>
      <c r="K3490" s="4" t="s">
        <v>30</v>
      </c>
      <c r="L3490" s="6">
        <v>1.1859999999999999</v>
      </c>
      <c r="M3490" s="6">
        <v>0.84309999999999996</v>
      </c>
      <c r="N3490" s="6">
        <v>4.2031999999999998</v>
      </c>
      <c r="O3490" s="6">
        <v>3.5354000000000001</v>
      </c>
      <c r="P3490" s="5">
        <v>-5054.7690000000002</v>
      </c>
      <c r="Q3490" s="4" t="s">
        <v>1393</v>
      </c>
    </row>
    <row r="3491" spans="1:17" x14ac:dyDescent="0.3">
      <c r="A3491" s="2" t="s">
        <v>1389</v>
      </c>
      <c r="B3491" s="3">
        <v>159144</v>
      </c>
      <c r="C3491" s="3">
        <v>909745</v>
      </c>
      <c r="D3491" s="4" t="s">
        <v>81</v>
      </c>
      <c r="E3491" s="4" t="s">
        <v>734</v>
      </c>
      <c r="F3491" s="4" t="s">
        <v>83</v>
      </c>
      <c r="G3491" s="4" t="s">
        <v>20</v>
      </c>
      <c r="H3491" s="5">
        <v>-100000</v>
      </c>
      <c r="I3491" s="4" t="s">
        <v>34</v>
      </c>
      <c r="J3491" s="5">
        <f t="shared" si="54"/>
        <v>118610</v>
      </c>
      <c r="K3491" s="4" t="s">
        <v>30</v>
      </c>
      <c r="L3491" s="6">
        <v>1.1860999999999999</v>
      </c>
      <c r="M3491" s="6">
        <v>0.84309999999999996</v>
      </c>
      <c r="N3491" s="6">
        <v>4.2031999999999998</v>
      </c>
      <c r="O3491" s="6">
        <v>3.5354000000000001</v>
      </c>
      <c r="P3491" s="5">
        <v>-982.67060000000004</v>
      </c>
      <c r="Q3491" s="4" t="s">
        <v>1393</v>
      </c>
    </row>
    <row r="3492" spans="1:17" x14ac:dyDescent="0.3">
      <c r="A3492" s="2" t="s">
        <v>1389</v>
      </c>
      <c r="B3492" s="3">
        <v>159145</v>
      </c>
      <c r="C3492" s="3">
        <v>219995</v>
      </c>
      <c r="D3492" s="4" t="s">
        <v>17</v>
      </c>
      <c r="E3492" s="4" t="s">
        <v>1187</v>
      </c>
      <c r="F3492" s="4" t="s">
        <v>32</v>
      </c>
      <c r="G3492" s="4" t="s">
        <v>20</v>
      </c>
      <c r="H3492" s="5">
        <v>-200000</v>
      </c>
      <c r="I3492" s="4" t="s">
        <v>21</v>
      </c>
      <c r="J3492" s="5">
        <f t="shared" si="54"/>
        <v>842800.00000000012</v>
      </c>
      <c r="K3492" s="4" t="s">
        <v>53</v>
      </c>
      <c r="L3492" s="6">
        <v>4.2140000000000004</v>
      </c>
      <c r="M3492" s="6">
        <v>0.23730000000000001</v>
      </c>
      <c r="N3492" s="6">
        <v>4.2050000000000001</v>
      </c>
      <c r="O3492" s="6">
        <v>1</v>
      </c>
      <c r="P3492" s="5">
        <v>1800</v>
      </c>
      <c r="Q3492" s="4" t="s">
        <v>1390</v>
      </c>
    </row>
    <row r="3493" spans="1:17" x14ac:dyDescent="0.3">
      <c r="A3493" s="2" t="s">
        <v>1389</v>
      </c>
      <c r="B3493" s="3">
        <v>159147</v>
      </c>
      <c r="C3493" s="3">
        <v>219998</v>
      </c>
      <c r="D3493" s="4" t="s">
        <v>17</v>
      </c>
      <c r="E3493" s="4" t="s">
        <v>1369</v>
      </c>
      <c r="F3493" s="4" t="s">
        <v>19</v>
      </c>
      <c r="G3493" s="4" t="s">
        <v>20</v>
      </c>
      <c r="H3493" s="5">
        <v>11000</v>
      </c>
      <c r="I3493" s="4" t="s">
        <v>21</v>
      </c>
      <c r="J3493" s="5">
        <f t="shared" si="54"/>
        <v>-46039.399999999994</v>
      </c>
      <c r="K3493" s="4" t="s">
        <v>53</v>
      </c>
      <c r="L3493" s="6">
        <v>4.1853999999999996</v>
      </c>
      <c r="M3493" s="6">
        <v>0.2389</v>
      </c>
      <c r="N3493" s="6">
        <v>4.2050000000000001</v>
      </c>
      <c r="O3493" s="6">
        <v>1</v>
      </c>
      <c r="P3493" s="5">
        <v>215.60000000000582</v>
      </c>
      <c r="Q3493" s="4" t="s">
        <v>1390</v>
      </c>
    </row>
    <row r="3494" spans="1:17" x14ac:dyDescent="0.3">
      <c r="A3494" s="2" t="s">
        <v>1389</v>
      </c>
      <c r="B3494" s="3">
        <v>159148</v>
      </c>
      <c r="C3494" s="3">
        <v>219999</v>
      </c>
      <c r="D3494" s="4" t="s">
        <v>17</v>
      </c>
      <c r="E3494" s="4" t="s">
        <v>899</v>
      </c>
      <c r="F3494" s="4" t="s">
        <v>19</v>
      </c>
      <c r="G3494" s="4" t="s">
        <v>20</v>
      </c>
      <c r="H3494" s="5">
        <v>80000</v>
      </c>
      <c r="I3494" s="4" t="s">
        <v>21</v>
      </c>
      <c r="J3494" s="5">
        <f t="shared" si="54"/>
        <v>-335232</v>
      </c>
      <c r="K3494" s="4" t="s">
        <v>53</v>
      </c>
      <c r="L3494" s="6">
        <v>4.1904000000000003</v>
      </c>
      <c r="M3494" s="6">
        <v>0.23860000000000001</v>
      </c>
      <c r="N3494" s="6">
        <v>4.2050000000000001</v>
      </c>
      <c r="O3494" s="6">
        <v>1</v>
      </c>
      <c r="P3494" s="5">
        <v>1168</v>
      </c>
      <c r="Q3494" s="4" t="s">
        <v>1390</v>
      </c>
    </row>
    <row r="3495" spans="1:17" x14ac:dyDescent="0.3">
      <c r="A3495" s="2" t="s">
        <v>1389</v>
      </c>
      <c r="B3495" s="3">
        <v>159150</v>
      </c>
      <c r="C3495" s="3">
        <v>220001</v>
      </c>
      <c r="D3495" s="4" t="s">
        <v>17</v>
      </c>
      <c r="E3495" s="4" t="s">
        <v>1042</v>
      </c>
      <c r="F3495" s="4" t="s">
        <v>19</v>
      </c>
      <c r="G3495" s="4" t="s">
        <v>20</v>
      </c>
      <c r="H3495" s="5">
        <v>150542.38</v>
      </c>
      <c r="I3495" s="4" t="s">
        <v>21</v>
      </c>
      <c r="J3495" s="5">
        <f t="shared" si="54"/>
        <v>-632368.321428</v>
      </c>
      <c r="K3495" s="4" t="s">
        <v>53</v>
      </c>
      <c r="L3495" s="6">
        <v>4.2005999999999997</v>
      </c>
      <c r="M3495" s="6">
        <v>0.23810000000000001</v>
      </c>
      <c r="N3495" s="6">
        <v>4.2050000000000001</v>
      </c>
      <c r="O3495" s="6">
        <v>1</v>
      </c>
      <c r="P3495" s="5">
        <v>662.38647200004198</v>
      </c>
      <c r="Q3495" s="4" t="s">
        <v>1390</v>
      </c>
    </row>
    <row r="3496" spans="1:17" x14ac:dyDescent="0.3">
      <c r="A3496" s="2" t="s">
        <v>1389</v>
      </c>
      <c r="B3496" s="3">
        <v>159154</v>
      </c>
      <c r="C3496" s="3">
        <v>909777</v>
      </c>
      <c r="D3496" s="4" t="s">
        <v>81</v>
      </c>
      <c r="E3496" s="4" t="s">
        <v>735</v>
      </c>
      <c r="F3496" s="4" t="s">
        <v>87</v>
      </c>
      <c r="G3496" s="4" t="s">
        <v>20</v>
      </c>
      <c r="H3496" s="5">
        <v>500000</v>
      </c>
      <c r="I3496" s="4" t="s">
        <v>21</v>
      </c>
      <c r="J3496" s="5">
        <f t="shared" si="54"/>
        <v>-2102900</v>
      </c>
      <c r="K3496" s="4" t="s">
        <v>30</v>
      </c>
      <c r="L3496" s="6">
        <v>4.2058</v>
      </c>
      <c r="M3496" s="6">
        <v>0.23780000000000001</v>
      </c>
      <c r="N3496" s="6">
        <v>4.2031999999999998</v>
      </c>
      <c r="O3496" s="6">
        <v>1</v>
      </c>
      <c r="P3496" s="5">
        <v>-1300</v>
      </c>
      <c r="Q3496" s="4" t="s">
        <v>1394</v>
      </c>
    </row>
    <row r="3497" spans="1:17" x14ac:dyDescent="0.3">
      <c r="A3497" s="2" t="s">
        <v>1389</v>
      </c>
      <c r="B3497" s="3">
        <v>159155</v>
      </c>
      <c r="C3497" s="3">
        <v>220011</v>
      </c>
      <c r="D3497" s="4" t="s">
        <v>17</v>
      </c>
      <c r="E3497" s="4" t="s">
        <v>1224</v>
      </c>
      <c r="F3497" s="4" t="s">
        <v>32</v>
      </c>
      <c r="G3497" s="4" t="s">
        <v>20</v>
      </c>
      <c r="H3497" s="5">
        <v>-20000</v>
      </c>
      <c r="I3497" s="4" t="s">
        <v>21</v>
      </c>
      <c r="J3497" s="5">
        <f t="shared" si="54"/>
        <v>84166.000000000015</v>
      </c>
      <c r="K3497" s="4" t="s">
        <v>53</v>
      </c>
      <c r="L3497" s="6">
        <v>4.2083000000000004</v>
      </c>
      <c r="M3497" s="6">
        <v>0.23760000000000001</v>
      </c>
      <c r="N3497" s="6">
        <v>4.2050000000000001</v>
      </c>
      <c r="O3497" s="6">
        <v>1</v>
      </c>
      <c r="P3497" s="5">
        <v>58</v>
      </c>
      <c r="Q3497" s="4" t="s">
        <v>1390</v>
      </c>
    </row>
    <row r="3498" spans="1:17" x14ac:dyDescent="0.3">
      <c r="A3498" s="2" t="s">
        <v>1389</v>
      </c>
      <c r="B3498" s="3">
        <v>159156</v>
      </c>
      <c r="C3498" s="3">
        <v>909806</v>
      </c>
      <c r="D3498" s="4" t="s">
        <v>81</v>
      </c>
      <c r="E3498" s="4" t="s">
        <v>725</v>
      </c>
      <c r="F3498" s="4" t="s">
        <v>87</v>
      </c>
      <c r="G3498" s="4" t="s">
        <v>20</v>
      </c>
      <c r="H3498" s="5">
        <v>500000</v>
      </c>
      <c r="I3498" s="4" t="s">
        <v>21</v>
      </c>
      <c r="J3498" s="5">
        <f t="shared" si="54"/>
        <v>-2103000</v>
      </c>
      <c r="K3498" s="4" t="s">
        <v>30</v>
      </c>
      <c r="L3498" s="6">
        <v>4.2060000000000004</v>
      </c>
      <c r="M3498" s="6">
        <v>0.23780000000000001</v>
      </c>
      <c r="N3498" s="6">
        <v>4.2031999999999998</v>
      </c>
      <c r="O3498" s="6">
        <v>1</v>
      </c>
      <c r="P3498" s="5">
        <v>-1410</v>
      </c>
      <c r="Q3498" s="4" t="s">
        <v>1392</v>
      </c>
    </row>
    <row r="3499" spans="1:17" x14ac:dyDescent="0.3">
      <c r="A3499" s="2" t="s">
        <v>1389</v>
      </c>
      <c r="B3499" s="3">
        <v>159157</v>
      </c>
      <c r="C3499" s="3">
        <v>909807</v>
      </c>
      <c r="D3499" s="4" t="s">
        <v>81</v>
      </c>
      <c r="E3499" s="4" t="s">
        <v>735</v>
      </c>
      <c r="F3499" s="4" t="s">
        <v>87</v>
      </c>
      <c r="G3499" s="4" t="s">
        <v>34</v>
      </c>
      <c r="H3499" s="5">
        <v>500000</v>
      </c>
      <c r="I3499" s="4" t="s">
        <v>21</v>
      </c>
      <c r="J3499" s="5">
        <f t="shared" si="54"/>
        <v>-1773950</v>
      </c>
      <c r="K3499" s="4" t="s">
        <v>30</v>
      </c>
      <c r="L3499" s="6">
        <v>3.5478999999999998</v>
      </c>
      <c r="M3499" s="6">
        <v>0.28189999999999998</v>
      </c>
      <c r="N3499" s="6">
        <v>3.5354000000000001</v>
      </c>
      <c r="O3499" s="6">
        <v>1</v>
      </c>
      <c r="P3499" s="5">
        <v>-6250</v>
      </c>
      <c r="Q3499" s="4" t="s">
        <v>1394</v>
      </c>
    </row>
    <row r="3500" spans="1:17" x14ac:dyDescent="0.3">
      <c r="A3500" s="2" t="s">
        <v>1389</v>
      </c>
      <c r="B3500" s="3">
        <v>159158</v>
      </c>
      <c r="C3500" s="3">
        <v>220013</v>
      </c>
      <c r="D3500" s="4" t="s">
        <v>17</v>
      </c>
      <c r="E3500" s="4" t="s">
        <v>755</v>
      </c>
      <c r="F3500" s="4" t="s">
        <v>19</v>
      </c>
      <c r="G3500" s="4" t="s">
        <v>20</v>
      </c>
      <c r="H3500" s="5">
        <v>12000</v>
      </c>
      <c r="I3500" s="4" t="s">
        <v>21</v>
      </c>
      <c r="J3500" s="5">
        <f t="shared" si="54"/>
        <v>-50388</v>
      </c>
      <c r="K3500" s="4" t="s">
        <v>53</v>
      </c>
      <c r="L3500" s="6">
        <v>4.1989999999999998</v>
      </c>
      <c r="M3500" s="6">
        <v>0.2382</v>
      </c>
      <c r="N3500" s="6">
        <v>4.2050000000000001</v>
      </c>
      <c r="O3500" s="6">
        <v>1</v>
      </c>
      <c r="P3500" s="5">
        <v>72</v>
      </c>
      <c r="Q3500" s="4" t="s">
        <v>1390</v>
      </c>
    </row>
    <row r="3501" spans="1:17" x14ac:dyDescent="0.3">
      <c r="A3501" s="2" t="s">
        <v>1389</v>
      </c>
      <c r="B3501" s="3">
        <v>159159</v>
      </c>
      <c r="C3501" s="3">
        <v>220014</v>
      </c>
      <c r="D3501" s="4" t="s">
        <v>17</v>
      </c>
      <c r="E3501" s="4" t="s">
        <v>1311</v>
      </c>
      <c r="F3501" s="4" t="s">
        <v>19</v>
      </c>
      <c r="G3501" s="4" t="s">
        <v>20</v>
      </c>
      <c r="H3501" s="5">
        <v>18000</v>
      </c>
      <c r="I3501" s="4" t="s">
        <v>21</v>
      </c>
      <c r="J3501" s="5">
        <f t="shared" si="54"/>
        <v>-75600</v>
      </c>
      <c r="K3501" s="4" t="s">
        <v>53</v>
      </c>
      <c r="L3501" s="6">
        <v>4.2</v>
      </c>
      <c r="M3501" s="6">
        <v>0.23810000000000001</v>
      </c>
      <c r="N3501" s="6">
        <v>4.2050000000000001</v>
      </c>
      <c r="O3501" s="6">
        <v>1</v>
      </c>
      <c r="P3501" s="5">
        <v>90</v>
      </c>
      <c r="Q3501" s="4" t="s">
        <v>1390</v>
      </c>
    </row>
    <row r="3502" spans="1:17" x14ac:dyDescent="0.3">
      <c r="A3502" s="2" t="s">
        <v>1389</v>
      </c>
      <c r="B3502" s="3">
        <v>159160</v>
      </c>
      <c r="C3502" s="3">
        <v>909827</v>
      </c>
      <c r="D3502" s="4" t="s">
        <v>81</v>
      </c>
      <c r="E3502" s="4" t="s">
        <v>734</v>
      </c>
      <c r="F3502" s="4" t="s">
        <v>87</v>
      </c>
      <c r="G3502" s="4" t="s">
        <v>20</v>
      </c>
      <c r="H3502" s="5">
        <v>100000</v>
      </c>
      <c r="I3502" s="4" t="s">
        <v>34</v>
      </c>
      <c r="J3502" s="5">
        <f t="shared" si="54"/>
        <v>-118560</v>
      </c>
      <c r="K3502" s="4" t="s">
        <v>30</v>
      </c>
      <c r="L3502" s="6">
        <v>1.1856</v>
      </c>
      <c r="M3502" s="6">
        <v>0.84350000000000003</v>
      </c>
      <c r="N3502" s="6">
        <v>4.2031999999999998</v>
      </c>
      <c r="O3502" s="6">
        <v>3.5354000000000001</v>
      </c>
      <c r="P3502" s="5">
        <v>1173.5822000000001</v>
      </c>
      <c r="Q3502" s="4" t="s">
        <v>1393</v>
      </c>
    </row>
    <row r="3503" spans="1:17" x14ac:dyDescent="0.3">
      <c r="A3503" s="2" t="s">
        <v>1389</v>
      </c>
      <c r="B3503" s="3">
        <v>159162</v>
      </c>
      <c r="C3503" s="3">
        <v>220019</v>
      </c>
      <c r="D3503" s="4" t="s">
        <v>17</v>
      </c>
      <c r="E3503" s="4" t="s">
        <v>1021</v>
      </c>
      <c r="F3503" s="4" t="s">
        <v>32</v>
      </c>
      <c r="G3503" s="4" t="s">
        <v>20</v>
      </c>
      <c r="H3503" s="5">
        <v>-50000</v>
      </c>
      <c r="I3503" s="4" t="s">
        <v>21</v>
      </c>
      <c r="J3503" s="5">
        <f t="shared" si="54"/>
        <v>215499.99999999997</v>
      </c>
      <c r="K3503" s="4" t="s">
        <v>53</v>
      </c>
      <c r="L3503" s="6">
        <v>4.3099999999999996</v>
      </c>
      <c r="M3503" s="6">
        <v>0.23200000000000001</v>
      </c>
      <c r="N3503" s="6">
        <v>4.2050000000000001</v>
      </c>
      <c r="O3503" s="6">
        <v>1</v>
      </c>
      <c r="P3503" s="5">
        <v>5250</v>
      </c>
      <c r="Q3503" s="4" t="s">
        <v>1390</v>
      </c>
    </row>
    <row r="3504" spans="1:17" x14ac:dyDescent="0.3">
      <c r="A3504" s="2" t="s">
        <v>1389</v>
      </c>
      <c r="B3504" s="3">
        <v>159163</v>
      </c>
      <c r="C3504" s="3">
        <v>909840</v>
      </c>
      <c r="D3504" s="4" t="s">
        <v>81</v>
      </c>
      <c r="E3504" s="4" t="s">
        <v>733</v>
      </c>
      <c r="F3504" s="4" t="s">
        <v>87</v>
      </c>
      <c r="G3504" s="4" t="s">
        <v>20</v>
      </c>
      <c r="H3504" s="5">
        <v>100000</v>
      </c>
      <c r="I3504" s="4" t="s">
        <v>93</v>
      </c>
      <c r="J3504" s="5">
        <f t="shared" si="54"/>
        <v>-92170</v>
      </c>
      <c r="K3504" s="4" t="s">
        <v>30</v>
      </c>
      <c r="L3504" s="6">
        <v>0.92169999999999996</v>
      </c>
      <c r="M3504" s="6">
        <v>1.0849</v>
      </c>
      <c r="N3504" s="6">
        <v>4.2031999999999998</v>
      </c>
      <c r="O3504" s="6">
        <v>4.5575000000000001</v>
      </c>
      <c r="P3504" s="5">
        <v>250.66749999999999</v>
      </c>
      <c r="Q3504" s="4" t="s">
        <v>1391</v>
      </c>
    </row>
    <row r="3505" spans="1:17" x14ac:dyDescent="0.3">
      <c r="A3505" s="2" t="s">
        <v>1389</v>
      </c>
      <c r="B3505" s="3">
        <v>159164</v>
      </c>
      <c r="C3505" s="3">
        <v>909850</v>
      </c>
      <c r="D3505" s="4" t="s">
        <v>81</v>
      </c>
      <c r="E3505" s="4" t="s">
        <v>725</v>
      </c>
      <c r="F3505" s="4" t="s">
        <v>87</v>
      </c>
      <c r="G3505" s="4" t="s">
        <v>20</v>
      </c>
      <c r="H3505" s="5">
        <v>500000</v>
      </c>
      <c r="I3505" s="4" t="s">
        <v>21</v>
      </c>
      <c r="J3505" s="5">
        <f t="shared" si="54"/>
        <v>-2103050</v>
      </c>
      <c r="K3505" s="4" t="s">
        <v>30</v>
      </c>
      <c r="L3505" s="6">
        <v>4.2061000000000002</v>
      </c>
      <c r="M3505" s="6">
        <v>0.23780000000000001</v>
      </c>
      <c r="N3505" s="6">
        <v>4.2031999999999998</v>
      </c>
      <c r="O3505" s="6">
        <v>1</v>
      </c>
      <c r="P3505" s="5">
        <v>-1425</v>
      </c>
      <c r="Q3505" s="4" t="s">
        <v>1392</v>
      </c>
    </row>
    <row r="3506" spans="1:17" x14ac:dyDescent="0.3">
      <c r="A3506" s="2" t="s">
        <v>1389</v>
      </c>
      <c r="B3506" s="3">
        <v>159165</v>
      </c>
      <c r="C3506" s="3">
        <v>220026</v>
      </c>
      <c r="D3506" s="4" t="s">
        <v>17</v>
      </c>
      <c r="E3506" s="4" t="s">
        <v>1061</v>
      </c>
      <c r="F3506" s="4" t="s">
        <v>19</v>
      </c>
      <c r="G3506" s="4" t="s">
        <v>20</v>
      </c>
      <c r="H3506" s="5">
        <v>270039</v>
      </c>
      <c r="I3506" s="4" t="s">
        <v>21</v>
      </c>
      <c r="J3506" s="5">
        <f t="shared" si="54"/>
        <v>-1134190.8038999999</v>
      </c>
      <c r="K3506" s="4" t="s">
        <v>53</v>
      </c>
      <c r="L3506" s="6">
        <v>4.2000999999999999</v>
      </c>
      <c r="M3506" s="6">
        <v>0.23810000000000001</v>
      </c>
      <c r="N3506" s="6">
        <v>4.2050000000000001</v>
      </c>
      <c r="O3506" s="6">
        <v>1</v>
      </c>
      <c r="P3506" s="5">
        <v>1323.191100000171</v>
      </c>
      <c r="Q3506" s="4" t="s">
        <v>1390</v>
      </c>
    </row>
    <row r="3507" spans="1:17" x14ac:dyDescent="0.3">
      <c r="A3507" s="2" t="s">
        <v>1389</v>
      </c>
      <c r="B3507" s="3">
        <v>159166</v>
      </c>
      <c r="C3507" s="3">
        <v>220028</v>
      </c>
      <c r="D3507" s="4" t="s">
        <v>17</v>
      </c>
      <c r="E3507" s="4" t="s">
        <v>745</v>
      </c>
      <c r="F3507" s="4" t="s">
        <v>19</v>
      </c>
      <c r="G3507" s="4" t="s">
        <v>20</v>
      </c>
      <c r="H3507" s="5">
        <v>6000</v>
      </c>
      <c r="I3507" s="4" t="s">
        <v>21</v>
      </c>
      <c r="J3507" s="5">
        <f t="shared" si="54"/>
        <v>-25155</v>
      </c>
      <c r="K3507" s="4" t="s">
        <v>53</v>
      </c>
      <c r="L3507" s="6">
        <v>4.1924999999999999</v>
      </c>
      <c r="M3507" s="6">
        <v>0.23849999999999999</v>
      </c>
      <c r="N3507" s="6">
        <v>4.2050000000000001</v>
      </c>
      <c r="O3507" s="6">
        <v>1</v>
      </c>
      <c r="P3507" s="5">
        <v>75</v>
      </c>
      <c r="Q3507" s="4" t="s">
        <v>1390</v>
      </c>
    </row>
    <row r="3508" spans="1:17" x14ac:dyDescent="0.3">
      <c r="A3508" s="2" t="s">
        <v>1389</v>
      </c>
      <c r="B3508" s="3">
        <v>159167</v>
      </c>
      <c r="C3508" s="3">
        <v>220037</v>
      </c>
      <c r="D3508" s="4" t="s">
        <v>17</v>
      </c>
      <c r="E3508" s="4" t="s">
        <v>947</v>
      </c>
      <c r="F3508" s="4" t="s">
        <v>19</v>
      </c>
      <c r="G3508" s="4" t="s">
        <v>20</v>
      </c>
      <c r="H3508" s="5">
        <v>2200</v>
      </c>
      <c r="I3508" s="4" t="s">
        <v>21</v>
      </c>
      <c r="J3508" s="5">
        <f t="shared" si="54"/>
        <v>-9220.1999999999989</v>
      </c>
      <c r="K3508" s="4" t="s">
        <v>53</v>
      </c>
      <c r="L3508" s="6">
        <v>4.1909999999999998</v>
      </c>
      <c r="M3508" s="6">
        <v>0.23860000000000001</v>
      </c>
      <c r="N3508" s="6">
        <v>4.2050000000000001</v>
      </c>
      <c r="O3508" s="6">
        <v>1</v>
      </c>
      <c r="P3508" s="5">
        <v>30.800000000001091</v>
      </c>
      <c r="Q3508" s="4" t="s">
        <v>1390</v>
      </c>
    </row>
    <row r="3509" spans="1:17" x14ac:dyDescent="0.3">
      <c r="A3509" s="2" t="s">
        <v>1389</v>
      </c>
      <c r="B3509" s="3">
        <v>159168</v>
      </c>
      <c r="C3509" s="3">
        <v>220039</v>
      </c>
      <c r="D3509" s="4" t="s">
        <v>17</v>
      </c>
      <c r="E3509" s="4" t="s">
        <v>1081</v>
      </c>
      <c r="F3509" s="4" t="s">
        <v>32</v>
      </c>
      <c r="G3509" s="4" t="s">
        <v>34</v>
      </c>
      <c r="H3509" s="5">
        <v>-10000</v>
      </c>
      <c r="I3509" s="4" t="s">
        <v>21</v>
      </c>
      <c r="J3509" s="5">
        <f t="shared" si="54"/>
        <v>35500</v>
      </c>
      <c r="K3509" s="4" t="s">
        <v>53</v>
      </c>
      <c r="L3509" s="6">
        <v>3.55</v>
      </c>
      <c r="M3509" s="6">
        <v>0.28170000000000001</v>
      </c>
      <c r="N3509" s="6">
        <v>3.5831</v>
      </c>
      <c r="O3509" s="6">
        <v>1</v>
      </c>
      <c r="P3509" s="5">
        <v>-331</v>
      </c>
      <c r="Q3509" s="4" t="s">
        <v>1390</v>
      </c>
    </row>
    <row r="3510" spans="1:17" x14ac:dyDescent="0.3">
      <c r="A3510" s="2" t="s">
        <v>1389</v>
      </c>
      <c r="B3510" s="3">
        <v>159169</v>
      </c>
      <c r="C3510" s="3">
        <v>220040</v>
      </c>
      <c r="D3510" s="4" t="s">
        <v>17</v>
      </c>
      <c r="E3510" s="4" t="s">
        <v>1092</v>
      </c>
      <c r="F3510" s="4" t="s">
        <v>32</v>
      </c>
      <c r="G3510" s="4" t="s">
        <v>34</v>
      </c>
      <c r="H3510" s="5">
        <v>-2300</v>
      </c>
      <c r="I3510" s="4" t="s">
        <v>21</v>
      </c>
      <c r="J3510" s="5">
        <f t="shared" si="54"/>
        <v>8177.42</v>
      </c>
      <c r="K3510" s="4" t="s">
        <v>53</v>
      </c>
      <c r="L3510" s="6">
        <v>3.5554000000000001</v>
      </c>
      <c r="M3510" s="6">
        <v>0.28129999999999999</v>
      </c>
      <c r="N3510" s="6">
        <v>3.5831</v>
      </c>
      <c r="O3510" s="6">
        <v>1</v>
      </c>
      <c r="P3510" s="5">
        <v>-63.71</v>
      </c>
      <c r="Q3510" s="4" t="s">
        <v>1390</v>
      </c>
    </row>
    <row r="3511" spans="1:17" x14ac:dyDescent="0.3">
      <c r="A3511" s="2" t="s">
        <v>1389</v>
      </c>
      <c r="B3511" s="3">
        <v>159170</v>
      </c>
      <c r="C3511" s="3">
        <v>220045</v>
      </c>
      <c r="D3511" s="4" t="s">
        <v>17</v>
      </c>
      <c r="E3511" s="4" t="s">
        <v>1027</v>
      </c>
      <c r="F3511" s="4" t="s">
        <v>19</v>
      </c>
      <c r="G3511" s="4" t="s">
        <v>20</v>
      </c>
      <c r="H3511" s="5">
        <v>65040</v>
      </c>
      <c r="I3511" s="4" t="s">
        <v>21</v>
      </c>
      <c r="J3511" s="5">
        <f t="shared" si="54"/>
        <v>-273298.08</v>
      </c>
      <c r="K3511" s="4" t="s">
        <v>53</v>
      </c>
      <c r="L3511" s="6">
        <v>4.202</v>
      </c>
      <c r="M3511" s="6">
        <v>0.23799999999999999</v>
      </c>
      <c r="N3511" s="6">
        <v>4.2050000000000001</v>
      </c>
      <c r="O3511" s="6">
        <v>1</v>
      </c>
      <c r="P3511" s="5">
        <v>195.11999999999534</v>
      </c>
      <c r="Q3511" s="4" t="s">
        <v>1390</v>
      </c>
    </row>
    <row r="3512" spans="1:17" x14ac:dyDescent="0.3">
      <c r="A3512" s="2" t="s">
        <v>1389</v>
      </c>
      <c r="B3512" s="3">
        <v>159171</v>
      </c>
      <c r="C3512" s="3">
        <v>909925</v>
      </c>
      <c r="D3512" s="4" t="s">
        <v>81</v>
      </c>
      <c r="E3512" s="4" t="s">
        <v>725</v>
      </c>
      <c r="F3512" s="4" t="s">
        <v>83</v>
      </c>
      <c r="G3512" s="4" t="s">
        <v>20</v>
      </c>
      <c r="H3512" s="5">
        <v>-500000</v>
      </c>
      <c r="I3512" s="4" t="s">
        <v>21</v>
      </c>
      <c r="J3512" s="5">
        <f t="shared" si="54"/>
        <v>2103400</v>
      </c>
      <c r="K3512" s="4" t="s">
        <v>30</v>
      </c>
      <c r="L3512" s="6">
        <v>4.2068000000000003</v>
      </c>
      <c r="M3512" s="6">
        <v>0.23769999999999999</v>
      </c>
      <c r="N3512" s="6">
        <v>4.2031999999999998</v>
      </c>
      <c r="O3512" s="6">
        <v>1</v>
      </c>
      <c r="P3512" s="5">
        <v>1820</v>
      </c>
      <c r="Q3512" s="4" t="s">
        <v>1392</v>
      </c>
    </row>
    <row r="3513" spans="1:17" x14ac:dyDescent="0.3">
      <c r="A3513" s="2" t="s">
        <v>1389</v>
      </c>
      <c r="B3513" s="3">
        <v>159172</v>
      </c>
      <c r="C3513" s="3">
        <v>909926</v>
      </c>
      <c r="D3513" s="4" t="s">
        <v>81</v>
      </c>
      <c r="E3513" s="4" t="s">
        <v>735</v>
      </c>
      <c r="F3513" s="4" t="s">
        <v>83</v>
      </c>
      <c r="G3513" s="4" t="s">
        <v>20</v>
      </c>
      <c r="H3513" s="5">
        <v>-500000</v>
      </c>
      <c r="I3513" s="4" t="s">
        <v>21</v>
      </c>
      <c r="J3513" s="5">
        <f t="shared" si="54"/>
        <v>2103400</v>
      </c>
      <c r="K3513" s="4" t="s">
        <v>30</v>
      </c>
      <c r="L3513" s="6">
        <v>4.2068000000000003</v>
      </c>
      <c r="M3513" s="6">
        <v>0.23769999999999999</v>
      </c>
      <c r="N3513" s="6">
        <v>4.2031999999999998</v>
      </c>
      <c r="O3513" s="6">
        <v>1</v>
      </c>
      <c r="P3513" s="5">
        <v>1800</v>
      </c>
      <c r="Q3513" s="4" t="s">
        <v>1394</v>
      </c>
    </row>
    <row r="3514" spans="1:17" x14ac:dyDescent="0.3">
      <c r="A3514" s="2" t="s">
        <v>1389</v>
      </c>
      <c r="B3514" s="3">
        <v>159173</v>
      </c>
      <c r="C3514" s="3">
        <v>220051</v>
      </c>
      <c r="D3514" s="4" t="s">
        <v>17</v>
      </c>
      <c r="E3514" s="4" t="s">
        <v>1127</v>
      </c>
      <c r="F3514" s="4" t="s">
        <v>32</v>
      </c>
      <c r="G3514" s="4" t="s">
        <v>20</v>
      </c>
      <c r="H3514" s="5">
        <v>-25000</v>
      </c>
      <c r="I3514" s="4" t="s">
        <v>21</v>
      </c>
      <c r="J3514" s="5">
        <f t="shared" si="54"/>
        <v>105315</v>
      </c>
      <c r="K3514" s="4" t="s">
        <v>54</v>
      </c>
      <c r="L3514" s="6">
        <v>4.2126000000000001</v>
      </c>
      <c r="M3514" s="6">
        <v>0.2374</v>
      </c>
      <c r="N3514" s="6">
        <v>4.2118000000000002</v>
      </c>
      <c r="O3514" s="6">
        <v>1</v>
      </c>
      <c r="P3514" s="5">
        <v>15</v>
      </c>
      <c r="Q3514" s="4" t="s">
        <v>1390</v>
      </c>
    </row>
    <row r="3515" spans="1:17" x14ac:dyDescent="0.3">
      <c r="A3515" s="2" t="s">
        <v>1389</v>
      </c>
      <c r="B3515" s="3">
        <v>159175</v>
      </c>
      <c r="C3515" s="3">
        <v>220054</v>
      </c>
      <c r="D3515" s="4" t="s">
        <v>17</v>
      </c>
      <c r="E3515" s="4" t="s">
        <v>936</v>
      </c>
      <c r="F3515" s="4" t="s">
        <v>32</v>
      </c>
      <c r="G3515" s="4" t="s">
        <v>34</v>
      </c>
      <c r="H3515" s="5">
        <v>-220000</v>
      </c>
      <c r="I3515" s="4" t="s">
        <v>21</v>
      </c>
      <c r="J3515" s="5">
        <f t="shared" si="54"/>
        <v>781220</v>
      </c>
      <c r="K3515" s="4" t="s">
        <v>53</v>
      </c>
      <c r="L3515" s="6">
        <v>3.5510000000000002</v>
      </c>
      <c r="M3515" s="6">
        <v>0.28160000000000002</v>
      </c>
      <c r="N3515" s="6">
        <v>3.5831</v>
      </c>
      <c r="O3515" s="6">
        <v>1</v>
      </c>
      <c r="P3515" s="5">
        <v>-7062</v>
      </c>
      <c r="Q3515" s="4" t="s">
        <v>1390</v>
      </c>
    </row>
    <row r="3516" spans="1:17" x14ac:dyDescent="0.3">
      <c r="A3516" s="2" t="s">
        <v>1389</v>
      </c>
      <c r="B3516" s="3">
        <v>159176</v>
      </c>
      <c r="C3516" s="3">
        <v>220055</v>
      </c>
      <c r="D3516" s="4" t="s">
        <v>17</v>
      </c>
      <c r="E3516" s="4" t="s">
        <v>785</v>
      </c>
      <c r="F3516" s="4" t="s">
        <v>32</v>
      </c>
      <c r="G3516" s="4" t="s">
        <v>34</v>
      </c>
      <c r="H3516" s="5">
        <v>-155000</v>
      </c>
      <c r="I3516" s="4" t="s">
        <v>21</v>
      </c>
      <c r="J3516" s="5">
        <f t="shared" si="54"/>
        <v>550343</v>
      </c>
      <c r="K3516" s="4" t="s">
        <v>54</v>
      </c>
      <c r="L3516" s="6">
        <v>3.5506000000000002</v>
      </c>
      <c r="M3516" s="6">
        <v>0.28160000000000002</v>
      </c>
      <c r="N3516" s="6">
        <v>3.5499000000000001</v>
      </c>
      <c r="O3516" s="6">
        <v>1</v>
      </c>
      <c r="P3516" s="5">
        <v>108.5</v>
      </c>
      <c r="Q3516" s="4" t="s">
        <v>1390</v>
      </c>
    </row>
    <row r="3517" spans="1:17" x14ac:dyDescent="0.3">
      <c r="A3517" s="2" t="s">
        <v>1389</v>
      </c>
      <c r="B3517" s="3">
        <v>159177</v>
      </c>
      <c r="C3517" s="3">
        <v>909959</v>
      </c>
      <c r="D3517" s="4" t="s">
        <v>81</v>
      </c>
      <c r="E3517" s="4" t="s">
        <v>735</v>
      </c>
      <c r="F3517" s="4" t="s">
        <v>87</v>
      </c>
      <c r="G3517" s="4" t="s">
        <v>34</v>
      </c>
      <c r="H3517" s="5">
        <v>500000</v>
      </c>
      <c r="I3517" s="4" t="s">
        <v>21</v>
      </c>
      <c r="J3517" s="5">
        <f t="shared" si="54"/>
        <v>-1773650</v>
      </c>
      <c r="K3517" s="4" t="s">
        <v>30</v>
      </c>
      <c r="L3517" s="6">
        <v>3.5472999999999999</v>
      </c>
      <c r="M3517" s="6">
        <v>0.28189999999999998</v>
      </c>
      <c r="N3517" s="6">
        <v>3.5354000000000001</v>
      </c>
      <c r="O3517" s="6">
        <v>1</v>
      </c>
      <c r="P3517" s="5">
        <v>-5950</v>
      </c>
      <c r="Q3517" s="4" t="s">
        <v>1394</v>
      </c>
    </row>
    <row r="3518" spans="1:17" x14ac:dyDescent="0.3">
      <c r="A3518" s="2" t="s">
        <v>1389</v>
      </c>
      <c r="B3518" s="3">
        <v>159179</v>
      </c>
      <c r="C3518" s="3">
        <v>220059</v>
      </c>
      <c r="D3518" s="4" t="s">
        <v>17</v>
      </c>
      <c r="E3518" s="4" t="s">
        <v>1170</v>
      </c>
      <c r="F3518" s="4" t="s">
        <v>32</v>
      </c>
      <c r="G3518" s="4" t="s">
        <v>20</v>
      </c>
      <c r="H3518" s="5">
        <v>-70000</v>
      </c>
      <c r="I3518" s="4" t="s">
        <v>21</v>
      </c>
      <c r="J3518" s="5">
        <f t="shared" si="54"/>
        <v>294560</v>
      </c>
      <c r="K3518" s="4" t="s">
        <v>53</v>
      </c>
      <c r="L3518" s="6">
        <v>4.2080000000000002</v>
      </c>
      <c r="M3518" s="6">
        <v>0.23760000000000001</v>
      </c>
      <c r="N3518" s="6">
        <v>4.2050000000000001</v>
      </c>
      <c r="O3518" s="6">
        <v>1</v>
      </c>
      <c r="P3518" s="5">
        <v>210</v>
      </c>
      <c r="Q3518" s="4" t="s">
        <v>1390</v>
      </c>
    </row>
    <row r="3519" spans="1:17" x14ac:dyDescent="0.3">
      <c r="A3519" s="2" t="s">
        <v>1389</v>
      </c>
      <c r="B3519" s="3">
        <v>159190</v>
      </c>
      <c r="C3519" s="3">
        <v>909982</v>
      </c>
      <c r="D3519" s="4" t="s">
        <v>81</v>
      </c>
      <c r="E3519" s="4" t="s">
        <v>735</v>
      </c>
      <c r="F3519" s="4" t="s">
        <v>87</v>
      </c>
      <c r="G3519" s="4" t="s">
        <v>34</v>
      </c>
      <c r="H3519" s="5">
        <v>500000</v>
      </c>
      <c r="I3519" s="4" t="s">
        <v>21</v>
      </c>
      <c r="J3519" s="5">
        <f t="shared" si="54"/>
        <v>-1774250</v>
      </c>
      <c r="K3519" s="4" t="s">
        <v>30</v>
      </c>
      <c r="L3519" s="6">
        <v>3.5485000000000002</v>
      </c>
      <c r="M3519" s="6">
        <v>0.28179999999999999</v>
      </c>
      <c r="N3519" s="6">
        <v>3.5354000000000001</v>
      </c>
      <c r="O3519" s="6">
        <v>1</v>
      </c>
      <c r="P3519" s="5">
        <v>-6550</v>
      </c>
      <c r="Q3519" s="4" t="s">
        <v>1394</v>
      </c>
    </row>
    <row r="3520" spans="1:17" x14ac:dyDescent="0.3">
      <c r="A3520" s="2" t="s">
        <v>1389</v>
      </c>
      <c r="B3520" s="3">
        <v>159191</v>
      </c>
      <c r="C3520" s="3">
        <v>909984</v>
      </c>
      <c r="D3520" s="4" t="s">
        <v>81</v>
      </c>
      <c r="E3520" s="4" t="s">
        <v>735</v>
      </c>
      <c r="F3520" s="4" t="s">
        <v>87</v>
      </c>
      <c r="G3520" s="4" t="s">
        <v>34</v>
      </c>
      <c r="H3520" s="5">
        <v>500000</v>
      </c>
      <c r="I3520" s="4" t="s">
        <v>21</v>
      </c>
      <c r="J3520" s="5">
        <f t="shared" si="54"/>
        <v>-1774300</v>
      </c>
      <c r="K3520" s="4" t="s">
        <v>30</v>
      </c>
      <c r="L3520" s="6">
        <v>3.5486</v>
      </c>
      <c r="M3520" s="6">
        <v>0.28179999999999999</v>
      </c>
      <c r="N3520" s="6">
        <v>3.5354000000000001</v>
      </c>
      <c r="O3520" s="6">
        <v>1</v>
      </c>
      <c r="P3520" s="5">
        <v>-6600</v>
      </c>
      <c r="Q3520" s="4" t="s">
        <v>1394</v>
      </c>
    </row>
    <row r="3521" spans="1:17" x14ac:dyDescent="0.3">
      <c r="A3521" s="2" t="s">
        <v>1389</v>
      </c>
      <c r="B3521" s="3">
        <v>159192</v>
      </c>
      <c r="C3521" s="3">
        <v>220062</v>
      </c>
      <c r="D3521" s="4" t="s">
        <v>17</v>
      </c>
      <c r="E3521" s="4" t="s">
        <v>1163</v>
      </c>
      <c r="F3521" s="4" t="s">
        <v>32</v>
      </c>
      <c r="G3521" s="4" t="s">
        <v>20</v>
      </c>
      <c r="H3521" s="5">
        <v>-100000</v>
      </c>
      <c r="I3521" s="4" t="s">
        <v>21</v>
      </c>
      <c r="J3521" s="5">
        <f t="shared" si="54"/>
        <v>420800</v>
      </c>
      <c r="K3521" s="4" t="s">
        <v>53</v>
      </c>
      <c r="L3521" s="6">
        <v>4.2080000000000002</v>
      </c>
      <c r="M3521" s="6">
        <v>0.23760000000000001</v>
      </c>
      <c r="N3521" s="6">
        <v>4.2050000000000001</v>
      </c>
      <c r="O3521" s="6">
        <v>1</v>
      </c>
      <c r="P3521" s="5">
        <v>300</v>
      </c>
      <c r="Q3521" s="4" t="s">
        <v>1390</v>
      </c>
    </row>
    <row r="3522" spans="1:17" x14ac:dyDescent="0.3">
      <c r="A3522" s="2" t="s">
        <v>1389</v>
      </c>
      <c r="B3522" s="3">
        <v>159193</v>
      </c>
      <c r="C3522" s="3">
        <v>220065</v>
      </c>
      <c r="D3522" s="4" t="s">
        <v>17</v>
      </c>
      <c r="E3522" s="4" t="s">
        <v>1047</v>
      </c>
      <c r="F3522" s="4" t="s">
        <v>32</v>
      </c>
      <c r="G3522" s="4" t="s">
        <v>34</v>
      </c>
      <c r="H3522" s="5">
        <v>-850000</v>
      </c>
      <c r="I3522" s="4" t="s">
        <v>21</v>
      </c>
      <c r="J3522" s="5">
        <f t="shared" si="54"/>
        <v>3021750</v>
      </c>
      <c r="K3522" s="4" t="s">
        <v>53</v>
      </c>
      <c r="L3522" s="6">
        <v>3.5550000000000002</v>
      </c>
      <c r="M3522" s="6">
        <v>0.28129999999999999</v>
      </c>
      <c r="N3522" s="6">
        <v>3.5831</v>
      </c>
      <c r="O3522" s="6">
        <v>1</v>
      </c>
      <c r="P3522" s="5">
        <v>-23885</v>
      </c>
      <c r="Q3522" s="4" t="s">
        <v>1390</v>
      </c>
    </row>
    <row r="3523" spans="1:17" x14ac:dyDescent="0.3">
      <c r="A3523" s="2" t="s">
        <v>1389</v>
      </c>
      <c r="B3523" s="3">
        <v>159194</v>
      </c>
      <c r="C3523" s="3">
        <v>220071</v>
      </c>
      <c r="D3523" s="4" t="s">
        <v>17</v>
      </c>
      <c r="E3523" s="4" t="s">
        <v>1319</v>
      </c>
      <c r="F3523" s="4" t="s">
        <v>32</v>
      </c>
      <c r="G3523" s="4" t="s">
        <v>34</v>
      </c>
      <c r="H3523" s="5">
        <v>-20000000</v>
      </c>
      <c r="I3523" s="4" t="s">
        <v>21</v>
      </c>
      <c r="J3523" s="5">
        <f t="shared" si="54"/>
        <v>71020000</v>
      </c>
      <c r="K3523" s="4" t="s">
        <v>53</v>
      </c>
      <c r="L3523" s="6">
        <v>3.5510000000000002</v>
      </c>
      <c r="M3523" s="6">
        <v>0.28160000000000002</v>
      </c>
      <c r="N3523" s="6">
        <v>3.5831</v>
      </c>
      <c r="O3523" s="6">
        <v>1</v>
      </c>
      <c r="P3523" s="5">
        <v>-642000</v>
      </c>
      <c r="Q3523" s="4" t="s">
        <v>1390</v>
      </c>
    </row>
    <row r="3524" spans="1:17" x14ac:dyDescent="0.3">
      <c r="A3524" s="2" t="s">
        <v>1389</v>
      </c>
      <c r="B3524" s="3">
        <v>159196</v>
      </c>
      <c r="C3524" s="3">
        <v>220074</v>
      </c>
      <c r="D3524" s="4" t="s">
        <v>17</v>
      </c>
      <c r="E3524" s="4" t="s">
        <v>1319</v>
      </c>
      <c r="F3524" s="4" t="s">
        <v>32</v>
      </c>
      <c r="G3524" s="4" t="s">
        <v>34</v>
      </c>
      <c r="H3524" s="5">
        <v>-20000000</v>
      </c>
      <c r="I3524" s="4" t="s">
        <v>21</v>
      </c>
      <c r="J3524" s="5">
        <f t="shared" ref="J3524:J3587" si="55">-H3524*L3524</f>
        <v>71020000</v>
      </c>
      <c r="K3524" s="4" t="s">
        <v>53</v>
      </c>
      <c r="L3524" s="6">
        <v>3.5510000000000002</v>
      </c>
      <c r="M3524" s="6">
        <v>0.28160000000000002</v>
      </c>
      <c r="N3524" s="6">
        <v>3.5831</v>
      </c>
      <c r="O3524" s="6">
        <v>1</v>
      </c>
      <c r="P3524" s="5">
        <v>-642000</v>
      </c>
      <c r="Q3524" s="4" t="s">
        <v>1390</v>
      </c>
    </row>
    <row r="3525" spans="1:17" x14ac:dyDescent="0.3">
      <c r="A3525" s="2" t="s">
        <v>1389</v>
      </c>
      <c r="B3525" s="3">
        <v>159197</v>
      </c>
      <c r="C3525" s="3">
        <v>220075</v>
      </c>
      <c r="D3525" s="4" t="s">
        <v>17</v>
      </c>
      <c r="E3525" s="4" t="s">
        <v>1319</v>
      </c>
      <c r="F3525" s="4" t="s">
        <v>32</v>
      </c>
      <c r="G3525" s="4" t="s">
        <v>34</v>
      </c>
      <c r="H3525" s="5">
        <v>-20000000</v>
      </c>
      <c r="I3525" s="4" t="s">
        <v>21</v>
      </c>
      <c r="J3525" s="5">
        <f t="shared" si="55"/>
        <v>71020000</v>
      </c>
      <c r="K3525" s="4" t="s">
        <v>53</v>
      </c>
      <c r="L3525" s="6">
        <v>3.5510000000000002</v>
      </c>
      <c r="M3525" s="6">
        <v>0.28160000000000002</v>
      </c>
      <c r="N3525" s="6">
        <v>3.5831</v>
      </c>
      <c r="O3525" s="6">
        <v>1</v>
      </c>
      <c r="P3525" s="5">
        <v>-642000</v>
      </c>
      <c r="Q3525" s="4" t="s">
        <v>1390</v>
      </c>
    </row>
    <row r="3526" spans="1:17" x14ac:dyDescent="0.3">
      <c r="A3526" s="2" t="s">
        <v>1389</v>
      </c>
      <c r="B3526" s="3">
        <v>159198</v>
      </c>
      <c r="C3526" s="3">
        <v>910028</v>
      </c>
      <c r="D3526" s="4" t="s">
        <v>81</v>
      </c>
      <c r="E3526" s="4" t="s">
        <v>739</v>
      </c>
      <c r="F3526" s="4" t="s">
        <v>87</v>
      </c>
      <c r="G3526" s="4" t="s">
        <v>20</v>
      </c>
      <c r="H3526" s="5">
        <v>100000</v>
      </c>
      <c r="I3526" s="4" t="s">
        <v>91</v>
      </c>
      <c r="J3526" s="5">
        <f t="shared" si="55"/>
        <v>-86770</v>
      </c>
      <c r="K3526" s="4" t="s">
        <v>30</v>
      </c>
      <c r="L3526" s="6">
        <v>0.86770000000000003</v>
      </c>
      <c r="M3526" s="6">
        <v>1.1524000000000001</v>
      </c>
      <c r="N3526" s="6">
        <v>4.2031999999999998</v>
      </c>
      <c r="O3526" s="6">
        <v>4.8432000000000004</v>
      </c>
      <c r="P3526" s="5">
        <v>56.163200000000003</v>
      </c>
      <c r="Q3526" s="4" t="s">
        <v>1391</v>
      </c>
    </row>
    <row r="3527" spans="1:17" x14ac:dyDescent="0.3">
      <c r="A3527" s="2" t="s">
        <v>1389</v>
      </c>
      <c r="B3527" s="3">
        <v>159199</v>
      </c>
      <c r="C3527" s="3">
        <v>910038</v>
      </c>
      <c r="D3527" s="4" t="s">
        <v>81</v>
      </c>
      <c r="E3527" s="4" t="s">
        <v>734</v>
      </c>
      <c r="F3527" s="4" t="s">
        <v>87</v>
      </c>
      <c r="G3527" s="4" t="s">
        <v>20</v>
      </c>
      <c r="H3527" s="5">
        <v>100000</v>
      </c>
      <c r="I3527" s="4" t="s">
        <v>34</v>
      </c>
      <c r="J3527" s="5">
        <f t="shared" si="55"/>
        <v>-118550</v>
      </c>
      <c r="K3527" s="4" t="s">
        <v>30</v>
      </c>
      <c r="L3527" s="6">
        <v>1.1855</v>
      </c>
      <c r="M3527" s="6">
        <v>0.84360000000000002</v>
      </c>
      <c r="N3527" s="6">
        <v>4.2031999999999998</v>
      </c>
      <c r="O3527" s="6">
        <v>3.5354000000000001</v>
      </c>
      <c r="P3527" s="5">
        <v>1212.4716000000001</v>
      </c>
      <c r="Q3527" s="4" t="s">
        <v>1393</v>
      </c>
    </row>
    <row r="3528" spans="1:17" x14ac:dyDescent="0.3">
      <c r="A3528" s="2" t="s">
        <v>1389</v>
      </c>
      <c r="B3528" s="3">
        <v>159202</v>
      </c>
      <c r="C3528" s="3">
        <v>220081</v>
      </c>
      <c r="D3528" s="4" t="s">
        <v>17</v>
      </c>
      <c r="E3528" s="4" t="s">
        <v>1030</v>
      </c>
      <c r="F3528" s="4" t="s">
        <v>32</v>
      </c>
      <c r="G3528" s="4" t="s">
        <v>34</v>
      </c>
      <c r="H3528" s="5">
        <v>-100000</v>
      </c>
      <c r="I3528" s="4" t="s">
        <v>21</v>
      </c>
      <c r="J3528" s="5">
        <f t="shared" si="55"/>
        <v>356300</v>
      </c>
      <c r="K3528" s="4" t="s">
        <v>53</v>
      </c>
      <c r="L3528" s="6">
        <v>3.5630000000000002</v>
      </c>
      <c r="M3528" s="6">
        <v>0.28070000000000001</v>
      </c>
      <c r="N3528" s="6">
        <v>3.5831</v>
      </c>
      <c r="O3528" s="6">
        <v>1</v>
      </c>
      <c r="P3528" s="5">
        <v>-2010</v>
      </c>
      <c r="Q3528" s="4" t="s">
        <v>1390</v>
      </c>
    </row>
    <row r="3529" spans="1:17" x14ac:dyDescent="0.3">
      <c r="A3529" s="2" t="s">
        <v>1389</v>
      </c>
      <c r="B3529" s="3">
        <v>159203</v>
      </c>
      <c r="C3529" s="3">
        <v>220087</v>
      </c>
      <c r="D3529" s="4" t="s">
        <v>17</v>
      </c>
      <c r="E3529" s="4" t="s">
        <v>757</v>
      </c>
      <c r="F3529" s="4" t="s">
        <v>19</v>
      </c>
      <c r="G3529" s="4" t="s">
        <v>20</v>
      </c>
      <c r="H3529" s="5">
        <v>10000</v>
      </c>
      <c r="I3529" s="4" t="s">
        <v>21</v>
      </c>
      <c r="J3529" s="5">
        <f t="shared" si="55"/>
        <v>-41910</v>
      </c>
      <c r="K3529" s="4" t="s">
        <v>53</v>
      </c>
      <c r="L3529" s="6">
        <v>4.1909999999999998</v>
      </c>
      <c r="M3529" s="6">
        <v>0.23860000000000001</v>
      </c>
      <c r="N3529" s="6">
        <v>4.2050000000000001</v>
      </c>
      <c r="O3529" s="6">
        <v>1</v>
      </c>
      <c r="P3529" s="5">
        <v>140</v>
      </c>
      <c r="Q3529" s="4" t="s">
        <v>1390</v>
      </c>
    </row>
    <row r="3530" spans="1:17" x14ac:dyDescent="0.3">
      <c r="A3530" s="2" t="s">
        <v>1389</v>
      </c>
      <c r="B3530" s="3">
        <v>159205</v>
      </c>
      <c r="C3530" s="3">
        <v>220093</v>
      </c>
      <c r="D3530" s="4" t="s">
        <v>17</v>
      </c>
      <c r="E3530" s="4" t="s">
        <v>1082</v>
      </c>
      <c r="F3530" s="4" t="s">
        <v>32</v>
      </c>
      <c r="G3530" s="4" t="s">
        <v>20</v>
      </c>
      <c r="H3530" s="5">
        <v>-11580</v>
      </c>
      <c r="I3530" s="4" t="s">
        <v>21</v>
      </c>
      <c r="J3530" s="5">
        <f t="shared" si="55"/>
        <v>48906.971999999994</v>
      </c>
      <c r="K3530" s="4" t="s">
        <v>53</v>
      </c>
      <c r="L3530" s="6">
        <v>4.2233999999999998</v>
      </c>
      <c r="M3530" s="6">
        <v>0.23680000000000001</v>
      </c>
      <c r="N3530" s="6">
        <v>4.2050000000000001</v>
      </c>
      <c r="O3530" s="6">
        <v>1</v>
      </c>
      <c r="P3530" s="5">
        <v>208.44</v>
      </c>
      <c r="Q3530" s="4" t="s">
        <v>1390</v>
      </c>
    </row>
    <row r="3531" spans="1:17" x14ac:dyDescent="0.3">
      <c r="A3531" s="2" t="s">
        <v>1389</v>
      </c>
      <c r="B3531" s="3">
        <v>159206</v>
      </c>
      <c r="C3531" s="3">
        <v>220096</v>
      </c>
      <c r="D3531" s="4" t="s">
        <v>17</v>
      </c>
      <c r="E3531" s="4" t="s">
        <v>930</v>
      </c>
      <c r="F3531" s="4" t="s">
        <v>19</v>
      </c>
      <c r="G3531" s="4" t="s">
        <v>20</v>
      </c>
      <c r="H3531" s="5">
        <v>50000</v>
      </c>
      <c r="I3531" s="4" t="s">
        <v>21</v>
      </c>
      <c r="J3531" s="5">
        <f t="shared" si="55"/>
        <v>-210000</v>
      </c>
      <c r="K3531" s="4" t="s">
        <v>53</v>
      </c>
      <c r="L3531" s="6">
        <v>4.2</v>
      </c>
      <c r="M3531" s="6">
        <v>0.23810000000000001</v>
      </c>
      <c r="N3531" s="6">
        <v>4.2050000000000001</v>
      </c>
      <c r="O3531" s="6">
        <v>1</v>
      </c>
      <c r="P3531" s="5">
        <v>250</v>
      </c>
      <c r="Q3531" s="4" t="s">
        <v>1390</v>
      </c>
    </row>
    <row r="3532" spans="1:17" x14ac:dyDescent="0.3">
      <c r="A3532" s="2" t="s">
        <v>1389</v>
      </c>
      <c r="B3532" s="3">
        <v>159207</v>
      </c>
      <c r="C3532" s="3">
        <v>220097</v>
      </c>
      <c r="D3532" s="4" t="s">
        <v>17</v>
      </c>
      <c r="E3532" s="4" t="s">
        <v>1243</v>
      </c>
      <c r="F3532" s="4" t="s">
        <v>32</v>
      </c>
      <c r="G3532" s="4" t="s">
        <v>20</v>
      </c>
      <c r="H3532" s="5">
        <v>-150000</v>
      </c>
      <c r="I3532" s="4" t="s">
        <v>21</v>
      </c>
      <c r="J3532" s="5">
        <f t="shared" si="55"/>
        <v>631395</v>
      </c>
      <c r="K3532" s="4" t="s">
        <v>53</v>
      </c>
      <c r="L3532" s="6">
        <v>4.2092999999999998</v>
      </c>
      <c r="M3532" s="6">
        <v>0.23760000000000001</v>
      </c>
      <c r="N3532" s="6">
        <v>4.2050000000000001</v>
      </c>
      <c r="O3532" s="6">
        <v>1</v>
      </c>
      <c r="P3532" s="5">
        <v>585</v>
      </c>
      <c r="Q3532" s="4" t="s">
        <v>1390</v>
      </c>
    </row>
    <row r="3533" spans="1:17" x14ac:dyDescent="0.3">
      <c r="A3533" s="2" t="s">
        <v>1389</v>
      </c>
      <c r="B3533" s="3">
        <v>159208</v>
      </c>
      <c r="C3533" s="3">
        <v>220098</v>
      </c>
      <c r="D3533" s="4" t="s">
        <v>17</v>
      </c>
      <c r="E3533" s="4" t="s">
        <v>886</v>
      </c>
      <c r="F3533" s="4" t="s">
        <v>19</v>
      </c>
      <c r="G3533" s="4" t="s">
        <v>20</v>
      </c>
      <c r="H3533" s="5">
        <v>5000</v>
      </c>
      <c r="I3533" s="4" t="s">
        <v>21</v>
      </c>
      <c r="J3533" s="5">
        <f t="shared" si="55"/>
        <v>-20966.999999999996</v>
      </c>
      <c r="K3533" s="4" t="s">
        <v>53</v>
      </c>
      <c r="L3533" s="6">
        <v>4.1933999999999996</v>
      </c>
      <c r="M3533" s="6">
        <v>0.23849999999999999</v>
      </c>
      <c r="N3533" s="6">
        <v>4.2050000000000001</v>
      </c>
      <c r="O3533" s="6">
        <v>1</v>
      </c>
      <c r="P3533" s="5">
        <v>58.000000000003638</v>
      </c>
      <c r="Q3533" s="4" t="s">
        <v>1390</v>
      </c>
    </row>
    <row r="3534" spans="1:17" x14ac:dyDescent="0.3">
      <c r="A3534" s="2" t="s">
        <v>1389</v>
      </c>
      <c r="B3534" s="3">
        <v>159211</v>
      </c>
      <c r="C3534" s="3">
        <v>910123</v>
      </c>
      <c r="D3534" s="4" t="s">
        <v>81</v>
      </c>
      <c r="E3534" s="4" t="s">
        <v>735</v>
      </c>
      <c r="F3534" s="4" t="s">
        <v>87</v>
      </c>
      <c r="G3534" s="4" t="s">
        <v>20</v>
      </c>
      <c r="H3534" s="5">
        <v>500000</v>
      </c>
      <c r="I3534" s="4" t="s">
        <v>21</v>
      </c>
      <c r="J3534" s="5">
        <f t="shared" si="55"/>
        <v>-2103600</v>
      </c>
      <c r="K3534" s="4" t="s">
        <v>30</v>
      </c>
      <c r="L3534" s="6">
        <v>4.2072000000000003</v>
      </c>
      <c r="M3534" s="6">
        <v>0.23769999999999999</v>
      </c>
      <c r="N3534" s="6">
        <v>4.2031999999999998</v>
      </c>
      <c r="O3534" s="6">
        <v>1</v>
      </c>
      <c r="P3534" s="5">
        <v>-2000</v>
      </c>
      <c r="Q3534" s="4" t="s">
        <v>1394</v>
      </c>
    </row>
    <row r="3535" spans="1:17" x14ac:dyDescent="0.3">
      <c r="A3535" s="2" t="s">
        <v>1389</v>
      </c>
      <c r="B3535" s="3">
        <v>159213</v>
      </c>
      <c r="C3535" s="3">
        <v>220103</v>
      </c>
      <c r="D3535" s="4" t="s">
        <v>17</v>
      </c>
      <c r="E3535" s="4" t="s">
        <v>1211</v>
      </c>
      <c r="F3535" s="4" t="s">
        <v>32</v>
      </c>
      <c r="G3535" s="4" t="s">
        <v>20</v>
      </c>
      <c r="H3535" s="5">
        <v>-475307.76</v>
      </c>
      <c r="I3535" s="4" t="s">
        <v>21</v>
      </c>
      <c r="J3535" s="5">
        <f t="shared" si="55"/>
        <v>2000332.70796</v>
      </c>
      <c r="K3535" s="4" t="s">
        <v>53</v>
      </c>
      <c r="L3535" s="6">
        <v>4.2084999999999999</v>
      </c>
      <c r="M3535" s="6">
        <v>0.23760000000000001</v>
      </c>
      <c r="N3535" s="6">
        <v>4.2050000000000001</v>
      </c>
      <c r="O3535" s="6">
        <v>1</v>
      </c>
      <c r="P3535" s="5">
        <v>1330.8692000000001</v>
      </c>
      <c r="Q3535" s="4" t="s">
        <v>1390</v>
      </c>
    </row>
    <row r="3536" spans="1:17" x14ac:dyDescent="0.3">
      <c r="A3536" s="2" t="s">
        <v>1389</v>
      </c>
      <c r="B3536" s="3">
        <v>159215</v>
      </c>
      <c r="C3536" s="3">
        <v>220109</v>
      </c>
      <c r="D3536" s="4" t="s">
        <v>17</v>
      </c>
      <c r="E3536" s="4" t="s">
        <v>806</v>
      </c>
      <c r="F3536" s="4" t="s">
        <v>19</v>
      </c>
      <c r="G3536" s="4" t="s">
        <v>20</v>
      </c>
      <c r="H3536" s="5">
        <v>35000</v>
      </c>
      <c r="I3536" s="4" t="s">
        <v>21</v>
      </c>
      <c r="J3536" s="5">
        <f t="shared" si="55"/>
        <v>-147000</v>
      </c>
      <c r="K3536" s="4" t="s">
        <v>53</v>
      </c>
      <c r="L3536" s="6">
        <v>4.2</v>
      </c>
      <c r="M3536" s="6">
        <v>0.23810000000000001</v>
      </c>
      <c r="N3536" s="6">
        <v>4.2050000000000001</v>
      </c>
      <c r="O3536" s="6">
        <v>1</v>
      </c>
      <c r="P3536" s="5">
        <v>175</v>
      </c>
      <c r="Q3536" s="4" t="s">
        <v>1390</v>
      </c>
    </row>
    <row r="3537" spans="1:17" x14ac:dyDescent="0.3">
      <c r="A3537" s="2" t="s">
        <v>1389</v>
      </c>
      <c r="B3537" s="3">
        <v>159218</v>
      </c>
      <c r="C3537" s="3">
        <v>220115</v>
      </c>
      <c r="D3537" s="4" t="s">
        <v>17</v>
      </c>
      <c r="E3537" s="4" t="s">
        <v>1111</v>
      </c>
      <c r="F3537" s="4" t="s">
        <v>19</v>
      </c>
      <c r="G3537" s="4" t="s">
        <v>20</v>
      </c>
      <c r="H3537" s="5">
        <v>80000</v>
      </c>
      <c r="I3537" s="4" t="s">
        <v>21</v>
      </c>
      <c r="J3537" s="5">
        <f t="shared" si="55"/>
        <v>-332272.00000000006</v>
      </c>
      <c r="K3537" s="4" t="s">
        <v>53</v>
      </c>
      <c r="L3537" s="6">
        <v>4.1534000000000004</v>
      </c>
      <c r="M3537" s="6">
        <v>0.24079999999999999</v>
      </c>
      <c r="N3537" s="6">
        <v>4.2050000000000001</v>
      </c>
      <c r="O3537" s="6">
        <v>1</v>
      </c>
      <c r="P3537" s="5">
        <v>4127.9999999999418</v>
      </c>
      <c r="Q3537" s="4" t="s">
        <v>1390</v>
      </c>
    </row>
    <row r="3538" spans="1:17" x14ac:dyDescent="0.3">
      <c r="A3538" s="2" t="s">
        <v>1389</v>
      </c>
      <c r="B3538" s="3">
        <v>159220</v>
      </c>
      <c r="C3538" s="3">
        <v>220118</v>
      </c>
      <c r="D3538" s="4" t="s">
        <v>17</v>
      </c>
      <c r="E3538" s="4" t="s">
        <v>1271</v>
      </c>
      <c r="F3538" s="4" t="s">
        <v>19</v>
      </c>
      <c r="G3538" s="4" t="s">
        <v>20</v>
      </c>
      <c r="H3538" s="5">
        <v>65000</v>
      </c>
      <c r="I3538" s="4" t="s">
        <v>91</v>
      </c>
      <c r="J3538" s="5">
        <f t="shared" si="55"/>
        <v>-56095</v>
      </c>
      <c r="K3538" s="4" t="s">
        <v>53</v>
      </c>
      <c r="L3538" s="6">
        <v>0.86299999999999999</v>
      </c>
      <c r="M3538" s="6">
        <v>1.1587000000000001</v>
      </c>
      <c r="N3538" s="6">
        <v>4.2050000000000001</v>
      </c>
      <c r="O3538" s="6">
        <v>4.8478000000000003</v>
      </c>
      <c r="P3538" s="5">
        <v>1387.6589999999851</v>
      </c>
      <c r="Q3538" s="4" t="s">
        <v>1390</v>
      </c>
    </row>
    <row r="3539" spans="1:17" x14ac:dyDescent="0.3">
      <c r="A3539" s="2" t="s">
        <v>1389</v>
      </c>
      <c r="B3539" s="3">
        <v>159221</v>
      </c>
      <c r="C3539" s="3">
        <v>220124</v>
      </c>
      <c r="D3539" s="4" t="s">
        <v>17</v>
      </c>
      <c r="E3539" s="4" t="s">
        <v>1337</v>
      </c>
      <c r="F3539" s="4" t="s">
        <v>32</v>
      </c>
      <c r="G3539" s="4" t="s">
        <v>20</v>
      </c>
      <c r="H3539" s="5">
        <v>-25000</v>
      </c>
      <c r="I3539" s="4" t="s">
        <v>21</v>
      </c>
      <c r="J3539" s="5">
        <f t="shared" si="55"/>
        <v>105400</v>
      </c>
      <c r="K3539" s="4" t="s">
        <v>53</v>
      </c>
      <c r="L3539" s="6">
        <v>4.2160000000000002</v>
      </c>
      <c r="M3539" s="6">
        <v>0.23719999999999999</v>
      </c>
      <c r="N3539" s="6">
        <v>4.2050000000000001</v>
      </c>
      <c r="O3539" s="6">
        <v>1</v>
      </c>
      <c r="P3539" s="5">
        <v>275</v>
      </c>
      <c r="Q3539" s="4" t="s">
        <v>1390</v>
      </c>
    </row>
    <row r="3540" spans="1:17" x14ac:dyDescent="0.3">
      <c r="A3540" s="2" t="s">
        <v>1389</v>
      </c>
      <c r="B3540" s="3">
        <v>159226</v>
      </c>
      <c r="C3540" s="3">
        <v>220128</v>
      </c>
      <c r="D3540" s="4" t="s">
        <v>17</v>
      </c>
      <c r="E3540" s="4" t="s">
        <v>1127</v>
      </c>
      <c r="F3540" s="4" t="s">
        <v>32</v>
      </c>
      <c r="G3540" s="4" t="s">
        <v>20</v>
      </c>
      <c r="H3540" s="5">
        <v>-25000</v>
      </c>
      <c r="I3540" s="4" t="s">
        <v>21</v>
      </c>
      <c r="J3540" s="5">
        <f t="shared" si="55"/>
        <v>105382.5</v>
      </c>
      <c r="K3540" s="4" t="s">
        <v>54</v>
      </c>
      <c r="L3540" s="6">
        <v>4.2153</v>
      </c>
      <c r="M3540" s="6">
        <v>0.23719999999999999</v>
      </c>
      <c r="N3540" s="6">
        <v>4.2118000000000002</v>
      </c>
      <c r="O3540" s="6">
        <v>1</v>
      </c>
      <c r="P3540" s="5">
        <v>82.5</v>
      </c>
      <c r="Q3540" s="4" t="s">
        <v>1390</v>
      </c>
    </row>
    <row r="3541" spans="1:17" x14ac:dyDescent="0.3">
      <c r="A3541" s="2" t="s">
        <v>1389</v>
      </c>
      <c r="B3541" s="3">
        <v>159227</v>
      </c>
      <c r="C3541" s="3">
        <v>220129</v>
      </c>
      <c r="D3541" s="4" t="s">
        <v>17</v>
      </c>
      <c r="E3541" s="4" t="s">
        <v>1007</v>
      </c>
      <c r="F3541" s="4" t="s">
        <v>19</v>
      </c>
      <c r="G3541" s="4" t="s">
        <v>20</v>
      </c>
      <c r="H3541" s="5">
        <v>220000</v>
      </c>
      <c r="I3541" s="4" t="s">
        <v>21</v>
      </c>
      <c r="J3541" s="5">
        <f t="shared" si="55"/>
        <v>-924549.99999999988</v>
      </c>
      <c r="K3541" s="4" t="s">
        <v>53</v>
      </c>
      <c r="L3541" s="6">
        <v>4.2024999999999997</v>
      </c>
      <c r="M3541" s="6">
        <v>0.23799999999999999</v>
      </c>
      <c r="N3541" s="6">
        <v>4.2050000000000001</v>
      </c>
      <c r="O3541" s="6">
        <v>1</v>
      </c>
      <c r="P3541" s="5">
        <v>550.00000000011642</v>
      </c>
      <c r="Q3541" s="4" t="s">
        <v>1390</v>
      </c>
    </row>
    <row r="3542" spans="1:17" x14ac:dyDescent="0.3">
      <c r="A3542" s="2" t="s">
        <v>1389</v>
      </c>
      <c r="B3542" s="3">
        <v>159228</v>
      </c>
      <c r="C3542" s="3">
        <v>220130</v>
      </c>
      <c r="D3542" s="4" t="s">
        <v>17</v>
      </c>
      <c r="E3542" s="4" t="s">
        <v>1204</v>
      </c>
      <c r="F3542" s="4" t="s">
        <v>32</v>
      </c>
      <c r="G3542" s="4" t="s">
        <v>20</v>
      </c>
      <c r="H3542" s="5">
        <v>-6000</v>
      </c>
      <c r="I3542" s="4" t="s">
        <v>21</v>
      </c>
      <c r="J3542" s="5">
        <f t="shared" si="55"/>
        <v>25275.000000000004</v>
      </c>
      <c r="K3542" s="4" t="s">
        <v>53</v>
      </c>
      <c r="L3542" s="6">
        <v>4.2125000000000004</v>
      </c>
      <c r="M3542" s="6">
        <v>0.2374</v>
      </c>
      <c r="N3542" s="6">
        <v>4.2050000000000001</v>
      </c>
      <c r="O3542" s="6">
        <v>1</v>
      </c>
      <c r="P3542" s="5">
        <v>45</v>
      </c>
      <c r="Q3542" s="4" t="s">
        <v>1390</v>
      </c>
    </row>
    <row r="3543" spans="1:17" x14ac:dyDescent="0.3">
      <c r="A3543" s="2" t="s">
        <v>1389</v>
      </c>
      <c r="B3543" s="3">
        <v>159230</v>
      </c>
      <c r="C3543" s="3">
        <v>220136</v>
      </c>
      <c r="D3543" s="4" t="s">
        <v>17</v>
      </c>
      <c r="E3543" s="4" t="s">
        <v>1042</v>
      </c>
      <c r="F3543" s="4" t="s">
        <v>19</v>
      </c>
      <c r="G3543" s="4" t="s">
        <v>20</v>
      </c>
      <c r="H3543" s="5">
        <v>29000</v>
      </c>
      <c r="I3543" s="4" t="s">
        <v>21</v>
      </c>
      <c r="J3543" s="5">
        <f t="shared" si="55"/>
        <v>-121828.99999999999</v>
      </c>
      <c r="K3543" s="4" t="s">
        <v>53</v>
      </c>
      <c r="L3543" s="6">
        <v>4.2009999999999996</v>
      </c>
      <c r="M3543" s="6">
        <v>0.23799999999999999</v>
      </c>
      <c r="N3543" s="6">
        <v>4.2050000000000001</v>
      </c>
      <c r="O3543" s="6">
        <v>1</v>
      </c>
      <c r="P3543" s="5">
        <v>116.00000000001455</v>
      </c>
      <c r="Q3543" s="4" t="s">
        <v>1390</v>
      </c>
    </row>
    <row r="3544" spans="1:17" x14ac:dyDescent="0.3">
      <c r="A3544" s="2" t="s">
        <v>1389</v>
      </c>
      <c r="B3544" s="3">
        <v>159231</v>
      </c>
      <c r="C3544" s="3">
        <v>910246</v>
      </c>
      <c r="D3544" s="4" t="s">
        <v>81</v>
      </c>
      <c r="E3544" s="4" t="s">
        <v>739</v>
      </c>
      <c r="F3544" s="4" t="s">
        <v>83</v>
      </c>
      <c r="G3544" s="4" t="s">
        <v>20</v>
      </c>
      <c r="H3544" s="5">
        <v>-100000</v>
      </c>
      <c r="I3544" s="4" t="s">
        <v>91</v>
      </c>
      <c r="J3544" s="5">
        <f t="shared" si="55"/>
        <v>86770</v>
      </c>
      <c r="K3544" s="4" t="s">
        <v>30</v>
      </c>
      <c r="L3544" s="6">
        <v>0.86770000000000003</v>
      </c>
      <c r="M3544" s="6">
        <v>1.1525000000000001</v>
      </c>
      <c r="N3544" s="6">
        <v>4.2031999999999998</v>
      </c>
      <c r="O3544" s="6">
        <v>4.8432000000000004</v>
      </c>
      <c r="P3544" s="5">
        <v>-90.065600000000003</v>
      </c>
      <c r="Q3544" s="4" t="s">
        <v>1391</v>
      </c>
    </row>
    <row r="3545" spans="1:17" x14ac:dyDescent="0.3">
      <c r="A3545" s="2" t="s">
        <v>1389</v>
      </c>
      <c r="B3545" s="3">
        <v>159232</v>
      </c>
      <c r="C3545" s="3">
        <v>910247</v>
      </c>
      <c r="D3545" s="4" t="s">
        <v>81</v>
      </c>
      <c r="E3545" s="4" t="s">
        <v>734</v>
      </c>
      <c r="F3545" s="4" t="s">
        <v>83</v>
      </c>
      <c r="G3545" s="4" t="s">
        <v>20</v>
      </c>
      <c r="H3545" s="5">
        <v>-100000</v>
      </c>
      <c r="I3545" s="4" t="s">
        <v>34</v>
      </c>
      <c r="J3545" s="5">
        <f t="shared" si="55"/>
        <v>118460.00000000001</v>
      </c>
      <c r="K3545" s="4" t="s">
        <v>30</v>
      </c>
      <c r="L3545" s="6">
        <v>1.1846000000000001</v>
      </c>
      <c r="M3545" s="6">
        <v>0.84419999999999995</v>
      </c>
      <c r="N3545" s="6">
        <v>4.2031999999999998</v>
      </c>
      <c r="O3545" s="6">
        <v>3.5354000000000001</v>
      </c>
      <c r="P3545" s="5">
        <v>-1523.5868</v>
      </c>
      <c r="Q3545" s="4" t="s">
        <v>1393</v>
      </c>
    </row>
    <row r="3546" spans="1:17" x14ac:dyDescent="0.3">
      <c r="A3546" s="2" t="s">
        <v>1389</v>
      </c>
      <c r="B3546" s="3">
        <v>159233</v>
      </c>
      <c r="C3546" s="3">
        <v>910248</v>
      </c>
      <c r="D3546" s="4" t="s">
        <v>81</v>
      </c>
      <c r="E3546" s="4" t="s">
        <v>734</v>
      </c>
      <c r="F3546" s="4" t="s">
        <v>83</v>
      </c>
      <c r="G3546" s="4" t="s">
        <v>20</v>
      </c>
      <c r="H3546" s="5">
        <v>-100000</v>
      </c>
      <c r="I3546" s="4" t="s">
        <v>34</v>
      </c>
      <c r="J3546" s="5">
        <f t="shared" si="55"/>
        <v>118460.00000000001</v>
      </c>
      <c r="K3546" s="4" t="s">
        <v>30</v>
      </c>
      <c r="L3546" s="6">
        <v>1.1846000000000001</v>
      </c>
      <c r="M3546" s="6">
        <v>0.84419999999999995</v>
      </c>
      <c r="N3546" s="6">
        <v>4.2031999999999998</v>
      </c>
      <c r="O3546" s="6">
        <v>3.5354000000000001</v>
      </c>
      <c r="P3546" s="5">
        <v>-1512.9806000000001</v>
      </c>
      <c r="Q3546" s="4" t="s">
        <v>1393</v>
      </c>
    </row>
    <row r="3547" spans="1:17" x14ac:dyDescent="0.3">
      <c r="A3547" s="2" t="s">
        <v>1389</v>
      </c>
      <c r="B3547" s="3">
        <v>159234</v>
      </c>
      <c r="C3547" s="3">
        <v>220141</v>
      </c>
      <c r="D3547" s="4" t="s">
        <v>17</v>
      </c>
      <c r="E3547" s="4" t="s">
        <v>772</v>
      </c>
      <c r="F3547" s="4" t="s">
        <v>19</v>
      </c>
      <c r="G3547" s="4" t="s">
        <v>20</v>
      </c>
      <c r="H3547" s="5">
        <v>39000</v>
      </c>
      <c r="I3547" s="4" t="s">
        <v>21</v>
      </c>
      <c r="J3547" s="5">
        <f t="shared" si="55"/>
        <v>-163870.20000000001</v>
      </c>
      <c r="K3547" s="4" t="s">
        <v>53</v>
      </c>
      <c r="L3547" s="6">
        <v>4.2018000000000004</v>
      </c>
      <c r="M3547" s="6">
        <v>0.23799999999999999</v>
      </c>
      <c r="N3547" s="6">
        <v>4.2050000000000001</v>
      </c>
      <c r="O3547" s="6">
        <v>1</v>
      </c>
      <c r="P3547" s="5">
        <v>124.79999999998836</v>
      </c>
      <c r="Q3547" s="4" t="s">
        <v>1390</v>
      </c>
    </row>
    <row r="3548" spans="1:17" x14ac:dyDescent="0.3">
      <c r="A3548" s="2" t="s">
        <v>1389</v>
      </c>
      <c r="B3548" s="3">
        <v>159235</v>
      </c>
      <c r="C3548" s="3">
        <v>910274</v>
      </c>
      <c r="D3548" s="4" t="s">
        <v>81</v>
      </c>
      <c r="E3548" s="4" t="s">
        <v>742</v>
      </c>
      <c r="F3548" s="4" t="s">
        <v>87</v>
      </c>
      <c r="G3548" s="4" t="s">
        <v>20</v>
      </c>
      <c r="H3548" s="5">
        <v>500000</v>
      </c>
      <c r="I3548" s="4" t="s">
        <v>21</v>
      </c>
      <c r="J3548" s="5">
        <f t="shared" si="55"/>
        <v>-2103850</v>
      </c>
      <c r="K3548" s="4" t="s">
        <v>30</v>
      </c>
      <c r="L3548" s="6">
        <v>4.2077</v>
      </c>
      <c r="M3548" s="6">
        <v>0.23769999999999999</v>
      </c>
      <c r="N3548" s="6">
        <v>4.2031999999999998</v>
      </c>
      <c r="O3548" s="6">
        <v>1</v>
      </c>
      <c r="P3548" s="5">
        <v>-2275</v>
      </c>
      <c r="Q3548" s="4" t="s">
        <v>1396</v>
      </c>
    </row>
    <row r="3549" spans="1:17" x14ac:dyDescent="0.3">
      <c r="A3549" s="2" t="s">
        <v>1389</v>
      </c>
      <c r="B3549" s="3">
        <v>159236</v>
      </c>
      <c r="C3549" s="3">
        <v>910275</v>
      </c>
      <c r="D3549" s="4" t="s">
        <v>81</v>
      </c>
      <c r="E3549" s="4" t="s">
        <v>733</v>
      </c>
      <c r="F3549" s="4" t="s">
        <v>87</v>
      </c>
      <c r="G3549" s="4" t="s">
        <v>20</v>
      </c>
      <c r="H3549" s="5">
        <v>500000</v>
      </c>
      <c r="I3549" s="4" t="s">
        <v>21</v>
      </c>
      <c r="J3549" s="5">
        <f t="shared" si="55"/>
        <v>-2103850</v>
      </c>
      <c r="K3549" s="4" t="s">
        <v>30</v>
      </c>
      <c r="L3549" s="6">
        <v>4.2077</v>
      </c>
      <c r="M3549" s="6">
        <v>0.23769999999999999</v>
      </c>
      <c r="N3549" s="6">
        <v>4.2031999999999998</v>
      </c>
      <c r="O3549" s="6">
        <v>1</v>
      </c>
      <c r="P3549" s="5">
        <v>-2235</v>
      </c>
      <c r="Q3549" s="4" t="s">
        <v>1391</v>
      </c>
    </row>
    <row r="3550" spans="1:17" x14ac:dyDescent="0.3">
      <c r="A3550" s="2" t="s">
        <v>1389</v>
      </c>
      <c r="B3550" s="3">
        <v>159237</v>
      </c>
      <c r="C3550" s="3">
        <v>220145</v>
      </c>
      <c r="D3550" s="4" t="s">
        <v>17</v>
      </c>
      <c r="E3550" s="4" t="s">
        <v>1126</v>
      </c>
      <c r="F3550" s="4" t="s">
        <v>32</v>
      </c>
      <c r="G3550" s="4" t="s">
        <v>20</v>
      </c>
      <c r="H3550" s="5">
        <v>-1080000</v>
      </c>
      <c r="I3550" s="4" t="s">
        <v>21</v>
      </c>
      <c r="J3550" s="5">
        <f t="shared" si="55"/>
        <v>4546152</v>
      </c>
      <c r="K3550" s="4" t="s">
        <v>55</v>
      </c>
      <c r="L3550" s="6">
        <v>4.2093999999999996</v>
      </c>
      <c r="M3550" s="6">
        <v>0.23760000000000001</v>
      </c>
      <c r="N3550" s="6">
        <v>4.2008999999999999</v>
      </c>
      <c r="O3550" s="6">
        <v>1</v>
      </c>
      <c r="P3550" s="5">
        <v>9396</v>
      </c>
      <c r="Q3550" s="4" t="s">
        <v>1390</v>
      </c>
    </row>
    <row r="3551" spans="1:17" x14ac:dyDescent="0.3">
      <c r="A3551" s="2" t="s">
        <v>1389</v>
      </c>
      <c r="B3551" s="3">
        <v>159238</v>
      </c>
      <c r="C3551" s="3">
        <v>220146</v>
      </c>
      <c r="D3551" s="4" t="s">
        <v>17</v>
      </c>
      <c r="E3551" s="4" t="s">
        <v>772</v>
      </c>
      <c r="F3551" s="4" t="s">
        <v>32</v>
      </c>
      <c r="G3551" s="4" t="s">
        <v>34</v>
      </c>
      <c r="H3551" s="5">
        <v>-3000</v>
      </c>
      <c r="I3551" s="4" t="s">
        <v>21</v>
      </c>
      <c r="J3551" s="5">
        <f t="shared" si="55"/>
        <v>10672.199999999999</v>
      </c>
      <c r="K3551" s="4" t="s">
        <v>53</v>
      </c>
      <c r="L3551" s="6">
        <v>3.5573999999999999</v>
      </c>
      <c r="M3551" s="6">
        <v>0.28110000000000002</v>
      </c>
      <c r="N3551" s="6">
        <v>3.5831</v>
      </c>
      <c r="O3551" s="6">
        <v>1</v>
      </c>
      <c r="P3551" s="5">
        <v>-77.099999999999994</v>
      </c>
      <c r="Q3551" s="4" t="s">
        <v>1390</v>
      </c>
    </row>
    <row r="3552" spans="1:17" x14ac:dyDescent="0.3">
      <c r="A3552" s="2" t="s">
        <v>1389</v>
      </c>
      <c r="B3552" s="3">
        <v>159239</v>
      </c>
      <c r="C3552" s="3">
        <v>220148</v>
      </c>
      <c r="D3552" s="4" t="s">
        <v>17</v>
      </c>
      <c r="E3552" s="4" t="s">
        <v>1192</v>
      </c>
      <c r="F3552" s="4" t="s">
        <v>19</v>
      </c>
      <c r="G3552" s="4" t="s">
        <v>20</v>
      </c>
      <c r="H3552" s="5">
        <v>300000</v>
      </c>
      <c r="I3552" s="4" t="s">
        <v>21</v>
      </c>
      <c r="J3552" s="5">
        <f t="shared" si="55"/>
        <v>-1261620</v>
      </c>
      <c r="K3552" s="4" t="s">
        <v>53</v>
      </c>
      <c r="L3552" s="6">
        <v>4.2054</v>
      </c>
      <c r="M3552" s="6">
        <v>0.23780000000000001</v>
      </c>
      <c r="N3552" s="6">
        <v>4.2050000000000001</v>
      </c>
      <c r="O3552" s="6">
        <v>1</v>
      </c>
      <c r="P3552" s="5">
        <v>-120</v>
      </c>
      <c r="Q3552" s="4" t="s">
        <v>1390</v>
      </c>
    </row>
    <row r="3553" spans="1:17" x14ac:dyDescent="0.3">
      <c r="A3553" s="2" t="s">
        <v>1389</v>
      </c>
      <c r="B3553" s="3">
        <v>159240</v>
      </c>
      <c r="C3553" s="3">
        <v>220151</v>
      </c>
      <c r="D3553" s="4" t="s">
        <v>17</v>
      </c>
      <c r="E3553" s="4" t="s">
        <v>1042</v>
      </c>
      <c r="F3553" s="4" t="s">
        <v>19</v>
      </c>
      <c r="G3553" s="4" t="s">
        <v>20</v>
      </c>
      <c r="H3553" s="5">
        <v>78229.09</v>
      </c>
      <c r="I3553" s="4" t="s">
        <v>21</v>
      </c>
      <c r="J3553" s="5">
        <f t="shared" si="55"/>
        <v>-328663.87581699999</v>
      </c>
      <c r="K3553" s="4" t="s">
        <v>53</v>
      </c>
      <c r="L3553" s="6">
        <v>4.2012999999999998</v>
      </c>
      <c r="M3553" s="6">
        <v>0.23799999999999999</v>
      </c>
      <c r="N3553" s="6">
        <v>4.2050000000000001</v>
      </c>
      <c r="O3553" s="6">
        <v>1</v>
      </c>
      <c r="P3553" s="5">
        <v>289.4476329999743</v>
      </c>
      <c r="Q3553" s="4" t="s">
        <v>1390</v>
      </c>
    </row>
    <row r="3554" spans="1:17" x14ac:dyDescent="0.3">
      <c r="A3554" s="2" t="s">
        <v>1389</v>
      </c>
      <c r="B3554" s="3">
        <v>159241</v>
      </c>
      <c r="C3554" s="3">
        <v>220152</v>
      </c>
      <c r="D3554" s="4" t="s">
        <v>17</v>
      </c>
      <c r="E3554" s="4" t="s">
        <v>910</v>
      </c>
      <c r="F3554" s="4" t="s">
        <v>19</v>
      </c>
      <c r="G3554" s="4" t="s">
        <v>20</v>
      </c>
      <c r="H3554" s="5">
        <v>100000</v>
      </c>
      <c r="I3554" s="4" t="s">
        <v>21</v>
      </c>
      <c r="J3554" s="5">
        <f t="shared" si="55"/>
        <v>-420439.99999999994</v>
      </c>
      <c r="K3554" s="4" t="s">
        <v>53</v>
      </c>
      <c r="L3554" s="6">
        <v>4.2043999999999997</v>
      </c>
      <c r="M3554" s="6">
        <v>0.23780000000000001</v>
      </c>
      <c r="N3554" s="6">
        <v>4.2050000000000001</v>
      </c>
      <c r="O3554" s="6">
        <v>1</v>
      </c>
      <c r="P3554" s="5">
        <v>60.000000000058208</v>
      </c>
      <c r="Q3554" s="4" t="s">
        <v>1390</v>
      </c>
    </row>
    <row r="3555" spans="1:17" x14ac:dyDescent="0.3">
      <c r="A3555" s="2" t="s">
        <v>1389</v>
      </c>
      <c r="B3555" s="3">
        <v>159242</v>
      </c>
      <c r="C3555" s="3">
        <v>220153</v>
      </c>
      <c r="D3555" s="4" t="s">
        <v>17</v>
      </c>
      <c r="E3555" s="4" t="s">
        <v>1290</v>
      </c>
      <c r="F3555" s="4" t="s">
        <v>19</v>
      </c>
      <c r="G3555" s="4" t="s">
        <v>20</v>
      </c>
      <c r="H3555" s="5">
        <v>100000</v>
      </c>
      <c r="I3555" s="4" t="s">
        <v>21</v>
      </c>
      <c r="J3555" s="5">
        <f t="shared" si="55"/>
        <v>-420439.99999999994</v>
      </c>
      <c r="K3555" s="4" t="s">
        <v>53</v>
      </c>
      <c r="L3555" s="6">
        <v>4.2043999999999997</v>
      </c>
      <c r="M3555" s="6">
        <v>0.23780000000000001</v>
      </c>
      <c r="N3555" s="6">
        <v>4.2050000000000001</v>
      </c>
      <c r="O3555" s="6">
        <v>1</v>
      </c>
      <c r="P3555" s="5">
        <v>60.000000000058208</v>
      </c>
      <c r="Q3555" s="4" t="s">
        <v>1390</v>
      </c>
    </row>
    <row r="3556" spans="1:17" x14ac:dyDescent="0.3">
      <c r="A3556" s="2" t="s">
        <v>1389</v>
      </c>
      <c r="B3556" s="3">
        <v>159243</v>
      </c>
      <c r="C3556" s="3">
        <v>220154</v>
      </c>
      <c r="D3556" s="4" t="s">
        <v>17</v>
      </c>
      <c r="E3556" s="4" t="s">
        <v>909</v>
      </c>
      <c r="F3556" s="4" t="s">
        <v>19</v>
      </c>
      <c r="G3556" s="4" t="s">
        <v>20</v>
      </c>
      <c r="H3556" s="5">
        <v>100000</v>
      </c>
      <c r="I3556" s="4" t="s">
        <v>21</v>
      </c>
      <c r="J3556" s="5">
        <f t="shared" si="55"/>
        <v>-420439.99999999994</v>
      </c>
      <c r="K3556" s="4" t="s">
        <v>53</v>
      </c>
      <c r="L3556" s="6">
        <v>4.2043999999999997</v>
      </c>
      <c r="M3556" s="6">
        <v>0.23780000000000001</v>
      </c>
      <c r="N3556" s="6">
        <v>4.2050000000000001</v>
      </c>
      <c r="O3556" s="6">
        <v>1</v>
      </c>
      <c r="P3556" s="5">
        <v>60.000000000058208</v>
      </c>
      <c r="Q3556" s="4" t="s">
        <v>1390</v>
      </c>
    </row>
    <row r="3557" spans="1:17" x14ac:dyDescent="0.3">
      <c r="A3557" s="2" t="s">
        <v>1389</v>
      </c>
      <c r="B3557" s="3">
        <v>159245</v>
      </c>
      <c r="C3557" s="3">
        <v>910310</v>
      </c>
      <c r="D3557" s="4" t="s">
        <v>81</v>
      </c>
      <c r="E3557" s="4" t="s">
        <v>732</v>
      </c>
      <c r="F3557" s="4" t="s">
        <v>83</v>
      </c>
      <c r="G3557" s="4" t="s">
        <v>20</v>
      </c>
      <c r="H3557" s="5">
        <v>-500000</v>
      </c>
      <c r="I3557" s="4" t="s">
        <v>21</v>
      </c>
      <c r="J3557" s="5">
        <f t="shared" si="55"/>
        <v>2103800</v>
      </c>
      <c r="K3557" s="4" t="s">
        <v>30</v>
      </c>
      <c r="L3557" s="6">
        <v>4.2076000000000002</v>
      </c>
      <c r="M3557" s="6">
        <v>0.23769999999999999</v>
      </c>
      <c r="N3557" s="6">
        <v>4.2031999999999998</v>
      </c>
      <c r="O3557" s="6">
        <v>1</v>
      </c>
      <c r="P3557" s="5">
        <v>2200</v>
      </c>
      <c r="Q3557" s="4" t="s">
        <v>1394</v>
      </c>
    </row>
    <row r="3558" spans="1:17" x14ac:dyDescent="0.3">
      <c r="A3558" s="2" t="s">
        <v>1389</v>
      </c>
      <c r="B3558" s="3">
        <v>159246</v>
      </c>
      <c r="C3558" s="3">
        <v>220157</v>
      </c>
      <c r="D3558" s="4" t="s">
        <v>17</v>
      </c>
      <c r="E3558" s="4" t="s">
        <v>1088</v>
      </c>
      <c r="F3558" s="4" t="s">
        <v>19</v>
      </c>
      <c r="G3558" s="4" t="s">
        <v>20</v>
      </c>
      <c r="H3558" s="5">
        <v>230000</v>
      </c>
      <c r="I3558" s="4" t="s">
        <v>21</v>
      </c>
      <c r="J3558" s="5">
        <f t="shared" si="55"/>
        <v>-964389.99999999988</v>
      </c>
      <c r="K3558" s="4" t="s">
        <v>53</v>
      </c>
      <c r="L3558" s="6">
        <v>4.1929999999999996</v>
      </c>
      <c r="M3558" s="6">
        <v>0.23849999999999999</v>
      </c>
      <c r="N3558" s="6">
        <v>4.2050000000000001</v>
      </c>
      <c r="O3558" s="6">
        <v>1</v>
      </c>
      <c r="P3558" s="5">
        <v>2760.0000000001164</v>
      </c>
      <c r="Q3558" s="4" t="s">
        <v>1390</v>
      </c>
    </row>
    <row r="3559" spans="1:17" x14ac:dyDescent="0.3">
      <c r="A3559" s="2" t="s">
        <v>1389</v>
      </c>
      <c r="B3559" s="3">
        <v>159249</v>
      </c>
      <c r="C3559" s="3">
        <v>220165</v>
      </c>
      <c r="D3559" s="4" t="s">
        <v>17</v>
      </c>
      <c r="E3559" s="4" t="s">
        <v>790</v>
      </c>
      <c r="F3559" s="4" t="s">
        <v>32</v>
      </c>
      <c r="G3559" s="4" t="s">
        <v>20</v>
      </c>
      <c r="H3559" s="5">
        <v>-232759.2</v>
      </c>
      <c r="I3559" s="4" t="s">
        <v>21</v>
      </c>
      <c r="J3559" s="5">
        <f t="shared" si="55"/>
        <v>982011.06480000017</v>
      </c>
      <c r="K3559" s="4" t="s">
        <v>53</v>
      </c>
      <c r="L3559" s="6">
        <v>4.2190000000000003</v>
      </c>
      <c r="M3559" s="6">
        <v>0.23699999999999999</v>
      </c>
      <c r="N3559" s="6">
        <v>4.2050000000000001</v>
      </c>
      <c r="O3559" s="6">
        <v>1</v>
      </c>
      <c r="P3559" s="5">
        <v>3258.6239999999998</v>
      </c>
      <c r="Q3559" s="4" t="s">
        <v>1390</v>
      </c>
    </row>
    <row r="3560" spans="1:17" x14ac:dyDescent="0.3">
      <c r="A3560" s="2" t="s">
        <v>1389</v>
      </c>
      <c r="B3560" s="3">
        <v>159251</v>
      </c>
      <c r="C3560" s="3">
        <v>910343</v>
      </c>
      <c r="D3560" s="4" t="s">
        <v>81</v>
      </c>
      <c r="E3560" s="4" t="s">
        <v>734</v>
      </c>
      <c r="F3560" s="4" t="s">
        <v>83</v>
      </c>
      <c r="G3560" s="4" t="s">
        <v>20</v>
      </c>
      <c r="H3560" s="5">
        <v>-100000</v>
      </c>
      <c r="I3560" s="4" t="s">
        <v>34</v>
      </c>
      <c r="J3560" s="5">
        <f t="shared" si="55"/>
        <v>118540</v>
      </c>
      <c r="K3560" s="4" t="s">
        <v>30</v>
      </c>
      <c r="L3560" s="6">
        <v>1.1854</v>
      </c>
      <c r="M3560" s="6">
        <v>0.84360000000000002</v>
      </c>
      <c r="N3560" s="6">
        <v>4.2031999999999998</v>
      </c>
      <c r="O3560" s="6">
        <v>3.5354000000000001</v>
      </c>
      <c r="P3560" s="5">
        <v>-1233.684</v>
      </c>
      <c r="Q3560" s="4" t="s">
        <v>1393</v>
      </c>
    </row>
    <row r="3561" spans="1:17" x14ac:dyDescent="0.3">
      <c r="A3561" s="2" t="s">
        <v>1389</v>
      </c>
      <c r="B3561" s="3">
        <v>159252</v>
      </c>
      <c r="C3561" s="3">
        <v>910344</v>
      </c>
      <c r="D3561" s="4" t="s">
        <v>81</v>
      </c>
      <c r="E3561" s="4" t="s">
        <v>732</v>
      </c>
      <c r="F3561" s="4" t="s">
        <v>83</v>
      </c>
      <c r="G3561" s="4" t="s">
        <v>20</v>
      </c>
      <c r="H3561" s="5">
        <v>-500000</v>
      </c>
      <c r="I3561" s="4" t="s">
        <v>21</v>
      </c>
      <c r="J3561" s="5">
        <f t="shared" si="55"/>
        <v>2103050</v>
      </c>
      <c r="K3561" s="4" t="s">
        <v>30</v>
      </c>
      <c r="L3561" s="6">
        <v>4.2061000000000002</v>
      </c>
      <c r="M3561" s="6">
        <v>0.23769999999999999</v>
      </c>
      <c r="N3561" s="6">
        <v>4.2031999999999998</v>
      </c>
      <c r="O3561" s="6">
        <v>1</v>
      </c>
      <c r="P3561" s="5">
        <v>1450</v>
      </c>
      <c r="Q3561" s="4" t="s">
        <v>1394</v>
      </c>
    </row>
    <row r="3562" spans="1:17" x14ac:dyDescent="0.3">
      <c r="A3562" s="2" t="s">
        <v>1389</v>
      </c>
      <c r="B3562" s="3">
        <v>159254</v>
      </c>
      <c r="C3562" s="3">
        <v>910372</v>
      </c>
      <c r="D3562" s="4" t="s">
        <v>81</v>
      </c>
      <c r="E3562" s="4" t="s">
        <v>734</v>
      </c>
      <c r="F3562" s="4" t="s">
        <v>83</v>
      </c>
      <c r="G3562" s="4" t="s">
        <v>20</v>
      </c>
      <c r="H3562" s="5">
        <v>-100000</v>
      </c>
      <c r="I3562" s="4" t="s">
        <v>34</v>
      </c>
      <c r="J3562" s="5">
        <f t="shared" si="55"/>
        <v>118560</v>
      </c>
      <c r="K3562" s="4" t="s">
        <v>30</v>
      </c>
      <c r="L3562" s="6">
        <v>1.1856</v>
      </c>
      <c r="M3562" s="6">
        <v>0.84340000000000004</v>
      </c>
      <c r="N3562" s="6">
        <v>4.2031999999999998</v>
      </c>
      <c r="O3562" s="6">
        <v>3.5354000000000001</v>
      </c>
      <c r="P3562" s="5">
        <v>-1148.8344</v>
      </c>
      <c r="Q3562" s="4" t="s">
        <v>1393</v>
      </c>
    </row>
    <row r="3563" spans="1:17" x14ac:dyDescent="0.3">
      <c r="A3563" s="2" t="s">
        <v>1389</v>
      </c>
      <c r="B3563" s="3">
        <v>159255</v>
      </c>
      <c r="C3563" s="3">
        <v>220175</v>
      </c>
      <c r="D3563" s="4" t="s">
        <v>17</v>
      </c>
      <c r="E3563" s="4" t="s">
        <v>1314</v>
      </c>
      <c r="F3563" s="4" t="s">
        <v>19</v>
      </c>
      <c r="G3563" s="4" t="s">
        <v>20</v>
      </c>
      <c r="H3563" s="5">
        <v>11000</v>
      </c>
      <c r="I3563" s="4" t="s">
        <v>21</v>
      </c>
      <c r="J3563" s="5">
        <f t="shared" si="55"/>
        <v>-46117.5</v>
      </c>
      <c r="K3563" s="4" t="s">
        <v>53</v>
      </c>
      <c r="L3563" s="6">
        <v>4.1924999999999999</v>
      </c>
      <c r="M3563" s="6">
        <v>0.23849999999999999</v>
      </c>
      <c r="N3563" s="6">
        <v>4.2050000000000001</v>
      </c>
      <c r="O3563" s="6">
        <v>1</v>
      </c>
      <c r="P3563" s="5">
        <v>137.5</v>
      </c>
      <c r="Q3563" s="4" t="s">
        <v>1390</v>
      </c>
    </row>
    <row r="3564" spans="1:17" x14ac:dyDescent="0.3">
      <c r="A3564" s="2" t="s">
        <v>1389</v>
      </c>
      <c r="B3564" s="3">
        <v>159256</v>
      </c>
      <c r="C3564" s="3">
        <v>220176</v>
      </c>
      <c r="D3564" s="4" t="s">
        <v>17</v>
      </c>
      <c r="E3564" s="4" t="s">
        <v>1196</v>
      </c>
      <c r="F3564" s="4" t="s">
        <v>32</v>
      </c>
      <c r="G3564" s="4" t="s">
        <v>20</v>
      </c>
      <c r="H3564" s="5">
        <v>-29942.81</v>
      </c>
      <c r="I3564" s="4" t="s">
        <v>21</v>
      </c>
      <c r="J3564" s="5">
        <f t="shared" si="55"/>
        <v>126179.00134000002</v>
      </c>
      <c r="K3564" s="4" t="s">
        <v>53</v>
      </c>
      <c r="L3564" s="6">
        <v>4.2140000000000004</v>
      </c>
      <c r="M3564" s="6">
        <v>0.23730000000000001</v>
      </c>
      <c r="N3564" s="6">
        <v>4.2050000000000001</v>
      </c>
      <c r="O3564" s="6">
        <v>1</v>
      </c>
      <c r="P3564" s="5">
        <v>269.48394999999999</v>
      </c>
      <c r="Q3564" s="4" t="s">
        <v>1390</v>
      </c>
    </row>
    <row r="3565" spans="1:17" x14ac:dyDescent="0.3">
      <c r="A3565" s="2" t="s">
        <v>1389</v>
      </c>
      <c r="B3565" s="3">
        <v>159257</v>
      </c>
      <c r="C3565" s="3">
        <v>220183</v>
      </c>
      <c r="D3565" s="4" t="s">
        <v>17</v>
      </c>
      <c r="E3565" s="4" t="s">
        <v>836</v>
      </c>
      <c r="F3565" s="4" t="s">
        <v>32</v>
      </c>
      <c r="G3565" s="4" t="s">
        <v>91</v>
      </c>
      <c r="H3565" s="5">
        <v>-20000</v>
      </c>
      <c r="I3565" s="4" t="s">
        <v>21</v>
      </c>
      <c r="J3565" s="5">
        <f t="shared" si="55"/>
        <v>97000</v>
      </c>
      <c r="K3565" s="4" t="s">
        <v>53</v>
      </c>
      <c r="L3565" s="6">
        <v>4.8499999999999996</v>
      </c>
      <c r="M3565" s="6">
        <v>0.20619999999999999</v>
      </c>
      <c r="N3565" s="6">
        <v>4.8478000000000003</v>
      </c>
      <c r="O3565" s="6">
        <v>1</v>
      </c>
      <c r="P3565" s="5">
        <v>44</v>
      </c>
      <c r="Q3565" s="4" t="s">
        <v>1390</v>
      </c>
    </row>
    <row r="3566" spans="1:17" x14ac:dyDescent="0.3">
      <c r="A3566" s="2" t="s">
        <v>1389</v>
      </c>
      <c r="B3566" s="3">
        <v>159258</v>
      </c>
      <c r="C3566" s="3">
        <v>220184</v>
      </c>
      <c r="D3566" s="4" t="s">
        <v>17</v>
      </c>
      <c r="E3566" s="4" t="s">
        <v>1065</v>
      </c>
      <c r="F3566" s="4" t="s">
        <v>19</v>
      </c>
      <c r="G3566" s="4" t="s">
        <v>20</v>
      </c>
      <c r="H3566" s="5">
        <v>50000</v>
      </c>
      <c r="I3566" s="4" t="s">
        <v>21</v>
      </c>
      <c r="J3566" s="5">
        <f t="shared" si="55"/>
        <v>-209895</v>
      </c>
      <c r="K3566" s="4" t="s">
        <v>53</v>
      </c>
      <c r="L3566" s="6">
        <v>4.1978999999999997</v>
      </c>
      <c r="M3566" s="6">
        <v>0.2382</v>
      </c>
      <c r="N3566" s="6">
        <v>4.2050000000000001</v>
      </c>
      <c r="O3566" s="6">
        <v>1</v>
      </c>
      <c r="P3566" s="5">
        <v>355</v>
      </c>
      <c r="Q3566" s="4" t="s">
        <v>1390</v>
      </c>
    </row>
    <row r="3567" spans="1:17" x14ac:dyDescent="0.3">
      <c r="A3567" s="2" t="s">
        <v>1389</v>
      </c>
      <c r="B3567" s="3">
        <v>159259</v>
      </c>
      <c r="C3567" s="3">
        <v>220187</v>
      </c>
      <c r="D3567" s="4" t="s">
        <v>17</v>
      </c>
      <c r="E3567" s="4" t="s">
        <v>832</v>
      </c>
      <c r="F3567" s="4" t="s">
        <v>32</v>
      </c>
      <c r="G3567" s="4" t="s">
        <v>20</v>
      </c>
      <c r="H3567" s="5">
        <v>-5000</v>
      </c>
      <c r="I3567" s="4" t="s">
        <v>21</v>
      </c>
      <c r="J3567" s="5">
        <f t="shared" si="55"/>
        <v>21077.499999999996</v>
      </c>
      <c r="K3567" s="4" t="s">
        <v>53</v>
      </c>
      <c r="L3567" s="6">
        <v>4.2154999999999996</v>
      </c>
      <c r="M3567" s="6">
        <v>0.23719999999999999</v>
      </c>
      <c r="N3567" s="6">
        <v>4.2050000000000001</v>
      </c>
      <c r="O3567" s="6">
        <v>1</v>
      </c>
      <c r="P3567" s="5">
        <v>50</v>
      </c>
      <c r="Q3567" s="4" t="s">
        <v>1390</v>
      </c>
    </row>
    <row r="3568" spans="1:17" x14ac:dyDescent="0.3">
      <c r="A3568" s="2" t="s">
        <v>1389</v>
      </c>
      <c r="B3568" s="3">
        <v>159263</v>
      </c>
      <c r="C3568" s="3">
        <v>910467</v>
      </c>
      <c r="D3568" s="4" t="s">
        <v>81</v>
      </c>
      <c r="E3568" s="4" t="s">
        <v>734</v>
      </c>
      <c r="F3568" s="4" t="s">
        <v>87</v>
      </c>
      <c r="G3568" s="4" t="s">
        <v>34</v>
      </c>
      <c r="H3568" s="5">
        <v>200000</v>
      </c>
      <c r="I3568" s="4" t="s">
        <v>21</v>
      </c>
      <c r="J3568" s="5">
        <f t="shared" si="55"/>
        <v>-708900</v>
      </c>
      <c r="K3568" s="4" t="s">
        <v>30</v>
      </c>
      <c r="L3568" s="6">
        <v>3.5445000000000002</v>
      </c>
      <c r="M3568" s="6">
        <v>0.28210000000000002</v>
      </c>
      <c r="N3568" s="6">
        <v>3.5354000000000001</v>
      </c>
      <c r="O3568" s="6">
        <v>1</v>
      </c>
      <c r="P3568" s="5">
        <v>-1820</v>
      </c>
      <c r="Q3568" s="4" t="s">
        <v>1393</v>
      </c>
    </row>
    <row r="3569" spans="1:17" x14ac:dyDescent="0.3">
      <c r="A3569" s="2" t="s">
        <v>1389</v>
      </c>
      <c r="B3569" s="3">
        <v>159265</v>
      </c>
      <c r="C3569" s="3">
        <v>910481</v>
      </c>
      <c r="D3569" s="4" t="s">
        <v>81</v>
      </c>
      <c r="E3569" s="4" t="s">
        <v>735</v>
      </c>
      <c r="F3569" s="4" t="s">
        <v>83</v>
      </c>
      <c r="G3569" s="4" t="s">
        <v>20</v>
      </c>
      <c r="H3569" s="5">
        <v>-500000</v>
      </c>
      <c r="I3569" s="4" t="s">
        <v>21</v>
      </c>
      <c r="J3569" s="5">
        <f t="shared" si="55"/>
        <v>2102800</v>
      </c>
      <c r="K3569" s="4" t="s">
        <v>30</v>
      </c>
      <c r="L3569" s="6">
        <v>4.2055999999999996</v>
      </c>
      <c r="M3569" s="6">
        <v>0.23780000000000001</v>
      </c>
      <c r="N3569" s="6">
        <v>4.2031999999999998</v>
      </c>
      <c r="O3569" s="6">
        <v>1</v>
      </c>
      <c r="P3569" s="5">
        <v>1200</v>
      </c>
      <c r="Q3569" s="4" t="s">
        <v>1394</v>
      </c>
    </row>
    <row r="3570" spans="1:17" x14ac:dyDescent="0.3">
      <c r="A3570" s="2" t="s">
        <v>1389</v>
      </c>
      <c r="B3570" s="3">
        <v>159268</v>
      </c>
      <c r="C3570" s="3">
        <v>220192</v>
      </c>
      <c r="D3570" s="4" t="s">
        <v>17</v>
      </c>
      <c r="E3570" s="4" t="s">
        <v>904</v>
      </c>
      <c r="F3570" s="4" t="s">
        <v>19</v>
      </c>
      <c r="G3570" s="4" t="s">
        <v>20</v>
      </c>
      <c r="H3570" s="5">
        <v>100000</v>
      </c>
      <c r="I3570" s="4" t="s">
        <v>34</v>
      </c>
      <c r="J3570" s="5">
        <f t="shared" si="55"/>
        <v>-118350</v>
      </c>
      <c r="K3570" s="4" t="s">
        <v>53</v>
      </c>
      <c r="L3570" s="6">
        <v>1.1835</v>
      </c>
      <c r="M3570" s="6">
        <v>0.84499999999999997</v>
      </c>
      <c r="N3570" s="6">
        <v>4.2050000000000001</v>
      </c>
      <c r="O3570" s="6">
        <v>3.5831</v>
      </c>
      <c r="P3570" s="5">
        <v>-3559.8850000000093</v>
      </c>
      <c r="Q3570" s="4" t="s">
        <v>1390</v>
      </c>
    </row>
    <row r="3571" spans="1:17" x14ac:dyDescent="0.3">
      <c r="A3571" s="2" t="s">
        <v>1389</v>
      </c>
      <c r="B3571" s="3">
        <v>159269</v>
      </c>
      <c r="C3571" s="3">
        <v>220195</v>
      </c>
      <c r="D3571" s="4" t="s">
        <v>17</v>
      </c>
      <c r="E3571" s="4" t="s">
        <v>921</v>
      </c>
      <c r="F3571" s="4" t="s">
        <v>19</v>
      </c>
      <c r="G3571" s="4" t="s">
        <v>20</v>
      </c>
      <c r="H3571" s="5">
        <v>50000</v>
      </c>
      <c r="I3571" s="4" t="s">
        <v>21</v>
      </c>
      <c r="J3571" s="5">
        <f t="shared" si="55"/>
        <v>-209920.00000000003</v>
      </c>
      <c r="K3571" s="4" t="s">
        <v>53</v>
      </c>
      <c r="L3571" s="6">
        <v>4.1984000000000004</v>
      </c>
      <c r="M3571" s="6">
        <v>0.2382</v>
      </c>
      <c r="N3571" s="6">
        <v>4.2050000000000001</v>
      </c>
      <c r="O3571" s="6">
        <v>1</v>
      </c>
      <c r="P3571" s="5">
        <v>329.9999999999709</v>
      </c>
      <c r="Q3571" s="4" t="s">
        <v>1390</v>
      </c>
    </row>
    <row r="3572" spans="1:17" x14ac:dyDescent="0.3">
      <c r="A3572" s="2" t="s">
        <v>1389</v>
      </c>
      <c r="B3572" s="3">
        <v>159270</v>
      </c>
      <c r="C3572" s="3">
        <v>910516</v>
      </c>
      <c r="D3572" s="4" t="s">
        <v>81</v>
      </c>
      <c r="E3572" s="4" t="s">
        <v>733</v>
      </c>
      <c r="F3572" s="4" t="s">
        <v>87</v>
      </c>
      <c r="G3572" s="4" t="s">
        <v>34</v>
      </c>
      <c r="H3572" s="5">
        <v>500000</v>
      </c>
      <c r="I3572" s="4" t="s">
        <v>21</v>
      </c>
      <c r="J3572" s="5">
        <f t="shared" si="55"/>
        <v>-1771050</v>
      </c>
      <c r="K3572" s="4" t="s">
        <v>30</v>
      </c>
      <c r="L3572" s="6">
        <v>3.5421</v>
      </c>
      <c r="M3572" s="6">
        <v>0.2823</v>
      </c>
      <c r="N3572" s="6">
        <v>3.5354000000000001</v>
      </c>
      <c r="O3572" s="6">
        <v>1</v>
      </c>
      <c r="P3572" s="5">
        <v>-3335</v>
      </c>
      <c r="Q3572" s="4" t="s">
        <v>1391</v>
      </c>
    </row>
    <row r="3573" spans="1:17" x14ac:dyDescent="0.3">
      <c r="A3573" s="2" t="s">
        <v>1389</v>
      </c>
      <c r="B3573" s="3">
        <v>159271</v>
      </c>
      <c r="C3573" s="3">
        <v>910518</v>
      </c>
      <c r="D3573" s="4" t="s">
        <v>81</v>
      </c>
      <c r="E3573" s="4" t="s">
        <v>734</v>
      </c>
      <c r="F3573" s="4" t="s">
        <v>87</v>
      </c>
      <c r="G3573" s="4" t="s">
        <v>20</v>
      </c>
      <c r="H3573" s="5">
        <v>500000</v>
      </c>
      <c r="I3573" s="4" t="s">
        <v>21</v>
      </c>
      <c r="J3573" s="5">
        <f t="shared" si="55"/>
        <v>-2101850</v>
      </c>
      <c r="K3573" s="4" t="s">
        <v>30</v>
      </c>
      <c r="L3573" s="6">
        <v>4.2037000000000004</v>
      </c>
      <c r="M3573" s="6">
        <v>0.2379</v>
      </c>
      <c r="N3573" s="6">
        <v>4.2031999999999998</v>
      </c>
      <c r="O3573" s="6">
        <v>1</v>
      </c>
      <c r="P3573" s="5">
        <v>-250</v>
      </c>
      <c r="Q3573" s="4" t="s">
        <v>1393</v>
      </c>
    </row>
    <row r="3574" spans="1:17" x14ac:dyDescent="0.3">
      <c r="A3574" s="2" t="s">
        <v>1389</v>
      </c>
      <c r="B3574" s="3">
        <v>159272</v>
      </c>
      <c r="C3574" s="3">
        <v>910522</v>
      </c>
      <c r="D3574" s="4" t="s">
        <v>81</v>
      </c>
      <c r="E3574" s="4" t="s">
        <v>734</v>
      </c>
      <c r="F3574" s="4" t="s">
        <v>87</v>
      </c>
      <c r="G3574" s="4" t="s">
        <v>34</v>
      </c>
      <c r="H3574" s="5">
        <v>500000</v>
      </c>
      <c r="I3574" s="4" t="s">
        <v>21</v>
      </c>
      <c r="J3574" s="5">
        <f t="shared" si="55"/>
        <v>-1770650</v>
      </c>
      <c r="K3574" s="4" t="s">
        <v>30</v>
      </c>
      <c r="L3574" s="6">
        <v>3.5413000000000001</v>
      </c>
      <c r="M3574" s="6">
        <v>0.28239999999999998</v>
      </c>
      <c r="N3574" s="6">
        <v>3.5354000000000001</v>
      </c>
      <c r="O3574" s="6">
        <v>1</v>
      </c>
      <c r="P3574" s="5">
        <v>-2950</v>
      </c>
      <c r="Q3574" s="4" t="s">
        <v>1393</v>
      </c>
    </row>
    <row r="3575" spans="1:17" x14ac:dyDescent="0.3">
      <c r="A3575" s="2" t="s">
        <v>1389</v>
      </c>
      <c r="B3575" s="3">
        <v>159273</v>
      </c>
      <c r="C3575" s="3">
        <v>220200</v>
      </c>
      <c r="D3575" s="4" t="s">
        <v>17</v>
      </c>
      <c r="E3575" s="4" t="s">
        <v>1221</v>
      </c>
      <c r="F3575" s="4" t="s">
        <v>32</v>
      </c>
      <c r="G3575" s="4" t="s">
        <v>34</v>
      </c>
      <c r="H3575" s="5">
        <v>-100000</v>
      </c>
      <c r="I3575" s="4" t="s">
        <v>21</v>
      </c>
      <c r="J3575" s="5">
        <f t="shared" si="55"/>
        <v>354500</v>
      </c>
      <c r="K3575" s="4" t="s">
        <v>53</v>
      </c>
      <c r="L3575" s="6">
        <v>3.5449999999999999</v>
      </c>
      <c r="M3575" s="6">
        <v>0.28210000000000002</v>
      </c>
      <c r="N3575" s="6">
        <v>3.5831</v>
      </c>
      <c r="O3575" s="6">
        <v>1</v>
      </c>
      <c r="P3575" s="5">
        <v>-3810</v>
      </c>
      <c r="Q3575" s="4" t="s">
        <v>1390</v>
      </c>
    </row>
    <row r="3576" spans="1:17" x14ac:dyDescent="0.3">
      <c r="A3576" s="2" t="s">
        <v>1389</v>
      </c>
      <c r="B3576" s="3">
        <v>159275</v>
      </c>
      <c r="C3576" s="3">
        <v>220206</v>
      </c>
      <c r="D3576" s="4" t="s">
        <v>17</v>
      </c>
      <c r="E3576" s="4" t="s">
        <v>1316</v>
      </c>
      <c r="F3576" s="4" t="s">
        <v>32</v>
      </c>
      <c r="G3576" s="4" t="s">
        <v>20</v>
      </c>
      <c r="H3576" s="5">
        <v>-100000</v>
      </c>
      <c r="I3576" s="4" t="s">
        <v>21</v>
      </c>
      <c r="J3576" s="5">
        <f t="shared" si="55"/>
        <v>420540</v>
      </c>
      <c r="K3576" s="4" t="s">
        <v>53</v>
      </c>
      <c r="L3576" s="6">
        <v>4.2054</v>
      </c>
      <c r="M3576" s="6">
        <v>0.23780000000000001</v>
      </c>
      <c r="N3576" s="6">
        <v>4.2050000000000001</v>
      </c>
      <c r="O3576" s="6">
        <v>1</v>
      </c>
      <c r="P3576" s="5">
        <v>0</v>
      </c>
      <c r="Q3576" s="4" t="s">
        <v>1390</v>
      </c>
    </row>
    <row r="3577" spans="1:17" x14ac:dyDescent="0.3">
      <c r="A3577" s="2" t="s">
        <v>1389</v>
      </c>
      <c r="B3577" s="3">
        <v>159276</v>
      </c>
      <c r="C3577" s="3">
        <v>910557</v>
      </c>
      <c r="D3577" s="4" t="s">
        <v>81</v>
      </c>
      <c r="E3577" s="4" t="s">
        <v>733</v>
      </c>
      <c r="F3577" s="4" t="s">
        <v>83</v>
      </c>
      <c r="G3577" s="4" t="s">
        <v>20</v>
      </c>
      <c r="H3577" s="5">
        <v>-500000</v>
      </c>
      <c r="I3577" s="4" t="s">
        <v>21</v>
      </c>
      <c r="J3577" s="5">
        <f t="shared" si="55"/>
        <v>2101450</v>
      </c>
      <c r="K3577" s="4" t="s">
        <v>30</v>
      </c>
      <c r="L3577" s="6">
        <v>4.2028999999999996</v>
      </c>
      <c r="M3577" s="6">
        <v>0.2379</v>
      </c>
      <c r="N3577" s="6">
        <v>4.2031999999999998</v>
      </c>
      <c r="O3577" s="6">
        <v>1</v>
      </c>
      <c r="P3577" s="5">
        <v>-135</v>
      </c>
      <c r="Q3577" s="4" t="s">
        <v>1391</v>
      </c>
    </row>
    <row r="3578" spans="1:17" x14ac:dyDescent="0.3">
      <c r="A3578" s="2" t="s">
        <v>1389</v>
      </c>
      <c r="B3578" s="3">
        <v>159277</v>
      </c>
      <c r="C3578" s="3">
        <v>910561</v>
      </c>
      <c r="D3578" s="4" t="s">
        <v>81</v>
      </c>
      <c r="E3578" s="4" t="s">
        <v>732</v>
      </c>
      <c r="F3578" s="4" t="s">
        <v>83</v>
      </c>
      <c r="G3578" s="4" t="s">
        <v>20</v>
      </c>
      <c r="H3578" s="5">
        <v>-500000</v>
      </c>
      <c r="I3578" s="4" t="s">
        <v>21</v>
      </c>
      <c r="J3578" s="5">
        <f t="shared" si="55"/>
        <v>2101450</v>
      </c>
      <c r="K3578" s="4" t="s">
        <v>30</v>
      </c>
      <c r="L3578" s="6">
        <v>4.2028999999999996</v>
      </c>
      <c r="M3578" s="6">
        <v>0.2379</v>
      </c>
      <c r="N3578" s="6">
        <v>4.2031999999999998</v>
      </c>
      <c r="O3578" s="6">
        <v>1</v>
      </c>
      <c r="P3578" s="5">
        <v>-170</v>
      </c>
      <c r="Q3578" s="4" t="s">
        <v>1394</v>
      </c>
    </row>
    <row r="3579" spans="1:17" x14ac:dyDescent="0.3">
      <c r="A3579" s="2" t="s">
        <v>1389</v>
      </c>
      <c r="B3579" s="3">
        <v>159278</v>
      </c>
      <c r="C3579" s="3">
        <v>910564</v>
      </c>
      <c r="D3579" s="4" t="s">
        <v>81</v>
      </c>
      <c r="E3579" s="4" t="s">
        <v>732</v>
      </c>
      <c r="F3579" s="4" t="s">
        <v>83</v>
      </c>
      <c r="G3579" s="4" t="s">
        <v>20</v>
      </c>
      <c r="H3579" s="5">
        <v>-500000</v>
      </c>
      <c r="I3579" s="4" t="s">
        <v>21</v>
      </c>
      <c r="J3579" s="5">
        <f t="shared" si="55"/>
        <v>2101500</v>
      </c>
      <c r="K3579" s="4" t="s">
        <v>30</v>
      </c>
      <c r="L3579" s="6">
        <v>4.2030000000000003</v>
      </c>
      <c r="M3579" s="6">
        <v>0.2379</v>
      </c>
      <c r="N3579" s="6">
        <v>4.2031999999999998</v>
      </c>
      <c r="O3579" s="6">
        <v>1</v>
      </c>
      <c r="P3579" s="5">
        <v>-115</v>
      </c>
      <c r="Q3579" s="4" t="s">
        <v>1394</v>
      </c>
    </row>
    <row r="3580" spans="1:17" x14ac:dyDescent="0.3">
      <c r="A3580" s="2" t="s">
        <v>1389</v>
      </c>
      <c r="B3580" s="3">
        <v>159279</v>
      </c>
      <c r="C3580" s="3">
        <v>910567</v>
      </c>
      <c r="D3580" s="4" t="s">
        <v>81</v>
      </c>
      <c r="E3580" s="4" t="s">
        <v>742</v>
      </c>
      <c r="F3580" s="4" t="s">
        <v>83</v>
      </c>
      <c r="G3580" s="4" t="s">
        <v>34</v>
      </c>
      <c r="H3580" s="5">
        <v>-1000000</v>
      </c>
      <c r="I3580" s="4" t="s">
        <v>21</v>
      </c>
      <c r="J3580" s="5">
        <f t="shared" si="55"/>
        <v>3540800</v>
      </c>
      <c r="K3580" s="4" t="s">
        <v>30</v>
      </c>
      <c r="L3580" s="6">
        <v>3.5407999999999999</v>
      </c>
      <c r="M3580" s="6">
        <v>0.28239999999999998</v>
      </c>
      <c r="N3580" s="6">
        <v>3.5354000000000001</v>
      </c>
      <c r="O3580" s="6">
        <v>1</v>
      </c>
      <c r="P3580" s="5">
        <v>5400</v>
      </c>
      <c r="Q3580" s="4" t="s">
        <v>1396</v>
      </c>
    </row>
    <row r="3581" spans="1:17" x14ac:dyDescent="0.3">
      <c r="A3581" s="2" t="s">
        <v>1389</v>
      </c>
      <c r="B3581" s="3">
        <v>159280</v>
      </c>
      <c r="C3581" s="3">
        <v>910577</v>
      </c>
      <c r="D3581" s="4" t="s">
        <v>81</v>
      </c>
      <c r="E3581" s="4" t="s">
        <v>732</v>
      </c>
      <c r="F3581" s="4" t="s">
        <v>83</v>
      </c>
      <c r="G3581" s="4" t="s">
        <v>20</v>
      </c>
      <c r="H3581" s="5">
        <v>-500000</v>
      </c>
      <c r="I3581" s="4" t="s">
        <v>21</v>
      </c>
      <c r="J3581" s="5">
        <f t="shared" si="55"/>
        <v>2101550</v>
      </c>
      <c r="K3581" s="4" t="s">
        <v>30</v>
      </c>
      <c r="L3581" s="6">
        <v>4.2031000000000001</v>
      </c>
      <c r="M3581" s="6">
        <v>0.2379</v>
      </c>
      <c r="N3581" s="6">
        <v>4.2031999999999998</v>
      </c>
      <c r="O3581" s="6">
        <v>1</v>
      </c>
      <c r="P3581" s="5">
        <v>-50</v>
      </c>
      <c r="Q3581" s="4" t="s">
        <v>1394</v>
      </c>
    </row>
    <row r="3582" spans="1:17" x14ac:dyDescent="0.3">
      <c r="A3582" s="2" t="s">
        <v>1389</v>
      </c>
      <c r="B3582" s="3">
        <v>159281</v>
      </c>
      <c r="C3582" s="3">
        <v>910583</v>
      </c>
      <c r="D3582" s="4" t="s">
        <v>81</v>
      </c>
      <c r="E3582" s="4" t="s">
        <v>735</v>
      </c>
      <c r="F3582" s="4" t="s">
        <v>87</v>
      </c>
      <c r="G3582" s="4" t="s">
        <v>20</v>
      </c>
      <c r="H3582" s="5">
        <v>100000</v>
      </c>
      <c r="I3582" s="4" t="s">
        <v>91</v>
      </c>
      <c r="J3582" s="5">
        <f t="shared" si="55"/>
        <v>-86750</v>
      </c>
      <c r="K3582" s="4" t="s">
        <v>30</v>
      </c>
      <c r="L3582" s="6">
        <v>0.86750000000000005</v>
      </c>
      <c r="M3582" s="6">
        <v>1.1527000000000001</v>
      </c>
      <c r="N3582" s="6">
        <v>4.2031999999999998</v>
      </c>
      <c r="O3582" s="6">
        <v>4.8432000000000004</v>
      </c>
      <c r="P3582" s="5">
        <v>157.87039999999999</v>
      </c>
      <c r="Q3582" s="4" t="s">
        <v>1394</v>
      </c>
    </row>
    <row r="3583" spans="1:17" x14ac:dyDescent="0.3">
      <c r="A3583" s="2" t="s">
        <v>1389</v>
      </c>
      <c r="B3583" s="3">
        <v>159282</v>
      </c>
      <c r="C3583" s="3">
        <v>910591</v>
      </c>
      <c r="D3583" s="4" t="s">
        <v>81</v>
      </c>
      <c r="E3583" s="4" t="s">
        <v>739</v>
      </c>
      <c r="F3583" s="4" t="s">
        <v>87</v>
      </c>
      <c r="G3583" s="4" t="s">
        <v>20</v>
      </c>
      <c r="H3583" s="5">
        <v>100000</v>
      </c>
      <c r="I3583" s="4" t="s">
        <v>74</v>
      </c>
      <c r="J3583" s="5">
        <f t="shared" si="55"/>
        <v>-1159010</v>
      </c>
      <c r="K3583" s="4" t="s">
        <v>30</v>
      </c>
      <c r="L3583" s="6">
        <v>11.5901</v>
      </c>
      <c r="M3583" s="6">
        <v>8.6300000000000002E-2</v>
      </c>
      <c r="N3583" s="6">
        <v>4.2031999999999998</v>
      </c>
      <c r="O3583" s="6">
        <v>0.36259999999999998</v>
      </c>
      <c r="P3583" s="5">
        <v>61.886200000000002</v>
      </c>
      <c r="Q3583" s="4" t="s">
        <v>1391</v>
      </c>
    </row>
    <row r="3584" spans="1:17" x14ac:dyDescent="0.3">
      <c r="A3584" s="2" t="s">
        <v>1389</v>
      </c>
      <c r="B3584" s="3">
        <v>159284</v>
      </c>
      <c r="C3584" s="3">
        <v>910605</v>
      </c>
      <c r="D3584" s="4" t="s">
        <v>81</v>
      </c>
      <c r="E3584" s="4" t="s">
        <v>725</v>
      </c>
      <c r="F3584" s="4" t="s">
        <v>87</v>
      </c>
      <c r="G3584" s="4" t="s">
        <v>20</v>
      </c>
      <c r="H3584" s="5">
        <v>100000</v>
      </c>
      <c r="I3584" s="4" t="s">
        <v>84</v>
      </c>
      <c r="J3584" s="5">
        <f t="shared" si="55"/>
        <v>-1060740</v>
      </c>
      <c r="K3584" s="4" t="s">
        <v>30</v>
      </c>
      <c r="L3584" s="6">
        <v>10.6074</v>
      </c>
      <c r="M3584" s="6">
        <v>9.4299999999999995E-2</v>
      </c>
      <c r="N3584" s="6">
        <v>4.2031999999999998</v>
      </c>
      <c r="O3584" s="6">
        <v>0.39660000000000001</v>
      </c>
      <c r="P3584" s="5">
        <v>-367.89760000000001</v>
      </c>
      <c r="Q3584" s="4" t="s">
        <v>1392</v>
      </c>
    </row>
    <row r="3585" spans="1:17" x14ac:dyDescent="0.3">
      <c r="A3585" s="2" t="s">
        <v>1389</v>
      </c>
      <c r="B3585" s="3">
        <v>159285</v>
      </c>
      <c r="C3585" s="3">
        <v>910613</v>
      </c>
      <c r="D3585" s="4" t="s">
        <v>81</v>
      </c>
      <c r="E3585" s="4" t="s">
        <v>735</v>
      </c>
      <c r="F3585" s="4" t="s">
        <v>87</v>
      </c>
      <c r="G3585" s="4" t="s">
        <v>20</v>
      </c>
      <c r="H3585" s="5">
        <v>100000</v>
      </c>
      <c r="I3585" s="4" t="s">
        <v>89</v>
      </c>
      <c r="J3585" s="5">
        <f t="shared" si="55"/>
        <v>-746840</v>
      </c>
      <c r="K3585" s="4" t="s">
        <v>30</v>
      </c>
      <c r="L3585" s="6">
        <v>7.4683999999999999</v>
      </c>
      <c r="M3585" s="6">
        <v>0.13389999999999999</v>
      </c>
      <c r="N3585" s="6">
        <v>4.2031999999999998</v>
      </c>
      <c r="O3585" s="6">
        <v>0.56289999999999996</v>
      </c>
      <c r="P3585" s="5">
        <v>-74.547300000000007</v>
      </c>
      <c r="Q3585" s="4" t="s">
        <v>1394</v>
      </c>
    </row>
    <row r="3586" spans="1:17" x14ac:dyDescent="0.3">
      <c r="A3586" s="2" t="s">
        <v>1389</v>
      </c>
      <c r="B3586" s="3">
        <v>159286</v>
      </c>
      <c r="C3586" s="3">
        <v>910617</v>
      </c>
      <c r="D3586" s="4" t="s">
        <v>81</v>
      </c>
      <c r="E3586" s="4" t="s">
        <v>735</v>
      </c>
      <c r="F3586" s="4" t="s">
        <v>87</v>
      </c>
      <c r="G3586" s="4" t="s">
        <v>20</v>
      </c>
      <c r="H3586" s="5">
        <v>100000</v>
      </c>
      <c r="I3586" s="4" t="s">
        <v>101</v>
      </c>
      <c r="J3586" s="5">
        <f t="shared" si="55"/>
        <v>-2425020</v>
      </c>
      <c r="K3586" s="4" t="s">
        <v>30</v>
      </c>
      <c r="L3586" s="6">
        <v>24.2502</v>
      </c>
      <c r="M3586" s="6">
        <v>4.1200000000000001E-2</v>
      </c>
      <c r="N3586" s="6">
        <v>4.2031999999999998</v>
      </c>
      <c r="O3586" s="6">
        <v>0.17349999999999999</v>
      </c>
      <c r="P3586" s="5">
        <v>-420.97</v>
      </c>
      <c r="Q3586" s="4" t="s">
        <v>1394</v>
      </c>
    </row>
    <row r="3587" spans="1:17" x14ac:dyDescent="0.3">
      <c r="A3587" s="2" t="s">
        <v>1389</v>
      </c>
      <c r="B3587" s="3">
        <v>159287</v>
      </c>
      <c r="C3587" s="3">
        <v>910618</v>
      </c>
      <c r="D3587" s="4" t="s">
        <v>81</v>
      </c>
      <c r="E3587" s="4" t="s">
        <v>735</v>
      </c>
      <c r="F3587" s="4" t="s">
        <v>83</v>
      </c>
      <c r="G3587" s="4" t="s">
        <v>20</v>
      </c>
      <c r="H3587" s="5">
        <v>-100000</v>
      </c>
      <c r="I3587" s="4" t="s">
        <v>101</v>
      </c>
      <c r="J3587" s="5">
        <f t="shared" si="55"/>
        <v>2424870</v>
      </c>
      <c r="K3587" s="4" t="s">
        <v>30</v>
      </c>
      <c r="L3587" s="6">
        <v>24.248699999999999</v>
      </c>
      <c r="M3587" s="6">
        <v>4.1200000000000001E-2</v>
      </c>
      <c r="N3587" s="6">
        <v>4.2031999999999998</v>
      </c>
      <c r="O3587" s="6">
        <v>0.17349999999999999</v>
      </c>
      <c r="P3587" s="5">
        <v>394.94499999999999</v>
      </c>
      <c r="Q3587" s="4" t="s">
        <v>1394</v>
      </c>
    </row>
    <row r="3588" spans="1:17" x14ac:dyDescent="0.3">
      <c r="A3588" s="2" t="s">
        <v>1389</v>
      </c>
      <c r="B3588" s="3">
        <v>159288</v>
      </c>
      <c r="C3588" s="3">
        <v>220211</v>
      </c>
      <c r="D3588" s="4" t="s">
        <v>17</v>
      </c>
      <c r="E3588" s="4" t="s">
        <v>1023</v>
      </c>
      <c r="F3588" s="4" t="s">
        <v>19</v>
      </c>
      <c r="G3588" s="4" t="s">
        <v>20</v>
      </c>
      <c r="H3588" s="5">
        <v>50000</v>
      </c>
      <c r="I3588" s="4" t="s">
        <v>21</v>
      </c>
      <c r="J3588" s="5">
        <f t="shared" ref="J3588:J3651" si="56">-H3588*L3588</f>
        <v>-209835</v>
      </c>
      <c r="K3588" s="4" t="s">
        <v>54</v>
      </c>
      <c r="L3588" s="6">
        <v>4.1966999999999999</v>
      </c>
      <c r="M3588" s="6">
        <v>0.23830000000000001</v>
      </c>
      <c r="N3588" s="6">
        <v>4.2118000000000002</v>
      </c>
      <c r="O3588" s="6">
        <v>1</v>
      </c>
      <c r="P3588" s="5">
        <v>755</v>
      </c>
      <c r="Q3588" s="4" t="s">
        <v>1390</v>
      </c>
    </row>
    <row r="3589" spans="1:17" x14ac:dyDescent="0.3">
      <c r="A3589" s="2" t="s">
        <v>1389</v>
      </c>
      <c r="B3589" s="3">
        <v>159289</v>
      </c>
      <c r="C3589" s="3">
        <v>220212</v>
      </c>
      <c r="D3589" s="4" t="s">
        <v>17</v>
      </c>
      <c r="E3589" s="4" t="s">
        <v>1218</v>
      </c>
      <c r="F3589" s="4" t="s">
        <v>19</v>
      </c>
      <c r="G3589" s="4" t="s">
        <v>20</v>
      </c>
      <c r="H3589" s="5">
        <v>25000</v>
      </c>
      <c r="I3589" s="4" t="s">
        <v>21</v>
      </c>
      <c r="J3589" s="5">
        <f t="shared" si="56"/>
        <v>-104812.5</v>
      </c>
      <c r="K3589" s="4" t="s">
        <v>53</v>
      </c>
      <c r="L3589" s="6">
        <v>4.1924999999999999</v>
      </c>
      <c r="M3589" s="6">
        <v>0.23849999999999999</v>
      </c>
      <c r="N3589" s="6">
        <v>4.2050000000000001</v>
      </c>
      <c r="O3589" s="6">
        <v>1</v>
      </c>
      <c r="P3589" s="5">
        <v>312.5</v>
      </c>
      <c r="Q3589" s="4" t="s">
        <v>1390</v>
      </c>
    </row>
    <row r="3590" spans="1:17" x14ac:dyDescent="0.3">
      <c r="A3590" s="2" t="s">
        <v>1389</v>
      </c>
      <c r="B3590" s="3">
        <v>159290</v>
      </c>
      <c r="C3590" s="3">
        <v>910631</v>
      </c>
      <c r="D3590" s="4" t="s">
        <v>81</v>
      </c>
      <c r="E3590" s="4" t="s">
        <v>733</v>
      </c>
      <c r="F3590" s="4" t="s">
        <v>83</v>
      </c>
      <c r="G3590" s="4" t="s">
        <v>20</v>
      </c>
      <c r="H3590" s="5">
        <v>-1500000</v>
      </c>
      <c r="I3590" s="4" t="s">
        <v>21</v>
      </c>
      <c r="J3590" s="5">
        <f t="shared" si="56"/>
        <v>6303000</v>
      </c>
      <c r="K3590" s="4" t="s">
        <v>30</v>
      </c>
      <c r="L3590" s="6">
        <v>4.202</v>
      </c>
      <c r="M3590" s="6">
        <v>0.23799999999999999</v>
      </c>
      <c r="N3590" s="6">
        <v>4.2031999999999998</v>
      </c>
      <c r="O3590" s="6">
        <v>1</v>
      </c>
      <c r="P3590" s="5">
        <v>-1725</v>
      </c>
      <c r="Q3590" s="4" t="s">
        <v>1391</v>
      </c>
    </row>
    <row r="3591" spans="1:17" x14ac:dyDescent="0.3">
      <c r="A3591" s="2" t="s">
        <v>1389</v>
      </c>
      <c r="B3591" s="3">
        <v>159291</v>
      </c>
      <c r="C3591" s="3">
        <v>220214</v>
      </c>
      <c r="D3591" s="4" t="s">
        <v>17</v>
      </c>
      <c r="E3591" s="4" t="s">
        <v>1316</v>
      </c>
      <c r="F3591" s="4" t="s">
        <v>32</v>
      </c>
      <c r="G3591" s="4" t="s">
        <v>20</v>
      </c>
      <c r="H3591" s="5">
        <v>-100000</v>
      </c>
      <c r="I3591" s="4" t="s">
        <v>21</v>
      </c>
      <c r="J3591" s="5">
        <f t="shared" si="56"/>
        <v>420439.99999999994</v>
      </c>
      <c r="K3591" s="4" t="s">
        <v>53</v>
      </c>
      <c r="L3591" s="6">
        <v>4.2043999999999997</v>
      </c>
      <c r="M3591" s="6">
        <v>0.23780000000000001</v>
      </c>
      <c r="N3591" s="6">
        <v>4.2050000000000001</v>
      </c>
      <c r="O3591" s="6">
        <v>1</v>
      </c>
      <c r="P3591" s="5">
        <v>-100</v>
      </c>
      <c r="Q3591" s="4" t="s">
        <v>1390</v>
      </c>
    </row>
    <row r="3592" spans="1:17" x14ac:dyDescent="0.3">
      <c r="A3592" s="2" t="s">
        <v>1389</v>
      </c>
      <c r="B3592" s="3">
        <v>159292</v>
      </c>
      <c r="C3592" s="3">
        <v>220217</v>
      </c>
      <c r="D3592" s="4" t="s">
        <v>17</v>
      </c>
      <c r="E3592" s="4" t="s">
        <v>951</v>
      </c>
      <c r="F3592" s="4" t="s">
        <v>32</v>
      </c>
      <c r="G3592" s="4" t="s">
        <v>20</v>
      </c>
      <c r="H3592" s="5">
        <v>-50000</v>
      </c>
      <c r="I3592" s="4" t="s">
        <v>21</v>
      </c>
      <c r="J3592" s="5">
        <f t="shared" si="56"/>
        <v>210245.00000000003</v>
      </c>
      <c r="K3592" s="4" t="s">
        <v>53</v>
      </c>
      <c r="L3592" s="6">
        <v>4.2049000000000003</v>
      </c>
      <c r="M3592" s="6">
        <v>0.23780000000000001</v>
      </c>
      <c r="N3592" s="6">
        <v>4.2050000000000001</v>
      </c>
      <c r="O3592" s="6">
        <v>1</v>
      </c>
      <c r="P3592" s="5">
        <v>-25</v>
      </c>
      <c r="Q3592" s="4" t="s">
        <v>1390</v>
      </c>
    </row>
    <row r="3593" spans="1:17" x14ac:dyDescent="0.3">
      <c r="A3593" s="2" t="s">
        <v>1389</v>
      </c>
      <c r="B3593" s="3">
        <v>159295</v>
      </c>
      <c r="C3593" s="3">
        <v>220218</v>
      </c>
      <c r="D3593" s="4" t="s">
        <v>17</v>
      </c>
      <c r="E3593" s="4" t="s">
        <v>789</v>
      </c>
      <c r="F3593" s="4" t="s">
        <v>32</v>
      </c>
      <c r="G3593" s="4" t="s">
        <v>20</v>
      </c>
      <c r="H3593" s="5">
        <v>-15234</v>
      </c>
      <c r="I3593" s="4" t="s">
        <v>21</v>
      </c>
      <c r="J3593" s="5">
        <f t="shared" si="56"/>
        <v>64226.544000000002</v>
      </c>
      <c r="K3593" s="4" t="s">
        <v>53</v>
      </c>
      <c r="L3593" s="6">
        <v>4.2160000000000002</v>
      </c>
      <c r="M3593" s="6">
        <v>0.23719999999999999</v>
      </c>
      <c r="N3593" s="6">
        <v>4.2050000000000001</v>
      </c>
      <c r="O3593" s="6">
        <v>1</v>
      </c>
      <c r="P3593" s="5">
        <v>167.57</v>
      </c>
      <c r="Q3593" s="4" t="s">
        <v>1390</v>
      </c>
    </row>
    <row r="3594" spans="1:17" x14ac:dyDescent="0.3">
      <c r="A3594" s="2" t="s">
        <v>1389</v>
      </c>
      <c r="B3594" s="3">
        <v>159296</v>
      </c>
      <c r="C3594" s="3">
        <v>910659</v>
      </c>
      <c r="D3594" s="4" t="s">
        <v>81</v>
      </c>
      <c r="E3594" s="4" t="s">
        <v>733</v>
      </c>
      <c r="F3594" s="4" t="s">
        <v>87</v>
      </c>
      <c r="G3594" s="4" t="s">
        <v>20</v>
      </c>
      <c r="H3594" s="5">
        <v>500000</v>
      </c>
      <c r="I3594" s="4" t="s">
        <v>21</v>
      </c>
      <c r="J3594" s="5">
        <f t="shared" si="56"/>
        <v>-2101200</v>
      </c>
      <c r="K3594" s="4" t="s">
        <v>30</v>
      </c>
      <c r="L3594" s="6">
        <v>4.2023999999999999</v>
      </c>
      <c r="M3594" s="6">
        <v>0.23799999999999999</v>
      </c>
      <c r="N3594" s="6">
        <v>4.2031999999999998</v>
      </c>
      <c r="O3594" s="6">
        <v>1</v>
      </c>
      <c r="P3594" s="5">
        <v>390</v>
      </c>
      <c r="Q3594" s="4" t="s">
        <v>1391</v>
      </c>
    </row>
    <row r="3595" spans="1:17" x14ac:dyDescent="0.3">
      <c r="A3595" s="2" t="s">
        <v>1389</v>
      </c>
      <c r="B3595" s="3">
        <v>159297</v>
      </c>
      <c r="C3595" s="3">
        <v>220224</v>
      </c>
      <c r="D3595" s="4" t="s">
        <v>17</v>
      </c>
      <c r="E3595" s="4" t="s">
        <v>940</v>
      </c>
      <c r="F3595" s="4" t="s">
        <v>32</v>
      </c>
      <c r="G3595" s="4" t="s">
        <v>20</v>
      </c>
      <c r="H3595" s="5">
        <v>-1500</v>
      </c>
      <c r="I3595" s="4" t="s">
        <v>21</v>
      </c>
      <c r="J3595" s="5">
        <f t="shared" si="56"/>
        <v>6312.6</v>
      </c>
      <c r="K3595" s="4" t="s">
        <v>53</v>
      </c>
      <c r="L3595" s="6">
        <v>4.2084000000000001</v>
      </c>
      <c r="M3595" s="6">
        <v>0.23760000000000001</v>
      </c>
      <c r="N3595" s="6">
        <v>4.2050000000000001</v>
      </c>
      <c r="O3595" s="6">
        <v>1</v>
      </c>
      <c r="P3595" s="5">
        <v>4.5</v>
      </c>
      <c r="Q3595" s="4" t="s">
        <v>1390</v>
      </c>
    </row>
    <row r="3596" spans="1:17" x14ac:dyDescent="0.3">
      <c r="A3596" s="2" t="s">
        <v>1389</v>
      </c>
      <c r="B3596" s="3">
        <v>159298</v>
      </c>
      <c r="C3596" s="3">
        <v>220225</v>
      </c>
      <c r="D3596" s="4" t="s">
        <v>17</v>
      </c>
      <c r="E3596" s="4" t="s">
        <v>946</v>
      </c>
      <c r="F3596" s="4" t="s">
        <v>19</v>
      </c>
      <c r="G3596" s="4" t="s">
        <v>20</v>
      </c>
      <c r="H3596" s="5">
        <v>7500</v>
      </c>
      <c r="I3596" s="4" t="s">
        <v>21</v>
      </c>
      <c r="J3596" s="5">
        <f t="shared" si="56"/>
        <v>-31428.75</v>
      </c>
      <c r="K3596" s="4" t="s">
        <v>53</v>
      </c>
      <c r="L3596" s="6">
        <v>4.1905000000000001</v>
      </c>
      <c r="M3596" s="6">
        <v>0.23860000000000001</v>
      </c>
      <c r="N3596" s="6">
        <v>4.2050000000000001</v>
      </c>
      <c r="O3596" s="6">
        <v>1</v>
      </c>
      <c r="P3596" s="5">
        <v>108.75</v>
      </c>
      <c r="Q3596" s="4" t="s">
        <v>1390</v>
      </c>
    </row>
    <row r="3597" spans="1:17" x14ac:dyDescent="0.3">
      <c r="A3597" s="2" t="s">
        <v>1389</v>
      </c>
      <c r="B3597" s="3">
        <v>159300</v>
      </c>
      <c r="C3597" s="3">
        <v>910678</v>
      </c>
      <c r="D3597" s="4" t="s">
        <v>81</v>
      </c>
      <c r="E3597" s="4" t="s">
        <v>735</v>
      </c>
      <c r="F3597" s="4" t="s">
        <v>87</v>
      </c>
      <c r="G3597" s="4" t="s">
        <v>34</v>
      </c>
      <c r="H3597" s="5">
        <v>500000</v>
      </c>
      <c r="I3597" s="4" t="s">
        <v>21</v>
      </c>
      <c r="J3597" s="5">
        <f t="shared" si="56"/>
        <v>-1770100</v>
      </c>
      <c r="K3597" s="4" t="s">
        <v>30</v>
      </c>
      <c r="L3597" s="6">
        <v>3.5402</v>
      </c>
      <c r="M3597" s="6">
        <v>0.28249999999999997</v>
      </c>
      <c r="N3597" s="6">
        <v>3.5354000000000001</v>
      </c>
      <c r="O3597" s="6">
        <v>1</v>
      </c>
      <c r="P3597" s="5">
        <v>-2400</v>
      </c>
      <c r="Q3597" s="4" t="s">
        <v>1394</v>
      </c>
    </row>
    <row r="3598" spans="1:17" x14ac:dyDescent="0.3">
      <c r="A3598" s="2" t="s">
        <v>1389</v>
      </c>
      <c r="B3598" s="3">
        <v>159301</v>
      </c>
      <c r="C3598" s="3">
        <v>910679</v>
      </c>
      <c r="D3598" s="4" t="s">
        <v>81</v>
      </c>
      <c r="E3598" s="4" t="s">
        <v>735</v>
      </c>
      <c r="F3598" s="4" t="s">
        <v>87</v>
      </c>
      <c r="G3598" s="4" t="s">
        <v>34</v>
      </c>
      <c r="H3598" s="5">
        <v>500000</v>
      </c>
      <c r="I3598" s="4" t="s">
        <v>21</v>
      </c>
      <c r="J3598" s="5">
        <f t="shared" si="56"/>
        <v>-1770450</v>
      </c>
      <c r="K3598" s="4" t="s">
        <v>30</v>
      </c>
      <c r="L3598" s="6">
        <v>3.5409000000000002</v>
      </c>
      <c r="M3598" s="6">
        <v>0.28239999999999998</v>
      </c>
      <c r="N3598" s="6">
        <v>3.5354000000000001</v>
      </c>
      <c r="O3598" s="6">
        <v>1</v>
      </c>
      <c r="P3598" s="5">
        <v>-2750</v>
      </c>
      <c r="Q3598" s="4" t="s">
        <v>1394</v>
      </c>
    </row>
    <row r="3599" spans="1:17" x14ac:dyDescent="0.3">
      <c r="A3599" s="2" t="s">
        <v>1389</v>
      </c>
      <c r="B3599" s="3">
        <v>159302</v>
      </c>
      <c r="C3599" s="3">
        <v>910683</v>
      </c>
      <c r="D3599" s="4" t="s">
        <v>81</v>
      </c>
      <c r="E3599" s="4" t="s">
        <v>735</v>
      </c>
      <c r="F3599" s="4" t="s">
        <v>87</v>
      </c>
      <c r="G3599" s="4" t="s">
        <v>34</v>
      </c>
      <c r="H3599" s="5">
        <v>500000</v>
      </c>
      <c r="I3599" s="4" t="s">
        <v>21</v>
      </c>
      <c r="J3599" s="5">
        <f t="shared" si="56"/>
        <v>-1770400</v>
      </c>
      <c r="K3599" s="4" t="s">
        <v>30</v>
      </c>
      <c r="L3599" s="6">
        <v>3.5407999999999999</v>
      </c>
      <c r="M3599" s="6">
        <v>0.28239999999999998</v>
      </c>
      <c r="N3599" s="6">
        <v>3.5354000000000001</v>
      </c>
      <c r="O3599" s="6">
        <v>1</v>
      </c>
      <c r="P3599" s="5">
        <v>-2700</v>
      </c>
      <c r="Q3599" s="4" t="s">
        <v>1394</v>
      </c>
    </row>
    <row r="3600" spans="1:17" x14ac:dyDescent="0.3">
      <c r="A3600" s="2" t="s">
        <v>1389</v>
      </c>
      <c r="B3600" s="3">
        <v>159303</v>
      </c>
      <c r="C3600" s="3">
        <v>910687</v>
      </c>
      <c r="D3600" s="4" t="s">
        <v>81</v>
      </c>
      <c r="E3600" s="4" t="s">
        <v>742</v>
      </c>
      <c r="F3600" s="4" t="s">
        <v>87</v>
      </c>
      <c r="G3600" s="4" t="s">
        <v>34</v>
      </c>
      <c r="H3600" s="5">
        <v>500000</v>
      </c>
      <c r="I3600" s="4" t="s">
        <v>21</v>
      </c>
      <c r="J3600" s="5">
        <f t="shared" si="56"/>
        <v>-1769200</v>
      </c>
      <c r="K3600" s="4" t="s">
        <v>30</v>
      </c>
      <c r="L3600" s="6">
        <v>3.5384000000000002</v>
      </c>
      <c r="M3600" s="6">
        <v>0.28260000000000002</v>
      </c>
      <c r="N3600" s="6">
        <v>3.5354000000000001</v>
      </c>
      <c r="O3600" s="6">
        <v>1</v>
      </c>
      <c r="P3600" s="5">
        <v>-1500</v>
      </c>
      <c r="Q3600" s="4" t="s">
        <v>1396</v>
      </c>
    </row>
    <row r="3601" spans="1:17" x14ac:dyDescent="0.3">
      <c r="A3601" s="2" t="s">
        <v>1389</v>
      </c>
      <c r="B3601" s="3">
        <v>159305</v>
      </c>
      <c r="C3601" s="3">
        <v>910694</v>
      </c>
      <c r="D3601" s="4" t="s">
        <v>81</v>
      </c>
      <c r="E3601" s="4" t="s">
        <v>735</v>
      </c>
      <c r="F3601" s="4" t="s">
        <v>87</v>
      </c>
      <c r="G3601" s="4" t="s">
        <v>34</v>
      </c>
      <c r="H3601" s="5">
        <v>500000</v>
      </c>
      <c r="I3601" s="4" t="s">
        <v>21</v>
      </c>
      <c r="J3601" s="5">
        <f t="shared" si="56"/>
        <v>-1768800</v>
      </c>
      <c r="K3601" s="4" t="s">
        <v>30</v>
      </c>
      <c r="L3601" s="6">
        <v>3.5375999999999999</v>
      </c>
      <c r="M3601" s="6">
        <v>0.28270000000000001</v>
      </c>
      <c r="N3601" s="6">
        <v>3.5354000000000001</v>
      </c>
      <c r="O3601" s="6">
        <v>1</v>
      </c>
      <c r="P3601" s="5">
        <v>-1100</v>
      </c>
      <c r="Q3601" s="4" t="s">
        <v>1394</v>
      </c>
    </row>
    <row r="3602" spans="1:17" x14ac:dyDescent="0.3">
      <c r="A3602" s="2" t="s">
        <v>1389</v>
      </c>
      <c r="B3602" s="3">
        <v>159306</v>
      </c>
      <c r="C3602" s="3">
        <v>220231</v>
      </c>
      <c r="D3602" s="4" t="s">
        <v>17</v>
      </c>
      <c r="E3602" s="4" t="s">
        <v>1138</v>
      </c>
      <c r="F3602" s="4" t="s">
        <v>19</v>
      </c>
      <c r="G3602" s="4" t="s">
        <v>20</v>
      </c>
      <c r="H3602" s="5">
        <v>9300</v>
      </c>
      <c r="I3602" s="4" t="s">
        <v>34</v>
      </c>
      <c r="J3602" s="5">
        <f t="shared" si="56"/>
        <v>-11044.68</v>
      </c>
      <c r="K3602" s="4" t="s">
        <v>53</v>
      </c>
      <c r="L3602" s="6">
        <v>1.1876</v>
      </c>
      <c r="M3602" s="6">
        <v>0.84199999999999997</v>
      </c>
      <c r="N3602" s="6">
        <v>4.2050000000000001</v>
      </c>
      <c r="O3602" s="6">
        <v>3.5831</v>
      </c>
      <c r="P3602" s="5">
        <v>-467.69290799999726</v>
      </c>
      <c r="Q3602" s="4" t="s">
        <v>1390</v>
      </c>
    </row>
    <row r="3603" spans="1:17" x14ac:dyDescent="0.3">
      <c r="A3603" s="2" t="s">
        <v>1389</v>
      </c>
      <c r="B3603" s="3">
        <v>159307</v>
      </c>
      <c r="C3603" s="3">
        <v>220233</v>
      </c>
      <c r="D3603" s="4" t="s">
        <v>17</v>
      </c>
      <c r="E3603" s="4" t="s">
        <v>1023</v>
      </c>
      <c r="F3603" s="4" t="s">
        <v>19</v>
      </c>
      <c r="G3603" s="4" t="s">
        <v>20</v>
      </c>
      <c r="H3603" s="5">
        <v>50000</v>
      </c>
      <c r="I3603" s="4" t="s">
        <v>21</v>
      </c>
      <c r="J3603" s="5">
        <f t="shared" si="56"/>
        <v>-209875</v>
      </c>
      <c r="K3603" s="4" t="s">
        <v>53</v>
      </c>
      <c r="L3603" s="6">
        <v>4.1974999999999998</v>
      </c>
      <c r="M3603" s="6">
        <v>0.2382</v>
      </c>
      <c r="N3603" s="6">
        <v>4.2050000000000001</v>
      </c>
      <c r="O3603" s="6">
        <v>1</v>
      </c>
      <c r="P3603" s="5">
        <v>375</v>
      </c>
      <c r="Q3603" s="4" t="s">
        <v>1390</v>
      </c>
    </row>
    <row r="3604" spans="1:17" x14ac:dyDescent="0.3">
      <c r="A3604" s="2" t="s">
        <v>1389</v>
      </c>
      <c r="B3604" s="3">
        <v>159308</v>
      </c>
      <c r="C3604" s="3">
        <v>220234</v>
      </c>
      <c r="D3604" s="4" t="s">
        <v>17</v>
      </c>
      <c r="E3604" s="4" t="s">
        <v>951</v>
      </c>
      <c r="F3604" s="4" t="s">
        <v>32</v>
      </c>
      <c r="G3604" s="4" t="s">
        <v>20</v>
      </c>
      <c r="H3604" s="5">
        <v>-50000</v>
      </c>
      <c r="I3604" s="4" t="s">
        <v>21</v>
      </c>
      <c r="J3604" s="5">
        <f t="shared" si="56"/>
        <v>210325</v>
      </c>
      <c r="K3604" s="4" t="s">
        <v>53</v>
      </c>
      <c r="L3604" s="6">
        <v>4.2065000000000001</v>
      </c>
      <c r="M3604" s="6">
        <v>0.23769999999999999</v>
      </c>
      <c r="N3604" s="6">
        <v>4.2050000000000001</v>
      </c>
      <c r="O3604" s="6">
        <v>1</v>
      </c>
      <c r="P3604" s="5">
        <v>55</v>
      </c>
      <c r="Q3604" s="4" t="s">
        <v>1390</v>
      </c>
    </row>
    <row r="3605" spans="1:17" x14ac:dyDescent="0.3">
      <c r="A3605" s="2" t="s">
        <v>1389</v>
      </c>
      <c r="B3605" s="3">
        <v>159309</v>
      </c>
      <c r="C3605" s="3">
        <v>910714</v>
      </c>
      <c r="D3605" s="4" t="s">
        <v>81</v>
      </c>
      <c r="E3605" s="4" t="s">
        <v>733</v>
      </c>
      <c r="F3605" s="4" t="s">
        <v>87</v>
      </c>
      <c r="G3605" s="4" t="s">
        <v>34</v>
      </c>
      <c r="H3605" s="5">
        <v>1000000</v>
      </c>
      <c r="I3605" s="4" t="s">
        <v>21</v>
      </c>
      <c r="J3605" s="5">
        <f t="shared" si="56"/>
        <v>-3535700</v>
      </c>
      <c r="K3605" s="4" t="s">
        <v>30</v>
      </c>
      <c r="L3605" s="6">
        <v>3.5356999999999998</v>
      </c>
      <c r="M3605" s="6">
        <v>0.2828</v>
      </c>
      <c r="N3605" s="6">
        <v>3.5354000000000001</v>
      </c>
      <c r="O3605" s="6">
        <v>1</v>
      </c>
      <c r="P3605" s="5">
        <v>-310</v>
      </c>
      <c r="Q3605" s="4" t="s">
        <v>1391</v>
      </c>
    </row>
    <row r="3606" spans="1:17" x14ac:dyDescent="0.3">
      <c r="A3606" s="2" t="s">
        <v>1389</v>
      </c>
      <c r="B3606" s="3">
        <v>159310</v>
      </c>
      <c r="C3606" s="3">
        <v>910715</v>
      </c>
      <c r="D3606" s="4" t="s">
        <v>81</v>
      </c>
      <c r="E3606" s="4" t="s">
        <v>734</v>
      </c>
      <c r="F3606" s="4" t="s">
        <v>87</v>
      </c>
      <c r="G3606" s="4" t="s">
        <v>34</v>
      </c>
      <c r="H3606" s="5">
        <v>500000</v>
      </c>
      <c r="I3606" s="4" t="s">
        <v>21</v>
      </c>
      <c r="J3606" s="5">
        <f t="shared" si="56"/>
        <v>-1767650</v>
      </c>
      <c r="K3606" s="4" t="s">
        <v>30</v>
      </c>
      <c r="L3606" s="6">
        <v>3.5352999999999999</v>
      </c>
      <c r="M3606" s="6">
        <v>0.28289999999999998</v>
      </c>
      <c r="N3606" s="6">
        <v>3.5354000000000001</v>
      </c>
      <c r="O3606" s="6">
        <v>1</v>
      </c>
      <c r="P3606" s="5">
        <v>50</v>
      </c>
      <c r="Q3606" s="4" t="s">
        <v>1393</v>
      </c>
    </row>
    <row r="3607" spans="1:17" x14ac:dyDescent="0.3">
      <c r="A3607" s="2" t="s">
        <v>1389</v>
      </c>
      <c r="B3607" s="3">
        <v>159311</v>
      </c>
      <c r="C3607" s="3">
        <v>910716</v>
      </c>
      <c r="D3607" s="4" t="s">
        <v>81</v>
      </c>
      <c r="E3607" s="4" t="s">
        <v>735</v>
      </c>
      <c r="F3607" s="4" t="s">
        <v>87</v>
      </c>
      <c r="G3607" s="4" t="s">
        <v>34</v>
      </c>
      <c r="H3607" s="5">
        <v>500000</v>
      </c>
      <c r="I3607" s="4" t="s">
        <v>21</v>
      </c>
      <c r="J3607" s="5">
        <f t="shared" si="56"/>
        <v>-1767600</v>
      </c>
      <c r="K3607" s="4" t="s">
        <v>30</v>
      </c>
      <c r="L3607" s="6">
        <v>3.5352000000000001</v>
      </c>
      <c r="M3607" s="6">
        <v>0.28289999999999998</v>
      </c>
      <c r="N3607" s="6">
        <v>3.5354000000000001</v>
      </c>
      <c r="O3607" s="6">
        <v>1</v>
      </c>
      <c r="P3607" s="5">
        <v>100</v>
      </c>
      <c r="Q3607" s="4" t="s">
        <v>1394</v>
      </c>
    </row>
    <row r="3608" spans="1:17" x14ac:dyDescent="0.3">
      <c r="A3608" s="2" t="s">
        <v>1389</v>
      </c>
      <c r="B3608" s="3">
        <v>159312</v>
      </c>
      <c r="C3608" s="3">
        <v>910717</v>
      </c>
      <c r="D3608" s="4" t="s">
        <v>81</v>
      </c>
      <c r="E3608" s="4" t="s">
        <v>735</v>
      </c>
      <c r="F3608" s="4" t="s">
        <v>87</v>
      </c>
      <c r="G3608" s="4" t="s">
        <v>34</v>
      </c>
      <c r="H3608" s="5">
        <v>1000000</v>
      </c>
      <c r="I3608" s="4" t="s">
        <v>21</v>
      </c>
      <c r="J3608" s="5">
        <f t="shared" si="56"/>
        <v>-3535200</v>
      </c>
      <c r="K3608" s="4" t="s">
        <v>30</v>
      </c>
      <c r="L3608" s="6">
        <v>3.5352000000000001</v>
      </c>
      <c r="M3608" s="6">
        <v>0.28289999999999998</v>
      </c>
      <c r="N3608" s="6">
        <v>3.5354000000000001</v>
      </c>
      <c r="O3608" s="6">
        <v>1</v>
      </c>
      <c r="P3608" s="5">
        <v>200</v>
      </c>
      <c r="Q3608" s="4" t="s">
        <v>1394</v>
      </c>
    </row>
    <row r="3609" spans="1:17" x14ac:dyDescent="0.3">
      <c r="A3609" s="2" t="s">
        <v>1389</v>
      </c>
      <c r="B3609" s="3">
        <v>159313</v>
      </c>
      <c r="C3609" s="3">
        <v>220236</v>
      </c>
      <c r="D3609" s="4" t="s">
        <v>17</v>
      </c>
      <c r="E3609" s="4" t="s">
        <v>1268</v>
      </c>
      <c r="F3609" s="4" t="s">
        <v>32</v>
      </c>
      <c r="G3609" s="4" t="s">
        <v>20</v>
      </c>
      <c r="H3609" s="5">
        <v>-5000</v>
      </c>
      <c r="I3609" s="4" t="s">
        <v>21</v>
      </c>
      <c r="J3609" s="5">
        <f t="shared" si="56"/>
        <v>21092.5</v>
      </c>
      <c r="K3609" s="4" t="s">
        <v>53</v>
      </c>
      <c r="L3609" s="6">
        <v>4.2184999999999997</v>
      </c>
      <c r="M3609" s="6">
        <v>0.23710000000000001</v>
      </c>
      <c r="N3609" s="6">
        <v>4.2050000000000001</v>
      </c>
      <c r="O3609" s="6">
        <v>1</v>
      </c>
      <c r="P3609" s="5">
        <v>65</v>
      </c>
      <c r="Q3609" s="4" t="s">
        <v>1390</v>
      </c>
    </row>
    <row r="3610" spans="1:17" x14ac:dyDescent="0.3">
      <c r="A3610" s="2" t="s">
        <v>1389</v>
      </c>
      <c r="B3610" s="3">
        <v>159314</v>
      </c>
      <c r="C3610" s="3">
        <v>910721</v>
      </c>
      <c r="D3610" s="4" t="s">
        <v>81</v>
      </c>
      <c r="E3610" s="4" t="s">
        <v>735</v>
      </c>
      <c r="F3610" s="4" t="s">
        <v>87</v>
      </c>
      <c r="G3610" s="4" t="s">
        <v>34</v>
      </c>
      <c r="H3610" s="5">
        <v>500000</v>
      </c>
      <c r="I3610" s="4" t="s">
        <v>21</v>
      </c>
      <c r="J3610" s="5">
        <f t="shared" si="56"/>
        <v>-1767500</v>
      </c>
      <c r="K3610" s="4" t="s">
        <v>30</v>
      </c>
      <c r="L3610" s="6">
        <v>3.5350000000000001</v>
      </c>
      <c r="M3610" s="6">
        <v>0.28289999999999998</v>
      </c>
      <c r="N3610" s="6">
        <v>3.5354000000000001</v>
      </c>
      <c r="O3610" s="6">
        <v>1</v>
      </c>
      <c r="P3610" s="5">
        <v>200</v>
      </c>
      <c r="Q3610" s="4" t="s">
        <v>1394</v>
      </c>
    </row>
    <row r="3611" spans="1:17" x14ac:dyDescent="0.3">
      <c r="A3611" s="2" t="s">
        <v>1389</v>
      </c>
      <c r="B3611" s="3">
        <v>159315</v>
      </c>
      <c r="C3611" s="3">
        <v>910722</v>
      </c>
      <c r="D3611" s="4" t="s">
        <v>81</v>
      </c>
      <c r="E3611" s="4" t="s">
        <v>735</v>
      </c>
      <c r="F3611" s="4" t="s">
        <v>87</v>
      </c>
      <c r="G3611" s="4" t="s">
        <v>34</v>
      </c>
      <c r="H3611" s="5">
        <v>1000000</v>
      </c>
      <c r="I3611" s="4" t="s">
        <v>21</v>
      </c>
      <c r="J3611" s="5">
        <f t="shared" si="56"/>
        <v>-3535600</v>
      </c>
      <c r="K3611" s="4" t="s">
        <v>30</v>
      </c>
      <c r="L3611" s="6">
        <v>3.5356000000000001</v>
      </c>
      <c r="M3611" s="6">
        <v>0.2828</v>
      </c>
      <c r="N3611" s="6">
        <v>3.5354000000000001</v>
      </c>
      <c r="O3611" s="6">
        <v>1</v>
      </c>
      <c r="P3611" s="5">
        <v>-200</v>
      </c>
      <c r="Q3611" s="4" t="s">
        <v>1394</v>
      </c>
    </row>
    <row r="3612" spans="1:17" x14ac:dyDescent="0.3">
      <c r="A3612" s="2" t="s">
        <v>1389</v>
      </c>
      <c r="B3612" s="3">
        <v>159316</v>
      </c>
      <c r="C3612" s="3">
        <v>220237</v>
      </c>
      <c r="D3612" s="4" t="s">
        <v>17</v>
      </c>
      <c r="E3612" s="4" t="s">
        <v>1047</v>
      </c>
      <c r="F3612" s="4" t="s">
        <v>32</v>
      </c>
      <c r="G3612" s="4" t="s">
        <v>34</v>
      </c>
      <c r="H3612" s="5">
        <v>-650000</v>
      </c>
      <c r="I3612" s="4" t="s">
        <v>21</v>
      </c>
      <c r="J3612" s="5">
        <f t="shared" si="56"/>
        <v>2301000</v>
      </c>
      <c r="K3612" s="4" t="s">
        <v>27</v>
      </c>
      <c r="L3612" s="6">
        <v>3.54</v>
      </c>
      <c r="M3612" s="6">
        <v>0.28249999999999997</v>
      </c>
      <c r="N3612" s="6">
        <v>3.5188999999999999</v>
      </c>
      <c r="O3612" s="6">
        <v>1</v>
      </c>
      <c r="P3612" s="5">
        <v>15015</v>
      </c>
      <c r="Q3612" s="4" t="s">
        <v>1390</v>
      </c>
    </row>
    <row r="3613" spans="1:17" x14ac:dyDescent="0.3">
      <c r="A3613" s="2" t="s">
        <v>1389</v>
      </c>
      <c r="B3613" s="3">
        <v>159317</v>
      </c>
      <c r="C3613" s="3">
        <v>910726</v>
      </c>
      <c r="D3613" s="4" t="s">
        <v>81</v>
      </c>
      <c r="E3613" s="4" t="s">
        <v>735</v>
      </c>
      <c r="F3613" s="4" t="s">
        <v>87</v>
      </c>
      <c r="G3613" s="4" t="s">
        <v>20</v>
      </c>
      <c r="H3613" s="5">
        <v>150000</v>
      </c>
      <c r="I3613" s="4" t="s">
        <v>101</v>
      </c>
      <c r="J3613" s="5">
        <f t="shared" si="56"/>
        <v>-3636165</v>
      </c>
      <c r="K3613" s="4" t="s">
        <v>30</v>
      </c>
      <c r="L3613" s="6">
        <v>24.241099999999999</v>
      </c>
      <c r="M3613" s="6">
        <v>4.1300000000000003E-2</v>
      </c>
      <c r="N3613" s="6">
        <v>4.2031999999999998</v>
      </c>
      <c r="O3613" s="6">
        <v>0.17349999999999999</v>
      </c>
      <c r="P3613" s="5">
        <v>-394.6275</v>
      </c>
      <c r="Q3613" s="4" t="s">
        <v>1394</v>
      </c>
    </row>
    <row r="3614" spans="1:17" x14ac:dyDescent="0.3">
      <c r="A3614" s="2" t="s">
        <v>1389</v>
      </c>
      <c r="B3614" s="3">
        <v>159319</v>
      </c>
      <c r="C3614" s="3">
        <v>910730</v>
      </c>
      <c r="D3614" s="4" t="s">
        <v>81</v>
      </c>
      <c r="E3614" s="4" t="s">
        <v>733</v>
      </c>
      <c r="F3614" s="4" t="s">
        <v>87</v>
      </c>
      <c r="G3614" s="4" t="s">
        <v>34</v>
      </c>
      <c r="H3614" s="5">
        <v>1000000</v>
      </c>
      <c r="I3614" s="4" t="s">
        <v>21</v>
      </c>
      <c r="J3614" s="5">
        <f t="shared" si="56"/>
        <v>-3534500</v>
      </c>
      <c r="K3614" s="4" t="s">
        <v>30</v>
      </c>
      <c r="L3614" s="6">
        <v>3.5345</v>
      </c>
      <c r="M3614" s="6">
        <v>0.28289999999999998</v>
      </c>
      <c r="N3614" s="6">
        <v>3.5354000000000001</v>
      </c>
      <c r="O3614" s="6">
        <v>1</v>
      </c>
      <c r="P3614" s="5">
        <v>890</v>
      </c>
      <c r="Q3614" s="4" t="s">
        <v>1391</v>
      </c>
    </row>
    <row r="3615" spans="1:17" x14ac:dyDescent="0.3">
      <c r="A3615" s="2" t="s">
        <v>1389</v>
      </c>
      <c r="B3615" s="3">
        <v>159324</v>
      </c>
      <c r="C3615" s="3">
        <v>910751</v>
      </c>
      <c r="D3615" s="4" t="s">
        <v>81</v>
      </c>
      <c r="E3615" s="4" t="s">
        <v>735</v>
      </c>
      <c r="F3615" s="4" t="s">
        <v>83</v>
      </c>
      <c r="G3615" s="4" t="s">
        <v>34</v>
      </c>
      <c r="H3615" s="5">
        <v>-1000000</v>
      </c>
      <c r="I3615" s="4" t="s">
        <v>21</v>
      </c>
      <c r="J3615" s="5">
        <f t="shared" si="56"/>
        <v>3534300</v>
      </c>
      <c r="K3615" s="4" t="s">
        <v>30</v>
      </c>
      <c r="L3615" s="6">
        <v>3.5343</v>
      </c>
      <c r="M3615" s="6">
        <v>0.28289999999999998</v>
      </c>
      <c r="N3615" s="6">
        <v>3.5354000000000001</v>
      </c>
      <c r="O3615" s="6">
        <v>1</v>
      </c>
      <c r="P3615" s="5">
        <v>-1100</v>
      </c>
      <c r="Q3615" s="4" t="s">
        <v>1394</v>
      </c>
    </row>
    <row r="3616" spans="1:17" x14ac:dyDescent="0.3">
      <c r="A3616" s="2" t="s">
        <v>1389</v>
      </c>
      <c r="B3616" s="3">
        <v>159327</v>
      </c>
      <c r="C3616" s="3">
        <v>910771</v>
      </c>
      <c r="D3616" s="4" t="s">
        <v>81</v>
      </c>
      <c r="E3616" s="4" t="s">
        <v>734</v>
      </c>
      <c r="F3616" s="4" t="s">
        <v>83</v>
      </c>
      <c r="G3616" s="4" t="s">
        <v>20</v>
      </c>
      <c r="H3616" s="5">
        <v>-81318.09</v>
      </c>
      <c r="I3616" s="4" t="s">
        <v>21</v>
      </c>
      <c r="J3616" s="5">
        <f t="shared" si="56"/>
        <v>341926.30483199994</v>
      </c>
      <c r="K3616" s="4" t="s">
        <v>30</v>
      </c>
      <c r="L3616" s="6">
        <v>4.2047999999999996</v>
      </c>
      <c r="M3616" s="6">
        <v>0.23780000000000001</v>
      </c>
      <c r="N3616" s="6">
        <v>4.2031999999999998</v>
      </c>
      <c r="O3616" s="6">
        <v>1</v>
      </c>
      <c r="P3616" s="5">
        <v>133.36411200000001</v>
      </c>
      <c r="Q3616" s="4" t="s">
        <v>1393</v>
      </c>
    </row>
    <row r="3617" spans="1:17" x14ac:dyDescent="0.3">
      <c r="A3617" s="2" t="s">
        <v>1389</v>
      </c>
      <c r="B3617" s="3">
        <v>159328</v>
      </c>
      <c r="C3617" s="3">
        <v>910772</v>
      </c>
      <c r="D3617" s="4" t="s">
        <v>81</v>
      </c>
      <c r="E3617" s="4" t="s">
        <v>735</v>
      </c>
      <c r="F3617" s="4" t="s">
        <v>83</v>
      </c>
      <c r="G3617" s="4" t="s">
        <v>91</v>
      </c>
      <c r="H3617" s="5">
        <v>-3818.49</v>
      </c>
      <c r="I3617" s="4" t="s">
        <v>21</v>
      </c>
      <c r="J3617" s="5">
        <f t="shared" si="56"/>
        <v>18503.638841999997</v>
      </c>
      <c r="K3617" s="4" t="s">
        <v>30</v>
      </c>
      <c r="L3617" s="6">
        <v>4.8457999999999997</v>
      </c>
      <c r="M3617" s="6">
        <v>0.2064</v>
      </c>
      <c r="N3617" s="6">
        <v>4.8432000000000004</v>
      </c>
      <c r="O3617" s="6">
        <v>1</v>
      </c>
      <c r="P3617" s="5">
        <v>9.9292320000000007</v>
      </c>
      <c r="Q3617" s="4" t="s">
        <v>1394</v>
      </c>
    </row>
    <row r="3618" spans="1:17" x14ac:dyDescent="0.3">
      <c r="A3618" s="2" t="s">
        <v>1389</v>
      </c>
      <c r="B3618" s="3">
        <v>159329</v>
      </c>
      <c r="C3618" s="3">
        <v>910773</v>
      </c>
      <c r="D3618" s="4" t="s">
        <v>81</v>
      </c>
      <c r="E3618" s="4" t="s">
        <v>735</v>
      </c>
      <c r="F3618" s="4" t="s">
        <v>87</v>
      </c>
      <c r="G3618" s="4" t="s">
        <v>34</v>
      </c>
      <c r="H3618" s="5">
        <v>74550.600000000006</v>
      </c>
      <c r="I3618" s="4" t="s">
        <v>21</v>
      </c>
      <c r="J3618" s="5">
        <f t="shared" si="56"/>
        <v>-263767.47786000004</v>
      </c>
      <c r="K3618" s="4" t="s">
        <v>30</v>
      </c>
      <c r="L3618" s="6">
        <v>3.5381</v>
      </c>
      <c r="M3618" s="6">
        <v>0.28260000000000002</v>
      </c>
      <c r="N3618" s="6">
        <v>3.5354000000000001</v>
      </c>
      <c r="O3618" s="6">
        <v>1</v>
      </c>
      <c r="P3618" s="5">
        <v>-201.28876</v>
      </c>
      <c r="Q3618" s="4" t="s">
        <v>1394</v>
      </c>
    </row>
    <row r="3619" spans="1:17" x14ac:dyDescent="0.3">
      <c r="A3619" s="2" t="s">
        <v>1389</v>
      </c>
      <c r="B3619" s="3">
        <v>159330</v>
      </c>
      <c r="C3619" s="3">
        <v>910774</v>
      </c>
      <c r="D3619" s="4" t="s">
        <v>81</v>
      </c>
      <c r="E3619" s="4" t="s">
        <v>735</v>
      </c>
      <c r="F3619" s="4" t="s">
        <v>87</v>
      </c>
      <c r="G3619" s="4" t="s">
        <v>93</v>
      </c>
      <c r="H3619" s="5">
        <v>363</v>
      </c>
      <c r="I3619" s="4" t="s">
        <v>21</v>
      </c>
      <c r="J3619" s="5">
        <f t="shared" si="56"/>
        <v>-1656.4416000000001</v>
      </c>
      <c r="K3619" s="4" t="s">
        <v>30</v>
      </c>
      <c r="L3619" s="6">
        <v>4.5632000000000001</v>
      </c>
      <c r="M3619" s="6">
        <v>0.21909999999999999</v>
      </c>
      <c r="N3619" s="6">
        <v>4.5575000000000001</v>
      </c>
      <c r="O3619" s="6">
        <v>1</v>
      </c>
      <c r="P3619" s="5">
        <v>-2.0674999999999999</v>
      </c>
      <c r="Q3619" s="4" t="s">
        <v>1394</v>
      </c>
    </row>
    <row r="3620" spans="1:17" x14ac:dyDescent="0.3">
      <c r="A3620" s="2" t="s">
        <v>1389</v>
      </c>
      <c r="B3620" s="3">
        <v>159331</v>
      </c>
      <c r="C3620" s="3">
        <v>910779</v>
      </c>
      <c r="D3620" s="4" t="s">
        <v>81</v>
      </c>
      <c r="E3620" s="4" t="s">
        <v>735</v>
      </c>
      <c r="F3620" s="4" t="s">
        <v>83</v>
      </c>
      <c r="G3620" s="4" t="s">
        <v>93</v>
      </c>
      <c r="H3620" s="5">
        <v>-115933.25</v>
      </c>
      <c r="I3620" s="4" t="s">
        <v>21</v>
      </c>
      <c r="J3620" s="5">
        <f t="shared" si="56"/>
        <v>528644.02667499997</v>
      </c>
      <c r="K3620" s="4" t="s">
        <v>30</v>
      </c>
      <c r="L3620" s="6">
        <v>4.5598999999999998</v>
      </c>
      <c r="M3620" s="6">
        <v>0.21929999999999999</v>
      </c>
      <c r="N3620" s="6">
        <v>4.5575000000000001</v>
      </c>
      <c r="O3620" s="6">
        <v>1</v>
      </c>
      <c r="P3620" s="5">
        <v>278.24312500000002</v>
      </c>
      <c r="Q3620" s="4" t="s">
        <v>1394</v>
      </c>
    </row>
    <row r="3621" spans="1:17" x14ac:dyDescent="0.3">
      <c r="A3621" s="2" t="s">
        <v>1389</v>
      </c>
      <c r="B3621" s="3">
        <v>159332</v>
      </c>
      <c r="C3621" s="3">
        <v>910781</v>
      </c>
      <c r="D3621" s="4" t="s">
        <v>81</v>
      </c>
      <c r="E3621" s="4" t="s">
        <v>734</v>
      </c>
      <c r="F3621" s="4" t="s">
        <v>83</v>
      </c>
      <c r="G3621" s="4" t="s">
        <v>20</v>
      </c>
      <c r="H3621" s="5">
        <v>-105008.69</v>
      </c>
      <c r="I3621" s="4" t="s">
        <v>21</v>
      </c>
      <c r="J3621" s="5">
        <f t="shared" si="56"/>
        <v>441698.05274699995</v>
      </c>
      <c r="K3621" s="4" t="s">
        <v>30</v>
      </c>
      <c r="L3621" s="6">
        <v>4.2062999999999997</v>
      </c>
      <c r="M3621" s="6">
        <v>0.23769999999999999</v>
      </c>
      <c r="N3621" s="6">
        <v>4.2031999999999998</v>
      </c>
      <c r="O3621" s="6">
        <v>1</v>
      </c>
      <c r="P3621" s="5">
        <v>325.52419200000003</v>
      </c>
      <c r="Q3621" s="4" t="s">
        <v>1393</v>
      </c>
    </row>
    <row r="3622" spans="1:17" x14ac:dyDescent="0.3">
      <c r="A3622" s="2" t="s">
        <v>1389</v>
      </c>
      <c r="B3622" s="3">
        <v>159333</v>
      </c>
      <c r="C3622" s="3">
        <v>910783</v>
      </c>
      <c r="D3622" s="4" t="s">
        <v>81</v>
      </c>
      <c r="E3622" s="4" t="s">
        <v>735</v>
      </c>
      <c r="F3622" s="4" t="s">
        <v>87</v>
      </c>
      <c r="G3622" s="4" t="s">
        <v>34</v>
      </c>
      <c r="H3622" s="5">
        <v>64450.68</v>
      </c>
      <c r="I3622" s="4" t="s">
        <v>21</v>
      </c>
      <c r="J3622" s="5">
        <f t="shared" si="56"/>
        <v>-228239.193084</v>
      </c>
      <c r="K3622" s="4" t="s">
        <v>30</v>
      </c>
      <c r="L3622" s="6">
        <v>3.5413000000000001</v>
      </c>
      <c r="M3622" s="6">
        <v>0.28239999999999998</v>
      </c>
      <c r="N3622" s="6">
        <v>3.5354000000000001</v>
      </c>
      <c r="O3622" s="6">
        <v>1</v>
      </c>
      <c r="P3622" s="5">
        <v>-380.25592799999998</v>
      </c>
      <c r="Q3622" s="4" t="s">
        <v>1394</v>
      </c>
    </row>
    <row r="3623" spans="1:17" x14ac:dyDescent="0.3">
      <c r="A3623" s="2" t="s">
        <v>1389</v>
      </c>
      <c r="B3623" s="3">
        <v>159334</v>
      </c>
      <c r="C3623" s="3">
        <v>910784</v>
      </c>
      <c r="D3623" s="4" t="s">
        <v>81</v>
      </c>
      <c r="E3623" s="4" t="s">
        <v>735</v>
      </c>
      <c r="F3623" s="4" t="s">
        <v>87</v>
      </c>
      <c r="G3623" s="4" t="s">
        <v>91</v>
      </c>
      <c r="H3623" s="5">
        <v>71401.279999999999</v>
      </c>
      <c r="I3623" s="4" t="s">
        <v>21</v>
      </c>
      <c r="J3623" s="5">
        <f t="shared" si="56"/>
        <v>-345939.20159999997</v>
      </c>
      <c r="K3623" s="4" t="s">
        <v>30</v>
      </c>
      <c r="L3623" s="6">
        <v>4.8449999999999998</v>
      </c>
      <c r="M3623" s="6">
        <v>0.2064</v>
      </c>
      <c r="N3623" s="6">
        <v>4.8432000000000004</v>
      </c>
      <c r="O3623" s="6">
        <v>1</v>
      </c>
      <c r="P3623" s="5">
        <v>-128.52070399999999</v>
      </c>
      <c r="Q3623" s="4" t="s">
        <v>1394</v>
      </c>
    </row>
    <row r="3624" spans="1:17" x14ac:dyDescent="0.3">
      <c r="A3624" s="2" t="s">
        <v>1389</v>
      </c>
      <c r="B3624" s="3">
        <v>159335</v>
      </c>
      <c r="C3624" s="3">
        <v>910785</v>
      </c>
      <c r="D3624" s="4" t="s">
        <v>81</v>
      </c>
      <c r="E3624" s="4" t="s">
        <v>734</v>
      </c>
      <c r="F3624" s="4" t="s">
        <v>83</v>
      </c>
      <c r="G3624" s="4" t="s">
        <v>93</v>
      </c>
      <c r="H3624" s="5">
        <v>-17264.39</v>
      </c>
      <c r="I3624" s="4" t="s">
        <v>21</v>
      </c>
      <c r="J3624" s="5">
        <f t="shared" si="56"/>
        <v>78741.156350999998</v>
      </c>
      <c r="K3624" s="4" t="s">
        <v>30</v>
      </c>
      <c r="L3624" s="6">
        <v>4.5609000000000002</v>
      </c>
      <c r="M3624" s="6">
        <v>0.21929999999999999</v>
      </c>
      <c r="N3624" s="6">
        <v>4.5575000000000001</v>
      </c>
      <c r="O3624" s="6">
        <v>1</v>
      </c>
      <c r="P3624" s="5">
        <v>58.352575000000002</v>
      </c>
      <c r="Q3624" s="4" t="s">
        <v>1393</v>
      </c>
    </row>
    <row r="3625" spans="1:17" x14ac:dyDescent="0.3">
      <c r="A3625" s="2" t="s">
        <v>1389</v>
      </c>
      <c r="B3625" s="3">
        <v>159336</v>
      </c>
      <c r="C3625" s="3">
        <v>910786</v>
      </c>
      <c r="D3625" s="4" t="s">
        <v>81</v>
      </c>
      <c r="E3625" s="4" t="s">
        <v>735</v>
      </c>
      <c r="F3625" s="4" t="s">
        <v>87</v>
      </c>
      <c r="G3625" s="4" t="s">
        <v>20</v>
      </c>
      <c r="H3625" s="5">
        <v>6016.49</v>
      </c>
      <c r="I3625" s="4" t="s">
        <v>21</v>
      </c>
      <c r="J3625" s="5">
        <f t="shared" si="56"/>
        <v>-25308.966833999999</v>
      </c>
      <c r="K3625" s="4" t="s">
        <v>30</v>
      </c>
      <c r="L3625" s="6">
        <v>4.2065999999999999</v>
      </c>
      <c r="M3625" s="6">
        <v>0.23769999999999999</v>
      </c>
      <c r="N3625" s="6">
        <v>4.2031999999999998</v>
      </c>
      <c r="O3625" s="6">
        <v>1</v>
      </c>
      <c r="P3625" s="5">
        <v>-20.459232</v>
      </c>
      <c r="Q3625" s="4" t="s">
        <v>1394</v>
      </c>
    </row>
    <row r="3626" spans="1:17" x14ac:dyDescent="0.3">
      <c r="A3626" s="2" t="s">
        <v>1389</v>
      </c>
      <c r="B3626" s="3">
        <v>159337</v>
      </c>
      <c r="C3626" s="3">
        <v>220245</v>
      </c>
      <c r="D3626" s="4" t="s">
        <v>17</v>
      </c>
      <c r="E3626" s="4" t="s">
        <v>735</v>
      </c>
      <c r="F3626" s="4" t="s">
        <v>19</v>
      </c>
      <c r="G3626" s="4" t="s">
        <v>34</v>
      </c>
      <c r="H3626" s="5">
        <v>5000</v>
      </c>
      <c r="I3626" s="4" t="s">
        <v>21</v>
      </c>
      <c r="J3626" s="5">
        <f t="shared" si="56"/>
        <v>-17700.5</v>
      </c>
      <c r="K3626" s="4" t="s">
        <v>54</v>
      </c>
      <c r="L3626" s="6">
        <v>3.5400999999999998</v>
      </c>
      <c r="M3626" s="6">
        <v>0.28249999999999997</v>
      </c>
      <c r="N3626" s="6">
        <v>3.5499000000000001</v>
      </c>
      <c r="O3626" s="6">
        <v>1</v>
      </c>
      <c r="P3626" s="5">
        <v>49</v>
      </c>
      <c r="Q3626" s="4" t="s">
        <v>1394</v>
      </c>
    </row>
    <row r="3627" spans="1:17" x14ac:dyDescent="0.3">
      <c r="A3627" s="2" t="s">
        <v>1389</v>
      </c>
      <c r="B3627" s="3">
        <v>159338</v>
      </c>
      <c r="C3627" s="3">
        <v>220246</v>
      </c>
      <c r="D3627" s="4" t="s">
        <v>17</v>
      </c>
      <c r="E3627" s="4" t="s">
        <v>1244</v>
      </c>
      <c r="F3627" s="4" t="s">
        <v>32</v>
      </c>
      <c r="G3627" s="4" t="s">
        <v>34</v>
      </c>
      <c r="H3627" s="5">
        <v>-5000</v>
      </c>
      <c r="I3627" s="4" t="s">
        <v>21</v>
      </c>
      <c r="J3627" s="5">
        <f t="shared" si="56"/>
        <v>17773</v>
      </c>
      <c r="K3627" s="4" t="s">
        <v>54</v>
      </c>
      <c r="L3627" s="6">
        <v>3.5546000000000002</v>
      </c>
      <c r="M3627" s="6">
        <v>0.28129999999999999</v>
      </c>
      <c r="N3627" s="6">
        <v>3.5499000000000001</v>
      </c>
      <c r="O3627" s="6">
        <v>1</v>
      </c>
      <c r="P3627" s="5">
        <v>23.5</v>
      </c>
      <c r="Q3627" s="4" t="s">
        <v>1390</v>
      </c>
    </row>
    <row r="3628" spans="1:17" x14ac:dyDescent="0.3">
      <c r="A3628" s="2" t="s">
        <v>1389</v>
      </c>
      <c r="B3628" s="3">
        <v>159339</v>
      </c>
      <c r="C3628" s="3">
        <v>910795</v>
      </c>
      <c r="D3628" s="4" t="s">
        <v>81</v>
      </c>
      <c r="E3628" s="4" t="s">
        <v>735</v>
      </c>
      <c r="F3628" s="4" t="s">
        <v>87</v>
      </c>
      <c r="G3628" s="4" t="s">
        <v>34</v>
      </c>
      <c r="H3628" s="5">
        <v>55120.81</v>
      </c>
      <c r="I3628" s="4" t="s">
        <v>21</v>
      </c>
      <c r="J3628" s="5">
        <f t="shared" si="56"/>
        <v>-195293.02983000001</v>
      </c>
      <c r="K3628" s="4" t="s">
        <v>55</v>
      </c>
      <c r="L3628" s="6">
        <v>3.5430000000000001</v>
      </c>
      <c r="M3628" s="6">
        <v>0.28220000000000001</v>
      </c>
      <c r="N3628" s="6">
        <v>3.5045000000000002</v>
      </c>
      <c r="O3628" s="6">
        <v>1</v>
      </c>
      <c r="P3628" s="5">
        <v>-2122.151355</v>
      </c>
      <c r="Q3628" s="4" t="s">
        <v>1394</v>
      </c>
    </row>
    <row r="3629" spans="1:17" x14ac:dyDescent="0.3">
      <c r="A3629" s="2" t="s">
        <v>1389</v>
      </c>
      <c r="B3629" s="3">
        <v>159340</v>
      </c>
      <c r="C3629" s="3">
        <v>910796</v>
      </c>
      <c r="D3629" s="4" t="s">
        <v>81</v>
      </c>
      <c r="E3629" s="4" t="s">
        <v>743</v>
      </c>
      <c r="F3629" s="4" t="s">
        <v>83</v>
      </c>
      <c r="G3629" s="4" t="s">
        <v>20</v>
      </c>
      <c r="H3629" s="5">
        <v>-46881.63</v>
      </c>
      <c r="I3629" s="4" t="s">
        <v>21</v>
      </c>
      <c r="J3629" s="5">
        <f t="shared" si="56"/>
        <v>197127.87782399997</v>
      </c>
      <c r="K3629" s="4" t="s">
        <v>55</v>
      </c>
      <c r="L3629" s="6">
        <v>4.2047999999999996</v>
      </c>
      <c r="M3629" s="6">
        <v>0.23780000000000001</v>
      </c>
      <c r="N3629" s="6">
        <v>4.2008999999999999</v>
      </c>
      <c r="O3629" s="6">
        <v>1</v>
      </c>
      <c r="P3629" s="5">
        <v>182.37053299999999</v>
      </c>
      <c r="Q3629" s="4" t="s">
        <v>1395</v>
      </c>
    </row>
    <row r="3630" spans="1:17" x14ac:dyDescent="0.3">
      <c r="A3630" s="2" t="s">
        <v>1389</v>
      </c>
      <c r="B3630" s="3">
        <v>159341</v>
      </c>
      <c r="C3630" s="3">
        <v>910797</v>
      </c>
      <c r="D3630" s="4" t="s">
        <v>81</v>
      </c>
      <c r="E3630" s="4" t="s">
        <v>734</v>
      </c>
      <c r="F3630" s="4" t="s">
        <v>83</v>
      </c>
      <c r="G3630" s="4" t="s">
        <v>91</v>
      </c>
      <c r="H3630" s="5">
        <v>-664.09</v>
      </c>
      <c r="I3630" s="4" t="s">
        <v>21</v>
      </c>
      <c r="J3630" s="5">
        <f t="shared" si="56"/>
        <v>3212.734602</v>
      </c>
      <c r="K3630" s="4" t="s">
        <v>55</v>
      </c>
      <c r="L3630" s="6">
        <v>4.8377999999999997</v>
      </c>
      <c r="M3630" s="6">
        <v>0.20669999999999999</v>
      </c>
      <c r="N3630" s="6">
        <v>4.8319999999999999</v>
      </c>
      <c r="O3630" s="6">
        <v>1</v>
      </c>
      <c r="P3630" s="5">
        <v>3.8471199999999999</v>
      </c>
      <c r="Q3630" s="4" t="s">
        <v>1393</v>
      </c>
    </row>
    <row r="3631" spans="1:17" x14ac:dyDescent="0.3">
      <c r="A3631" s="2" t="s">
        <v>1389</v>
      </c>
      <c r="B3631" s="3">
        <v>159342</v>
      </c>
      <c r="C3631" s="3">
        <v>910798</v>
      </c>
      <c r="D3631" s="4" t="s">
        <v>81</v>
      </c>
      <c r="E3631" s="4" t="s">
        <v>734</v>
      </c>
      <c r="F3631" s="4" t="s">
        <v>87</v>
      </c>
      <c r="G3631" s="4" t="s">
        <v>93</v>
      </c>
      <c r="H3631" s="5">
        <v>2430.37</v>
      </c>
      <c r="I3631" s="4" t="s">
        <v>21</v>
      </c>
      <c r="J3631" s="5">
        <f t="shared" si="56"/>
        <v>-11081.758089000001</v>
      </c>
      <c r="K3631" s="4" t="s">
        <v>55</v>
      </c>
      <c r="L3631" s="6">
        <v>4.5597000000000003</v>
      </c>
      <c r="M3631" s="6">
        <v>0.21929999999999999</v>
      </c>
      <c r="N3631" s="6">
        <v>4.5683999999999996</v>
      </c>
      <c r="O3631" s="6">
        <v>1</v>
      </c>
      <c r="P3631" s="5">
        <v>21.242308000000001</v>
      </c>
      <c r="Q3631" s="4" t="s">
        <v>1393</v>
      </c>
    </row>
    <row r="3632" spans="1:17" x14ac:dyDescent="0.3">
      <c r="A3632" s="2" t="s">
        <v>1389</v>
      </c>
      <c r="B3632" s="3">
        <v>159343</v>
      </c>
      <c r="C3632" s="3">
        <v>910837</v>
      </c>
      <c r="D3632" s="4" t="s">
        <v>81</v>
      </c>
      <c r="E3632" s="4" t="s">
        <v>735</v>
      </c>
      <c r="F3632" s="4" t="s">
        <v>87</v>
      </c>
      <c r="G3632" s="4" t="s">
        <v>34</v>
      </c>
      <c r="H3632" s="5">
        <v>29947.88</v>
      </c>
      <c r="I3632" s="4" t="s">
        <v>21</v>
      </c>
      <c r="J3632" s="5">
        <f t="shared" si="56"/>
        <v>-106126.302356</v>
      </c>
      <c r="K3632" s="4" t="s">
        <v>55</v>
      </c>
      <c r="L3632" s="6">
        <v>3.5436999999999999</v>
      </c>
      <c r="M3632" s="6">
        <v>0.28220000000000001</v>
      </c>
      <c r="N3632" s="6">
        <v>3.5045000000000002</v>
      </c>
      <c r="O3632" s="6">
        <v>1</v>
      </c>
      <c r="P3632" s="5">
        <v>-1173.95454</v>
      </c>
      <c r="Q3632" s="4" t="s">
        <v>1394</v>
      </c>
    </row>
    <row r="3633" spans="1:17" x14ac:dyDescent="0.3">
      <c r="A3633" s="2" t="s">
        <v>1389</v>
      </c>
      <c r="B3633" s="3">
        <v>159344</v>
      </c>
      <c r="C3633" s="3">
        <v>910838</v>
      </c>
      <c r="D3633" s="4" t="s">
        <v>81</v>
      </c>
      <c r="E3633" s="4" t="s">
        <v>730</v>
      </c>
      <c r="F3633" s="4" t="s">
        <v>87</v>
      </c>
      <c r="G3633" s="4" t="s">
        <v>20</v>
      </c>
      <c r="H3633" s="5">
        <v>8883.33</v>
      </c>
      <c r="I3633" s="4" t="s">
        <v>21</v>
      </c>
      <c r="J3633" s="5">
        <f t="shared" si="56"/>
        <v>-37376.610974999996</v>
      </c>
      <c r="K3633" s="4" t="s">
        <v>55</v>
      </c>
      <c r="L3633" s="6">
        <v>4.2074999999999996</v>
      </c>
      <c r="M3633" s="6">
        <v>0.23769999999999999</v>
      </c>
      <c r="N3633" s="6">
        <v>4.2008999999999999</v>
      </c>
      <c r="O3633" s="6">
        <v>1</v>
      </c>
      <c r="P3633" s="5">
        <v>-58.809002999999997</v>
      </c>
      <c r="Q3633" s="4" t="s">
        <v>1396</v>
      </c>
    </row>
    <row r="3634" spans="1:17" x14ac:dyDescent="0.3">
      <c r="A3634" s="2" t="s">
        <v>1389</v>
      </c>
      <c r="B3634" s="3">
        <v>159345</v>
      </c>
      <c r="C3634" s="3">
        <v>220247</v>
      </c>
      <c r="D3634" s="4" t="s">
        <v>17</v>
      </c>
      <c r="E3634" s="4" t="s">
        <v>743</v>
      </c>
      <c r="F3634" s="4" t="s">
        <v>19</v>
      </c>
      <c r="G3634" s="4" t="s">
        <v>20</v>
      </c>
      <c r="H3634" s="5">
        <v>4116.22</v>
      </c>
      <c r="I3634" s="4" t="s">
        <v>21</v>
      </c>
      <c r="J3634" s="5">
        <f t="shared" si="56"/>
        <v>-17321.877003999998</v>
      </c>
      <c r="K3634" s="4" t="s">
        <v>54</v>
      </c>
      <c r="L3634" s="6">
        <v>4.2081999999999997</v>
      </c>
      <c r="M3634" s="6">
        <v>0.23760000000000001</v>
      </c>
      <c r="N3634" s="6">
        <v>4.2118000000000002</v>
      </c>
      <c r="O3634" s="6">
        <v>1</v>
      </c>
      <c r="P3634" s="5">
        <v>14.818392000004678</v>
      </c>
      <c r="Q3634" s="4" t="s">
        <v>1395</v>
      </c>
    </row>
    <row r="3635" spans="1:17" x14ac:dyDescent="0.3">
      <c r="A3635" s="2" t="s">
        <v>1389</v>
      </c>
      <c r="B3635" s="3">
        <v>159346</v>
      </c>
      <c r="C3635" s="3">
        <v>910845</v>
      </c>
      <c r="D3635" s="4" t="s">
        <v>81</v>
      </c>
      <c r="E3635" s="4" t="s">
        <v>734</v>
      </c>
      <c r="F3635" s="4" t="s">
        <v>83</v>
      </c>
      <c r="G3635" s="4" t="s">
        <v>20</v>
      </c>
      <c r="H3635" s="5">
        <v>-12862.88</v>
      </c>
      <c r="I3635" s="4" t="s">
        <v>21</v>
      </c>
      <c r="J3635" s="5">
        <f t="shared" si="56"/>
        <v>54116.708736</v>
      </c>
      <c r="K3635" s="4" t="s">
        <v>55</v>
      </c>
      <c r="L3635" s="6">
        <v>4.2072000000000003</v>
      </c>
      <c r="M3635" s="6">
        <v>0.23769999999999999</v>
      </c>
      <c r="N3635" s="6">
        <v>4.2008999999999999</v>
      </c>
      <c r="O3635" s="6">
        <v>1</v>
      </c>
      <c r="P3635" s="5">
        <v>81.297408000000004</v>
      </c>
      <c r="Q3635" s="4" t="s">
        <v>1393</v>
      </c>
    </row>
    <row r="3636" spans="1:17" x14ac:dyDescent="0.3">
      <c r="A3636" s="2" t="s">
        <v>1389</v>
      </c>
      <c r="B3636" s="3">
        <v>159347</v>
      </c>
      <c r="C3636" s="3">
        <v>910846</v>
      </c>
      <c r="D3636" s="4" t="s">
        <v>81</v>
      </c>
      <c r="E3636" s="4" t="s">
        <v>735</v>
      </c>
      <c r="F3636" s="4" t="s">
        <v>83</v>
      </c>
      <c r="G3636" s="4" t="s">
        <v>91</v>
      </c>
      <c r="H3636" s="5">
        <v>-2729.49</v>
      </c>
      <c r="I3636" s="4" t="s">
        <v>21</v>
      </c>
      <c r="J3636" s="5">
        <f t="shared" si="56"/>
        <v>13236.934703999998</v>
      </c>
      <c r="K3636" s="4" t="s">
        <v>55</v>
      </c>
      <c r="L3636" s="6">
        <v>4.8495999999999997</v>
      </c>
      <c r="M3636" s="6">
        <v>0.20619999999999999</v>
      </c>
      <c r="N3636" s="6">
        <v>4.8319999999999999</v>
      </c>
      <c r="O3636" s="6">
        <v>1</v>
      </c>
      <c r="P3636" s="5">
        <v>48.034320000000001</v>
      </c>
      <c r="Q3636" s="4" t="s">
        <v>1394</v>
      </c>
    </row>
    <row r="3637" spans="1:17" x14ac:dyDescent="0.3">
      <c r="A3637" s="2" t="s">
        <v>1389</v>
      </c>
      <c r="B3637" s="3">
        <v>159348</v>
      </c>
      <c r="C3637" s="3">
        <v>910847</v>
      </c>
      <c r="D3637" s="4" t="s">
        <v>81</v>
      </c>
      <c r="E3637" s="4" t="s">
        <v>743</v>
      </c>
      <c r="F3637" s="4" t="s">
        <v>87</v>
      </c>
      <c r="G3637" s="4" t="s">
        <v>34</v>
      </c>
      <c r="H3637" s="5">
        <v>53194.92</v>
      </c>
      <c r="I3637" s="4" t="s">
        <v>21</v>
      </c>
      <c r="J3637" s="5">
        <f t="shared" si="56"/>
        <v>-188528.11597199997</v>
      </c>
      <c r="K3637" s="4" t="s">
        <v>55</v>
      </c>
      <c r="L3637" s="6">
        <v>3.5440999999999998</v>
      </c>
      <c r="M3637" s="6">
        <v>0.28220000000000001</v>
      </c>
      <c r="N3637" s="6">
        <v>3.5045000000000002</v>
      </c>
      <c r="O3637" s="6">
        <v>1</v>
      </c>
      <c r="P3637" s="5">
        <v>-2106.52286</v>
      </c>
      <c r="Q3637" s="4" t="s">
        <v>1395</v>
      </c>
    </row>
    <row r="3638" spans="1:17" x14ac:dyDescent="0.3">
      <c r="A3638" s="2" t="s">
        <v>1389</v>
      </c>
      <c r="B3638" s="3">
        <v>159349</v>
      </c>
      <c r="C3638" s="3">
        <v>910848</v>
      </c>
      <c r="D3638" s="4" t="s">
        <v>81</v>
      </c>
      <c r="E3638" s="4" t="s">
        <v>743</v>
      </c>
      <c r="F3638" s="4" t="s">
        <v>83</v>
      </c>
      <c r="G3638" s="4" t="s">
        <v>93</v>
      </c>
      <c r="H3638" s="5">
        <v>-7682.06</v>
      </c>
      <c r="I3638" s="4" t="s">
        <v>21</v>
      </c>
      <c r="J3638" s="5">
        <f t="shared" si="56"/>
        <v>35016.365892000002</v>
      </c>
      <c r="K3638" s="4" t="s">
        <v>55</v>
      </c>
      <c r="L3638" s="6">
        <v>4.5582000000000003</v>
      </c>
      <c r="M3638" s="6">
        <v>0.21940000000000001</v>
      </c>
      <c r="N3638" s="6">
        <v>4.5683999999999996</v>
      </c>
      <c r="O3638" s="6">
        <v>1</v>
      </c>
      <c r="P3638" s="5">
        <v>-78.052903999999998</v>
      </c>
      <c r="Q3638" s="4" t="s">
        <v>1395</v>
      </c>
    </row>
    <row r="3639" spans="1:17" x14ac:dyDescent="0.3">
      <c r="A3639" s="2" t="s">
        <v>1389</v>
      </c>
      <c r="B3639" s="3">
        <v>159350</v>
      </c>
      <c r="C3639" s="3">
        <v>220249</v>
      </c>
      <c r="D3639" s="4" t="s">
        <v>17</v>
      </c>
      <c r="E3639" s="4" t="s">
        <v>739</v>
      </c>
      <c r="F3639" s="4" t="s">
        <v>19</v>
      </c>
      <c r="G3639" s="4" t="s">
        <v>20</v>
      </c>
      <c r="H3639" s="5">
        <v>7579.08</v>
      </c>
      <c r="I3639" s="4" t="s">
        <v>34</v>
      </c>
      <c r="J3639" s="5">
        <f t="shared" si="56"/>
        <v>-9000.1574999999993</v>
      </c>
      <c r="K3639" s="4" t="s">
        <v>54</v>
      </c>
      <c r="L3639" s="6">
        <v>1.1875</v>
      </c>
      <c r="M3639" s="6">
        <v>0.84209999999999996</v>
      </c>
      <c r="N3639" s="6">
        <v>4.2118000000000002</v>
      </c>
      <c r="O3639" s="6">
        <v>3.5499000000000001</v>
      </c>
      <c r="P3639" s="5">
        <v>-28.089965249997476</v>
      </c>
      <c r="Q3639" s="4" t="s">
        <v>1391</v>
      </c>
    </row>
    <row r="3640" spans="1:17" x14ac:dyDescent="0.3">
      <c r="A3640" s="2" t="s">
        <v>1389</v>
      </c>
      <c r="B3640" s="3">
        <v>159351</v>
      </c>
      <c r="C3640" s="3">
        <v>910854</v>
      </c>
      <c r="D3640" s="4" t="s">
        <v>81</v>
      </c>
      <c r="E3640" s="4" t="s">
        <v>739</v>
      </c>
      <c r="F3640" s="4" t="s">
        <v>83</v>
      </c>
      <c r="G3640" s="4" t="s">
        <v>20</v>
      </c>
      <c r="H3640" s="5">
        <v>-12632.64</v>
      </c>
      <c r="I3640" s="4" t="s">
        <v>34</v>
      </c>
      <c r="J3640" s="5">
        <f t="shared" si="56"/>
        <v>14999.996735999999</v>
      </c>
      <c r="K3640" s="4" t="s">
        <v>55</v>
      </c>
      <c r="L3640" s="6">
        <v>1.1874</v>
      </c>
      <c r="M3640" s="6">
        <v>0.84219999999999995</v>
      </c>
      <c r="N3640" s="6">
        <v>4.2008999999999999</v>
      </c>
      <c r="O3640" s="6">
        <v>3.5045000000000002</v>
      </c>
      <c r="P3640" s="5">
        <v>-500.95737600000001</v>
      </c>
      <c r="Q3640" s="4" t="s">
        <v>1391</v>
      </c>
    </row>
    <row r="3641" spans="1:17" x14ac:dyDescent="0.3">
      <c r="A3641" s="2" t="s">
        <v>1389</v>
      </c>
      <c r="B3641" s="3">
        <v>159352</v>
      </c>
      <c r="C3641" s="3">
        <v>910855</v>
      </c>
      <c r="D3641" s="4" t="s">
        <v>81</v>
      </c>
      <c r="E3641" s="4" t="s">
        <v>1226</v>
      </c>
      <c r="F3641" s="4" t="s">
        <v>87</v>
      </c>
      <c r="G3641" s="4" t="s">
        <v>20</v>
      </c>
      <c r="H3641" s="5">
        <v>12649.69</v>
      </c>
      <c r="I3641" s="4" t="s">
        <v>34</v>
      </c>
      <c r="J3641" s="5">
        <f t="shared" si="56"/>
        <v>-15000.002402</v>
      </c>
      <c r="K3641" s="4" t="s">
        <v>55</v>
      </c>
      <c r="L3641" s="6">
        <v>1.1858</v>
      </c>
      <c r="M3641" s="6">
        <v>0.84330000000000005</v>
      </c>
      <c r="N3641" s="6">
        <v>4.2008999999999999</v>
      </c>
      <c r="O3641" s="6">
        <v>3.5045000000000002</v>
      </c>
      <c r="P3641" s="5">
        <v>572.58272099999999</v>
      </c>
      <c r="Q3641" s="4" t="s">
        <v>1390</v>
      </c>
    </row>
    <row r="3642" spans="1:17" x14ac:dyDescent="0.3">
      <c r="A3642" s="2" t="s">
        <v>1389</v>
      </c>
      <c r="B3642" s="3">
        <v>159353</v>
      </c>
      <c r="C3642" s="3">
        <v>220252</v>
      </c>
      <c r="D3642" s="4" t="s">
        <v>17</v>
      </c>
      <c r="E3642" s="4" t="s">
        <v>739</v>
      </c>
      <c r="F3642" s="4" t="s">
        <v>32</v>
      </c>
      <c r="G3642" s="4" t="s">
        <v>91</v>
      </c>
      <c r="H3642" s="5">
        <v>-10000</v>
      </c>
      <c r="I3642" s="4" t="s">
        <v>21</v>
      </c>
      <c r="J3642" s="5">
        <f t="shared" si="56"/>
        <v>48503</v>
      </c>
      <c r="K3642" s="4" t="s">
        <v>54</v>
      </c>
      <c r="L3642" s="6">
        <v>4.8502999999999998</v>
      </c>
      <c r="M3642" s="6">
        <v>0.20619999999999999</v>
      </c>
      <c r="N3642" s="6">
        <v>4.8536999999999999</v>
      </c>
      <c r="O3642" s="6">
        <v>1</v>
      </c>
      <c r="P3642" s="5">
        <v>-34.92</v>
      </c>
      <c r="Q3642" s="4" t="s">
        <v>1391</v>
      </c>
    </row>
    <row r="3643" spans="1:17" x14ac:dyDescent="0.3">
      <c r="A3643" s="2" t="s">
        <v>1389</v>
      </c>
      <c r="B3643" s="3">
        <v>159354</v>
      </c>
      <c r="C3643" s="3">
        <v>220254</v>
      </c>
      <c r="D3643" s="4" t="s">
        <v>17</v>
      </c>
      <c r="E3643" s="4" t="s">
        <v>739</v>
      </c>
      <c r="F3643" s="4" t="s">
        <v>32</v>
      </c>
      <c r="G3643" s="4" t="s">
        <v>20</v>
      </c>
      <c r="H3643" s="5">
        <v>-2500</v>
      </c>
      <c r="I3643" s="4" t="s">
        <v>21</v>
      </c>
      <c r="J3643" s="5">
        <f t="shared" si="56"/>
        <v>10519.25</v>
      </c>
      <c r="K3643" s="4" t="s">
        <v>54</v>
      </c>
      <c r="L3643" s="6">
        <v>4.2077</v>
      </c>
      <c r="M3643" s="6">
        <v>0.23769999999999999</v>
      </c>
      <c r="N3643" s="6">
        <v>4.2118000000000002</v>
      </c>
      <c r="O3643" s="6">
        <v>1</v>
      </c>
      <c r="P3643" s="5">
        <v>-11.33</v>
      </c>
      <c r="Q3643" s="4" t="s">
        <v>1391</v>
      </c>
    </row>
    <row r="3644" spans="1:17" x14ac:dyDescent="0.3">
      <c r="A3644" s="2" t="s">
        <v>1389</v>
      </c>
      <c r="B3644" s="3">
        <v>159355</v>
      </c>
      <c r="C3644" s="3">
        <v>220255</v>
      </c>
      <c r="D3644" s="4" t="s">
        <v>17</v>
      </c>
      <c r="E3644" s="4" t="s">
        <v>739</v>
      </c>
      <c r="F3644" s="4" t="s">
        <v>19</v>
      </c>
      <c r="G3644" s="4" t="s">
        <v>20</v>
      </c>
      <c r="H3644" s="5">
        <v>22650</v>
      </c>
      <c r="I3644" s="4" t="s">
        <v>21</v>
      </c>
      <c r="J3644" s="5">
        <f t="shared" si="56"/>
        <v>-95317.99500000001</v>
      </c>
      <c r="K3644" s="4" t="s">
        <v>54</v>
      </c>
      <c r="L3644" s="6">
        <v>4.2083000000000004</v>
      </c>
      <c r="M3644" s="6">
        <v>0.23760000000000001</v>
      </c>
      <c r="N3644" s="6">
        <v>4.2118000000000002</v>
      </c>
      <c r="O3644" s="6">
        <v>1</v>
      </c>
      <c r="P3644" s="5">
        <v>79.274999999994179</v>
      </c>
      <c r="Q3644" s="4" t="s">
        <v>1391</v>
      </c>
    </row>
    <row r="3645" spans="1:17" x14ac:dyDescent="0.3">
      <c r="A3645" s="2" t="s">
        <v>1389</v>
      </c>
      <c r="B3645" s="3">
        <v>159356</v>
      </c>
      <c r="C3645" s="3">
        <v>220257</v>
      </c>
      <c r="D3645" s="4" t="s">
        <v>17</v>
      </c>
      <c r="E3645" s="4" t="s">
        <v>739</v>
      </c>
      <c r="F3645" s="4" t="s">
        <v>32</v>
      </c>
      <c r="G3645" s="4" t="s">
        <v>20</v>
      </c>
      <c r="H3645" s="5">
        <v>-34400</v>
      </c>
      <c r="I3645" s="4" t="s">
        <v>21</v>
      </c>
      <c r="J3645" s="5">
        <f t="shared" si="56"/>
        <v>144744.88</v>
      </c>
      <c r="K3645" s="4" t="s">
        <v>54</v>
      </c>
      <c r="L3645" s="6">
        <v>4.2077</v>
      </c>
      <c r="M3645" s="6">
        <v>0.23769999999999999</v>
      </c>
      <c r="N3645" s="6">
        <v>4.2118000000000002</v>
      </c>
      <c r="O3645" s="6">
        <v>1</v>
      </c>
      <c r="P3645" s="5">
        <v>-156.24</v>
      </c>
      <c r="Q3645" s="4" t="s">
        <v>1391</v>
      </c>
    </row>
    <row r="3646" spans="1:17" x14ac:dyDescent="0.3">
      <c r="A3646" s="2" t="s">
        <v>1389</v>
      </c>
      <c r="B3646" s="3">
        <v>159357</v>
      </c>
      <c r="C3646" s="3">
        <v>220259</v>
      </c>
      <c r="D3646" s="4" t="s">
        <v>17</v>
      </c>
      <c r="E3646" s="4" t="s">
        <v>1138</v>
      </c>
      <c r="F3646" s="4" t="s">
        <v>19</v>
      </c>
      <c r="G3646" s="4" t="s">
        <v>20</v>
      </c>
      <c r="H3646" s="5">
        <v>5146</v>
      </c>
      <c r="I3646" s="4" t="s">
        <v>34</v>
      </c>
      <c r="J3646" s="5">
        <f t="shared" si="56"/>
        <v>-6100.5829999999996</v>
      </c>
      <c r="K3646" s="4" t="s">
        <v>54</v>
      </c>
      <c r="L3646" s="6">
        <v>1.1855</v>
      </c>
      <c r="M3646" s="6">
        <v>0.84350000000000003</v>
      </c>
      <c r="N3646" s="6">
        <v>4.2118000000000002</v>
      </c>
      <c r="O3646" s="6">
        <v>3.5499000000000001</v>
      </c>
      <c r="P3646" s="5">
        <v>17.463208299999678</v>
      </c>
      <c r="Q3646" s="4" t="s">
        <v>1390</v>
      </c>
    </row>
    <row r="3647" spans="1:17" x14ac:dyDescent="0.3">
      <c r="A3647" s="2" t="s">
        <v>1389</v>
      </c>
      <c r="B3647" s="3">
        <v>159358</v>
      </c>
      <c r="C3647" s="3">
        <v>220262</v>
      </c>
      <c r="D3647" s="4" t="s">
        <v>17</v>
      </c>
      <c r="E3647" s="4" t="s">
        <v>764</v>
      </c>
      <c r="F3647" s="4" t="s">
        <v>32</v>
      </c>
      <c r="G3647" s="4" t="s">
        <v>20</v>
      </c>
      <c r="H3647" s="5">
        <v>-1000</v>
      </c>
      <c r="I3647" s="4" t="s">
        <v>21</v>
      </c>
      <c r="J3647" s="5">
        <f t="shared" si="56"/>
        <v>4215</v>
      </c>
      <c r="K3647" s="4" t="s">
        <v>54</v>
      </c>
      <c r="L3647" s="6">
        <v>4.2149999999999999</v>
      </c>
      <c r="M3647" s="6">
        <v>0.23719999999999999</v>
      </c>
      <c r="N3647" s="6">
        <v>4.2118000000000002</v>
      </c>
      <c r="O3647" s="6">
        <v>1</v>
      </c>
      <c r="P3647" s="5">
        <v>3.2</v>
      </c>
      <c r="Q3647" s="4" t="s">
        <v>1390</v>
      </c>
    </row>
    <row r="3648" spans="1:17" x14ac:dyDescent="0.3">
      <c r="A3648" s="2" t="s">
        <v>1389</v>
      </c>
      <c r="B3648" s="3">
        <v>159359</v>
      </c>
      <c r="C3648" s="3">
        <v>220265</v>
      </c>
      <c r="D3648" s="4" t="s">
        <v>17</v>
      </c>
      <c r="E3648" s="4" t="s">
        <v>1058</v>
      </c>
      <c r="F3648" s="4" t="s">
        <v>32</v>
      </c>
      <c r="G3648" s="4" t="s">
        <v>34</v>
      </c>
      <c r="H3648" s="5">
        <v>-150000</v>
      </c>
      <c r="I3648" s="4" t="s">
        <v>21</v>
      </c>
      <c r="J3648" s="5">
        <f t="shared" si="56"/>
        <v>534030</v>
      </c>
      <c r="K3648" s="4" t="s">
        <v>54</v>
      </c>
      <c r="L3648" s="6">
        <v>3.5602</v>
      </c>
      <c r="M3648" s="6">
        <v>0.28089999999999998</v>
      </c>
      <c r="N3648" s="6">
        <v>3.5499000000000001</v>
      </c>
      <c r="O3648" s="6">
        <v>1</v>
      </c>
      <c r="P3648" s="5">
        <v>1515</v>
      </c>
      <c r="Q3648" s="4" t="s">
        <v>1390</v>
      </c>
    </row>
    <row r="3649" spans="1:17" x14ac:dyDescent="0.3">
      <c r="A3649" s="2" t="s">
        <v>1389</v>
      </c>
      <c r="B3649" s="3">
        <v>159360</v>
      </c>
      <c r="C3649" s="3">
        <v>910908</v>
      </c>
      <c r="D3649" s="4" t="s">
        <v>81</v>
      </c>
      <c r="E3649" s="4" t="s">
        <v>735</v>
      </c>
      <c r="F3649" s="4" t="s">
        <v>83</v>
      </c>
      <c r="G3649" s="4" t="s">
        <v>20</v>
      </c>
      <c r="H3649" s="5">
        <v>-300000</v>
      </c>
      <c r="I3649" s="4" t="s">
        <v>101</v>
      </c>
      <c r="J3649" s="5">
        <f t="shared" si="56"/>
        <v>7272870</v>
      </c>
      <c r="K3649" s="4" t="s">
        <v>55</v>
      </c>
      <c r="L3649" s="6">
        <v>24.242899999999999</v>
      </c>
      <c r="M3649" s="6">
        <v>4.1200000000000001E-2</v>
      </c>
      <c r="N3649" s="6">
        <v>4.2008999999999999</v>
      </c>
      <c r="O3649" s="6">
        <v>0.1731</v>
      </c>
      <c r="P3649" s="5">
        <v>-1336.203</v>
      </c>
      <c r="Q3649" s="4" t="s">
        <v>1394</v>
      </c>
    </row>
    <row r="3650" spans="1:17" x14ac:dyDescent="0.3">
      <c r="A3650" s="2" t="s">
        <v>1389</v>
      </c>
      <c r="B3650" s="3">
        <v>159361</v>
      </c>
      <c r="C3650" s="3">
        <v>220268</v>
      </c>
      <c r="D3650" s="4" t="s">
        <v>17</v>
      </c>
      <c r="E3650" s="4" t="s">
        <v>1008</v>
      </c>
      <c r="F3650" s="4" t="s">
        <v>32</v>
      </c>
      <c r="G3650" s="4" t="s">
        <v>20</v>
      </c>
      <c r="H3650" s="5">
        <v>-75000</v>
      </c>
      <c r="I3650" s="4" t="s">
        <v>21</v>
      </c>
      <c r="J3650" s="5">
        <f t="shared" si="56"/>
        <v>316050.00000000006</v>
      </c>
      <c r="K3650" s="4" t="s">
        <v>54</v>
      </c>
      <c r="L3650" s="6">
        <v>4.2140000000000004</v>
      </c>
      <c r="M3650" s="6">
        <v>0.23730000000000001</v>
      </c>
      <c r="N3650" s="6">
        <v>4.2118000000000002</v>
      </c>
      <c r="O3650" s="6">
        <v>1</v>
      </c>
      <c r="P3650" s="5">
        <v>165</v>
      </c>
      <c r="Q3650" s="4" t="s">
        <v>1390</v>
      </c>
    </row>
    <row r="3651" spans="1:17" x14ac:dyDescent="0.3">
      <c r="A3651" s="2" t="s">
        <v>1389</v>
      </c>
      <c r="B3651" s="3">
        <v>159363</v>
      </c>
      <c r="C3651" s="3">
        <v>220277</v>
      </c>
      <c r="D3651" s="4" t="s">
        <v>17</v>
      </c>
      <c r="E3651" s="4" t="s">
        <v>1271</v>
      </c>
      <c r="F3651" s="4" t="s">
        <v>32</v>
      </c>
      <c r="G3651" s="4" t="s">
        <v>91</v>
      </c>
      <c r="H3651" s="5">
        <v>-30000</v>
      </c>
      <c r="I3651" s="4" t="s">
        <v>21</v>
      </c>
      <c r="J3651" s="5">
        <f t="shared" si="56"/>
        <v>145650</v>
      </c>
      <c r="K3651" s="4" t="s">
        <v>54</v>
      </c>
      <c r="L3651" s="6">
        <v>4.8550000000000004</v>
      </c>
      <c r="M3651" s="6">
        <v>0.20599999999999999</v>
      </c>
      <c r="N3651" s="6">
        <v>4.8536999999999999</v>
      </c>
      <c r="O3651" s="6">
        <v>1</v>
      </c>
      <c r="P3651" s="5">
        <v>39</v>
      </c>
      <c r="Q3651" s="4" t="s">
        <v>1390</v>
      </c>
    </row>
    <row r="3652" spans="1:17" x14ac:dyDescent="0.3">
      <c r="A3652" s="2" t="s">
        <v>1389</v>
      </c>
      <c r="B3652" s="3">
        <v>159364</v>
      </c>
      <c r="C3652" s="3">
        <v>220278</v>
      </c>
      <c r="D3652" s="4" t="s">
        <v>17</v>
      </c>
      <c r="E3652" s="4" t="s">
        <v>896</v>
      </c>
      <c r="F3652" s="4" t="s">
        <v>19</v>
      </c>
      <c r="G3652" s="4" t="s">
        <v>20</v>
      </c>
      <c r="H3652" s="5">
        <v>6000</v>
      </c>
      <c r="I3652" s="4" t="s">
        <v>21</v>
      </c>
      <c r="J3652" s="5">
        <f t="shared" ref="J3652:J3715" si="57">-H3652*L3652</f>
        <v>-25086</v>
      </c>
      <c r="K3652" s="4" t="s">
        <v>54</v>
      </c>
      <c r="L3652" s="6">
        <v>4.181</v>
      </c>
      <c r="M3652" s="6">
        <v>0.2392</v>
      </c>
      <c r="N3652" s="6">
        <v>4.2118000000000002</v>
      </c>
      <c r="O3652" s="6">
        <v>1</v>
      </c>
      <c r="P3652" s="5">
        <v>184.80000000000291</v>
      </c>
      <c r="Q3652" s="4" t="s">
        <v>1390</v>
      </c>
    </row>
    <row r="3653" spans="1:17" x14ac:dyDescent="0.3">
      <c r="A3653" s="2" t="s">
        <v>1389</v>
      </c>
      <c r="B3653" s="3">
        <v>159365</v>
      </c>
      <c r="C3653" s="3">
        <v>220284</v>
      </c>
      <c r="D3653" s="4" t="s">
        <v>17</v>
      </c>
      <c r="E3653" s="4" t="s">
        <v>1154</v>
      </c>
      <c r="F3653" s="4" t="s">
        <v>32</v>
      </c>
      <c r="G3653" s="4" t="s">
        <v>20</v>
      </c>
      <c r="H3653" s="5">
        <v>-74231.740000000005</v>
      </c>
      <c r="I3653" s="4" t="s">
        <v>21</v>
      </c>
      <c r="J3653" s="5">
        <f t="shared" si="57"/>
        <v>312537.89492200001</v>
      </c>
      <c r="K3653" s="4" t="s">
        <v>54</v>
      </c>
      <c r="L3653" s="6">
        <v>4.2103000000000002</v>
      </c>
      <c r="M3653" s="6">
        <v>0.23749999999999999</v>
      </c>
      <c r="N3653" s="6">
        <v>4.2118000000000002</v>
      </c>
      <c r="O3653" s="6">
        <v>1</v>
      </c>
      <c r="P3653" s="5">
        <v>-141.04253199999999</v>
      </c>
      <c r="Q3653" s="4" t="s">
        <v>1390</v>
      </c>
    </row>
    <row r="3654" spans="1:17" x14ac:dyDescent="0.3">
      <c r="A3654" s="2" t="s">
        <v>1389</v>
      </c>
      <c r="B3654" s="3">
        <v>159366</v>
      </c>
      <c r="C3654" s="3">
        <v>910981</v>
      </c>
      <c r="D3654" s="4" t="s">
        <v>81</v>
      </c>
      <c r="E3654" s="4" t="s">
        <v>735</v>
      </c>
      <c r="F3654" s="4" t="s">
        <v>83</v>
      </c>
      <c r="G3654" s="4" t="s">
        <v>20</v>
      </c>
      <c r="H3654" s="5">
        <v>-5000000</v>
      </c>
      <c r="I3654" s="4" t="s">
        <v>21</v>
      </c>
      <c r="J3654" s="5">
        <f t="shared" si="57"/>
        <v>21045000</v>
      </c>
      <c r="K3654" s="4" t="s">
        <v>55</v>
      </c>
      <c r="L3654" s="6">
        <v>4.2089999999999996</v>
      </c>
      <c r="M3654" s="6">
        <v>0.23760000000000001</v>
      </c>
      <c r="N3654" s="6">
        <v>4.2008999999999999</v>
      </c>
      <c r="O3654" s="6">
        <v>1</v>
      </c>
      <c r="P3654" s="5">
        <v>40500</v>
      </c>
      <c r="Q3654" s="4" t="s">
        <v>1394</v>
      </c>
    </row>
    <row r="3655" spans="1:17" x14ac:dyDescent="0.3">
      <c r="A3655" s="2" t="s">
        <v>1389</v>
      </c>
      <c r="B3655" s="3">
        <v>159367</v>
      </c>
      <c r="C3655" s="3">
        <v>910982</v>
      </c>
      <c r="D3655" s="4" t="s">
        <v>81</v>
      </c>
      <c r="E3655" s="4" t="s">
        <v>742</v>
      </c>
      <c r="F3655" s="4" t="s">
        <v>83</v>
      </c>
      <c r="G3655" s="4" t="s">
        <v>20</v>
      </c>
      <c r="H3655" s="5">
        <v>-5000000</v>
      </c>
      <c r="I3655" s="4" t="s">
        <v>21</v>
      </c>
      <c r="J3655" s="5">
        <f t="shared" si="57"/>
        <v>21044000</v>
      </c>
      <c r="K3655" s="4" t="s">
        <v>55</v>
      </c>
      <c r="L3655" s="6">
        <v>4.2088000000000001</v>
      </c>
      <c r="M3655" s="6">
        <v>0.23760000000000001</v>
      </c>
      <c r="N3655" s="6">
        <v>4.2008999999999999</v>
      </c>
      <c r="O3655" s="6">
        <v>1</v>
      </c>
      <c r="P3655" s="5">
        <v>39500</v>
      </c>
      <c r="Q3655" s="4" t="s">
        <v>1396</v>
      </c>
    </row>
    <row r="3656" spans="1:17" x14ac:dyDescent="0.3">
      <c r="A3656" s="2" t="s">
        <v>1389</v>
      </c>
      <c r="B3656" s="3">
        <v>159368</v>
      </c>
      <c r="C3656" s="3">
        <v>910986</v>
      </c>
      <c r="D3656" s="4" t="s">
        <v>81</v>
      </c>
      <c r="E3656" s="4" t="s">
        <v>742</v>
      </c>
      <c r="F3656" s="4" t="s">
        <v>83</v>
      </c>
      <c r="G3656" s="4" t="s">
        <v>20</v>
      </c>
      <c r="H3656" s="5">
        <v>-1000000</v>
      </c>
      <c r="I3656" s="4" t="s">
        <v>21</v>
      </c>
      <c r="J3656" s="5">
        <f t="shared" si="57"/>
        <v>4208300</v>
      </c>
      <c r="K3656" s="4" t="s">
        <v>55</v>
      </c>
      <c r="L3656" s="6">
        <v>4.2083000000000004</v>
      </c>
      <c r="M3656" s="6">
        <v>0.23760000000000001</v>
      </c>
      <c r="N3656" s="6">
        <v>4.2008999999999999</v>
      </c>
      <c r="O3656" s="6">
        <v>1</v>
      </c>
      <c r="P3656" s="5">
        <v>7400</v>
      </c>
      <c r="Q3656" s="4" t="s">
        <v>1396</v>
      </c>
    </row>
    <row r="3657" spans="1:17" x14ac:dyDescent="0.3">
      <c r="A3657" s="2" t="s">
        <v>1389</v>
      </c>
      <c r="B3657" s="3">
        <v>159369</v>
      </c>
      <c r="C3657" s="3">
        <v>910987</v>
      </c>
      <c r="D3657" s="4" t="s">
        <v>81</v>
      </c>
      <c r="E3657" s="4" t="s">
        <v>726</v>
      </c>
      <c r="F3657" s="4" t="s">
        <v>83</v>
      </c>
      <c r="G3657" s="4" t="s">
        <v>20</v>
      </c>
      <c r="H3657" s="5">
        <v>-1000000</v>
      </c>
      <c r="I3657" s="4" t="s">
        <v>21</v>
      </c>
      <c r="J3657" s="5">
        <f t="shared" si="57"/>
        <v>4208300</v>
      </c>
      <c r="K3657" s="4" t="s">
        <v>55</v>
      </c>
      <c r="L3657" s="6">
        <v>4.2083000000000004</v>
      </c>
      <c r="M3657" s="6">
        <v>0.23760000000000001</v>
      </c>
      <c r="N3657" s="6">
        <v>4.2008999999999999</v>
      </c>
      <c r="O3657" s="6">
        <v>1</v>
      </c>
      <c r="P3657" s="5">
        <v>7390</v>
      </c>
      <c r="Q3657" s="4" t="s">
        <v>1390</v>
      </c>
    </row>
    <row r="3658" spans="1:17" x14ac:dyDescent="0.3">
      <c r="A3658" s="2" t="s">
        <v>1389</v>
      </c>
      <c r="B3658" s="3">
        <v>159370</v>
      </c>
      <c r="C3658" s="3">
        <v>910988</v>
      </c>
      <c r="D3658" s="4" t="s">
        <v>81</v>
      </c>
      <c r="E3658" s="4" t="s">
        <v>742</v>
      </c>
      <c r="F3658" s="4" t="s">
        <v>83</v>
      </c>
      <c r="G3658" s="4" t="s">
        <v>20</v>
      </c>
      <c r="H3658" s="5">
        <v>-1000000</v>
      </c>
      <c r="I3658" s="4" t="s">
        <v>21</v>
      </c>
      <c r="J3658" s="5">
        <f t="shared" si="57"/>
        <v>4208200</v>
      </c>
      <c r="K3658" s="4" t="s">
        <v>55</v>
      </c>
      <c r="L3658" s="6">
        <v>4.2081999999999997</v>
      </c>
      <c r="M3658" s="6">
        <v>0.23760000000000001</v>
      </c>
      <c r="N3658" s="6">
        <v>4.2008999999999999</v>
      </c>
      <c r="O3658" s="6">
        <v>1</v>
      </c>
      <c r="P3658" s="5">
        <v>7270</v>
      </c>
      <c r="Q3658" s="4" t="s">
        <v>1396</v>
      </c>
    </row>
    <row r="3659" spans="1:17" x14ac:dyDescent="0.3">
      <c r="A3659" s="2" t="s">
        <v>1389</v>
      </c>
      <c r="B3659" s="3">
        <v>159371</v>
      </c>
      <c r="C3659" s="3">
        <v>910989</v>
      </c>
      <c r="D3659" s="4" t="s">
        <v>81</v>
      </c>
      <c r="E3659" s="4" t="s">
        <v>726</v>
      </c>
      <c r="F3659" s="4" t="s">
        <v>83</v>
      </c>
      <c r="G3659" s="4" t="s">
        <v>20</v>
      </c>
      <c r="H3659" s="5">
        <v>-1000000</v>
      </c>
      <c r="I3659" s="4" t="s">
        <v>21</v>
      </c>
      <c r="J3659" s="5">
        <f t="shared" si="57"/>
        <v>4207900</v>
      </c>
      <c r="K3659" s="4" t="s">
        <v>55</v>
      </c>
      <c r="L3659" s="6">
        <v>4.2079000000000004</v>
      </c>
      <c r="M3659" s="6">
        <v>0.23760000000000001</v>
      </c>
      <c r="N3659" s="6">
        <v>4.2008999999999999</v>
      </c>
      <c r="O3659" s="6">
        <v>1</v>
      </c>
      <c r="P3659" s="5">
        <v>7020</v>
      </c>
      <c r="Q3659" s="4" t="s">
        <v>1390</v>
      </c>
    </row>
    <row r="3660" spans="1:17" x14ac:dyDescent="0.3">
      <c r="A3660" s="2" t="s">
        <v>1389</v>
      </c>
      <c r="B3660" s="3">
        <v>159372</v>
      </c>
      <c r="C3660" s="3">
        <v>910990</v>
      </c>
      <c r="D3660" s="4" t="s">
        <v>81</v>
      </c>
      <c r="E3660" s="4" t="s">
        <v>726</v>
      </c>
      <c r="F3660" s="4" t="s">
        <v>83</v>
      </c>
      <c r="G3660" s="4" t="s">
        <v>20</v>
      </c>
      <c r="H3660" s="5">
        <v>-1000000</v>
      </c>
      <c r="I3660" s="4" t="s">
        <v>21</v>
      </c>
      <c r="J3660" s="5">
        <f t="shared" si="57"/>
        <v>4207900</v>
      </c>
      <c r="K3660" s="4" t="s">
        <v>55</v>
      </c>
      <c r="L3660" s="6">
        <v>4.2079000000000004</v>
      </c>
      <c r="M3660" s="6">
        <v>0.23760000000000001</v>
      </c>
      <c r="N3660" s="6">
        <v>4.2008999999999999</v>
      </c>
      <c r="O3660" s="6">
        <v>1</v>
      </c>
      <c r="P3660" s="5">
        <v>7010</v>
      </c>
      <c r="Q3660" s="4" t="s">
        <v>1390</v>
      </c>
    </row>
    <row r="3661" spans="1:17" x14ac:dyDescent="0.3">
      <c r="A3661" s="2" t="s">
        <v>1389</v>
      </c>
      <c r="B3661" s="3">
        <v>159373</v>
      </c>
      <c r="C3661" s="3">
        <v>910994</v>
      </c>
      <c r="D3661" s="4" t="s">
        <v>81</v>
      </c>
      <c r="E3661" s="4" t="s">
        <v>735</v>
      </c>
      <c r="F3661" s="4" t="s">
        <v>83</v>
      </c>
      <c r="G3661" s="4" t="s">
        <v>20</v>
      </c>
      <c r="H3661" s="5">
        <v>-1000000</v>
      </c>
      <c r="I3661" s="4" t="s">
        <v>21</v>
      </c>
      <c r="J3661" s="5">
        <f t="shared" si="57"/>
        <v>4207900</v>
      </c>
      <c r="K3661" s="4" t="s">
        <v>55</v>
      </c>
      <c r="L3661" s="6">
        <v>4.2079000000000004</v>
      </c>
      <c r="M3661" s="6">
        <v>0.23760000000000001</v>
      </c>
      <c r="N3661" s="6">
        <v>4.2008999999999999</v>
      </c>
      <c r="O3661" s="6">
        <v>1</v>
      </c>
      <c r="P3661" s="5">
        <v>7000</v>
      </c>
      <c r="Q3661" s="4" t="s">
        <v>1394</v>
      </c>
    </row>
    <row r="3662" spans="1:17" x14ac:dyDescent="0.3">
      <c r="A3662" s="2" t="s">
        <v>1389</v>
      </c>
      <c r="B3662" s="3">
        <v>159375</v>
      </c>
      <c r="C3662" s="3">
        <v>911002</v>
      </c>
      <c r="D3662" s="4" t="s">
        <v>81</v>
      </c>
      <c r="E3662" s="4" t="s">
        <v>726</v>
      </c>
      <c r="F3662" s="4" t="s">
        <v>83</v>
      </c>
      <c r="G3662" s="4" t="s">
        <v>20</v>
      </c>
      <c r="H3662" s="5">
        <v>-500000</v>
      </c>
      <c r="I3662" s="4" t="s">
        <v>21</v>
      </c>
      <c r="J3662" s="5">
        <f t="shared" si="57"/>
        <v>2104050</v>
      </c>
      <c r="K3662" s="4" t="s">
        <v>55</v>
      </c>
      <c r="L3662" s="6">
        <v>4.2081</v>
      </c>
      <c r="M3662" s="6">
        <v>0.23760000000000001</v>
      </c>
      <c r="N3662" s="6">
        <v>4.2008999999999999</v>
      </c>
      <c r="O3662" s="6">
        <v>1</v>
      </c>
      <c r="P3662" s="5">
        <v>3595</v>
      </c>
      <c r="Q3662" s="4" t="s">
        <v>1390</v>
      </c>
    </row>
    <row r="3663" spans="1:17" x14ac:dyDescent="0.3">
      <c r="A3663" s="2" t="s">
        <v>1389</v>
      </c>
      <c r="B3663" s="3">
        <v>159377</v>
      </c>
      <c r="C3663" s="3">
        <v>911027</v>
      </c>
      <c r="D3663" s="4" t="s">
        <v>81</v>
      </c>
      <c r="E3663" s="4" t="s">
        <v>732</v>
      </c>
      <c r="F3663" s="4" t="s">
        <v>83</v>
      </c>
      <c r="G3663" s="4" t="s">
        <v>20</v>
      </c>
      <c r="H3663" s="5">
        <v>-500000</v>
      </c>
      <c r="I3663" s="4" t="s">
        <v>21</v>
      </c>
      <c r="J3663" s="5">
        <f t="shared" si="57"/>
        <v>2103850</v>
      </c>
      <c r="K3663" s="4" t="s">
        <v>55</v>
      </c>
      <c r="L3663" s="6">
        <v>4.2077</v>
      </c>
      <c r="M3663" s="6">
        <v>0.23769999999999999</v>
      </c>
      <c r="N3663" s="6">
        <v>4.2008999999999999</v>
      </c>
      <c r="O3663" s="6">
        <v>1</v>
      </c>
      <c r="P3663" s="5">
        <v>3400</v>
      </c>
      <c r="Q3663" s="4" t="s">
        <v>1394</v>
      </c>
    </row>
    <row r="3664" spans="1:17" x14ac:dyDescent="0.3">
      <c r="A3664" s="2" t="s">
        <v>1389</v>
      </c>
      <c r="B3664" s="3">
        <v>159378</v>
      </c>
      <c r="C3664" s="3">
        <v>911028</v>
      </c>
      <c r="D3664" s="4" t="s">
        <v>81</v>
      </c>
      <c r="E3664" s="4" t="s">
        <v>1100</v>
      </c>
      <c r="F3664" s="4" t="s">
        <v>87</v>
      </c>
      <c r="G3664" s="4" t="s">
        <v>20</v>
      </c>
      <c r="H3664" s="5">
        <v>10000</v>
      </c>
      <c r="I3664" s="4" t="s">
        <v>21</v>
      </c>
      <c r="J3664" s="5">
        <f t="shared" si="57"/>
        <v>-42021</v>
      </c>
      <c r="K3664" s="4" t="s">
        <v>55</v>
      </c>
      <c r="L3664" s="6">
        <v>4.2020999999999997</v>
      </c>
      <c r="M3664" s="6">
        <v>0.23799999999999999</v>
      </c>
      <c r="N3664" s="6">
        <v>4.2008999999999999</v>
      </c>
      <c r="O3664" s="6">
        <v>1</v>
      </c>
      <c r="P3664" s="5">
        <v>-12</v>
      </c>
      <c r="Q3664" s="4" t="s">
        <v>1390</v>
      </c>
    </row>
    <row r="3665" spans="1:17" x14ac:dyDescent="0.3">
      <c r="A3665" s="2" t="s">
        <v>1389</v>
      </c>
      <c r="B3665" s="3">
        <v>159379</v>
      </c>
      <c r="C3665" s="3">
        <v>220296</v>
      </c>
      <c r="D3665" s="4" t="s">
        <v>17</v>
      </c>
      <c r="E3665" s="4" t="s">
        <v>1272</v>
      </c>
      <c r="F3665" s="4" t="s">
        <v>32</v>
      </c>
      <c r="G3665" s="4" t="s">
        <v>34</v>
      </c>
      <c r="H3665" s="5">
        <v>-25000</v>
      </c>
      <c r="I3665" s="4" t="s">
        <v>21</v>
      </c>
      <c r="J3665" s="5">
        <f t="shared" si="57"/>
        <v>88830</v>
      </c>
      <c r="K3665" s="4" t="s">
        <v>54</v>
      </c>
      <c r="L3665" s="6">
        <v>3.5531999999999999</v>
      </c>
      <c r="M3665" s="6">
        <v>0.28139999999999998</v>
      </c>
      <c r="N3665" s="6">
        <v>3.5499000000000001</v>
      </c>
      <c r="O3665" s="6">
        <v>1</v>
      </c>
      <c r="P3665" s="5">
        <v>82.5</v>
      </c>
      <c r="Q3665" s="4" t="s">
        <v>1390</v>
      </c>
    </row>
    <row r="3666" spans="1:17" x14ac:dyDescent="0.3">
      <c r="A3666" s="2" t="s">
        <v>1389</v>
      </c>
      <c r="B3666" s="3">
        <v>159380</v>
      </c>
      <c r="C3666" s="3">
        <v>911032</v>
      </c>
      <c r="D3666" s="4" t="s">
        <v>81</v>
      </c>
      <c r="E3666" s="4" t="s">
        <v>733</v>
      </c>
      <c r="F3666" s="4" t="s">
        <v>83</v>
      </c>
      <c r="G3666" s="4" t="s">
        <v>20</v>
      </c>
      <c r="H3666" s="5">
        <v>-500000</v>
      </c>
      <c r="I3666" s="4" t="s">
        <v>21</v>
      </c>
      <c r="J3666" s="5">
        <f t="shared" si="57"/>
        <v>2104150</v>
      </c>
      <c r="K3666" s="4" t="s">
        <v>55</v>
      </c>
      <c r="L3666" s="6">
        <v>4.2083000000000004</v>
      </c>
      <c r="M3666" s="6">
        <v>0.23760000000000001</v>
      </c>
      <c r="N3666" s="6">
        <v>4.2008999999999999</v>
      </c>
      <c r="O3666" s="6">
        <v>1</v>
      </c>
      <c r="P3666" s="5">
        <v>3710</v>
      </c>
      <c r="Q3666" s="4" t="s">
        <v>1391</v>
      </c>
    </row>
    <row r="3667" spans="1:17" x14ac:dyDescent="0.3">
      <c r="A3667" s="2" t="s">
        <v>1389</v>
      </c>
      <c r="B3667" s="3">
        <v>159381</v>
      </c>
      <c r="C3667" s="3">
        <v>911033</v>
      </c>
      <c r="D3667" s="4" t="s">
        <v>81</v>
      </c>
      <c r="E3667" s="4" t="s">
        <v>733</v>
      </c>
      <c r="F3667" s="4" t="s">
        <v>83</v>
      </c>
      <c r="G3667" s="4" t="s">
        <v>20</v>
      </c>
      <c r="H3667" s="5">
        <v>-500000</v>
      </c>
      <c r="I3667" s="4" t="s">
        <v>21</v>
      </c>
      <c r="J3667" s="5">
        <f t="shared" si="57"/>
        <v>2104250</v>
      </c>
      <c r="K3667" s="4" t="s">
        <v>55</v>
      </c>
      <c r="L3667" s="6">
        <v>4.2084999999999999</v>
      </c>
      <c r="M3667" s="6">
        <v>0.23760000000000001</v>
      </c>
      <c r="N3667" s="6">
        <v>4.2008999999999999</v>
      </c>
      <c r="O3667" s="6">
        <v>1</v>
      </c>
      <c r="P3667" s="5">
        <v>3805</v>
      </c>
      <c r="Q3667" s="4" t="s">
        <v>1391</v>
      </c>
    </row>
    <row r="3668" spans="1:17" x14ac:dyDescent="0.3">
      <c r="A3668" s="2" t="s">
        <v>1389</v>
      </c>
      <c r="B3668" s="3">
        <v>159382</v>
      </c>
      <c r="C3668" s="3">
        <v>911034</v>
      </c>
      <c r="D3668" s="4" t="s">
        <v>81</v>
      </c>
      <c r="E3668" s="4" t="s">
        <v>733</v>
      </c>
      <c r="F3668" s="4" t="s">
        <v>83</v>
      </c>
      <c r="G3668" s="4" t="s">
        <v>34</v>
      </c>
      <c r="H3668" s="5">
        <v>-500000</v>
      </c>
      <c r="I3668" s="4" t="s">
        <v>21</v>
      </c>
      <c r="J3668" s="5">
        <f t="shared" si="57"/>
        <v>1775100</v>
      </c>
      <c r="K3668" s="4" t="s">
        <v>55</v>
      </c>
      <c r="L3668" s="6">
        <v>3.5501999999999998</v>
      </c>
      <c r="M3668" s="6">
        <v>0.28170000000000001</v>
      </c>
      <c r="N3668" s="6">
        <v>3.5045000000000002</v>
      </c>
      <c r="O3668" s="6">
        <v>1</v>
      </c>
      <c r="P3668" s="5">
        <v>22850</v>
      </c>
      <c r="Q3668" s="4" t="s">
        <v>1391</v>
      </c>
    </row>
    <row r="3669" spans="1:17" x14ac:dyDescent="0.3">
      <c r="A3669" s="2" t="s">
        <v>1389</v>
      </c>
      <c r="B3669" s="3">
        <v>159383</v>
      </c>
      <c r="C3669" s="3">
        <v>911041</v>
      </c>
      <c r="D3669" s="4" t="s">
        <v>81</v>
      </c>
      <c r="E3669" s="4" t="s">
        <v>732</v>
      </c>
      <c r="F3669" s="4" t="s">
        <v>83</v>
      </c>
      <c r="G3669" s="4" t="s">
        <v>20</v>
      </c>
      <c r="H3669" s="5">
        <v>-500000</v>
      </c>
      <c r="I3669" s="4" t="s">
        <v>21</v>
      </c>
      <c r="J3669" s="5">
        <f t="shared" si="57"/>
        <v>2104500</v>
      </c>
      <c r="K3669" s="4" t="s">
        <v>55</v>
      </c>
      <c r="L3669" s="6">
        <v>4.2089999999999996</v>
      </c>
      <c r="M3669" s="6">
        <v>0.23760000000000001</v>
      </c>
      <c r="N3669" s="6">
        <v>4.2008999999999999</v>
      </c>
      <c r="O3669" s="6">
        <v>1</v>
      </c>
      <c r="P3669" s="5">
        <v>4045</v>
      </c>
      <c r="Q3669" s="4" t="s">
        <v>1394</v>
      </c>
    </row>
    <row r="3670" spans="1:17" x14ac:dyDescent="0.3">
      <c r="A3670" s="2" t="s">
        <v>1389</v>
      </c>
      <c r="B3670" s="3">
        <v>159385</v>
      </c>
      <c r="C3670" s="3">
        <v>220299</v>
      </c>
      <c r="D3670" s="4" t="s">
        <v>17</v>
      </c>
      <c r="E3670" s="4" t="s">
        <v>1180</v>
      </c>
      <c r="F3670" s="4" t="s">
        <v>19</v>
      </c>
      <c r="G3670" s="4" t="s">
        <v>20</v>
      </c>
      <c r="H3670" s="5">
        <v>17594.41</v>
      </c>
      <c r="I3670" s="4" t="s">
        <v>21</v>
      </c>
      <c r="J3670" s="5">
        <f t="shared" si="57"/>
        <v>-73914.116409999988</v>
      </c>
      <c r="K3670" s="4" t="s">
        <v>54</v>
      </c>
      <c r="L3670" s="6">
        <v>4.2009999999999996</v>
      </c>
      <c r="M3670" s="6">
        <v>0.23799999999999999</v>
      </c>
      <c r="N3670" s="6">
        <v>4.2118000000000002</v>
      </c>
      <c r="O3670" s="6">
        <v>1</v>
      </c>
      <c r="P3670" s="5">
        <v>190.01962800000911</v>
      </c>
      <c r="Q3670" s="4" t="s">
        <v>1390</v>
      </c>
    </row>
    <row r="3671" spans="1:17" x14ac:dyDescent="0.3">
      <c r="A3671" s="2" t="s">
        <v>1389</v>
      </c>
      <c r="B3671" s="3">
        <v>159386</v>
      </c>
      <c r="C3671" s="3">
        <v>220300</v>
      </c>
      <c r="D3671" s="4" t="s">
        <v>17</v>
      </c>
      <c r="E3671" s="4" t="s">
        <v>1041</v>
      </c>
      <c r="F3671" s="4" t="s">
        <v>32</v>
      </c>
      <c r="G3671" s="4" t="s">
        <v>20</v>
      </c>
      <c r="H3671" s="5">
        <v>-30000</v>
      </c>
      <c r="I3671" s="4" t="s">
        <v>21</v>
      </c>
      <c r="J3671" s="5">
        <f t="shared" si="57"/>
        <v>126633</v>
      </c>
      <c r="K3671" s="4" t="s">
        <v>30</v>
      </c>
      <c r="L3671" s="6">
        <v>4.2210999999999999</v>
      </c>
      <c r="M3671" s="6">
        <v>0.2369</v>
      </c>
      <c r="N3671" s="6">
        <v>4.2031999999999998</v>
      </c>
      <c r="O3671" s="6">
        <v>1</v>
      </c>
      <c r="P3671" s="5">
        <v>531</v>
      </c>
      <c r="Q3671" s="4" t="s">
        <v>1390</v>
      </c>
    </row>
    <row r="3672" spans="1:17" x14ac:dyDescent="0.3">
      <c r="A3672" s="2" t="s">
        <v>1389</v>
      </c>
      <c r="B3672" s="3">
        <v>159387</v>
      </c>
      <c r="C3672" s="3">
        <v>220304</v>
      </c>
      <c r="D3672" s="4" t="s">
        <v>17</v>
      </c>
      <c r="E3672" s="4" t="s">
        <v>1243</v>
      </c>
      <c r="F3672" s="4" t="s">
        <v>32</v>
      </c>
      <c r="G3672" s="4" t="s">
        <v>20</v>
      </c>
      <c r="H3672" s="5">
        <v>-150000</v>
      </c>
      <c r="I3672" s="4" t="s">
        <v>21</v>
      </c>
      <c r="J3672" s="5">
        <f t="shared" si="57"/>
        <v>631515</v>
      </c>
      <c r="K3672" s="4" t="s">
        <v>54</v>
      </c>
      <c r="L3672" s="6">
        <v>4.2100999999999997</v>
      </c>
      <c r="M3672" s="6">
        <v>0.23749999999999999</v>
      </c>
      <c r="N3672" s="6">
        <v>4.2118000000000002</v>
      </c>
      <c r="O3672" s="6">
        <v>1</v>
      </c>
      <c r="P3672" s="5">
        <v>-315</v>
      </c>
      <c r="Q3672" s="4" t="s">
        <v>1390</v>
      </c>
    </row>
    <row r="3673" spans="1:17" x14ac:dyDescent="0.3">
      <c r="A3673" s="2" t="s">
        <v>1389</v>
      </c>
      <c r="B3673" s="3">
        <v>159388</v>
      </c>
      <c r="C3673" s="3">
        <v>220307</v>
      </c>
      <c r="D3673" s="4" t="s">
        <v>17</v>
      </c>
      <c r="E3673" s="4" t="s">
        <v>1245</v>
      </c>
      <c r="F3673" s="4" t="s">
        <v>32</v>
      </c>
      <c r="G3673" s="4" t="s">
        <v>34</v>
      </c>
      <c r="H3673" s="5">
        <v>-214202.5</v>
      </c>
      <c r="I3673" s="4" t="s">
        <v>21</v>
      </c>
      <c r="J3673" s="5">
        <f t="shared" si="57"/>
        <v>761061.48250000004</v>
      </c>
      <c r="K3673" s="4" t="s">
        <v>54</v>
      </c>
      <c r="L3673" s="6">
        <v>3.5529999999999999</v>
      </c>
      <c r="M3673" s="6">
        <v>0.28149999999999997</v>
      </c>
      <c r="N3673" s="6">
        <v>3.5499000000000001</v>
      </c>
      <c r="O3673" s="6">
        <v>1</v>
      </c>
      <c r="P3673" s="5">
        <v>664.02525000000003</v>
      </c>
      <c r="Q3673" s="4" t="s">
        <v>1390</v>
      </c>
    </row>
    <row r="3674" spans="1:17" x14ac:dyDescent="0.3">
      <c r="A3674" s="2" t="s">
        <v>1389</v>
      </c>
      <c r="B3674" s="3">
        <v>159389</v>
      </c>
      <c r="C3674" s="3">
        <v>220308</v>
      </c>
      <c r="D3674" s="4" t="s">
        <v>17</v>
      </c>
      <c r="E3674" s="4" t="s">
        <v>1230</v>
      </c>
      <c r="F3674" s="4" t="s">
        <v>32</v>
      </c>
      <c r="G3674" s="4" t="s">
        <v>20</v>
      </c>
      <c r="H3674" s="5">
        <v>-20000</v>
      </c>
      <c r="I3674" s="4" t="s">
        <v>21</v>
      </c>
      <c r="J3674" s="5">
        <f t="shared" si="57"/>
        <v>84370</v>
      </c>
      <c r="K3674" s="4" t="s">
        <v>54</v>
      </c>
      <c r="L3674" s="6">
        <v>4.2184999999999997</v>
      </c>
      <c r="M3674" s="6">
        <v>0.23710000000000001</v>
      </c>
      <c r="N3674" s="6">
        <v>4.2118000000000002</v>
      </c>
      <c r="O3674" s="6">
        <v>1</v>
      </c>
      <c r="P3674" s="5">
        <v>134</v>
      </c>
      <c r="Q3674" s="4" t="s">
        <v>1390</v>
      </c>
    </row>
    <row r="3675" spans="1:17" x14ac:dyDescent="0.3">
      <c r="A3675" s="2" t="s">
        <v>1389</v>
      </c>
      <c r="B3675" s="3">
        <v>159390</v>
      </c>
      <c r="C3675" s="3">
        <v>220311</v>
      </c>
      <c r="D3675" s="4" t="s">
        <v>17</v>
      </c>
      <c r="E3675" s="4" t="s">
        <v>803</v>
      </c>
      <c r="F3675" s="4" t="s">
        <v>19</v>
      </c>
      <c r="G3675" s="4" t="s">
        <v>20</v>
      </c>
      <c r="H3675" s="5">
        <v>10000</v>
      </c>
      <c r="I3675" s="4" t="s">
        <v>21</v>
      </c>
      <c r="J3675" s="5">
        <f t="shared" si="57"/>
        <v>-41874</v>
      </c>
      <c r="K3675" s="4" t="s">
        <v>54</v>
      </c>
      <c r="L3675" s="6">
        <v>4.1874000000000002</v>
      </c>
      <c r="M3675" s="6">
        <v>0.23880000000000001</v>
      </c>
      <c r="N3675" s="6">
        <v>4.2118000000000002</v>
      </c>
      <c r="O3675" s="6">
        <v>1</v>
      </c>
      <c r="P3675" s="5">
        <v>244</v>
      </c>
      <c r="Q3675" s="4" t="s">
        <v>1390</v>
      </c>
    </row>
    <row r="3676" spans="1:17" x14ac:dyDescent="0.3">
      <c r="A3676" s="2" t="s">
        <v>1389</v>
      </c>
      <c r="B3676" s="3">
        <v>159392</v>
      </c>
      <c r="C3676" s="3">
        <v>911092</v>
      </c>
      <c r="D3676" s="4" t="s">
        <v>81</v>
      </c>
      <c r="E3676" s="4" t="s">
        <v>743</v>
      </c>
      <c r="F3676" s="4" t="s">
        <v>83</v>
      </c>
      <c r="G3676" s="4" t="s">
        <v>20</v>
      </c>
      <c r="H3676" s="5">
        <v>-1000000</v>
      </c>
      <c r="I3676" s="4" t="s">
        <v>21</v>
      </c>
      <c r="J3676" s="5">
        <f t="shared" si="57"/>
        <v>4208700</v>
      </c>
      <c r="K3676" s="4" t="s">
        <v>55</v>
      </c>
      <c r="L3676" s="6">
        <v>4.2087000000000003</v>
      </c>
      <c r="M3676" s="6">
        <v>0.23760000000000001</v>
      </c>
      <c r="N3676" s="6">
        <v>4.2008999999999999</v>
      </c>
      <c r="O3676" s="6">
        <v>1</v>
      </c>
      <c r="P3676" s="5">
        <v>7760</v>
      </c>
      <c r="Q3676" s="4" t="s">
        <v>1395</v>
      </c>
    </row>
    <row r="3677" spans="1:17" x14ac:dyDescent="0.3">
      <c r="A3677" s="2" t="s">
        <v>1389</v>
      </c>
      <c r="B3677" s="3">
        <v>159393</v>
      </c>
      <c r="C3677" s="3">
        <v>911093</v>
      </c>
      <c r="D3677" s="4" t="s">
        <v>81</v>
      </c>
      <c r="E3677" s="4" t="s">
        <v>725</v>
      </c>
      <c r="F3677" s="4" t="s">
        <v>83</v>
      </c>
      <c r="G3677" s="4" t="s">
        <v>20</v>
      </c>
      <c r="H3677" s="5">
        <v>-1000000</v>
      </c>
      <c r="I3677" s="4" t="s">
        <v>21</v>
      </c>
      <c r="J3677" s="5">
        <f t="shared" si="57"/>
        <v>4208500</v>
      </c>
      <c r="K3677" s="4" t="s">
        <v>55</v>
      </c>
      <c r="L3677" s="6">
        <v>4.2084999999999999</v>
      </c>
      <c r="M3677" s="6">
        <v>0.23760000000000001</v>
      </c>
      <c r="N3677" s="6">
        <v>4.2008999999999999</v>
      </c>
      <c r="O3677" s="6">
        <v>1</v>
      </c>
      <c r="P3677" s="5">
        <v>7630</v>
      </c>
      <c r="Q3677" s="4" t="s">
        <v>1392</v>
      </c>
    </row>
    <row r="3678" spans="1:17" x14ac:dyDescent="0.3">
      <c r="A3678" s="2" t="s">
        <v>1389</v>
      </c>
      <c r="B3678" s="3">
        <v>159394</v>
      </c>
      <c r="C3678" s="3">
        <v>220315</v>
      </c>
      <c r="D3678" s="4" t="s">
        <v>17</v>
      </c>
      <c r="E3678" s="4" t="s">
        <v>962</v>
      </c>
      <c r="F3678" s="4" t="s">
        <v>19</v>
      </c>
      <c r="G3678" s="4" t="s">
        <v>20</v>
      </c>
      <c r="H3678" s="5">
        <v>2000000</v>
      </c>
      <c r="I3678" s="4" t="s">
        <v>21</v>
      </c>
      <c r="J3678" s="5">
        <f t="shared" si="57"/>
        <v>-8413000</v>
      </c>
      <c r="K3678" s="4" t="s">
        <v>54</v>
      </c>
      <c r="L3678" s="6">
        <v>4.2065000000000001</v>
      </c>
      <c r="M3678" s="6">
        <v>0.23769999999999999</v>
      </c>
      <c r="N3678" s="6">
        <v>4.2118000000000002</v>
      </c>
      <c r="O3678" s="6">
        <v>1</v>
      </c>
      <c r="P3678" s="5">
        <v>10600</v>
      </c>
      <c r="Q3678" s="4" t="s">
        <v>1390</v>
      </c>
    </row>
    <row r="3679" spans="1:17" x14ac:dyDescent="0.3">
      <c r="A3679" s="2" t="s">
        <v>1389</v>
      </c>
      <c r="B3679" s="3">
        <v>159395</v>
      </c>
      <c r="C3679" s="3">
        <v>220316</v>
      </c>
      <c r="D3679" s="4" t="s">
        <v>17</v>
      </c>
      <c r="E3679" s="4" t="s">
        <v>1144</v>
      </c>
      <c r="F3679" s="4" t="s">
        <v>19</v>
      </c>
      <c r="G3679" s="4" t="s">
        <v>20</v>
      </c>
      <c r="H3679" s="5">
        <v>15000</v>
      </c>
      <c r="I3679" s="4" t="s">
        <v>21</v>
      </c>
      <c r="J3679" s="5">
        <f t="shared" si="57"/>
        <v>-63037.499999999993</v>
      </c>
      <c r="K3679" s="4" t="s">
        <v>54</v>
      </c>
      <c r="L3679" s="6">
        <v>4.2024999999999997</v>
      </c>
      <c r="M3679" s="6">
        <v>0.23799999999999999</v>
      </c>
      <c r="N3679" s="6">
        <v>4.2118000000000002</v>
      </c>
      <c r="O3679" s="6">
        <v>1</v>
      </c>
      <c r="P3679" s="5">
        <v>139.50000000000728</v>
      </c>
      <c r="Q3679" s="4" t="s">
        <v>1390</v>
      </c>
    </row>
    <row r="3680" spans="1:17" x14ac:dyDescent="0.3">
      <c r="A3680" s="2" t="s">
        <v>1389</v>
      </c>
      <c r="B3680" s="3">
        <v>159396</v>
      </c>
      <c r="C3680" s="3">
        <v>220320</v>
      </c>
      <c r="D3680" s="4" t="s">
        <v>17</v>
      </c>
      <c r="E3680" s="4" t="s">
        <v>973</v>
      </c>
      <c r="F3680" s="4" t="s">
        <v>32</v>
      </c>
      <c r="G3680" s="4" t="s">
        <v>20</v>
      </c>
      <c r="H3680" s="5">
        <v>-177000</v>
      </c>
      <c r="I3680" s="4" t="s">
        <v>21</v>
      </c>
      <c r="J3680" s="5">
        <f t="shared" si="57"/>
        <v>746037.3</v>
      </c>
      <c r="K3680" s="4" t="s">
        <v>54</v>
      </c>
      <c r="L3680" s="6">
        <v>4.2149000000000001</v>
      </c>
      <c r="M3680" s="6">
        <v>0.23730000000000001</v>
      </c>
      <c r="N3680" s="6">
        <v>4.2118000000000002</v>
      </c>
      <c r="O3680" s="6">
        <v>1</v>
      </c>
      <c r="P3680" s="5">
        <v>477.9</v>
      </c>
      <c r="Q3680" s="4" t="s">
        <v>1390</v>
      </c>
    </row>
    <row r="3681" spans="1:17" x14ac:dyDescent="0.3">
      <c r="A3681" s="2" t="s">
        <v>1389</v>
      </c>
      <c r="B3681" s="3">
        <v>159397</v>
      </c>
      <c r="C3681" s="3">
        <v>220321</v>
      </c>
      <c r="D3681" s="4" t="s">
        <v>17</v>
      </c>
      <c r="E3681" s="4" t="s">
        <v>1167</v>
      </c>
      <c r="F3681" s="4" t="s">
        <v>19</v>
      </c>
      <c r="G3681" s="4" t="s">
        <v>20</v>
      </c>
      <c r="H3681" s="5">
        <v>4697</v>
      </c>
      <c r="I3681" s="4" t="s">
        <v>21</v>
      </c>
      <c r="J3681" s="5">
        <f t="shared" si="57"/>
        <v>-19727.400000000001</v>
      </c>
      <c r="K3681" s="4" t="s">
        <v>54</v>
      </c>
      <c r="L3681" s="6">
        <v>4.2</v>
      </c>
      <c r="M3681" s="6">
        <v>0.23810000000000001</v>
      </c>
      <c r="N3681" s="6">
        <v>4.2118000000000002</v>
      </c>
      <c r="O3681" s="6">
        <v>1</v>
      </c>
      <c r="P3681" s="5">
        <v>55.424599999998463</v>
      </c>
      <c r="Q3681" s="4" t="s">
        <v>1390</v>
      </c>
    </row>
    <row r="3682" spans="1:17" x14ac:dyDescent="0.3">
      <c r="A3682" s="2" t="s">
        <v>1389</v>
      </c>
      <c r="B3682" s="3">
        <v>159398</v>
      </c>
      <c r="C3682" s="3">
        <v>911118</v>
      </c>
      <c r="D3682" s="4" t="s">
        <v>81</v>
      </c>
      <c r="E3682" s="4" t="s">
        <v>1153</v>
      </c>
      <c r="F3682" s="4" t="s">
        <v>83</v>
      </c>
      <c r="G3682" s="4" t="s">
        <v>20</v>
      </c>
      <c r="H3682" s="5">
        <v>-12000</v>
      </c>
      <c r="I3682" s="4" t="s">
        <v>21</v>
      </c>
      <c r="J3682" s="5">
        <f t="shared" si="57"/>
        <v>50522.400000000001</v>
      </c>
      <c r="K3682" s="4" t="s">
        <v>55</v>
      </c>
      <c r="L3682" s="6">
        <v>4.2102000000000004</v>
      </c>
      <c r="M3682" s="6">
        <v>0.23749999999999999</v>
      </c>
      <c r="N3682" s="6">
        <v>4.2008999999999999</v>
      </c>
      <c r="O3682" s="6">
        <v>1</v>
      </c>
      <c r="P3682" s="5">
        <v>111.6</v>
      </c>
      <c r="Q3682" s="4" t="s">
        <v>1390</v>
      </c>
    </row>
    <row r="3683" spans="1:17" x14ac:dyDescent="0.3">
      <c r="A3683" s="2" t="s">
        <v>1389</v>
      </c>
      <c r="B3683" s="3">
        <v>159399</v>
      </c>
      <c r="C3683" s="3">
        <v>220327</v>
      </c>
      <c r="D3683" s="4" t="s">
        <v>17</v>
      </c>
      <c r="E3683" s="4" t="s">
        <v>1224</v>
      </c>
      <c r="F3683" s="4" t="s">
        <v>32</v>
      </c>
      <c r="G3683" s="4" t="s">
        <v>20</v>
      </c>
      <c r="H3683" s="5">
        <v>-10000</v>
      </c>
      <c r="I3683" s="4" t="s">
        <v>21</v>
      </c>
      <c r="J3683" s="5">
        <f t="shared" si="57"/>
        <v>42089</v>
      </c>
      <c r="K3683" s="4" t="s">
        <v>54</v>
      </c>
      <c r="L3683" s="6">
        <v>4.2088999999999999</v>
      </c>
      <c r="M3683" s="6">
        <v>0.23760000000000001</v>
      </c>
      <c r="N3683" s="6">
        <v>4.2118000000000002</v>
      </c>
      <c r="O3683" s="6">
        <v>1</v>
      </c>
      <c r="P3683" s="5">
        <v>-33</v>
      </c>
      <c r="Q3683" s="4" t="s">
        <v>1390</v>
      </c>
    </row>
    <row r="3684" spans="1:17" x14ac:dyDescent="0.3">
      <c r="A3684" s="2" t="s">
        <v>1389</v>
      </c>
      <c r="B3684" s="3">
        <v>159400</v>
      </c>
      <c r="C3684" s="3">
        <v>220328</v>
      </c>
      <c r="D3684" s="4" t="s">
        <v>17</v>
      </c>
      <c r="E3684" s="4" t="s">
        <v>1224</v>
      </c>
      <c r="F3684" s="4" t="s">
        <v>32</v>
      </c>
      <c r="G3684" s="4" t="s">
        <v>20</v>
      </c>
      <c r="H3684" s="5">
        <v>-10000</v>
      </c>
      <c r="I3684" s="4" t="s">
        <v>21</v>
      </c>
      <c r="J3684" s="5">
        <f t="shared" si="57"/>
        <v>42085</v>
      </c>
      <c r="K3684" s="4" t="s">
        <v>54</v>
      </c>
      <c r="L3684" s="6">
        <v>4.2084999999999999</v>
      </c>
      <c r="M3684" s="6">
        <v>0.23760000000000001</v>
      </c>
      <c r="N3684" s="6">
        <v>4.2118000000000002</v>
      </c>
      <c r="O3684" s="6">
        <v>1</v>
      </c>
      <c r="P3684" s="5">
        <v>-37</v>
      </c>
      <c r="Q3684" s="4" t="s">
        <v>1390</v>
      </c>
    </row>
    <row r="3685" spans="1:17" x14ac:dyDescent="0.3">
      <c r="A3685" s="2" t="s">
        <v>1389</v>
      </c>
      <c r="B3685" s="3">
        <v>159401</v>
      </c>
      <c r="C3685" s="3">
        <v>220331</v>
      </c>
      <c r="D3685" s="4" t="s">
        <v>17</v>
      </c>
      <c r="E3685" s="4" t="s">
        <v>1078</v>
      </c>
      <c r="F3685" s="4" t="s">
        <v>32</v>
      </c>
      <c r="G3685" s="4" t="s">
        <v>34</v>
      </c>
      <c r="H3685" s="5">
        <v>-189335.75</v>
      </c>
      <c r="I3685" s="4" t="s">
        <v>21</v>
      </c>
      <c r="J3685" s="5">
        <f t="shared" si="57"/>
        <v>671554.97167500004</v>
      </c>
      <c r="K3685" s="4" t="s">
        <v>30</v>
      </c>
      <c r="L3685" s="6">
        <v>3.5468999999999999</v>
      </c>
      <c r="M3685" s="6">
        <v>0.28189999999999998</v>
      </c>
      <c r="N3685" s="6">
        <v>3.5354000000000001</v>
      </c>
      <c r="O3685" s="6">
        <v>1</v>
      </c>
      <c r="P3685" s="5">
        <v>2177.3594499999999</v>
      </c>
      <c r="Q3685" s="4" t="s">
        <v>1390</v>
      </c>
    </row>
    <row r="3686" spans="1:17" x14ac:dyDescent="0.3">
      <c r="A3686" s="2" t="s">
        <v>1389</v>
      </c>
      <c r="B3686" s="3">
        <v>159402</v>
      </c>
      <c r="C3686" s="3">
        <v>911150</v>
      </c>
      <c r="D3686" s="4" t="s">
        <v>81</v>
      </c>
      <c r="E3686" s="4" t="s">
        <v>739</v>
      </c>
      <c r="F3686" s="4" t="s">
        <v>83</v>
      </c>
      <c r="G3686" s="4" t="s">
        <v>20</v>
      </c>
      <c r="H3686" s="5">
        <v>-100000</v>
      </c>
      <c r="I3686" s="4" t="s">
        <v>91</v>
      </c>
      <c r="J3686" s="5">
        <f t="shared" si="57"/>
        <v>86780</v>
      </c>
      <c r="K3686" s="4" t="s">
        <v>55</v>
      </c>
      <c r="L3686" s="6">
        <v>0.86780000000000002</v>
      </c>
      <c r="M3686" s="6">
        <v>1.1523000000000001</v>
      </c>
      <c r="N3686" s="6">
        <v>4.2008999999999999</v>
      </c>
      <c r="O3686" s="6">
        <v>4.8319999999999999</v>
      </c>
      <c r="P3686" s="5">
        <v>-754.54399999999998</v>
      </c>
      <c r="Q3686" s="4" t="s">
        <v>1391</v>
      </c>
    </row>
    <row r="3687" spans="1:17" x14ac:dyDescent="0.3">
      <c r="A3687" s="2" t="s">
        <v>1389</v>
      </c>
      <c r="B3687" s="3">
        <v>159403</v>
      </c>
      <c r="C3687" s="3">
        <v>220332</v>
      </c>
      <c r="D3687" s="4" t="s">
        <v>17</v>
      </c>
      <c r="E3687" s="4" t="s">
        <v>1370</v>
      </c>
      <c r="F3687" s="4" t="s">
        <v>32</v>
      </c>
      <c r="G3687" s="4" t="s">
        <v>20</v>
      </c>
      <c r="H3687" s="5">
        <v>-17000</v>
      </c>
      <c r="I3687" s="4" t="s">
        <v>21</v>
      </c>
      <c r="J3687" s="5">
        <f t="shared" si="57"/>
        <v>71794.400000000009</v>
      </c>
      <c r="K3687" s="4" t="s">
        <v>54</v>
      </c>
      <c r="L3687" s="6">
        <v>4.2232000000000003</v>
      </c>
      <c r="M3687" s="6">
        <v>0.23680000000000001</v>
      </c>
      <c r="N3687" s="6">
        <v>4.2118000000000002</v>
      </c>
      <c r="O3687" s="6">
        <v>1</v>
      </c>
      <c r="P3687" s="5">
        <v>185.3</v>
      </c>
      <c r="Q3687" s="4" t="s">
        <v>1390</v>
      </c>
    </row>
    <row r="3688" spans="1:17" x14ac:dyDescent="0.3">
      <c r="A3688" s="2" t="s">
        <v>1389</v>
      </c>
      <c r="B3688" s="3">
        <v>159404</v>
      </c>
      <c r="C3688" s="3">
        <v>220335</v>
      </c>
      <c r="D3688" s="4" t="s">
        <v>17</v>
      </c>
      <c r="E3688" s="4" t="s">
        <v>1243</v>
      </c>
      <c r="F3688" s="4" t="s">
        <v>32</v>
      </c>
      <c r="G3688" s="4" t="s">
        <v>20</v>
      </c>
      <c r="H3688" s="5">
        <v>-150000</v>
      </c>
      <c r="I3688" s="4" t="s">
        <v>21</v>
      </c>
      <c r="J3688" s="5">
        <f t="shared" si="57"/>
        <v>631245</v>
      </c>
      <c r="K3688" s="4" t="s">
        <v>54</v>
      </c>
      <c r="L3688" s="6">
        <v>4.2083000000000004</v>
      </c>
      <c r="M3688" s="6">
        <v>0.23760000000000001</v>
      </c>
      <c r="N3688" s="6">
        <v>4.2118000000000002</v>
      </c>
      <c r="O3688" s="6">
        <v>1</v>
      </c>
      <c r="P3688" s="5">
        <v>-585</v>
      </c>
      <c r="Q3688" s="4" t="s">
        <v>1390</v>
      </c>
    </row>
    <row r="3689" spans="1:17" x14ac:dyDescent="0.3">
      <c r="A3689" s="2" t="s">
        <v>1389</v>
      </c>
      <c r="B3689" s="3">
        <v>159405</v>
      </c>
      <c r="C3689" s="3">
        <v>220337</v>
      </c>
      <c r="D3689" s="4" t="s">
        <v>17</v>
      </c>
      <c r="E3689" s="4" t="s">
        <v>890</v>
      </c>
      <c r="F3689" s="4" t="s">
        <v>19</v>
      </c>
      <c r="G3689" s="4" t="s">
        <v>93</v>
      </c>
      <c r="H3689" s="5">
        <v>45750</v>
      </c>
      <c r="I3689" s="4" t="s">
        <v>21</v>
      </c>
      <c r="J3689" s="5">
        <f t="shared" si="57"/>
        <v>-207293.25</v>
      </c>
      <c r="K3689" s="4" t="s">
        <v>54</v>
      </c>
      <c r="L3689" s="6">
        <v>4.5309999999999997</v>
      </c>
      <c r="M3689" s="6">
        <v>0.22070000000000001</v>
      </c>
      <c r="N3689" s="6">
        <v>4.5758000000000001</v>
      </c>
      <c r="O3689" s="6">
        <v>1</v>
      </c>
      <c r="P3689" s="5">
        <v>2049.6000000000058</v>
      </c>
      <c r="Q3689" s="4" t="s">
        <v>1390</v>
      </c>
    </row>
    <row r="3690" spans="1:17" x14ac:dyDescent="0.3">
      <c r="A3690" s="2" t="s">
        <v>1389</v>
      </c>
      <c r="B3690" s="3">
        <v>159406</v>
      </c>
      <c r="C3690" s="3">
        <v>220338</v>
      </c>
      <c r="D3690" s="4" t="s">
        <v>17</v>
      </c>
      <c r="E3690" s="4" t="s">
        <v>890</v>
      </c>
      <c r="F3690" s="4" t="s">
        <v>19</v>
      </c>
      <c r="G3690" s="4" t="s">
        <v>20</v>
      </c>
      <c r="H3690" s="5">
        <v>35000</v>
      </c>
      <c r="I3690" s="4" t="s">
        <v>21</v>
      </c>
      <c r="J3690" s="5">
        <f t="shared" si="57"/>
        <v>-146314</v>
      </c>
      <c r="K3690" s="4" t="s">
        <v>54</v>
      </c>
      <c r="L3690" s="6">
        <v>4.1803999999999997</v>
      </c>
      <c r="M3690" s="6">
        <v>0.2392</v>
      </c>
      <c r="N3690" s="6">
        <v>4.2118000000000002</v>
      </c>
      <c r="O3690" s="6">
        <v>1</v>
      </c>
      <c r="P3690" s="5">
        <v>1099</v>
      </c>
      <c r="Q3690" s="4" t="s">
        <v>1390</v>
      </c>
    </row>
    <row r="3691" spans="1:17" x14ac:dyDescent="0.3">
      <c r="A3691" s="2" t="s">
        <v>1389</v>
      </c>
      <c r="B3691" s="3">
        <v>159407</v>
      </c>
      <c r="C3691" s="3">
        <v>220339</v>
      </c>
      <c r="D3691" s="4" t="s">
        <v>17</v>
      </c>
      <c r="E3691" s="4" t="s">
        <v>1154</v>
      </c>
      <c r="F3691" s="4" t="s">
        <v>32</v>
      </c>
      <c r="G3691" s="4" t="s">
        <v>20</v>
      </c>
      <c r="H3691" s="5">
        <v>-75000</v>
      </c>
      <c r="I3691" s="4" t="s">
        <v>21</v>
      </c>
      <c r="J3691" s="5">
        <f t="shared" si="57"/>
        <v>315547.5</v>
      </c>
      <c r="K3691" s="4" t="s">
        <v>54</v>
      </c>
      <c r="L3691" s="6">
        <v>4.2073</v>
      </c>
      <c r="M3691" s="6">
        <v>0.23769999999999999</v>
      </c>
      <c r="N3691" s="6">
        <v>4.2118000000000002</v>
      </c>
      <c r="O3691" s="6">
        <v>1</v>
      </c>
      <c r="P3691" s="5">
        <v>-367.5</v>
      </c>
      <c r="Q3691" s="4" t="s">
        <v>1390</v>
      </c>
    </row>
    <row r="3692" spans="1:17" x14ac:dyDescent="0.3">
      <c r="A3692" s="2" t="s">
        <v>1389</v>
      </c>
      <c r="B3692" s="3">
        <v>159412</v>
      </c>
      <c r="C3692" s="3">
        <v>220346</v>
      </c>
      <c r="D3692" s="4" t="s">
        <v>17</v>
      </c>
      <c r="E3692" s="4" t="s">
        <v>1224</v>
      </c>
      <c r="F3692" s="4" t="s">
        <v>32</v>
      </c>
      <c r="G3692" s="4" t="s">
        <v>20</v>
      </c>
      <c r="H3692" s="5">
        <v>-10000</v>
      </c>
      <c r="I3692" s="4" t="s">
        <v>21</v>
      </c>
      <c r="J3692" s="5">
        <f t="shared" si="57"/>
        <v>42078</v>
      </c>
      <c r="K3692" s="4" t="s">
        <v>54</v>
      </c>
      <c r="L3692" s="6">
        <v>4.2077999999999998</v>
      </c>
      <c r="M3692" s="6">
        <v>0.23769999999999999</v>
      </c>
      <c r="N3692" s="6">
        <v>4.2118000000000002</v>
      </c>
      <c r="O3692" s="6">
        <v>1</v>
      </c>
      <c r="P3692" s="5">
        <v>-44</v>
      </c>
      <c r="Q3692" s="4" t="s">
        <v>1390</v>
      </c>
    </row>
    <row r="3693" spans="1:17" x14ac:dyDescent="0.3">
      <c r="A3693" s="2" t="s">
        <v>1389</v>
      </c>
      <c r="B3693" s="3">
        <v>159415</v>
      </c>
      <c r="C3693" s="3">
        <v>220354</v>
      </c>
      <c r="D3693" s="4" t="s">
        <v>17</v>
      </c>
      <c r="E3693" s="4" t="s">
        <v>1224</v>
      </c>
      <c r="F3693" s="4" t="s">
        <v>32</v>
      </c>
      <c r="G3693" s="4" t="s">
        <v>20</v>
      </c>
      <c r="H3693" s="5">
        <v>-10000</v>
      </c>
      <c r="I3693" s="4" t="s">
        <v>21</v>
      </c>
      <c r="J3693" s="5">
        <f t="shared" si="57"/>
        <v>42078</v>
      </c>
      <c r="K3693" s="4" t="s">
        <v>54</v>
      </c>
      <c r="L3693" s="6">
        <v>4.2077999999999998</v>
      </c>
      <c r="M3693" s="6">
        <v>0.23769999999999999</v>
      </c>
      <c r="N3693" s="6">
        <v>4.2118000000000002</v>
      </c>
      <c r="O3693" s="6">
        <v>1</v>
      </c>
      <c r="P3693" s="5">
        <v>-44</v>
      </c>
      <c r="Q3693" s="4" t="s">
        <v>1390</v>
      </c>
    </row>
    <row r="3694" spans="1:17" x14ac:dyDescent="0.3">
      <c r="A3694" s="2" t="s">
        <v>1389</v>
      </c>
      <c r="B3694" s="3">
        <v>159416</v>
      </c>
      <c r="C3694" s="3">
        <v>220356</v>
      </c>
      <c r="D3694" s="4" t="s">
        <v>17</v>
      </c>
      <c r="E3694" s="4" t="s">
        <v>1224</v>
      </c>
      <c r="F3694" s="4" t="s">
        <v>32</v>
      </c>
      <c r="G3694" s="4" t="s">
        <v>20</v>
      </c>
      <c r="H3694" s="5">
        <v>-10000</v>
      </c>
      <c r="I3694" s="4" t="s">
        <v>21</v>
      </c>
      <c r="J3694" s="5">
        <f t="shared" si="57"/>
        <v>42066</v>
      </c>
      <c r="K3694" s="4" t="s">
        <v>54</v>
      </c>
      <c r="L3694" s="6">
        <v>4.2065999999999999</v>
      </c>
      <c r="M3694" s="6">
        <v>0.23769999999999999</v>
      </c>
      <c r="N3694" s="6">
        <v>4.2118000000000002</v>
      </c>
      <c r="O3694" s="6">
        <v>1</v>
      </c>
      <c r="P3694" s="5">
        <v>-56</v>
      </c>
      <c r="Q3694" s="4" t="s">
        <v>1390</v>
      </c>
    </row>
    <row r="3695" spans="1:17" x14ac:dyDescent="0.3">
      <c r="A3695" s="2" t="s">
        <v>1389</v>
      </c>
      <c r="B3695" s="3">
        <v>159419</v>
      </c>
      <c r="C3695" s="3">
        <v>220361</v>
      </c>
      <c r="D3695" s="4" t="s">
        <v>17</v>
      </c>
      <c r="E3695" s="4" t="s">
        <v>1348</v>
      </c>
      <c r="F3695" s="4" t="s">
        <v>32</v>
      </c>
      <c r="G3695" s="4" t="s">
        <v>20</v>
      </c>
      <c r="H3695" s="5">
        <v>-10000</v>
      </c>
      <c r="I3695" s="4" t="s">
        <v>21</v>
      </c>
      <c r="J3695" s="5">
        <f t="shared" si="57"/>
        <v>42293</v>
      </c>
      <c r="K3695" s="4" t="s">
        <v>54</v>
      </c>
      <c r="L3695" s="6">
        <v>4.2293000000000003</v>
      </c>
      <c r="M3695" s="6">
        <v>0.2364</v>
      </c>
      <c r="N3695" s="6">
        <v>4.2118000000000002</v>
      </c>
      <c r="O3695" s="6">
        <v>1</v>
      </c>
      <c r="P3695" s="5">
        <v>171</v>
      </c>
      <c r="Q3695" s="4" t="s">
        <v>1390</v>
      </c>
    </row>
    <row r="3696" spans="1:17" x14ac:dyDescent="0.3">
      <c r="A3696" s="2" t="s">
        <v>1389</v>
      </c>
      <c r="B3696" s="3">
        <v>159420</v>
      </c>
      <c r="C3696" s="3">
        <v>220362</v>
      </c>
      <c r="D3696" s="4" t="s">
        <v>17</v>
      </c>
      <c r="E3696" s="4" t="s">
        <v>1120</v>
      </c>
      <c r="F3696" s="4" t="s">
        <v>19</v>
      </c>
      <c r="G3696" s="4" t="s">
        <v>20</v>
      </c>
      <c r="H3696" s="5">
        <v>100000</v>
      </c>
      <c r="I3696" s="4" t="s">
        <v>21</v>
      </c>
      <c r="J3696" s="5">
        <f t="shared" si="57"/>
        <v>-418839.99999999994</v>
      </c>
      <c r="K3696" s="4" t="s">
        <v>54</v>
      </c>
      <c r="L3696" s="6">
        <v>4.1883999999999997</v>
      </c>
      <c r="M3696" s="6">
        <v>0.23880000000000001</v>
      </c>
      <c r="N3696" s="6">
        <v>4.2118000000000002</v>
      </c>
      <c r="O3696" s="6">
        <v>1</v>
      </c>
      <c r="P3696" s="5">
        <v>2340.0000000000582</v>
      </c>
      <c r="Q3696" s="4" t="s">
        <v>1390</v>
      </c>
    </row>
    <row r="3697" spans="1:17" x14ac:dyDescent="0.3">
      <c r="A3697" s="2" t="s">
        <v>1389</v>
      </c>
      <c r="B3697" s="3">
        <v>159421</v>
      </c>
      <c r="C3697" s="3">
        <v>220363</v>
      </c>
      <c r="D3697" s="4" t="s">
        <v>17</v>
      </c>
      <c r="E3697" s="4" t="s">
        <v>856</v>
      </c>
      <c r="F3697" s="4" t="s">
        <v>32</v>
      </c>
      <c r="G3697" s="4" t="s">
        <v>20</v>
      </c>
      <c r="H3697" s="5">
        <v>-50000</v>
      </c>
      <c r="I3697" s="4" t="s">
        <v>21</v>
      </c>
      <c r="J3697" s="5">
        <f t="shared" si="57"/>
        <v>210250</v>
      </c>
      <c r="K3697" s="4" t="s">
        <v>54</v>
      </c>
      <c r="L3697" s="6">
        <v>4.2050000000000001</v>
      </c>
      <c r="M3697" s="6">
        <v>0.23780000000000001</v>
      </c>
      <c r="N3697" s="6">
        <v>4.2118000000000002</v>
      </c>
      <c r="O3697" s="6">
        <v>1</v>
      </c>
      <c r="P3697" s="5">
        <v>-340</v>
      </c>
      <c r="Q3697" s="4" t="s">
        <v>1390</v>
      </c>
    </row>
    <row r="3698" spans="1:17" x14ac:dyDescent="0.3">
      <c r="A3698" s="2" t="s">
        <v>1389</v>
      </c>
      <c r="B3698" s="3">
        <v>159422</v>
      </c>
      <c r="C3698" s="3">
        <v>220364</v>
      </c>
      <c r="D3698" s="4" t="s">
        <v>17</v>
      </c>
      <c r="E3698" s="4" t="s">
        <v>1136</v>
      </c>
      <c r="F3698" s="4" t="s">
        <v>19</v>
      </c>
      <c r="G3698" s="4" t="s">
        <v>20</v>
      </c>
      <c r="H3698" s="5">
        <v>40000</v>
      </c>
      <c r="I3698" s="4" t="s">
        <v>21</v>
      </c>
      <c r="J3698" s="5">
        <f t="shared" si="57"/>
        <v>-167719.99999999997</v>
      </c>
      <c r="K3698" s="4" t="s">
        <v>54</v>
      </c>
      <c r="L3698" s="6">
        <v>4.1929999999999996</v>
      </c>
      <c r="M3698" s="6">
        <v>0.23849999999999999</v>
      </c>
      <c r="N3698" s="6">
        <v>4.2118000000000002</v>
      </c>
      <c r="O3698" s="6">
        <v>1</v>
      </c>
      <c r="P3698" s="5">
        <v>752.0000000000291</v>
      </c>
      <c r="Q3698" s="4" t="s">
        <v>1390</v>
      </c>
    </row>
    <row r="3699" spans="1:17" x14ac:dyDescent="0.3">
      <c r="A3699" s="2" t="s">
        <v>1389</v>
      </c>
      <c r="B3699" s="3">
        <v>159423</v>
      </c>
      <c r="C3699" s="3">
        <v>220366</v>
      </c>
      <c r="D3699" s="4" t="s">
        <v>17</v>
      </c>
      <c r="E3699" s="4" t="s">
        <v>1101</v>
      </c>
      <c r="F3699" s="4" t="s">
        <v>32</v>
      </c>
      <c r="G3699" s="4" t="s">
        <v>34</v>
      </c>
      <c r="H3699" s="5">
        <v>-20000</v>
      </c>
      <c r="I3699" s="4" t="s">
        <v>21</v>
      </c>
      <c r="J3699" s="5">
        <f t="shared" si="57"/>
        <v>71002</v>
      </c>
      <c r="K3699" s="4" t="s">
        <v>54</v>
      </c>
      <c r="L3699" s="6">
        <v>3.5501</v>
      </c>
      <c r="M3699" s="6">
        <v>0.28170000000000001</v>
      </c>
      <c r="N3699" s="6">
        <v>3.5499000000000001</v>
      </c>
      <c r="O3699" s="6">
        <v>1</v>
      </c>
      <c r="P3699" s="5">
        <v>2</v>
      </c>
      <c r="Q3699" s="4" t="s">
        <v>1390</v>
      </c>
    </row>
    <row r="3700" spans="1:17" x14ac:dyDescent="0.3">
      <c r="A3700" s="2" t="s">
        <v>1389</v>
      </c>
      <c r="B3700" s="3">
        <v>159424</v>
      </c>
      <c r="C3700" s="3">
        <v>220368</v>
      </c>
      <c r="D3700" s="4" t="s">
        <v>17</v>
      </c>
      <c r="E3700" s="4" t="s">
        <v>1348</v>
      </c>
      <c r="F3700" s="4" t="s">
        <v>32</v>
      </c>
      <c r="G3700" s="4" t="s">
        <v>34</v>
      </c>
      <c r="H3700" s="5">
        <v>-10000</v>
      </c>
      <c r="I3700" s="4" t="s">
        <v>21</v>
      </c>
      <c r="J3700" s="5">
        <f t="shared" si="57"/>
        <v>35590</v>
      </c>
      <c r="K3700" s="4" t="s">
        <v>54</v>
      </c>
      <c r="L3700" s="6">
        <v>3.5590000000000002</v>
      </c>
      <c r="M3700" s="6">
        <v>0.28100000000000003</v>
      </c>
      <c r="N3700" s="6">
        <v>3.5499000000000001</v>
      </c>
      <c r="O3700" s="6">
        <v>1</v>
      </c>
      <c r="P3700" s="5">
        <v>89</v>
      </c>
      <c r="Q3700" s="4" t="s">
        <v>1390</v>
      </c>
    </row>
    <row r="3701" spans="1:17" x14ac:dyDescent="0.3">
      <c r="A3701" s="2" t="s">
        <v>1389</v>
      </c>
      <c r="B3701" s="3">
        <v>159425</v>
      </c>
      <c r="C3701" s="3">
        <v>911276</v>
      </c>
      <c r="D3701" s="4" t="s">
        <v>81</v>
      </c>
      <c r="E3701" s="4" t="s">
        <v>733</v>
      </c>
      <c r="F3701" s="4" t="s">
        <v>87</v>
      </c>
      <c r="G3701" s="4" t="s">
        <v>20</v>
      </c>
      <c r="H3701" s="5">
        <v>500000</v>
      </c>
      <c r="I3701" s="4" t="s">
        <v>21</v>
      </c>
      <c r="J3701" s="5">
        <f t="shared" si="57"/>
        <v>-2101750</v>
      </c>
      <c r="K3701" s="4" t="s">
        <v>55</v>
      </c>
      <c r="L3701" s="6">
        <v>4.2035</v>
      </c>
      <c r="M3701" s="6">
        <v>0.2379</v>
      </c>
      <c r="N3701" s="6">
        <v>4.2008999999999999</v>
      </c>
      <c r="O3701" s="6">
        <v>1</v>
      </c>
      <c r="P3701" s="5">
        <v>-1320</v>
      </c>
      <c r="Q3701" s="4" t="s">
        <v>1391</v>
      </c>
    </row>
    <row r="3702" spans="1:17" x14ac:dyDescent="0.3">
      <c r="A3702" s="2" t="s">
        <v>1389</v>
      </c>
      <c r="B3702" s="3">
        <v>159427</v>
      </c>
      <c r="C3702" s="3">
        <v>911277</v>
      </c>
      <c r="D3702" s="4" t="s">
        <v>81</v>
      </c>
      <c r="E3702" s="4" t="s">
        <v>733</v>
      </c>
      <c r="F3702" s="4" t="s">
        <v>87</v>
      </c>
      <c r="G3702" s="4" t="s">
        <v>20</v>
      </c>
      <c r="H3702" s="5">
        <v>500000</v>
      </c>
      <c r="I3702" s="4" t="s">
        <v>21</v>
      </c>
      <c r="J3702" s="5">
        <f t="shared" si="57"/>
        <v>-2101950</v>
      </c>
      <c r="K3702" s="4" t="s">
        <v>55</v>
      </c>
      <c r="L3702" s="6">
        <v>4.2039</v>
      </c>
      <c r="M3702" s="6">
        <v>0.2379</v>
      </c>
      <c r="N3702" s="6">
        <v>4.2008999999999999</v>
      </c>
      <c r="O3702" s="6">
        <v>1</v>
      </c>
      <c r="P3702" s="5">
        <v>-1520</v>
      </c>
      <c r="Q3702" s="4" t="s">
        <v>1391</v>
      </c>
    </row>
    <row r="3703" spans="1:17" x14ac:dyDescent="0.3">
      <c r="A3703" s="2" t="s">
        <v>1389</v>
      </c>
      <c r="B3703" s="3">
        <v>159428</v>
      </c>
      <c r="C3703" s="3">
        <v>911278</v>
      </c>
      <c r="D3703" s="4" t="s">
        <v>81</v>
      </c>
      <c r="E3703" s="4" t="s">
        <v>734</v>
      </c>
      <c r="F3703" s="4" t="s">
        <v>87</v>
      </c>
      <c r="G3703" s="4" t="s">
        <v>20</v>
      </c>
      <c r="H3703" s="5">
        <v>500000</v>
      </c>
      <c r="I3703" s="4" t="s">
        <v>21</v>
      </c>
      <c r="J3703" s="5">
        <f t="shared" si="57"/>
        <v>-2101900</v>
      </c>
      <c r="K3703" s="4" t="s">
        <v>55</v>
      </c>
      <c r="L3703" s="6">
        <v>4.2038000000000002</v>
      </c>
      <c r="M3703" s="6">
        <v>0.2379</v>
      </c>
      <c r="N3703" s="6">
        <v>4.2008999999999999</v>
      </c>
      <c r="O3703" s="6">
        <v>1</v>
      </c>
      <c r="P3703" s="5">
        <v>-1450</v>
      </c>
      <c r="Q3703" s="4" t="s">
        <v>1393</v>
      </c>
    </row>
    <row r="3704" spans="1:17" x14ac:dyDescent="0.3">
      <c r="A3704" s="2" t="s">
        <v>1389</v>
      </c>
      <c r="B3704" s="3">
        <v>159429</v>
      </c>
      <c r="C3704" s="3">
        <v>911279</v>
      </c>
      <c r="D3704" s="4" t="s">
        <v>81</v>
      </c>
      <c r="E3704" s="4" t="s">
        <v>735</v>
      </c>
      <c r="F3704" s="4" t="s">
        <v>87</v>
      </c>
      <c r="G3704" s="4" t="s">
        <v>20</v>
      </c>
      <c r="H3704" s="5">
        <v>500000</v>
      </c>
      <c r="I3704" s="4" t="s">
        <v>21</v>
      </c>
      <c r="J3704" s="5">
        <f t="shared" si="57"/>
        <v>-2101900</v>
      </c>
      <c r="K3704" s="4" t="s">
        <v>55</v>
      </c>
      <c r="L3704" s="6">
        <v>4.2038000000000002</v>
      </c>
      <c r="M3704" s="6">
        <v>0.2379</v>
      </c>
      <c r="N3704" s="6">
        <v>4.2008999999999999</v>
      </c>
      <c r="O3704" s="6">
        <v>1</v>
      </c>
      <c r="P3704" s="5">
        <v>-1450</v>
      </c>
      <c r="Q3704" s="4" t="s">
        <v>1394</v>
      </c>
    </row>
    <row r="3705" spans="1:17" x14ac:dyDescent="0.3">
      <c r="A3705" s="2" t="s">
        <v>1389</v>
      </c>
      <c r="B3705" s="3">
        <v>159430</v>
      </c>
      <c r="C3705" s="3">
        <v>911280</v>
      </c>
      <c r="D3705" s="4" t="s">
        <v>81</v>
      </c>
      <c r="E3705" s="4" t="s">
        <v>734</v>
      </c>
      <c r="F3705" s="4" t="s">
        <v>87</v>
      </c>
      <c r="G3705" s="4" t="s">
        <v>20</v>
      </c>
      <c r="H3705" s="5">
        <v>500000</v>
      </c>
      <c r="I3705" s="4" t="s">
        <v>21</v>
      </c>
      <c r="J3705" s="5">
        <f t="shared" si="57"/>
        <v>-2101900</v>
      </c>
      <c r="K3705" s="4" t="s">
        <v>55</v>
      </c>
      <c r="L3705" s="6">
        <v>4.2038000000000002</v>
      </c>
      <c r="M3705" s="6">
        <v>0.2379</v>
      </c>
      <c r="N3705" s="6">
        <v>4.2008999999999999</v>
      </c>
      <c r="O3705" s="6">
        <v>1</v>
      </c>
      <c r="P3705" s="5">
        <v>-1450</v>
      </c>
      <c r="Q3705" s="4" t="s">
        <v>1393</v>
      </c>
    </row>
    <row r="3706" spans="1:17" x14ac:dyDescent="0.3">
      <c r="A3706" s="2" t="s">
        <v>1389</v>
      </c>
      <c r="B3706" s="3">
        <v>159431</v>
      </c>
      <c r="C3706" s="3">
        <v>911281</v>
      </c>
      <c r="D3706" s="4" t="s">
        <v>81</v>
      </c>
      <c r="E3706" s="4" t="s">
        <v>725</v>
      </c>
      <c r="F3706" s="4" t="s">
        <v>87</v>
      </c>
      <c r="G3706" s="4" t="s">
        <v>20</v>
      </c>
      <c r="H3706" s="5">
        <v>500000</v>
      </c>
      <c r="I3706" s="4" t="s">
        <v>21</v>
      </c>
      <c r="J3706" s="5">
        <f t="shared" si="57"/>
        <v>-2102000</v>
      </c>
      <c r="K3706" s="4" t="s">
        <v>55</v>
      </c>
      <c r="L3706" s="6">
        <v>4.2039999999999997</v>
      </c>
      <c r="M3706" s="6">
        <v>0.2379</v>
      </c>
      <c r="N3706" s="6">
        <v>4.2008999999999999</v>
      </c>
      <c r="O3706" s="6">
        <v>1</v>
      </c>
      <c r="P3706" s="5">
        <v>-1530</v>
      </c>
      <c r="Q3706" s="4" t="s">
        <v>1392</v>
      </c>
    </row>
    <row r="3707" spans="1:17" x14ac:dyDescent="0.3">
      <c r="A3707" s="2" t="s">
        <v>1389</v>
      </c>
      <c r="B3707" s="3">
        <v>159432</v>
      </c>
      <c r="C3707" s="3">
        <v>911282</v>
      </c>
      <c r="D3707" s="4" t="s">
        <v>81</v>
      </c>
      <c r="E3707" s="4" t="s">
        <v>735</v>
      </c>
      <c r="F3707" s="4" t="s">
        <v>87</v>
      </c>
      <c r="G3707" s="4" t="s">
        <v>20</v>
      </c>
      <c r="H3707" s="5">
        <v>500000</v>
      </c>
      <c r="I3707" s="4" t="s">
        <v>21</v>
      </c>
      <c r="J3707" s="5">
        <f t="shared" si="57"/>
        <v>-2102000</v>
      </c>
      <c r="K3707" s="4" t="s">
        <v>55</v>
      </c>
      <c r="L3707" s="6">
        <v>4.2039999999999997</v>
      </c>
      <c r="M3707" s="6">
        <v>0.2379</v>
      </c>
      <c r="N3707" s="6">
        <v>4.2008999999999999</v>
      </c>
      <c r="O3707" s="6">
        <v>1</v>
      </c>
      <c r="P3707" s="5">
        <v>-1550</v>
      </c>
      <c r="Q3707" s="4" t="s">
        <v>1394</v>
      </c>
    </row>
    <row r="3708" spans="1:17" x14ac:dyDescent="0.3">
      <c r="A3708" s="2" t="s">
        <v>1389</v>
      </c>
      <c r="B3708" s="3">
        <v>159433</v>
      </c>
      <c r="C3708" s="3">
        <v>911283</v>
      </c>
      <c r="D3708" s="4" t="s">
        <v>81</v>
      </c>
      <c r="E3708" s="4" t="s">
        <v>739</v>
      </c>
      <c r="F3708" s="4" t="s">
        <v>87</v>
      </c>
      <c r="G3708" s="4" t="s">
        <v>20</v>
      </c>
      <c r="H3708" s="5">
        <v>500000</v>
      </c>
      <c r="I3708" s="4" t="s">
        <v>21</v>
      </c>
      <c r="J3708" s="5">
        <f t="shared" si="57"/>
        <v>-2102000</v>
      </c>
      <c r="K3708" s="4" t="s">
        <v>55</v>
      </c>
      <c r="L3708" s="6">
        <v>4.2039999999999997</v>
      </c>
      <c r="M3708" s="6">
        <v>0.2379</v>
      </c>
      <c r="N3708" s="6">
        <v>4.2008999999999999</v>
      </c>
      <c r="O3708" s="6">
        <v>1</v>
      </c>
      <c r="P3708" s="5">
        <v>-1535</v>
      </c>
      <c r="Q3708" s="4" t="s">
        <v>1391</v>
      </c>
    </row>
    <row r="3709" spans="1:17" x14ac:dyDescent="0.3">
      <c r="A3709" s="2" t="s">
        <v>1389</v>
      </c>
      <c r="B3709" s="3">
        <v>159434</v>
      </c>
      <c r="C3709" s="3">
        <v>911284</v>
      </c>
      <c r="D3709" s="4" t="s">
        <v>81</v>
      </c>
      <c r="E3709" s="4" t="s">
        <v>734</v>
      </c>
      <c r="F3709" s="4" t="s">
        <v>87</v>
      </c>
      <c r="G3709" s="4" t="s">
        <v>20</v>
      </c>
      <c r="H3709" s="5">
        <v>500000</v>
      </c>
      <c r="I3709" s="4" t="s">
        <v>21</v>
      </c>
      <c r="J3709" s="5">
        <f t="shared" si="57"/>
        <v>-2102050</v>
      </c>
      <c r="K3709" s="4" t="s">
        <v>55</v>
      </c>
      <c r="L3709" s="6">
        <v>4.2041000000000004</v>
      </c>
      <c r="M3709" s="6">
        <v>0.2379</v>
      </c>
      <c r="N3709" s="6">
        <v>4.2008999999999999</v>
      </c>
      <c r="O3709" s="6">
        <v>1</v>
      </c>
      <c r="P3709" s="5">
        <v>-1600</v>
      </c>
      <c r="Q3709" s="4" t="s">
        <v>1393</v>
      </c>
    </row>
    <row r="3710" spans="1:17" x14ac:dyDescent="0.3">
      <c r="A3710" s="2" t="s">
        <v>1389</v>
      </c>
      <c r="B3710" s="3">
        <v>159435</v>
      </c>
      <c r="C3710" s="3">
        <v>911288</v>
      </c>
      <c r="D3710" s="4" t="s">
        <v>81</v>
      </c>
      <c r="E3710" s="4" t="s">
        <v>725</v>
      </c>
      <c r="F3710" s="4" t="s">
        <v>87</v>
      </c>
      <c r="G3710" s="4" t="s">
        <v>20</v>
      </c>
      <c r="H3710" s="5">
        <v>500000</v>
      </c>
      <c r="I3710" s="4" t="s">
        <v>21</v>
      </c>
      <c r="J3710" s="5">
        <f t="shared" si="57"/>
        <v>-2102150</v>
      </c>
      <c r="K3710" s="4" t="s">
        <v>55</v>
      </c>
      <c r="L3710" s="6">
        <v>4.2042999999999999</v>
      </c>
      <c r="M3710" s="6">
        <v>0.2379</v>
      </c>
      <c r="N3710" s="6">
        <v>4.2008999999999999</v>
      </c>
      <c r="O3710" s="6">
        <v>1</v>
      </c>
      <c r="P3710" s="5">
        <v>-1700</v>
      </c>
      <c r="Q3710" s="4" t="s">
        <v>1392</v>
      </c>
    </row>
    <row r="3711" spans="1:17" x14ac:dyDescent="0.3">
      <c r="A3711" s="2" t="s">
        <v>1389</v>
      </c>
      <c r="B3711" s="3">
        <v>159436</v>
      </c>
      <c r="C3711" s="3">
        <v>911289</v>
      </c>
      <c r="D3711" s="4" t="s">
        <v>81</v>
      </c>
      <c r="E3711" s="4" t="s">
        <v>734</v>
      </c>
      <c r="F3711" s="4" t="s">
        <v>87</v>
      </c>
      <c r="G3711" s="4" t="s">
        <v>20</v>
      </c>
      <c r="H3711" s="5">
        <v>500000</v>
      </c>
      <c r="I3711" s="4" t="s">
        <v>21</v>
      </c>
      <c r="J3711" s="5">
        <f t="shared" si="57"/>
        <v>-2102150</v>
      </c>
      <c r="K3711" s="4" t="s">
        <v>55</v>
      </c>
      <c r="L3711" s="6">
        <v>4.2042999999999999</v>
      </c>
      <c r="M3711" s="6">
        <v>0.2379</v>
      </c>
      <c r="N3711" s="6">
        <v>4.2008999999999999</v>
      </c>
      <c r="O3711" s="6">
        <v>1</v>
      </c>
      <c r="P3711" s="5">
        <v>-1700</v>
      </c>
      <c r="Q3711" s="4" t="s">
        <v>1393</v>
      </c>
    </row>
    <row r="3712" spans="1:17" x14ac:dyDescent="0.3">
      <c r="A3712" s="2" t="s">
        <v>1389</v>
      </c>
      <c r="B3712" s="3">
        <v>159438</v>
      </c>
      <c r="C3712" s="3">
        <v>220379</v>
      </c>
      <c r="D3712" s="4" t="s">
        <v>17</v>
      </c>
      <c r="E3712" s="4" t="s">
        <v>1329</v>
      </c>
      <c r="F3712" s="4" t="s">
        <v>19</v>
      </c>
      <c r="G3712" s="4" t="s">
        <v>20</v>
      </c>
      <c r="H3712" s="5">
        <v>14100</v>
      </c>
      <c r="I3712" s="4" t="s">
        <v>21</v>
      </c>
      <c r="J3712" s="5">
        <f t="shared" si="57"/>
        <v>-59220</v>
      </c>
      <c r="K3712" s="4" t="s">
        <v>54</v>
      </c>
      <c r="L3712" s="6">
        <v>4.2</v>
      </c>
      <c r="M3712" s="6">
        <v>0.23810000000000001</v>
      </c>
      <c r="N3712" s="6">
        <v>4.2118000000000002</v>
      </c>
      <c r="O3712" s="6">
        <v>1</v>
      </c>
      <c r="P3712" s="5">
        <v>166.38000000000466</v>
      </c>
      <c r="Q3712" s="4" t="s">
        <v>1390</v>
      </c>
    </row>
    <row r="3713" spans="1:17" x14ac:dyDescent="0.3">
      <c r="A3713" s="2" t="s">
        <v>1389</v>
      </c>
      <c r="B3713" s="3">
        <v>159439</v>
      </c>
      <c r="C3713" s="3">
        <v>220381</v>
      </c>
      <c r="D3713" s="4" t="s">
        <v>17</v>
      </c>
      <c r="E3713" s="4" t="s">
        <v>974</v>
      </c>
      <c r="F3713" s="4" t="s">
        <v>32</v>
      </c>
      <c r="G3713" s="4" t="s">
        <v>34</v>
      </c>
      <c r="H3713" s="5">
        <v>-28500</v>
      </c>
      <c r="I3713" s="4" t="s">
        <v>21</v>
      </c>
      <c r="J3713" s="5">
        <f t="shared" si="57"/>
        <v>101232</v>
      </c>
      <c r="K3713" s="4" t="s">
        <v>54</v>
      </c>
      <c r="L3713" s="6">
        <v>3.552</v>
      </c>
      <c r="M3713" s="6">
        <v>0.28149999999999997</v>
      </c>
      <c r="N3713" s="6">
        <v>3.5499000000000001</v>
      </c>
      <c r="O3713" s="6">
        <v>1</v>
      </c>
      <c r="P3713" s="5">
        <v>59.85</v>
      </c>
      <c r="Q3713" s="4" t="s">
        <v>1390</v>
      </c>
    </row>
    <row r="3714" spans="1:17" x14ac:dyDescent="0.3">
      <c r="A3714" s="2" t="s">
        <v>1389</v>
      </c>
      <c r="B3714" s="3">
        <v>159440</v>
      </c>
      <c r="C3714" s="3">
        <v>220382</v>
      </c>
      <c r="D3714" s="4" t="s">
        <v>17</v>
      </c>
      <c r="E3714" s="4" t="s">
        <v>1180</v>
      </c>
      <c r="F3714" s="4" t="s">
        <v>19</v>
      </c>
      <c r="G3714" s="4" t="s">
        <v>20</v>
      </c>
      <c r="H3714" s="5">
        <v>10823.87</v>
      </c>
      <c r="I3714" s="4" t="s">
        <v>21</v>
      </c>
      <c r="J3714" s="5">
        <f t="shared" si="57"/>
        <v>-45438.606260000008</v>
      </c>
      <c r="K3714" s="4" t="s">
        <v>54</v>
      </c>
      <c r="L3714" s="6">
        <v>4.1980000000000004</v>
      </c>
      <c r="M3714" s="6">
        <v>0.2382</v>
      </c>
      <c r="N3714" s="6">
        <v>4.2118000000000002</v>
      </c>
      <c r="O3714" s="6">
        <v>1</v>
      </c>
      <c r="P3714" s="5">
        <v>149.36940599999798</v>
      </c>
      <c r="Q3714" s="4" t="s">
        <v>1390</v>
      </c>
    </row>
    <row r="3715" spans="1:17" x14ac:dyDescent="0.3">
      <c r="A3715" s="2" t="s">
        <v>1389</v>
      </c>
      <c r="B3715" s="3">
        <v>159443</v>
      </c>
      <c r="C3715" s="3">
        <v>220399</v>
      </c>
      <c r="D3715" s="4" t="s">
        <v>17</v>
      </c>
      <c r="E3715" s="4" t="s">
        <v>781</v>
      </c>
      <c r="F3715" s="4" t="s">
        <v>19</v>
      </c>
      <c r="G3715" s="4" t="s">
        <v>20</v>
      </c>
      <c r="H3715" s="5">
        <v>30000</v>
      </c>
      <c r="I3715" s="4" t="s">
        <v>21</v>
      </c>
      <c r="J3715" s="5">
        <f t="shared" si="57"/>
        <v>-124451.99999999999</v>
      </c>
      <c r="K3715" s="4" t="s">
        <v>54</v>
      </c>
      <c r="L3715" s="6">
        <v>4.1483999999999996</v>
      </c>
      <c r="M3715" s="6">
        <v>0.24110000000000001</v>
      </c>
      <c r="N3715" s="6">
        <v>4.2118000000000002</v>
      </c>
      <c r="O3715" s="6">
        <v>1</v>
      </c>
      <c r="P3715" s="5">
        <v>1902.0000000000146</v>
      </c>
      <c r="Q3715" s="4" t="s">
        <v>1390</v>
      </c>
    </row>
    <row r="3716" spans="1:17" x14ac:dyDescent="0.3">
      <c r="A3716" s="2" t="s">
        <v>1389</v>
      </c>
      <c r="B3716" s="3">
        <v>159444</v>
      </c>
      <c r="C3716" s="3">
        <v>220400</v>
      </c>
      <c r="D3716" s="4" t="s">
        <v>17</v>
      </c>
      <c r="E3716" s="4" t="s">
        <v>1042</v>
      </c>
      <c r="F3716" s="4" t="s">
        <v>19</v>
      </c>
      <c r="G3716" s="4" t="s">
        <v>20</v>
      </c>
      <c r="H3716" s="5">
        <v>67414.850000000006</v>
      </c>
      <c r="I3716" s="4" t="s">
        <v>21</v>
      </c>
      <c r="J3716" s="5">
        <f t="shared" ref="J3716:J3779" si="58">-H3716*L3716</f>
        <v>-282946.866935</v>
      </c>
      <c r="K3716" s="4" t="s">
        <v>54</v>
      </c>
      <c r="L3716" s="6">
        <v>4.1970999999999998</v>
      </c>
      <c r="M3716" s="6">
        <v>0.23830000000000001</v>
      </c>
      <c r="N3716" s="6">
        <v>4.2118000000000002</v>
      </c>
      <c r="O3716" s="6">
        <v>1</v>
      </c>
      <c r="P3716" s="5">
        <v>990.9982950000558</v>
      </c>
      <c r="Q3716" s="4" t="s">
        <v>1390</v>
      </c>
    </row>
    <row r="3717" spans="1:17" x14ac:dyDescent="0.3">
      <c r="A3717" s="2" t="s">
        <v>1389</v>
      </c>
      <c r="B3717" s="3">
        <v>159445</v>
      </c>
      <c r="C3717" s="3">
        <v>220404</v>
      </c>
      <c r="D3717" s="4" t="s">
        <v>17</v>
      </c>
      <c r="E3717" s="4" t="s">
        <v>1154</v>
      </c>
      <c r="F3717" s="4" t="s">
        <v>32</v>
      </c>
      <c r="G3717" s="4" t="s">
        <v>20</v>
      </c>
      <c r="H3717" s="5">
        <v>-3906.93</v>
      </c>
      <c r="I3717" s="4" t="s">
        <v>21</v>
      </c>
      <c r="J3717" s="5">
        <f t="shared" si="58"/>
        <v>16425.905799</v>
      </c>
      <c r="K3717" s="4" t="s">
        <v>54</v>
      </c>
      <c r="L3717" s="6">
        <v>4.2042999999999999</v>
      </c>
      <c r="M3717" s="6">
        <v>0.2379</v>
      </c>
      <c r="N3717" s="6">
        <v>4.2118000000000002</v>
      </c>
      <c r="O3717" s="6">
        <v>1</v>
      </c>
      <c r="P3717" s="5">
        <v>-30.867774000000001</v>
      </c>
      <c r="Q3717" s="4" t="s">
        <v>1390</v>
      </c>
    </row>
    <row r="3718" spans="1:17" x14ac:dyDescent="0.3">
      <c r="A3718" s="2" t="s">
        <v>1389</v>
      </c>
      <c r="B3718" s="3">
        <v>159446</v>
      </c>
      <c r="C3718" s="3">
        <v>220407</v>
      </c>
      <c r="D3718" s="4" t="s">
        <v>17</v>
      </c>
      <c r="E3718" s="4" t="s">
        <v>1068</v>
      </c>
      <c r="F3718" s="4" t="s">
        <v>19</v>
      </c>
      <c r="G3718" s="4" t="s">
        <v>20</v>
      </c>
      <c r="H3718" s="5">
        <v>22000</v>
      </c>
      <c r="I3718" s="4" t="s">
        <v>21</v>
      </c>
      <c r="J3718" s="5">
        <f t="shared" si="58"/>
        <v>-92235</v>
      </c>
      <c r="K3718" s="4" t="s">
        <v>54</v>
      </c>
      <c r="L3718" s="6">
        <v>4.1924999999999999</v>
      </c>
      <c r="M3718" s="6">
        <v>0.23849999999999999</v>
      </c>
      <c r="N3718" s="6">
        <v>4.2118000000000002</v>
      </c>
      <c r="O3718" s="6">
        <v>1</v>
      </c>
      <c r="P3718" s="5">
        <v>424.60000000000582</v>
      </c>
      <c r="Q3718" s="4" t="s">
        <v>1390</v>
      </c>
    </row>
    <row r="3719" spans="1:17" x14ac:dyDescent="0.3">
      <c r="A3719" s="2" t="s">
        <v>1389</v>
      </c>
      <c r="B3719" s="3">
        <v>159447</v>
      </c>
      <c r="C3719" s="3">
        <v>220408</v>
      </c>
      <c r="D3719" s="4" t="s">
        <v>17</v>
      </c>
      <c r="E3719" s="4" t="s">
        <v>748</v>
      </c>
      <c r="F3719" s="4" t="s">
        <v>19</v>
      </c>
      <c r="G3719" s="4" t="s">
        <v>20</v>
      </c>
      <c r="H3719" s="5">
        <v>3000</v>
      </c>
      <c r="I3719" s="4" t="s">
        <v>21</v>
      </c>
      <c r="J3719" s="5">
        <f t="shared" si="58"/>
        <v>-12580.199999999999</v>
      </c>
      <c r="K3719" s="4" t="s">
        <v>54</v>
      </c>
      <c r="L3719" s="6">
        <v>4.1933999999999996</v>
      </c>
      <c r="M3719" s="6">
        <v>0.23849999999999999</v>
      </c>
      <c r="N3719" s="6">
        <v>4.2118000000000002</v>
      </c>
      <c r="O3719" s="6">
        <v>1</v>
      </c>
      <c r="P3719" s="5">
        <v>55.200000000002547</v>
      </c>
      <c r="Q3719" s="4" t="s">
        <v>1390</v>
      </c>
    </row>
    <row r="3720" spans="1:17" x14ac:dyDescent="0.3">
      <c r="A3720" s="2" t="s">
        <v>1389</v>
      </c>
      <c r="B3720" s="3">
        <v>159449</v>
      </c>
      <c r="C3720" s="3">
        <v>911418</v>
      </c>
      <c r="D3720" s="4" t="s">
        <v>81</v>
      </c>
      <c r="E3720" s="4" t="s">
        <v>1262</v>
      </c>
      <c r="F3720" s="4" t="s">
        <v>87</v>
      </c>
      <c r="G3720" s="4" t="s">
        <v>20</v>
      </c>
      <c r="H3720" s="5">
        <v>2600</v>
      </c>
      <c r="I3720" s="4" t="s">
        <v>21</v>
      </c>
      <c r="J3720" s="5">
        <f t="shared" si="58"/>
        <v>-10911.94</v>
      </c>
      <c r="K3720" s="4" t="s">
        <v>55</v>
      </c>
      <c r="L3720" s="6">
        <v>4.1969000000000003</v>
      </c>
      <c r="M3720" s="6">
        <v>0.23830000000000001</v>
      </c>
      <c r="N3720" s="6">
        <v>4.2008999999999999</v>
      </c>
      <c r="O3720" s="6">
        <v>1</v>
      </c>
      <c r="P3720" s="5">
        <v>10.4</v>
      </c>
      <c r="Q3720" s="4" t="s">
        <v>1390</v>
      </c>
    </row>
    <row r="3721" spans="1:17" x14ac:dyDescent="0.3">
      <c r="A3721" s="2" t="s">
        <v>1389</v>
      </c>
      <c r="B3721" s="3">
        <v>159451</v>
      </c>
      <c r="C3721" s="3">
        <v>220422</v>
      </c>
      <c r="D3721" s="4" t="s">
        <v>17</v>
      </c>
      <c r="E3721" s="4" t="s">
        <v>1093</v>
      </c>
      <c r="F3721" s="4" t="s">
        <v>19</v>
      </c>
      <c r="G3721" s="4" t="s">
        <v>20</v>
      </c>
      <c r="H3721" s="5">
        <v>5000</v>
      </c>
      <c r="I3721" s="4" t="s">
        <v>21</v>
      </c>
      <c r="J3721" s="5">
        <f t="shared" si="58"/>
        <v>-20962</v>
      </c>
      <c r="K3721" s="4" t="s">
        <v>54</v>
      </c>
      <c r="L3721" s="6">
        <v>4.1924000000000001</v>
      </c>
      <c r="M3721" s="6">
        <v>0.23849999999999999</v>
      </c>
      <c r="N3721" s="6">
        <v>4.2118000000000002</v>
      </c>
      <c r="O3721" s="6">
        <v>1</v>
      </c>
      <c r="P3721" s="5">
        <v>97</v>
      </c>
      <c r="Q3721" s="4" t="s">
        <v>1390</v>
      </c>
    </row>
    <row r="3722" spans="1:17" x14ac:dyDescent="0.3">
      <c r="A3722" s="2" t="s">
        <v>1389</v>
      </c>
      <c r="B3722" s="3">
        <v>159452</v>
      </c>
      <c r="C3722" s="3">
        <v>220427</v>
      </c>
      <c r="D3722" s="4" t="s">
        <v>17</v>
      </c>
      <c r="E3722" s="4" t="s">
        <v>959</v>
      </c>
      <c r="F3722" s="4" t="s">
        <v>32</v>
      </c>
      <c r="G3722" s="4" t="s">
        <v>20</v>
      </c>
      <c r="H3722" s="5">
        <v>-23719.17</v>
      </c>
      <c r="I3722" s="4" t="s">
        <v>21</v>
      </c>
      <c r="J3722" s="5">
        <f t="shared" si="58"/>
        <v>100009.508388</v>
      </c>
      <c r="K3722" s="4" t="s">
        <v>54</v>
      </c>
      <c r="L3722" s="6">
        <v>4.2164000000000001</v>
      </c>
      <c r="M3722" s="6">
        <v>0.23719999999999999</v>
      </c>
      <c r="N3722" s="6">
        <v>4.2118000000000002</v>
      </c>
      <c r="O3722" s="6">
        <v>1</v>
      </c>
      <c r="P3722" s="5">
        <v>99.619793999999999</v>
      </c>
      <c r="Q3722" s="4" t="s">
        <v>1390</v>
      </c>
    </row>
    <row r="3723" spans="1:17" x14ac:dyDescent="0.3">
      <c r="A3723" s="2" t="s">
        <v>1389</v>
      </c>
      <c r="B3723" s="3">
        <v>159454</v>
      </c>
      <c r="C3723" s="3">
        <v>220430</v>
      </c>
      <c r="D3723" s="4" t="s">
        <v>17</v>
      </c>
      <c r="E3723" s="4" t="s">
        <v>1138</v>
      </c>
      <c r="F3723" s="4" t="s">
        <v>19</v>
      </c>
      <c r="G3723" s="4" t="s">
        <v>20</v>
      </c>
      <c r="H3723" s="5">
        <v>10700</v>
      </c>
      <c r="I3723" s="4" t="s">
        <v>34</v>
      </c>
      <c r="J3723" s="5">
        <f t="shared" si="58"/>
        <v>-12710.529999999999</v>
      </c>
      <c r="K3723" s="4" t="s">
        <v>54</v>
      </c>
      <c r="L3723" s="6">
        <v>1.1879</v>
      </c>
      <c r="M3723" s="6">
        <v>0.84179999999999999</v>
      </c>
      <c r="N3723" s="6">
        <v>4.2118000000000002</v>
      </c>
      <c r="O3723" s="6">
        <v>3.5499000000000001</v>
      </c>
      <c r="P3723" s="5">
        <v>-54.850446999997075</v>
      </c>
      <c r="Q3723" s="4" t="s">
        <v>1390</v>
      </c>
    </row>
    <row r="3724" spans="1:17" x14ac:dyDescent="0.3">
      <c r="A3724" s="2" t="s">
        <v>1389</v>
      </c>
      <c r="B3724" s="3">
        <v>159455</v>
      </c>
      <c r="C3724" s="3">
        <v>911498</v>
      </c>
      <c r="D3724" s="4" t="s">
        <v>81</v>
      </c>
      <c r="E3724" s="4" t="s">
        <v>1092</v>
      </c>
      <c r="F3724" s="4" t="s">
        <v>83</v>
      </c>
      <c r="G3724" s="4" t="s">
        <v>34</v>
      </c>
      <c r="H3724" s="5">
        <v>-5000</v>
      </c>
      <c r="I3724" s="4" t="s">
        <v>21</v>
      </c>
      <c r="J3724" s="5">
        <f t="shared" si="58"/>
        <v>17707.5</v>
      </c>
      <c r="K3724" s="4" t="s">
        <v>55</v>
      </c>
      <c r="L3724" s="6">
        <v>3.5415000000000001</v>
      </c>
      <c r="M3724" s="6">
        <v>0.28239999999999998</v>
      </c>
      <c r="N3724" s="6">
        <v>3.5045000000000002</v>
      </c>
      <c r="O3724" s="6">
        <v>1</v>
      </c>
      <c r="P3724" s="5">
        <v>185</v>
      </c>
      <c r="Q3724" s="4" t="s">
        <v>1390</v>
      </c>
    </row>
    <row r="3725" spans="1:17" x14ac:dyDescent="0.3">
      <c r="A3725" s="2" t="s">
        <v>1389</v>
      </c>
      <c r="B3725" s="3">
        <v>159456</v>
      </c>
      <c r="C3725" s="3">
        <v>911499</v>
      </c>
      <c r="D3725" s="4" t="s">
        <v>81</v>
      </c>
      <c r="E3725" s="4" t="s">
        <v>737</v>
      </c>
      <c r="F3725" s="4" t="s">
        <v>87</v>
      </c>
      <c r="G3725" s="4" t="s">
        <v>20</v>
      </c>
      <c r="H3725" s="5">
        <v>500000</v>
      </c>
      <c r="I3725" s="4" t="s">
        <v>21</v>
      </c>
      <c r="J3725" s="5">
        <f t="shared" si="58"/>
        <v>-2101450</v>
      </c>
      <c r="K3725" s="4" t="s">
        <v>55</v>
      </c>
      <c r="L3725" s="6">
        <v>4.2028999999999996</v>
      </c>
      <c r="M3725" s="6">
        <v>0.2379</v>
      </c>
      <c r="N3725" s="6">
        <v>4.2008999999999999</v>
      </c>
      <c r="O3725" s="6">
        <v>1</v>
      </c>
      <c r="P3725" s="5">
        <v>-990</v>
      </c>
      <c r="Q3725" s="4" t="s">
        <v>1399</v>
      </c>
    </row>
    <row r="3726" spans="1:17" x14ac:dyDescent="0.3">
      <c r="A3726" s="2" t="s">
        <v>1389</v>
      </c>
      <c r="B3726" s="3">
        <v>159457</v>
      </c>
      <c r="C3726" s="3">
        <v>220435</v>
      </c>
      <c r="D3726" s="4" t="s">
        <v>17</v>
      </c>
      <c r="E3726" s="4" t="s">
        <v>1372</v>
      </c>
      <c r="F3726" s="4" t="s">
        <v>32</v>
      </c>
      <c r="G3726" s="4" t="s">
        <v>20</v>
      </c>
      <c r="H3726" s="5">
        <v>-237113.09</v>
      </c>
      <c r="I3726" s="4" t="s">
        <v>21</v>
      </c>
      <c r="J3726" s="5">
        <f t="shared" si="58"/>
        <v>999407.96304099995</v>
      </c>
      <c r="K3726" s="4" t="s">
        <v>54</v>
      </c>
      <c r="L3726" s="6">
        <v>4.2149000000000001</v>
      </c>
      <c r="M3726" s="6">
        <v>0.23730000000000001</v>
      </c>
      <c r="N3726" s="6">
        <v>4.2118000000000002</v>
      </c>
      <c r="O3726" s="6">
        <v>1</v>
      </c>
      <c r="P3726" s="5">
        <v>640.207538</v>
      </c>
      <c r="Q3726" s="4" t="s">
        <v>1390</v>
      </c>
    </row>
    <row r="3727" spans="1:17" x14ac:dyDescent="0.3">
      <c r="A3727" s="2" t="s">
        <v>1389</v>
      </c>
      <c r="B3727" s="3">
        <v>159459</v>
      </c>
      <c r="C3727" s="3">
        <v>911519</v>
      </c>
      <c r="D3727" s="4" t="s">
        <v>81</v>
      </c>
      <c r="E3727" s="4" t="s">
        <v>735</v>
      </c>
      <c r="F3727" s="4" t="s">
        <v>87</v>
      </c>
      <c r="G3727" s="4" t="s">
        <v>34</v>
      </c>
      <c r="H3727" s="5">
        <v>500000</v>
      </c>
      <c r="I3727" s="4" t="s">
        <v>21</v>
      </c>
      <c r="J3727" s="5">
        <f t="shared" si="58"/>
        <v>-1768000</v>
      </c>
      <c r="K3727" s="4" t="s">
        <v>55</v>
      </c>
      <c r="L3727" s="6">
        <v>3.536</v>
      </c>
      <c r="M3727" s="6">
        <v>0.2828</v>
      </c>
      <c r="N3727" s="6">
        <v>3.5045000000000002</v>
      </c>
      <c r="O3727" s="6">
        <v>1</v>
      </c>
      <c r="P3727" s="5">
        <v>-15750</v>
      </c>
      <c r="Q3727" s="4" t="s">
        <v>1394</v>
      </c>
    </row>
    <row r="3728" spans="1:17" x14ac:dyDescent="0.3">
      <c r="A3728" s="2" t="s">
        <v>1389</v>
      </c>
      <c r="B3728" s="3">
        <v>159465</v>
      </c>
      <c r="C3728" s="3">
        <v>220447</v>
      </c>
      <c r="D3728" s="4" t="s">
        <v>17</v>
      </c>
      <c r="E3728" s="4" t="s">
        <v>1224</v>
      </c>
      <c r="F3728" s="4" t="s">
        <v>32</v>
      </c>
      <c r="G3728" s="4" t="s">
        <v>20</v>
      </c>
      <c r="H3728" s="5">
        <v>-50000</v>
      </c>
      <c r="I3728" s="4" t="s">
        <v>21</v>
      </c>
      <c r="J3728" s="5">
        <f t="shared" si="58"/>
        <v>210300.00000000003</v>
      </c>
      <c r="K3728" s="4" t="s">
        <v>54</v>
      </c>
      <c r="L3728" s="6">
        <v>4.2060000000000004</v>
      </c>
      <c r="M3728" s="6">
        <v>0.23780000000000001</v>
      </c>
      <c r="N3728" s="6">
        <v>4.2118000000000002</v>
      </c>
      <c r="O3728" s="6">
        <v>1</v>
      </c>
      <c r="P3728" s="5">
        <v>-310</v>
      </c>
      <c r="Q3728" s="4" t="s">
        <v>1390</v>
      </c>
    </row>
    <row r="3729" spans="1:17" x14ac:dyDescent="0.3">
      <c r="A3729" s="2" t="s">
        <v>1389</v>
      </c>
      <c r="B3729" s="3">
        <v>159467</v>
      </c>
      <c r="C3729" s="3">
        <v>220449</v>
      </c>
      <c r="D3729" s="4" t="s">
        <v>17</v>
      </c>
      <c r="E3729" s="4" t="s">
        <v>1224</v>
      </c>
      <c r="F3729" s="4" t="s">
        <v>32</v>
      </c>
      <c r="G3729" s="4" t="s">
        <v>20</v>
      </c>
      <c r="H3729" s="5">
        <v>-50000</v>
      </c>
      <c r="I3729" s="4" t="s">
        <v>21</v>
      </c>
      <c r="J3729" s="5">
        <f t="shared" si="58"/>
        <v>210285</v>
      </c>
      <c r="K3729" s="4" t="s">
        <v>30</v>
      </c>
      <c r="L3729" s="6">
        <v>4.2057000000000002</v>
      </c>
      <c r="M3729" s="6">
        <v>0.23780000000000001</v>
      </c>
      <c r="N3729" s="6">
        <v>4.2031999999999998</v>
      </c>
      <c r="O3729" s="6">
        <v>1</v>
      </c>
      <c r="P3729" s="5">
        <v>115</v>
      </c>
      <c r="Q3729" s="4" t="s">
        <v>1390</v>
      </c>
    </row>
    <row r="3730" spans="1:17" x14ac:dyDescent="0.3">
      <c r="A3730" s="2" t="s">
        <v>1389</v>
      </c>
      <c r="B3730" s="3">
        <v>159485</v>
      </c>
      <c r="C3730" s="3">
        <v>220467</v>
      </c>
      <c r="D3730" s="4" t="s">
        <v>17</v>
      </c>
      <c r="E3730" s="4" t="s">
        <v>1224</v>
      </c>
      <c r="F3730" s="4" t="s">
        <v>32</v>
      </c>
      <c r="G3730" s="4" t="s">
        <v>20</v>
      </c>
      <c r="H3730" s="5">
        <v>-30000</v>
      </c>
      <c r="I3730" s="4" t="s">
        <v>21</v>
      </c>
      <c r="J3730" s="5">
        <f t="shared" si="58"/>
        <v>126171</v>
      </c>
      <c r="K3730" s="4" t="s">
        <v>54</v>
      </c>
      <c r="L3730" s="6">
        <v>4.2057000000000002</v>
      </c>
      <c r="M3730" s="6">
        <v>0.23780000000000001</v>
      </c>
      <c r="N3730" s="6">
        <v>4.2118000000000002</v>
      </c>
      <c r="O3730" s="6">
        <v>1</v>
      </c>
      <c r="P3730" s="5">
        <v>-195</v>
      </c>
      <c r="Q3730" s="4" t="s">
        <v>1390</v>
      </c>
    </row>
    <row r="3731" spans="1:17" x14ac:dyDescent="0.3">
      <c r="A3731" s="2" t="s">
        <v>1389</v>
      </c>
      <c r="B3731" s="3">
        <v>159488</v>
      </c>
      <c r="C3731" s="3">
        <v>911609</v>
      </c>
      <c r="D3731" s="4" t="s">
        <v>81</v>
      </c>
      <c r="E3731" s="4" t="s">
        <v>735</v>
      </c>
      <c r="F3731" s="4" t="s">
        <v>87</v>
      </c>
      <c r="G3731" s="4" t="s">
        <v>34</v>
      </c>
      <c r="H3731" s="5">
        <v>500000</v>
      </c>
      <c r="I3731" s="4" t="s">
        <v>21</v>
      </c>
      <c r="J3731" s="5">
        <f t="shared" si="58"/>
        <v>-1766450</v>
      </c>
      <c r="K3731" s="4" t="s">
        <v>55</v>
      </c>
      <c r="L3731" s="6">
        <v>3.5329000000000002</v>
      </c>
      <c r="M3731" s="6">
        <v>0.28310000000000002</v>
      </c>
      <c r="N3731" s="6">
        <v>3.5045000000000002</v>
      </c>
      <c r="O3731" s="6">
        <v>1</v>
      </c>
      <c r="P3731" s="5">
        <v>-14200</v>
      </c>
      <c r="Q3731" s="4" t="s">
        <v>1394</v>
      </c>
    </row>
    <row r="3732" spans="1:17" x14ac:dyDescent="0.3">
      <c r="A3732" s="2" t="s">
        <v>1389</v>
      </c>
      <c r="B3732" s="3">
        <v>159506</v>
      </c>
      <c r="C3732" s="3">
        <v>911672</v>
      </c>
      <c r="D3732" s="4" t="s">
        <v>81</v>
      </c>
      <c r="E3732" s="4" t="s">
        <v>730</v>
      </c>
      <c r="F3732" s="4" t="s">
        <v>83</v>
      </c>
      <c r="G3732" s="4" t="s">
        <v>20</v>
      </c>
      <c r="H3732" s="5">
        <v>-100000</v>
      </c>
      <c r="I3732" s="4" t="s">
        <v>34</v>
      </c>
      <c r="J3732" s="5">
        <f t="shared" si="58"/>
        <v>118960</v>
      </c>
      <c r="K3732" s="4" t="s">
        <v>55</v>
      </c>
      <c r="L3732" s="6">
        <v>1.1896</v>
      </c>
      <c r="M3732" s="6">
        <v>0.84060000000000001</v>
      </c>
      <c r="N3732" s="6">
        <v>4.2008999999999999</v>
      </c>
      <c r="O3732" s="6">
        <v>3.5045000000000002</v>
      </c>
      <c r="P3732" s="5">
        <v>-3194.68</v>
      </c>
      <c r="Q3732" s="4" t="s">
        <v>1396</v>
      </c>
    </row>
    <row r="3733" spans="1:17" x14ac:dyDescent="0.3">
      <c r="A3733" s="2" t="s">
        <v>1389</v>
      </c>
      <c r="B3733" s="3">
        <v>159509</v>
      </c>
      <c r="C3733" s="3">
        <v>220491</v>
      </c>
      <c r="D3733" s="4" t="s">
        <v>17</v>
      </c>
      <c r="E3733" s="4" t="s">
        <v>1092</v>
      </c>
      <c r="F3733" s="4" t="s">
        <v>32</v>
      </c>
      <c r="G3733" s="4" t="s">
        <v>20</v>
      </c>
      <c r="H3733" s="5">
        <v>-8300</v>
      </c>
      <c r="I3733" s="4" t="s">
        <v>21</v>
      </c>
      <c r="J3733" s="5">
        <f t="shared" si="58"/>
        <v>34932.21</v>
      </c>
      <c r="K3733" s="4" t="s">
        <v>54</v>
      </c>
      <c r="L3733" s="6">
        <v>4.2087000000000003</v>
      </c>
      <c r="M3733" s="6">
        <v>0.23760000000000001</v>
      </c>
      <c r="N3733" s="6">
        <v>4.2118000000000002</v>
      </c>
      <c r="O3733" s="6">
        <v>1</v>
      </c>
      <c r="P3733" s="5">
        <v>-29.05</v>
      </c>
      <c r="Q3733" s="4" t="s">
        <v>1390</v>
      </c>
    </row>
    <row r="3734" spans="1:17" x14ac:dyDescent="0.3">
      <c r="A3734" s="2" t="s">
        <v>1389</v>
      </c>
      <c r="B3734" s="3">
        <v>159517</v>
      </c>
      <c r="C3734" s="3">
        <v>220501</v>
      </c>
      <c r="D3734" s="4" t="s">
        <v>17</v>
      </c>
      <c r="E3734" s="4" t="s">
        <v>1241</v>
      </c>
      <c r="F3734" s="4" t="s">
        <v>19</v>
      </c>
      <c r="G3734" s="4" t="s">
        <v>20</v>
      </c>
      <c r="H3734" s="5">
        <v>80000</v>
      </c>
      <c r="I3734" s="4" t="s">
        <v>21</v>
      </c>
      <c r="J3734" s="5">
        <f t="shared" si="58"/>
        <v>-335600</v>
      </c>
      <c r="K3734" s="4" t="s">
        <v>54</v>
      </c>
      <c r="L3734" s="6">
        <v>4.1950000000000003</v>
      </c>
      <c r="M3734" s="6">
        <v>0.2384</v>
      </c>
      <c r="N3734" s="6">
        <v>4.2118000000000002</v>
      </c>
      <c r="O3734" s="6">
        <v>1</v>
      </c>
      <c r="P3734" s="5">
        <v>1344</v>
      </c>
      <c r="Q3734" s="4" t="s">
        <v>1390</v>
      </c>
    </row>
    <row r="3735" spans="1:17" x14ac:dyDescent="0.3">
      <c r="A3735" s="2" t="s">
        <v>1389</v>
      </c>
      <c r="B3735" s="3">
        <v>159520</v>
      </c>
      <c r="C3735" s="3">
        <v>911727</v>
      </c>
      <c r="D3735" s="4" t="s">
        <v>81</v>
      </c>
      <c r="E3735" s="4" t="s">
        <v>1092</v>
      </c>
      <c r="F3735" s="4" t="s">
        <v>83</v>
      </c>
      <c r="G3735" s="4" t="s">
        <v>34</v>
      </c>
      <c r="H3735" s="5">
        <v>-5000</v>
      </c>
      <c r="I3735" s="4" t="s">
        <v>21</v>
      </c>
      <c r="J3735" s="5">
        <f t="shared" si="58"/>
        <v>17694</v>
      </c>
      <c r="K3735" s="4" t="s">
        <v>55</v>
      </c>
      <c r="L3735" s="6">
        <v>3.5388000000000002</v>
      </c>
      <c r="M3735" s="6">
        <v>0.28260000000000002</v>
      </c>
      <c r="N3735" s="6">
        <v>3.5045000000000002</v>
      </c>
      <c r="O3735" s="6">
        <v>1</v>
      </c>
      <c r="P3735" s="5">
        <v>171.5</v>
      </c>
      <c r="Q3735" s="4" t="s">
        <v>1390</v>
      </c>
    </row>
    <row r="3736" spans="1:17" x14ac:dyDescent="0.3">
      <c r="A3736" s="2" t="s">
        <v>1389</v>
      </c>
      <c r="B3736" s="3">
        <v>159545</v>
      </c>
      <c r="C3736" s="3">
        <v>220536</v>
      </c>
      <c r="D3736" s="4" t="s">
        <v>17</v>
      </c>
      <c r="E3736" s="4" t="s">
        <v>1340</v>
      </c>
      <c r="F3736" s="4" t="s">
        <v>32</v>
      </c>
      <c r="G3736" s="4" t="s">
        <v>34</v>
      </c>
      <c r="H3736" s="5">
        <v>-25000</v>
      </c>
      <c r="I3736" s="4" t="s">
        <v>21</v>
      </c>
      <c r="J3736" s="5">
        <f t="shared" si="58"/>
        <v>88760</v>
      </c>
      <c r="K3736" s="4" t="s">
        <v>54</v>
      </c>
      <c r="L3736" s="6">
        <v>3.5503999999999998</v>
      </c>
      <c r="M3736" s="6">
        <v>0.28170000000000001</v>
      </c>
      <c r="N3736" s="6">
        <v>3.5499000000000001</v>
      </c>
      <c r="O3736" s="6">
        <v>1</v>
      </c>
      <c r="P3736" s="5">
        <v>2.5</v>
      </c>
      <c r="Q3736" s="4" t="s">
        <v>1390</v>
      </c>
    </row>
    <row r="3737" spans="1:17" x14ac:dyDescent="0.3">
      <c r="A3737" s="2" t="s">
        <v>1389</v>
      </c>
      <c r="B3737" s="3">
        <v>159549</v>
      </c>
      <c r="C3737" s="3">
        <v>220540</v>
      </c>
      <c r="D3737" s="4" t="s">
        <v>17</v>
      </c>
      <c r="E3737" s="4" t="s">
        <v>1360</v>
      </c>
      <c r="F3737" s="4" t="s">
        <v>19</v>
      </c>
      <c r="G3737" s="4" t="s">
        <v>34</v>
      </c>
      <c r="H3737" s="5">
        <v>80028.41</v>
      </c>
      <c r="I3737" s="4" t="s">
        <v>20</v>
      </c>
      <c r="J3737" s="5">
        <f t="shared" si="58"/>
        <v>-95553.921539999996</v>
      </c>
      <c r="K3737" s="4" t="s">
        <v>54</v>
      </c>
      <c r="L3737" s="6">
        <v>1.194</v>
      </c>
      <c r="M3737" s="6">
        <v>0.83750000000000002</v>
      </c>
      <c r="N3737" s="6">
        <v>3.5499000000000001</v>
      </c>
      <c r="O3737" s="6">
        <v>4.2118000000000002</v>
      </c>
      <c r="P3737" s="5">
        <v>-118361.15408317198</v>
      </c>
      <c r="Q3737" s="4" t="s">
        <v>1390</v>
      </c>
    </row>
    <row r="3738" spans="1:17" x14ac:dyDescent="0.3">
      <c r="A3738" s="2" t="s">
        <v>1389</v>
      </c>
      <c r="B3738" s="3">
        <v>159561</v>
      </c>
      <c r="C3738" s="3">
        <v>220556</v>
      </c>
      <c r="D3738" s="4" t="s">
        <v>17</v>
      </c>
      <c r="E3738" s="4" t="s">
        <v>1155</v>
      </c>
      <c r="F3738" s="4" t="s">
        <v>19</v>
      </c>
      <c r="G3738" s="4" t="s">
        <v>20</v>
      </c>
      <c r="H3738" s="5">
        <v>100000</v>
      </c>
      <c r="I3738" s="4" t="s">
        <v>34</v>
      </c>
      <c r="J3738" s="5">
        <f t="shared" si="58"/>
        <v>-119110</v>
      </c>
      <c r="K3738" s="4" t="s">
        <v>27</v>
      </c>
      <c r="L3738" s="6">
        <v>1.1911</v>
      </c>
      <c r="M3738" s="6">
        <v>0.83960000000000001</v>
      </c>
      <c r="N3738" s="6">
        <v>4.2072000000000003</v>
      </c>
      <c r="O3738" s="6">
        <v>3.5188999999999999</v>
      </c>
      <c r="P3738" s="5">
        <v>1583.8209999999963</v>
      </c>
      <c r="Q3738" s="4" t="s">
        <v>1390</v>
      </c>
    </row>
    <row r="3739" spans="1:17" x14ac:dyDescent="0.3">
      <c r="A3739" s="2" t="s">
        <v>1389</v>
      </c>
      <c r="B3739" s="3">
        <v>159563</v>
      </c>
      <c r="C3739" s="3">
        <v>911894</v>
      </c>
      <c r="D3739" s="4" t="s">
        <v>81</v>
      </c>
      <c r="E3739" s="4" t="s">
        <v>731</v>
      </c>
      <c r="F3739" s="4" t="s">
        <v>87</v>
      </c>
      <c r="G3739" s="4" t="s">
        <v>34</v>
      </c>
      <c r="H3739" s="5">
        <v>400000</v>
      </c>
      <c r="I3739" s="4" t="s">
        <v>74</v>
      </c>
      <c r="J3739" s="5">
        <f t="shared" si="58"/>
        <v>-3890640</v>
      </c>
      <c r="K3739" s="4" t="s">
        <v>55</v>
      </c>
      <c r="L3739" s="6">
        <v>9.7265999999999995</v>
      </c>
      <c r="M3739" s="6">
        <v>0.1028</v>
      </c>
      <c r="N3739" s="6">
        <v>3.5045000000000002</v>
      </c>
      <c r="O3739" s="6">
        <v>0.36430000000000001</v>
      </c>
      <c r="P3739" s="5">
        <v>-15558.694799999999</v>
      </c>
      <c r="Q3739" s="4" t="s">
        <v>1393</v>
      </c>
    </row>
    <row r="3740" spans="1:17" x14ac:dyDescent="0.3">
      <c r="A3740" s="2" t="s">
        <v>1389</v>
      </c>
      <c r="B3740" s="3">
        <v>159565</v>
      </c>
      <c r="C3740" s="3">
        <v>911904</v>
      </c>
      <c r="D3740" s="4" t="s">
        <v>81</v>
      </c>
      <c r="E3740" s="4" t="s">
        <v>725</v>
      </c>
      <c r="F3740" s="4" t="s">
        <v>87</v>
      </c>
      <c r="G3740" s="4" t="s">
        <v>34</v>
      </c>
      <c r="H3740" s="5">
        <v>500000</v>
      </c>
      <c r="I3740" s="4" t="s">
        <v>21</v>
      </c>
      <c r="J3740" s="5">
        <f t="shared" si="58"/>
        <v>-1763950</v>
      </c>
      <c r="K3740" s="4" t="s">
        <v>55</v>
      </c>
      <c r="L3740" s="6">
        <v>3.5278999999999998</v>
      </c>
      <c r="M3740" s="6">
        <v>0.28349999999999997</v>
      </c>
      <c r="N3740" s="6">
        <v>3.5045000000000002</v>
      </c>
      <c r="O3740" s="6">
        <v>1</v>
      </c>
      <c r="P3740" s="5">
        <v>-11695</v>
      </c>
      <c r="Q3740" s="4" t="s">
        <v>1392</v>
      </c>
    </row>
    <row r="3741" spans="1:17" x14ac:dyDescent="0.3">
      <c r="A3741" s="2" t="s">
        <v>1389</v>
      </c>
      <c r="B3741" s="3">
        <v>159567</v>
      </c>
      <c r="C3741" s="3">
        <v>220561</v>
      </c>
      <c r="D3741" s="4" t="s">
        <v>17</v>
      </c>
      <c r="E3741" s="4" t="s">
        <v>1099</v>
      </c>
      <c r="F3741" s="4" t="s">
        <v>19</v>
      </c>
      <c r="G3741" s="4" t="s">
        <v>20</v>
      </c>
      <c r="H3741" s="5">
        <v>11000</v>
      </c>
      <c r="I3741" s="4" t="s">
        <v>21</v>
      </c>
      <c r="J3741" s="5">
        <f t="shared" si="58"/>
        <v>-46094.400000000001</v>
      </c>
      <c r="K3741" s="4" t="s">
        <v>54</v>
      </c>
      <c r="L3741" s="6">
        <v>4.1904000000000003</v>
      </c>
      <c r="M3741" s="6">
        <v>0.23860000000000001</v>
      </c>
      <c r="N3741" s="6">
        <v>4.2118000000000002</v>
      </c>
      <c r="O3741" s="6">
        <v>1</v>
      </c>
      <c r="P3741" s="5">
        <v>235.40000000000146</v>
      </c>
      <c r="Q3741" s="4" t="s">
        <v>1390</v>
      </c>
    </row>
    <row r="3742" spans="1:17" x14ac:dyDescent="0.3">
      <c r="A3742" s="2" t="s">
        <v>1389</v>
      </c>
      <c r="B3742" s="3">
        <v>159570</v>
      </c>
      <c r="C3742" s="3">
        <v>911930</v>
      </c>
      <c r="D3742" s="4" t="s">
        <v>81</v>
      </c>
      <c r="E3742" s="4" t="s">
        <v>733</v>
      </c>
      <c r="F3742" s="4" t="s">
        <v>83</v>
      </c>
      <c r="G3742" s="4" t="s">
        <v>20</v>
      </c>
      <c r="H3742" s="5">
        <v>-500000</v>
      </c>
      <c r="I3742" s="4" t="s">
        <v>21</v>
      </c>
      <c r="J3742" s="5">
        <f t="shared" si="58"/>
        <v>2101700</v>
      </c>
      <c r="K3742" s="4" t="s">
        <v>55</v>
      </c>
      <c r="L3742" s="6">
        <v>4.2034000000000002</v>
      </c>
      <c r="M3742" s="6">
        <v>0.2379</v>
      </c>
      <c r="N3742" s="6">
        <v>4.2008999999999999</v>
      </c>
      <c r="O3742" s="6">
        <v>1</v>
      </c>
      <c r="P3742" s="5">
        <v>1225</v>
      </c>
      <c r="Q3742" s="4" t="s">
        <v>1391</v>
      </c>
    </row>
    <row r="3743" spans="1:17" x14ac:dyDescent="0.3">
      <c r="A3743" s="2" t="s">
        <v>1389</v>
      </c>
      <c r="B3743" s="3">
        <v>159571</v>
      </c>
      <c r="C3743" s="3">
        <v>220567</v>
      </c>
      <c r="D3743" s="4" t="s">
        <v>17</v>
      </c>
      <c r="E3743" s="4" t="s">
        <v>1163</v>
      </c>
      <c r="F3743" s="4" t="s">
        <v>32</v>
      </c>
      <c r="G3743" s="4" t="s">
        <v>20</v>
      </c>
      <c r="H3743" s="5">
        <v>-50000</v>
      </c>
      <c r="I3743" s="4" t="s">
        <v>21</v>
      </c>
      <c r="J3743" s="5">
        <f t="shared" si="58"/>
        <v>210275</v>
      </c>
      <c r="K3743" s="4" t="s">
        <v>54</v>
      </c>
      <c r="L3743" s="6">
        <v>4.2054999999999998</v>
      </c>
      <c r="M3743" s="6">
        <v>0.23780000000000001</v>
      </c>
      <c r="N3743" s="6">
        <v>4.2118000000000002</v>
      </c>
      <c r="O3743" s="6">
        <v>1</v>
      </c>
      <c r="P3743" s="5">
        <v>-315</v>
      </c>
      <c r="Q3743" s="4" t="s">
        <v>1390</v>
      </c>
    </row>
    <row r="3744" spans="1:17" x14ac:dyDescent="0.3">
      <c r="A3744" s="2" t="s">
        <v>1389</v>
      </c>
      <c r="B3744" s="3">
        <v>159574</v>
      </c>
      <c r="C3744" s="3">
        <v>220575</v>
      </c>
      <c r="D3744" s="4" t="s">
        <v>17</v>
      </c>
      <c r="E3744" s="4" t="s">
        <v>1174</v>
      </c>
      <c r="F3744" s="4" t="s">
        <v>19</v>
      </c>
      <c r="G3744" s="4" t="s">
        <v>20</v>
      </c>
      <c r="H3744" s="5">
        <v>100000</v>
      </c>
      <c r="I3744" s="4" t="s">
        <v>21</v>
      </c>
      <c r="J3744" s="5">
        <f t="shared" si="58"/>
        <v>-419740</v>
      </c>
      <c r="K3744" s="4" t="s">
        <v>54</v>
      </c>
      <c r="L3744" s="6">
        <v>4.1974</v>
      </c>
      <c r="M3744" s="6">
        <v>0.2382</v>
      </c>
      <c r="N3744" s="6">
        <v>4.2118000000000002</v>
      </c>
      <c r="O3744" s="6">
        <v>1</v>
      </c>
      <c r="P3744" s="5">
        <v>1440</v>
      </c>
      <c r="Q3744" s="4" t="s">
        <v>1390</v>
      </c>
    </row>
    <row r="3745" spans="1:17" x14ac:dyDescent="0.3">
      <c r="A3745" s="2" t="s">
        <v>1389</v>
      </c>
      <c r="B3745" s="3">
        <v>159575</v>
      </c>
      <c r="C3745" s="3">
        <v>911969</v>
      </c>
      <c r="D3745" s="4" t="s">
        <v>81</v>
      </c>
      <c r="E3745" s="4" t="s">
        <v>1114</v>
      </c>
      <c r="F3745" s="4" t="s">
        <v>83</v>
      </c>
      <c r="G3745" s="4" t="s">
        <v>20</v>
      </c>
      <c r="H3745" s="5">
        <v>-100000</v>
      </c>
      <c r="I3745" s="4" t="s">
        <v>21</v>
      </c>
      <c r="J3745" s="5">
        <f t="shared" si="58"/>
        <v>420420</v>
      </c>
      <c r="K3745" s="4" t="s">
        <v>55</v>
      </c>
      <c r="L3745" s="6">
        <v>4.2042000000000002</v>
      </c>
      <c r="M3745" s="6">
        <v>0.2379</v>
      </c>
      <c r="N3745" s="6">
        <v>4.2008999999999999</v>
      </c>
      <c r="O3745" s="6">
        <v>1</v>
      </c>
      <c r="P3745" s="5">
        <v>330</v>
      </c>
      <c r="Q3745" s="4" t="s">
        <v>1390</v>
      </c>
    </row>
    <row r="3746" spans="1:17" x14ac:dyDescent="0.3">
      <c r="A3746" s="2" t="s">
        <v>1389</v>
      </c>
      <c r="B3746" s="3">
        <v>159576</v>
      </c>
      <c r="C3746" s="3">
        <v>911973</v>
      </c>
      <c r="D3746" s="4" t="s">
        <v>81</v>
      </c>
      <c r="E3746" s="4" t="s">
        <v>734</v>
      </c>
      <c r="F3746" s="4" t="s">
        <v>83</v>
      </c>
      <c r="G3746" s="4" t="s">
        <v>20</v>
      </c>
      <c r="H3746" s="5">
        <v>-100000</v>
      </c>
      <c r="I3746" s="4" t="s">
        <v>34</v>
      </c>
      <c r="J3746" s="5">
        <f t="shared" si="58"/>
        <v>119350</v>
      </c>
      <c r="K3746" s="4" t="s">
        <v>55</v>
      </c>
      <c r="L3746" s="6">
        <v>1.1935</v>
      </c>
      <c r="M3746" s="6">
        <v>0.83789999999999998</v>
      </c>
      <c r="N3746" s="6">
        <v>4.2008999999999999</v>
      </c>
      <c r="O3746" s="6">
        <v>3.5045000000000002</v>
      </c>
      <c r="P3746" s="5">
        <v>-1841.943</v>
      </c>
      <c r="Q3746" s="4" t="s">
        <v>1393</v>
      </c>
    </row>
    <row r="3747" spans="1:17" x14ac:dyDescent="0.3">
      <c r="A3747" s="2" t="s">
        <v>1389</v>
      </c>
      <c r="B3747" s="3">
        <v>159577</v>
      </c>
      <c r="C3747" s="3">
        <v>911977</v>
      </c>
      <c r="D3747" s="4" t="s">
        <v>81</v>
      </c>
      <c r="E3747" s="4" t="s">
        <v>732</v>
      </c>
      <c r="F3747" s="4" t="s">
        <v>87</v>
      </c>
      <c r="G3747" s="4" t="s">
        <v>20</v>
      </c>
      <c r="H3747" s="5">
        <v>500000</v>
      </c>
      <c r="I3747" s="4" t="s">
        <v>21</v>
      </c>
      <c r="J3747" s="5">
        <f t="shared" si="58"/>
        <v>-2101150</v>
      </c>
      <c r="K3747" s="4" t="s">
        <v>55</v>
      </c>
      <c r="L3747" s="6">
        <v>4.2023000000000001</v>
      </c>
      <c r="M3747" s="6">
        <v>0.23799999999999999</v>
      </c>
      <c r="N3747" s="6">
        <v>4.2008999999999999</v>
      </c>
      <c r="O3747" s="6">
        <v>1</v>
      </c>
      <c r="P3747" s="5">
        <v>-700</v>
      </c>
      <c r="Q3747" s="4" t="s">
        <v>1394</v>
      </c>
    </row>
    <row r="3748" spans="1:17" x14ac:dyDescent="0.3">
      <c r="A3748" s="2" t="s">
        <v>1389</v>
      </c>
      <c r="B3748" s="3">
        <v>159578</v>
      </c>
      <c r="C3748" s="3">
        <v>220582</v>
      </c>
      <c r="D3748" s="4" t="s">
        <v>17</v>
      </c>
      <c r="E3748" s="4" t="s">
        <v>980</v>
      </c>
      <c r="F3748" s="4" t="s">
        <v>32</v>
      </c>
      <c r="G3748" s="4" t="s">
        <v>34</v>
      </c>
      <c r="H3748" s="5">
        <v>-15000</v>
      </c>
      <c r="I3748" s="4" t="s">
        <v>21</v>
      </c>
      <c r="J3748" s="5">
        <f t="shared" si="58"/>
        <v>52867.5</v>
      </c>
      <c r="K3748" s="4" t="s">
        <v>54</v>
      </c>
      <c r="L3748" s="6">
        <v>3.5245000000000002</v>
      </c>
      <c r="M3748" s="6">
        <v>0.28370000000000001</v>
      </c>
      <c r="N3748" s="6">
        <v>3.5499000000000001</v>
      </c>
      <c r="O3748" s="6">
        <v>1</v>
      </c>
      <c r="P3748" s="5">
        <v>-381</v>
      </c>
      <c r="Q3748" s="4" t="s">
        <v>1390</v>
      </c>
    </row>
    <row r="3749" spans="1:17" x14ac:dyDescent="0.3">
      <c r="A3749" s="2" t="s">
        <v>1389</v>
      </c>
      <c r="B3749" s="3">
        <v>159579</v>
      </c>
      <c r="C3749" s="3">
        <v>220583</v>
      </c>
      <c r="D3749" s="4" t="s">
        <v>17</v>
      </c>
      <c r="E3749" s="4" t="s">
        <v>1125</v>
      </c>
      <c r="F3749" s="4" t="s">
        <v>32</v>
      </c>
      <c r="G3749" s="4" t="s">
        <v>20</v>
      </c>
      <c r="H3749" s="5">
        <v>-7000</v>
      </c>
      <c r="I3749" s="4" t="s">
        <v>21</v>
      </c>
      <c r="J3749" s="5">
        <f t="shared" si="58"/>
        <v>29515.5</v>
      </c>
      <c r="K3749" s="4" t="s">
        <v>54</v>
      </c>
      <c r="L3749" s="6">
        <v>4.2164999999999999</v>
      </c>
      <c r="M3749" s="6">
        <v>0.23719999999999999</v>
      </c>
      <c r="N3749" s="6">
        <v>4.2118000000000002</v>
      </c>
      <c r="O3749" s="6">
        <v>1</v>
      </c>
      <c r="P3749" s="5">
        <v>29.4</v>
      </c>
      <c r="Q3749" s="4" t="s">
        <v>1390</v>
      </c>
    </row>
    <row r="3750" spans="1:17" x14ac:dyDescent="0.3">
      <c r="A3750" s="2" t="s">
        <v>1389</v>
      </c>
      <c r="B3750" s="3">
        <v>159581</v>
      </c>
      <c r="C3750" s="3">
        <v>220584</v>
      </c>
      <c r="D3750" s="4" t="s">
        <v>17</v>
      </c>
      <c r="E3750" s="4" t="s">
        <v>1044</v>
      </c>
      <c r="F3750" s="4" t="s">
        <v>32</v>
      </c>
      <c r="G3750" s="4" t="s">
        <v>20</v>
      </c>
      <c r="H3750" s="5">
        <v>-1000</v>
      </c>
      <c r="I3750" s="4" t="s">
        <v>21</v>
      </c>
      <c r="J3750" s="5">
        <f t="shared" si="58"/>
        <v>4211.4000000000005</v>
      </c>
      <c r="K3750" s="4" t="s">
        <v>54</v>
      </c>
      <c r="L3750" s="6">
        <v>4.2114000000000003</v>
      </c>
      <c r="M3750" s="6">
        <v>0.23749999999999999</v>
      </c>
      <c r="N3750" s="6">
        <v>4.2118000000000002</v>
      </c>
      <c r="O3750" s="6">
        <v>1</v>
      </c>
      <c r="P3750" s="5">
        <v>-0.8</v>
      </c>
      <c r="Q3750" s="4" t="s">
        <v>1390</v>
      </c>
    </row>
    <row r="3751" spans="1:17" x14ac:dyDescent="0.3">
      <c r="A3751" s="2" t="s">
        <v>1389</v>
      </c>
      <c r="B3751" s="3">
        <v>159582</v>
      </c>
      <c r="C3751" s="3">
        <v>911990</v>
      </c>
      <c r="D3751" s="4" t="s">
        <v>81</v>
      </c>
      <c r="E3751" s="4" t="s">
        <v>733</v>
      </c>
      <c r="F3751" s="4" t="s">
        <v>87</v>
      </c>
      <c r="G3751" s="4" t="s">
        <v>34</v>
      </c>
      <c r="H3751" s="5">
        <v>500000</v>
      </c>
      <c r="I3751" s="4" t="s">
        <v>21</v>
      </c>
      <c r="J3751" s="5">
        <f t="shared" si="58"/>
        <v>-1761700</v>
      </c>
      <c r="K3751" s="4" t="s">
        <v>55</v>
      </c>
      <c r="L3751" s="6">
        <v>3.5234000000000001</v>
      </c>
      <c r="M3751" s="6">
        <v>0.2838</v>
      </c>
      <c r="N3751" s="6">
        <v>3.5045000000000002</v>
      </c>
      <c r="O3751" s="6">
        <v>1</v>
      </c>
      <c r="P3751" s="5">
        <v>-9470</v>
      </c>
      <c r="Q3751" s="4" t="s">
        <v>1391</v>
      </c>
    </row>
    <row r="3752" spans="1:17" x14ac:dyDescent="0.3">
      <c r="A3752" s="2" t="s">
        <v>1389</v>
      </c>
      <c r="B3752" s="3">
        <v>159583</v>
      </c>
      <c r="C3752" s="3">
        <v>911991</v>
      </c>
      <c r="D3752" s="4" t="s">
        <v>81</v>
      </c>
      <c r="E3752" s="4" t="s">
        <v>735</v>
      </c>
      <c r="F3752" s="4" t="s">
        <v>87</v>
      </c>
      <c r="G3752" s="4" t="s">
        <v>34</v>
      </c>
      <c r="H3752" s="5">
        <v>500000</v>
      </c>
      <c r="I3752" s="4" t="s">
        <v>21</v>
      </c>
      <c r="J3752" s="5">
        <f t="shared" si="58"/>
        <v>-1761700</v>
      </c>
      <c r="K3752" s="4" t="s">
        <v>55</v>
      </c>
      <c r="L3752" s="6">
        <v>3.5234000000000001</v>
      </c>
      <c r="M3752" s="6">
        <v>0.2838</v>
      </c>
      <c r="N3752" s="6">
        <v>3.5045000000000002</v>
      </c>
      <c r="O3752" s="6">
        <v>1</v>
      </c>
      <c r="P3752" s="5">
        <v>-9450</v>
      </c>
      <c r="Q3752" s="4" t="s">
        <v>1394</v>
      </c>
    </row>
    <row r="3753" spans="1:17" x14ac:dyDescent="0.3">
      <c r="A3753" s="2" t="s">
        <v>1389</v>
      </c>
      <c r="B3753" s="3">
        <v>159584</v>
      </c>
      <c r="C3753" s="3">
        <v>911992</v>
      </c>
      <c r="D3753" s="4" t="s">
        <v>81</v>
      </c>
      <c r="E3753" s="4" t="s">
        <v>733</v>
      </c>
      <c r="F3753" s="4" t="s">
        <v>87</v>
      </c>
      <c r="G3753" s="4" t="s">
        <v>34</v>
      </c>
      <c r="H3753" s="5">
        <v>500000</v>
      </c>
      <c r="I3753" s="4" t="s">
        <v>21</v>
      </c>
      <c r="J3753" s="5">
        <f t="shared" si="58"/>
        <v>-1761700</v>
      </c>
      <c r="K3753" s="4" t="s">
        <v>55</v>
      </c>
      <c r="L3753" s="6">
        <v>3.5234000000000001</v>
      </c>
      <c r="M3753" s="6">
        <v>0.2838</v>
      </c>
      <c r="N3753" s="6">
        <v>3.5045000000000002</v>
      </c>
      <c r="O3753" s="6">
        <v>1</v>
      </c>
      <c r="P3753" s="5">
        <v>-9445</v>
      </c>
      <c r="Q3753" s="4" t="s">
        <v>1391</v>
      </c>
    </row>
    <row r="3754" spans="1:17" x14ac:dyDescent="0.3">
      <c r="A3754" s="2" t="s">
        <v>1389</v>
      </c>
      <c r="B3754" s="3">
        <v>159585</v>
      </c>
      <c r="C3754" s="3">
        <v>911993</v>
      </c>
      <c r="D3754" s="4" t="s">
        <v>81</v>
      </c>
      <c r="E3754" s="4" t="s">
        <v>732</v>
      </c>
      <c r="F3754" s="4" t="s">
        <v>87</v>
      </c>
      <c r="G3754" s="4" t="s">
        <v>34</v>
      </c>
      <c r="H3754" s="5">
        <v>500000</v>
      </c>
      <c r="I3754" s="4" t="s">
        <v>21</v>
      </c>
      <c r="J3754" s="5">
        <f t="shared" si="58"/>
        <v>-1761650</v>
      </c>
      <c r="K3754" s="4" t="s">
        <v>55</v>
      </c>
      <c r="L3754" s="6">
        <v>3.5232999999999999</v>
      </c>
      <c r="M3754" s="6">
        <v>0.2838</v>
      </c>
      <c r="N3754" s="6">
        <v>3.5045000000000002</v>
      </c>
      <c r="O3754" s="6">
        <v>1</v>
      </c>
      <c r="P3754" s="5">
        <v>-9400</v>
      </c>
      <c r="Q3754" s="4" t="s">
        <v>1394</v>
      </c>
    </row>
    <row r="3755" spans="1:17" x14ac:dyDescent="0.3">
      <c r="A3755" s="2" t="s">
        <v>1389</v>
      </c>
      <c r="B3755" s="3">
        <v>159586</v>
      </c>
      <c r="C3755" s="3">
        <v>911994</v>
      </c>
      <c r="D3755" s="4" t="s">
        <v>81</v>
      </c>
      <c r="E3755" s="4" t="s">
        <v>732</v>
      </c>
      <c r="F3755" s="4" t="s">
        <v>87</v>
      </c>
      <c r="G3755" s="4" t="s">
        <v>34</v>
      </c>
      <c r="H3755" s="5">
        <v>500000</v>
      </c>
      <c r="I3755" s="4" t="s">
        <v>21</v>
      </c>
      <c r="J3755" s="5">
        <f t="shared" si="58"/>
        <v>-1761650</v>
      </c>
      <c r="K3755" s="4" t="s">
        <v>55</v>
      </c>
      <c r="L3755" s="6">
        <v>3.5232999999999999</v>
      </c>
      <c r="M3755" s="6">
        <v>0.2838</v>
      </c>
      <c r="N3755" s="6">
        <v>3.5045000000000002</v>
      </c>
      <c r="O3755" s="6">
        <v>1</v>
      </c>
      <c r="P3755" s="5">
        <v>-9400</v>
      </c>
      <c r="Q3755" s="4" t="s">
        <v>1394</v>
      </c>
    </row>
    <row r="3756" spans="1:17" x14ac:dyDescent="0.3">
      <c r="A3756" s="2" t="s">
        <v>1389</v>
      </c>
      <c r="B3756" s="3">
        <v>159587</v>
      </c>
      <c r="C3756" s="3">
        <v>911995</v>
      </c>
      <c r="D3756" s="4" t="s">
        <v>81</v>
      </c>
      <c r="E3756" s="4" t="s">
        <v>783</v>
      </c>
      <c r="F3756" s="4" t="s">
        <v>83</v>
      </c>
      <c r="G3756" s="4" t="s">
        <v>34</v>
      </c>
      <c r="H3756" s="5">
        <v>-2000000</v>
      </c>
      <c r="I3756" s="4" t="s">
        <v>21</v>
      </c>
      <c r="J3756" s="5">
        <f t="shared" si="58"/>
        <v>7050000</v>
      </c>
      <c r="K3756" s="4" t="s">
        <v>55</v>
      </c>
      <c r="L3756" s="6">
        <v>3.5249999999999999</v>
      </c>
      <c r="M3756" s="6">
        <v>0.28370000000000001</v>
      </c>
      <c r="N3756" s="6">
        <v>3.5045000000000002</v>
      </c>
      <c r="O3756" s="6">
        <v>1</v>
      </c>
      <c r="P3756" s="5">
        <v>41000</v>
      </c>
      <c r="Q3756" s="4" t="s">
        <v>1390</v>
      </c>
    </row>
    <row r="3757" spans="1:17" x14ac:dyDescent="0.3">
      <c r="A3757" s="2" t="s">
        <v>1389</v>
      </c>
      <c r="B3757" s="3">
        <v>159588</v>
      </c>
      <c r="C3757" s="3">
        <v>911996</v>
      </c>
      <c r="D3757" s="4" t="s">
        <v>81</v>
      </c>
      <c r="E3757" s="4" t="s">
        <v>735</v>
      </c>
      <c r="F3757" s="4" t="s">
        <v>87</v>
      </c>
      <c r="G3757" s="4" t="s">
        <v>34</v>
      </c>
      <c r="H3757" s="5">
        <v>500000</v>
      </c>
      <c r="I3757" s="4" t="s">
        <v>21</v>
      </c>
      <c r="J3757" s="5">
        <f t="shared" si="58"/>
        <v>-1761700</v>
      </c>
      <c r="K3757" s="4" t="s">
        <v>55</v>
      </c>
      <c r="L3757" s="6">
        <v>3.5234000000000001</v>
      </c>
      <c r="M3757" s="6">
        <v>0.2838</v>
      </c>
      <c r="N3757" s="6">
        <v>3.5045000000000002</v>
      </c>
      <c r="O3757" s="6">
        <v>1</v>
      </c>
      <c r="P3757" s="5">
        <v>-9450</v>
      </c>
      <c r="Q3757" s="4" t="s">
        <v>1394</v>
      </c>
    </row>
    <row r="3758" spans="1:17" x14ac:dyDescent="0.3">
      <c r="A3758" s="2" t="s">
        <v>1389</v>
      </c>
      <c r="B3758" s="3">
        <v>159589</v>
      </c>
      <c r="C3758" s="3">
        <v>220585</v>
      </c>
      <c r="D3758" s="4" t="s">
        <v>17</v>
      </c>
      <c r="E3758" s="4" t="s">
        <v>1192</v>
      </c>
      <c r="F3758" s="4" t="s">
        <v>19</v>
      </c>
      <c r="G3758" s="4" t="s">
        <v>20</v>
      </c>
      <c r="H3758" s="5">
        <v>300000</v>
      </c>
      <c r="I3758" s="4" t="s">
        <v>21</v>
      </c>
      <c r="J3758" s="5">
        <f t="shared" si="58"/>
        <v>-1260150</v>
      </c>
      <c r="K3758" s="4" t="s">
        <v>54</v>
      </c>
      <c r="L3758" s="6">
        <v>4.2004999999999999</v>
      </c>
      <c r="M3758" s="6">
        <v>0.23810000000000001</v>
      </c>
      <c r="N3758" s="6">
        <v>4.2118000000000002</v>
      </c>
      <c r="O3758" s="6">
        <v>1</v>
      </c>
      <c r="P3758" s="5">
        <v>3390</v>
      </c>
      <c r="Q3758" s="4" t="s">
        <v>1390</v>
      </c>
    </row>
    <row r="3759" spans="1:17" x14ac:dyDescent="0.3">
      <c r="A3759" s="2" t="s">
        <v>1389</v>
      </c>
      <c r="B3759" s="3">
        <v>159590</v>
      </c>
      <c r="C3759" s="3">
        <v>220586</v>
      </c>
      <c r="D3759" s="4" t="s">
        <v>17</v>
      </c>
      <c r="E3759" s="4" t="s">
        <v>1047</v>
      </c>
      <c r="F3759" s="4" t="s">
        <v>32</v>
      </c>
      <c r="G3759" s="4" t="s">
        <v>34</v>
      </c>
      <c r="H3759" s="5">
        <v>-800000</v>
      </c>
      <c r="I3759" s="4" t="s">
        <v>21</v>
      </c>
      <c r="J3759" s="5">
        <f t="shared" si="58"/>
        <v>2822800</v>
      </c>
      <c r="K3759" s="4" t="s">
        <v>54</v>
      </c>
      <c r="L3759" s="6">
        <v>3.5285000000000002</v>
      </c>
      <c r="M3759" s="6">
        <v>0.28339999999999999</v>
      </c>
      <c r="N3759" s="6">
        <v>3.5499000000000001</v>
      </c>
      <c r="O3759" s="6">
        <v>1</v>
      </c>
      <c r="P3759" s="5">
        <v>-17120</v>
      </c>
      <c r="Q3759" s="4" t="s">
        <v>1390</v>
      </c>
    </row>
    <row r="3760" spans="1:17" x14ac:dyDescent="0.3">
      <c r="A3760" s="2" t="s">
        <v>1389</v>
      </c>
      <c r="B3760" s="3">
        <v>159591</v>
      </c>
      <c r="C3760" s="3">
        <v>220595</v>
      </c>
      <c r="D3760" s="4" t="s">
        <v>17</v>
      </c>
      <c r="E3760" s="4" t="s">
        <v>1086</v>
      </c>
      <c r="F3760" s="4" t="s">
        <v>32</v>
      </c>
      <c r="G3760" s="4" t="s">
        <v>34</v>
      </c>
      <c r="H3760" s="5">
        <v>-200000</v>
      </c>
      <c r="I3760" s="4" t="s">
        <v>21</v>
      </c>
      <c r="J3760" s="5">
        <f t="shared" si="58"/>
        <v>706000</v>
      </c>
      <c r="K3760" s="4" t="s">
        <v>54</v>
      </c>
      <c r="L3760" s="6">
        <v>3.53</v>
      </c>
      <c r="M3760" s="6">
        <v>0.2833</v>
      </c>
      <c r="N3760" s="6">
        <v>3.5499000000000001</v>
      </c>
      <c r="O3760" s="6">
        <v>1</v>
      </c>
      <c r="P3760" s="5">
        <v>-3980</v>
      </c>
      <c r="Q3760" s="4" t="s">
        <v>1390</v>
      </c>
    </row>
    <row r="3761" spans="1:17" x14ac:dyDescent="0.3">
      <c r="A3761" s="2" t="s">
        <v>1389</v>
      </c>
      <c r="B3761" s="3">
        <v>159592</v>
      </c>
      <c r="C3761" s="3">
        <v>220596</v>
      </c>
      <c r="D3761" s="4" t="s">
        <v>17</v>
      </c>
      <c r="E3761" s="4" t="s">
        <v>911</v>
      </c>
      <c r="F3761" s="4" t="s">
        <v>19</v>
      </c>
      <c r="G3761" s="4" t="s">
        <v>20</v>
      </c>
      <c r="H3761" s="5">
        <v>500000</v>
      </c>
      <c r="I3761" s="4" t="s">
        <v>21</v>
      </c>
      <c r="J3761" s="5">
        <f t="shared" si="58"/>
        <v>-2096000</v>
      </c>
      <c r="K3761" s="4" t="s">
        <v>54</v>
      </c>
      <c r="L3761" s="6">
        <v>4.1920000000000002</v>
      </c>
      <c r="M3761" s="6">
        <v>0.23849999999999999</v>
      </c>
      <c r="N3761" s="6">
        <v>4.2118000000000002</v>
      </c>
      <c r="O3761" s="6">
        <v>1</v>
      </c>
      <c r="P3761" s="5">
        <v>9900</v>
      </c>
      <c r="Q3761" s="4" t="s">
        <v>1390</v>
      </c>
    </row>
    <row r="3762" spans="1:17" x14ac:dyDescent="0.3">
      <c r="A3762" s="2" t="s">
        <v>1389</v>
      </c>
      <c r="B3762" s="3">
        <v>159593</v>
      </c>
      <c r="C3762" s="3">
        <v>220599</v>
      </c>
      <c r="D3762" s="4" t="s">
        <v>17</v>
      </c>
      <c r="E3762" s="4" t="s">
        <v>912</v>
      </c>
      <c r="F3762" s="4" t="s">
        <v>32</v>
      </c>
      <c r="G3762" s="4" t="s">
        <v>20</v>
      </c>
      <c r="H3762" s="5">
        <v>-4000</v>
      </c>
      <c r="I3762" s="4" t="s">
        <v>21</v>
      </c>
      <c r="J3762" s="5">
        <f t="shared" si="58"/>
        <v>16828</v>
      </c>
      <c r="K3762" s="4" t="s">
        <v>54</v>
      </c>
      <c r="L3762" s="6">
        <v>4.2069999999999999</v>
      </c>
      <c r="M3762" s="6">
        <v>0.23769999999999999</v>
      </c>
      <c r="N3762" s="6">
        <v>4.2118000000000002</v>
      </c>
      <c r="O3762" s="6">
        <v>1</v>
      </c>
      <c r="P3762" s="5">
        <v>-19.2</v>
      </c>
      <c r="Q3762" s="4" t="s">
        <v>1390</v>
      </c>
    </row>
    <row r="3763" spans="1:17" x14ac:dyDescent="0.3">
      <c r="A3763" s="2" t="s">
        <v>1389</v>
      </c>
      <c r="B3763" s="3">
        <v>159598</v>
      </c>
      <c r="C3763" s="3">
        <v>220602</v>
      </c>
      <c r="D3763" s="4" t="s">
        <v>17</v>
      </c>
      <c r="E3763" s="4" t="s">
        <v>1185</v>
      </c>
      <c r="F3763" s="4" t="s">
        <v>32</v>
      </c>
      <c r="G3763" s="4" t="s">
        <v>20</v>
      </c>
      <c r="H3763" s="5">
        <v>-5206</v>
      </c>
      <c r="I3763" s="4" t="s">
        <v>21</v>
      </c>
      <c r="J3763" s="5">
        <f t="shared" si="58"/>
        <v>21950.578400000002</v>
      </c>
      <c r="K3763" s="4" t="s">
        <v>54</v>
      </c>
      <c r="L3763" s="6">
        <v>4.2164000000000001</v>
      </c>
      <c r="M3763" s="6">
        <v>0.23719999999999999</v>
      </c>
      <c r="N3763" s="6">
        <v>4.2118000000000002</v>
      </c>
      <c r="O3763" s="6">
        <v>1</v>
      </c>
      <c r="P3763" s="5">
        <v>21.869199999999999</v>
      </c>
      <c r="Q3763" s="4" t="s">
        <v>1390</v>
      </c>
    </row>
    <row r="3764" spans="1:17" x14ac:dyDescent="0.3">
      <c r="A3764" s="2" t="s">
        <v>1389</v>
      </c>
      <c r="B3764" s="3">
        <v>159600</v>
      </c>
      <c r="C3764" s="3">
        <v>220603</v>
      </c>
      <c r="D3764" s="4" t="s">
        <v>17</v>
      </c>
      <c r="E3764" s="4" t="s">
        <v>1129</v>
      </c>
      <c r="F3764" s="4" t="s">
        <v>19</v>
      </c>
      <c r="G3764" s="4" t="s">
        <v>20</v>
      </c>
      <c r="H3764" s="5">
        <v>30000</v>
      </c>
      <c r="I3764" s="4" t="s">
        <v>21</v>
      </c>
      <c r="J3764" s="5">
        <f t="shared" si="58"/>
        <v>-123120</v>
      </c>
      <c r="K3764" s="4" t="s">
        <v>54</v>
      </c>
      <c r="L3764" s="6">
        <v>4.1040000000000001</v>
      </c>
      <c r="M3764" s="6">
        <v>0.2437</v>
      </c>
      <c r="N3764" s="6">
        <v>4.2118000000000002</v>
      </c>
      <c r="O3764" s="6">
        <v>1</v>
      </c>
      <c r="P3764" s="5">
        <v>3234</v>
      </c>
      <c r="Q3764" s="4" t="s">
        <v>1390</v>
      </c>
    </row>
    <row r="3765" spans="1:17" x14ac:dyDescent="0.3">
      <c r="A3765" s="2" t="s">
        <v>1389</v>
      </c>
      <c r="B3765" s="3">
        <v>159601</v>
      </c>
      <c r="C3765" s="3">
        <v>912058</v>
      </c>
      <c r="D3765" s="4" t="s">
        <v>81</v>
      </c>
      <c r="E3765" s="4" t="s">
        <v>734</v>
      </c>
      <c r="F3765" s="4" t="s">
        <v>83</v>
      </c>
      <c r="G3765" s="4" t="s">
        <v>20</v>
      </c>
      <c r="H3765" s="5">
        <v>-200000</v>
      </c>
      <c r="I3765" s="4" t="s">
        <v>21</v>
      </c>
      <c r="J3765" s="5">
        <f t="shared" si="58"/>
        <v>840700</v>
      </c>
      <c r="K3765" s="4" t="s">
        <v>55</v>
      </c>
      <c r="L3765" s="6">
        <v>4.2035</v>
      </c>
      <c r="M3765" s="6">
        <v>0.2379</v>
      </c>
      <c r="N3765" s="6">
        <v>4.2008999999999999</v>
      </c>
      <c r="O3765" s="6">
        <v>1</v>
      </c>
      <c r="P3765" s="5">
        <v>520</v>
      </c>
      <c r="Q3765" s="4" t="s">
        <v>1393</v>
      </c>
    </row>
    <row r="3766" spans="1:17" x14ac:dyDescent="0.3">
      <c r="A3766" s="2" t="s">
        <v>1389</v>
      </c>
      <c r="B3766" s="3">
        <v>159602</v>
      </c>
      <c r="C3766" s="3">
        <v>220604</v>
      </c>
      <c r="D3766" s="4" t="s">
        <v>17</v>
      </c>
      <c r="E3766" s="4" t="s">
        <v>1140</v>
      </c>
      <c r="F3766" s="4" t="s">
        <v>19</v>
      </c>
      <c r="G3766" s="4" t="s">
        <v>20</v>
      </c>
      <c r="H3766" s="5">
        <v>20000</v>
      </c>
      <c r="I3766" s="4" t="s">
        <v>21</v>
      </c>
      <c r="J3766" s="5">
        <f t="shared" si="58"/>
        <v>-84000</v>
      </c>
      <c r="K3766" s="4" t="s">
        <v>54</v>
      </c>
      <c r="L3766" s="6">
        <v>4.2</v>
      </c>
      <c r="M3766" s="6">
        <v>0.23810000000000001</v>
      </c>
      <c r="N3766" s="6">
        <v>4.2118000000000002</v>
      </c>
      <c r="O3766" s="6">
        <v>1</v>
      </c>
      <c r="P3766" s="5">
        <v>236</v>
      </c>
      <c r="Q3766" s="4" t="s">
        <v>1390</v>
      </c>
    </row>
    <row r="3767" spans="1:17" x14ac:dyDescent="0.3">
      <c r="A3767" s="2" t="s">
        <v>1389</v>
      </c>
      <c r="B3767" s="3">
        <v>159604</v>
      </c>
      <c r="C3767" s="3">
        <v>220608</v>
      </c>
      <c r="D3767" s="4" t="s">
        <v>17</v>
      </c>
      <c r="E3767" s="4" t="s">
        <v>760</v>
      </c>
      <c r="F3767" s="4" t="s">
        <v>32</v>
      </c>
      <c r="G3767" s="4" t="s">
        <v>20</v>
      </c>
      <c r="H3767" s="5">
        <v>-20000</v>
      </c>
      <c r="I3767" s="4" t="s">
        <v>21</v>
      </c>
      <c r="J3767" s="5">
        <f t="shared" si="58"/>
        <v>84174</v>
      </c>
      <c r="K3767" s="4" t="s">
        <v>30</v>
      </c>
      <c r="L3767" s="6">
        <v>4.2087000000000003</v>
      </c>
      <c r="M3767" s="6">
        <v>0.23760000000000001</v>
      </c>
      <c r="N3767" s="6">
        <v>4.2031999999999998</v>
      </c>
      <c r="O3767" s="6">
        <v>1</v>
      </c>
      <c r="P3767" s="5">
        <v>106</v>
      </c>
      <c r="Q3767" s="4" t="s">
        <v>1390</v>
      </c>
    </row>
    <row r="3768" spans="1:17" x14ac:dyDescent="0.3">
      <c r="A3768" s="2" t="s">
        <v>1389</v>
      </c>
      <c r="B3768" s="3">
        <v>159605</v>
      </c>
      <c r="C3768" s="3">
        <v>912075</v>
      </c>
      <c r="D3768" s="4" t="s">
        <v>81</v>
      </c>
      <c r="E3768" s="4" t="s">
        <v>739</v>
      </c>
      <c r="F3768" s="4" t="s">
        <v>83</v>
      </c>
      <c r="G3768" s="4" t="s">
        <v>20</v>
      </c>
      <c r="H3768" s="5">
        <v>-100000</v>
      </c>
      <c r="I3768" s="4" t="s">
        <v>91</v>
      </c>
      <c r="J3768" s="5">
        <f t="shared" si="58"/>
        <v>86820</v>
      </c>
      <c r="K3768" s="4" t="s">
        <v>55</v>
      </c>
      <c r="L3768" s="6">
        <v>0.86819999999999997</v>
      </c>
      <c r="M3768" s="6">
        <v>1.1517999999999999</v>
      </c>
      <c r="N3768" s="6">
        <v>4.2008999999999999</v>
      </c>
      <c r="O3768" s="6">
        <v>4.8319999999999999</v>
      </c>
      <c r="P3768" s="5">
        <v>-590.25599999999997</v>
      </c>
      <c r="Q3768" s="4" t="s">
        <v>1391</v>
      </c>
    </row>
    <row r="3769" spans="1:17" x14ac:dyDescent="0.3">
      <c r="A3769" s="2" t="s">
        <v>1389</v>
      </c>
      <c r="B3769" s="3">
        <v>159606</v>
      </c>
      <c r="C3769" s="3">
        <v>220610</v>
      </c>
      <c r="D3769" s="4" t="s">
        <v>17</v>
      </c>
      <c r="E3769" s="4" t="s">
        <v>756</v>
      </c>
      <c r="F3769" s="4" t="s">
        <v>32</v>
      </c>
      <c r="G3769" s="4" t="s">
        <v>20</v>
      </c>
      <c r="H3769" s="5">
        <v>-14300</v>
      </c>
      <c r="I3769" s="4" t="s">
        <v>21</v>
      </c>
      <c r="J3769" s="5">
        <f t="shared" si="58"/>
        <v>60188.7</v>
      </c>
      <c r="K3769" s="4" t="s">
        <v>54</v>
      </c>
      <c r="L3769" s="6">
        <v>4.2089999999999996</v>
      </c>
      <c r="M3769" s="6">
        <v>0.23760000000000001</v>
      </c>
      <c r="N3769" s="6">
        <v>4.2118000000000002</v>
      </c>
      <c r="O3769" s="6">
        <v>1</v>
      </c>
      <c r="P3769" s="5">
        <v>-40.04</v>
      </c>
      <c r="Q3769" s="4" t="s">
        <v>1390</v>
      </c>
    </row>
    <row r="3770" spans="1:17" x14ac:dyDescent="0.3">
      <c r="A3770" s="2" t="s">
        <v>1389</v>
      </c>
      <c r="B3770" s="3">
        <v>159607</v>
      </c>
      <c r="C3770" s="3">
        <v>220611</v>
      </c>
      <c r="D3770" s="4" t="s">
        <v>17</v>
      </c>
      <c r="E3770" s="4" t="s">
        <v>746</v>
      </c>
      <c r="F3770" s="4" t="s">
        <v>32</v>
      </c>
      <c r="G3770" s="4" t="s">
        <v>93</v>
      </c>
      <c r="H3770" s="5">
        <v>-50000</v>
      </c>
      <c r="I3770" s="4" t="s">
        <v>21</v>
      </c>
      <c r="J3770" s="5">
        <f t="shared" si="58"/>
        <v>229070.00000000003</v>
      </c>
      <c r="K3770" s="4" t="s">
        <v>54</v>
      </c>
      <c r="L3770" s="6">
        <v>4.5814000000000004</v>
      </c>
      <c r="M3770" s="6">
        <v>0.21829999999999999</v>
      </c>
      <c r="N3770" s="6">
        <v>4.5758000000000001</v>
      </c>
      <c r="O3770" s="6">
        <v>1</v>
      </c>
      <c r="P3770" s="5">
        <v>235</v>
      </c>
      <c r="Q3770" s="4" t="s">
        <v>1390</v>
      </c>
    </row>
    <row r="3771" spans="1:17" x14ac:dyDescent="0.3">
      <c r="A3771" s="2" t="s">
        <v>1389</v>
      </c>
      <c r="B3771" s="3">
        <v>159608</v>
      </c>
      <c r="C3771" s="3">
        <v>912090</v>
      </c>
      <c r="D3771" s="4" t="s">
        <v>81</v>
      </c>
      <c r="E3771" s="4" t="s">
        <v>735</v>
      </c>
      <c r="F3771" s="4" t="s">
        <v>83</v>
      </c>
      <c r="G3771" s="4" t="s">
        <v>34</v>
      </c>
      <c r="H3771" s="5">
        <v>-500000</v>
      </c>
      <c r="I3771" s="4" t="s">
        <v>21</v>
      </c>
      <c r="J3771" s="5">
        <f t="shared" si="58"/>
        <v>1762500</v>
      </c>
      <c r="K3771" s="4" t="s">
        <v>55</v>
      </c>
      <c r="L3771" s="6">
        <v>3.5249999999999999</v>
      </c>
      <c r="M3771" s="6">
        <v>0.28370000000000001</v>
      </c>
      <c r="N3771" s="6">
        <v>3.5045000000000002</v>
      </c>
      <c r="O3771" s="6">
        <v>1</v>
      </c>
      <c r="P3771" s="5">
        <v>10250</v>
      </c>
      <c r="Q3771" s="4" t="s">
        <v>1394</v>
      </c>
    </row>
    <row r="3772" spans="1:17" x14ac:dyDescent="0.3">
      <c r="A3772" s="2" t="s">
        <v>1389</v>
      </c>
      <c r="B3772" s="3">
        <v>159610</v>
      </c>
      <c r="C3772" s="3">
        <v>912093</v>
      </c>
      <c r="D3772" s="4" t="s">
        <v>81</v>
      </c>
      <c r="E3772" s="4" t="s">
        <v>736</v>
      </c>
      <c r="F3772" s="4" t="s">
        <v>87</v>
      </c>
      <c r="G3772" s="4" t="s">
        <v>84</v>
      </c>
      <c r="H3772" s="5">
        <v>480000</v>
      </c>
      <c r="I3772" s="4" t="s">
        <v>21</v>
      </c>
      <c r="J3772" s="5">
        <f t="shared" si="58"/>
        <v>-190560</v>
      </c>
      <c r="K3772" s="4" t="s">
        <v>55</v>
      </c>
      <c r="L3772" s="6">
        <v>0.39700000000000002</v>
      </c>
      <c r="M3772" s="6">
        <v>2.5188999999999999</v>
      </c>
      <c r="N3772" s="6">
        <v>0.3977</v>
      </c>
      <c r="O3772" s="6">
        <v>1</v>
      </c>
      <c r="P3772" s="5">
        <v>336</v>
      </c>
      <c r="Q3772" s="4" t="s">
        <v>1390</v>
      </c>
    </row>
    <row r="3773" spans="1:17" x14ac:dyDescent="0.3">
      <c r="A3773" s="2" t="s">
        <v>1389</v>
      </c>
      <c r="B3773" s="3">
        <v>159611</v>
      </c>
      <c r="C3773" s="3">
        <v>912097</v>
      </c>
      <c r="D3773" s="4" t="s">
        <v>81</v>
      </c>
      <c r="E3773" s="4" t="s">
        <v>734</v>
      </c>
      <c r="F3773" s="4" t="s">
        <v>87</v>
      </c>
      <c r="G3773" s="4" t="s">
        <v>20</v>
      </c>
      <c r="H3773" s="5">
        <v>100000</v>
      </c>
      <c r="I3773" s="4" t="s">
        <v>34</v>
      </c>
      <c r="J3773" s="5">
        <f t="shared" si="58"/>
        <v>-119170</v>
      </c>
      <c r="K3773" s="4" t="s">
        <v>55</v>
      </c>
      <c r="L3773" s="6">
        <v>1.1917</v>
      </c>
      <c r="M3773" s="6">
        <v>0.83909999999999996</v>
      </c>
      <c r="N3773" s="6">
        <v>4.2008999999999999</v>
      </c>
      <c r="O3773" s="6">
        <v>3.5045000000000002</v>
      </c>
      <c r="P3773" s="5">
        <v>2462.2395000000001</v>
      </c>
      <c r="Q3773" s="4" t="s">
        <v>1393</v>
      </c>
    </row>
    <row r="3774" spans="1:17" x14ac:dyDescent="0.3">
      <c r="A3774" s="2" t="s">
        <v>1389</v>
      </c>
      <c r="B3774" s="3">
        <v>159612</v>
      </c>
      <c r="C3774" s="3">
        <v>912098</v>
      </c>
      <c r="D3774" s="4" t="s">
        <v>81</v>
      </c>
      <c r="E3774" s="4" t="s">
        <v>736</v>
      </c>
      <c r="F3774" s="4" t="s">
        <v>87</v>
      </c>
      <c r="G3774" s="4" t="s">
        <v>74</v>
      </c>
      <c r="H3774" s="5">
        <v>330000</v>
      </c>
      <c r="I3774" s="4" t="s">
        <v>21</v>
      </c>
      <c r="J3774" s="5">
        <f t="shared" si="58"/>
        <v>-120120</v>
      </c>
      <c r="K3774" s="4" t="s">
        <v>55</v>
      </c>
      <c r="L3774" s="6">
        <v>0.36399999999999999</v>
      </c>
      <c r="M3774" s="6">
        <v>2.7473000000000001</v>
      </c>
      <c r="N3774" s="6">
        <v>0.36430000000000001</v>
      </c>
      <c r="O3774" s="6">
        <v>1</v>
      </c>
      <c r="P3774" s="5">
        <v>99</v>
      </c>
      <c r="Q3774" s="4" t="s">
        <v>1390</v>
      </c>
    </row>
    <row r="3775" spans="1:17" x14ac:dyDescent="0.3">
      <c r="A3775" s="2" t="s">
        <v>1389</v>
      </c>
      <c r="B3775" s="3">
        <v>159613</v>
      </c>
      <c r="C3775" s="3">
        <v>220614</v>
      </c>
      <c r="D3775" s="4" t="s">
        <v>17</v>
      </c>
      <c r="E3775" s="4" t="s">
        <v>1143</v>
      </c>
      <c r="F3775" s="4" t="s">
        <v>32</v>
      </c>
      <c r="G3775" s="4" t="s">
        <v>20</v>
      </c>
      <c r="H3775" s="5">
        <v>-200000</v>
      </c>
      <c r="I3775" s="4" t="s">
        <v>21</v>
      </c>
      <c r="J3775" s="5">
        <f t="shared" si="58"/>
        <v>841640</v>
      </c>
      <c r="K3775" s="4" t="s">
        <v>54</v>
      </c>
      <c r="L3775" s="6">
        <v>4.2081999999999997</v>
      </c>
      <c r="M3775" s="6">
        <v>0.23760000000000001</v>
      </c>
      <c r="N3775" s="6">
        <v>4.2118000000000002</v>
      </c>
      <c r="O3775" s="6">
        <v>1</v>
      </c>
      <c r="P3775" s="5">
        <v>-800</v>
      </c>
      <c r="Q3775" s="4" t="s">
        <v>1390</v>
      </c>
    </row>
    <row r="3776" spans="1:17" x14ac:dyDescent="0.3">
      <c r="A3776" s="2" t="s">
        <v>1389</v>
      </c>
      <c r="B3776" s="3">
        <v>159629</v>
      </c>
      <c r="C3776" s="3">
        <v>220617</v>
      </c>
      <c r="D3776" s="4" t="s">
        <v>17</v>
      </c>
      <c r="E3776" s="4" t="s">
        <v>770</v>
      </c>
      <c r="F3776" s="4" t="s">
        <v>32</v>
      </c>
      <c r="G3776" s="4" t="s">
        <v>20</v>
      </c>
      <c r="H3776" s="5">
        <v>-3451</v>
      </c>
      <c r="I3776" s="4" t="s">
        <v>21</v>
      </c>
      <c r="J3776" s="5">
        <f t="shared" si="58"/>
        <v>14526.639399999998</v>
      </c>
      <c r="K3776" s="4" t="s">
        <v>54</v>
      </c>
      <c r="L3776" s="6">
        <v>4.2093999999999996</v>
      </c>
      <c r="M3776" s="6">
        <v>0.23760000000000001</v>
      </c>
      <c r="N3776" s="6">
        <v>4.2118000000000002</v>
      </c>
      <c r="O3776" s="6">
        <v>1</v>
      </c>
      <c r="P3776" s="5">
        <v>-9.6617999999999995</v>
      </c>
      <c r="Q3776" s="4" t="s">
        <v>1390</v>
      </c>
    </row>
    <row r="3777" spans="1:17" x14ac:dyDescent="0.3">
      <c r="A3777" s="2" t="s">
        <v>1389</v>
      </c>
      <c r="B3777" s="3">
        <v>159631</v>
      </c>
      <c r="C3777" s="3">
        <v>220623</v>
      </c>
      <c r="D3777" s="4" t="s">
        <v>17</v>
      </c>
      <c r="E3777" s="4" t="s">
        <v>748</v>
      </c>
      <c r="F3777" s="4" t="s">
        <v>19</v>
      </c>
      <c r="G3777" s="4" t="s">
        <v>20</v>
      </c>
      <c r="H3777" s="5">
        <v>30000</v>
      </c>
      <c r="I3777" s="4" t="s">
        <v>21</v>
      </c>
      <c r="J3777" s="5">
        <f t="shared" si="58"/>
        <v>-125817</v>
      </c>
      <c r="K3777" s="4" t="s">
        <v>54</v>
      </c>
      <c r="L3777" s="6">
        <v>4.1939000000000002</v>
      </c>
      <c r="M3777" s="6">
        <v>0.2384</v>
      </c>
      <c r="N3777" s="6">
        <v>4.2118000000000002</v>
      </c>
      <c r="O3777" s="6">
        <v>1</v>
      </c>
      <c r="P3777" s="5">
        <v>537</v>
      </c>
      <c r="Q3777" s="4" t="s">
        <v>1390</v>
      </c>
    </row>
    <row r="3778" spans="1:17" x14ac:dyDescent="0.3">
      <c r="A3778" s="2" t="s">
        <v>1389</v>
      </c>
      <c r="B3778" s="3">
        <v>159633</v>
      </c>
      <c r="C3778" s="3">
        <v>220626</v>
      </c>
      <c r="D3778" s="4" t="s">
        <v>17</v>
      </c>
      <c r="E3778" s="4" t="s">
        <v>1188</v>
      </c>
      <c r="F3778" s="4" t="s">
        <v>19</v>
      </c>
      <c r="G3778" s="4" t="s">
        <v>20</v>
      </c>
      <c r="H3778" s="5">
        <v>5000</v>
      </c>
      <c r="I3778" s="4" t="s">
        <v>21</v>
      </c>
      <c r="J3778" s="5">
        <f t="shared" si="58"/>
        <v>-20992.5</v>
      </c>
      <c r="K3778" s="4" t="s">
        <v>54</v>
      </c>
      <c r="L3778" s="6">
        <v>4.1985000000000001</v>
      </c>
      <c r="M3778" s="6">
        <v>0.2382</v>
      </c>
      <c r="N3778" s="6">
        <v>4.2118000000000002</v>
      </c>
      <c r="O3778" s="6">
        <v>1</v>
      </c>
      <c r="P3778" s="5">
        <v>66.5</v>
      </c>
      <c r="Q3778" s="4" t="s">
        <v>1390</v>
      </c>
    </row>
    <row r="3779" spans="1:17" x14ac:dyDescent="0.3">
      <c r="A3779" s="2" t="s">
        <v>1389</v>
      </c>
      <c r="B3779" s="3">
        <v>159634</v>
      </c>
      <c r="C3779" s="3">
        <v>220629</v>
      </c>
      <c r="D3779" s="4" t="s">
        <v>17</v>
      </c>
      <c r="E3779" s="4" t="s">
        <v>1155</v>
      </c>
      <c r="F3779" s="4" t="s">
        <v>32</v>
      </c>
      <c r="G3779" s="4" t="s">
        <v>34</v>
      </c>
      <c r="H3779" s="5">
        <v>-400000</v>
      </c>
      <c r="I3779" s="4" t="s">
        <v>74</v>
      </c>
      <c r="J3779" s="5">
        <f t="shared" si="58"/>
        <v>3873640.0000000005</v>
      </c>
      <c r="K3779" s="4" t="s">
        <v>27</v>
      </c>
      <c r="L3779" s="6">
        <v>9.6841000000000008</v>
      </c>
      <c r="M3779" s="6">
        <v>0.1033</v>
      </c>
      <c r="N3779" s="6">
        <v>3.5188999999999999</v>
      </c>
      <c r="O3779" s="6">
        <v>0.3674</v>
      </c>
      <c r="P3779" s="5">
        <v>15615.335999999999</v>
      </c>
      <c r="Q3779" s="4" t="s">
        <v>1390</v>
      </c>
    </row>
    <row r="3780" spans="1:17" x14ac:dyDescent="0.3">
      <c r="A3780" s="2" t="s">
        <v>1389</v>
      </c>
      <c r="B3780" s="3">
        <v>159635</v>
      </c>
      <c r="C3780" s="3">
        <v>912217</v>
      </c>
      <c r="D3780" s="4" t="s">
        <v>81</v>
      </c>
      <c r="E3780" s="4" t="s">
        <v>742</v>
      </c>
      <c r="F3780" s="4" t="s">
        <v>83</v>
      </c>
      <c r="G3780" s="4" t="s">
        <v>20</v>
      </c>
      <c r="H3780" s="5">
        <v>-700000</v>
      </c>
      <c r="I3780" s="4" t="s">
        <v>21</v>
      </c>
      <c r="J3780" s="5">
        <f t="shared" ref="J3780:J3843" si="59">-H3780*L3780</f>
        <v>2941050</v>
      </c>
      <c r="K3780" s="4" t="s">
        <v>55</v>
      </c>
      <c r="L3780" s="6">
        <v>4.2015000000000002</v>
      </c>
      <c r="M3780" s="6">
        <v>0.23799999999999999</v>
      </c>
      <c r="N3780" s="6">
        <v>4.2008999999999999</v>
      </c>
      <c r="O3780" s="6">
        <v>1</v>
      </c>
      <c r="P3780" s="5">
        <v>420</v>
      </c>
      <c r="Q3780" s="4" t="s">
        <v>1396</v>
      </c>
    </row>
    <row r="3781" spans="1:17" x14ac:dyDescent="0.3">
      <c r="A3781" s="2" t="s">
        <v>1389</v>
      </c>
      <c r="B3781" s="3">
        <v>159636</v>
      </c>
      <c r="C3781" s="3">
        <v>912218</v>
      </c>
      <c r="D3781" s="4" t="s">
        <v>81</v>
      </c>
      <c r="E3781" s="4" t="s">
        <v>742</v>
      </c>
      <c r="F3781" s="4" t="s">
        <v>83</v>
      </c>
      <c r="G3781" s="4" t="s">
        <v>20</v>
      </c>
      <c r="H3781" s="5">
        <v>-700000</v>
      </c>
      <c r="I3781" s="4" t="s">
        <v>21</v>
      </c>
      <c r="J3781" s="5">
        <f t="shared" si="59"/>
        <v>2941050</v>
      </c>
      <c r="K3781" s="4" t="s">
        <v>55</v>
      </c>
      <c r="L3781" s="6">
        <v>4.2015000000000002</v>
      </c>
      <c r="M3781" s="6">
        <v>0.23799999999999999</v>
      </c>
      <c r="N3781" s="6">
        <v>4.2008999999999999</v>
      </c>
      <c r="O3781" s="6">
        <v>1</v>
      </c>
      <c r="P3781" s="5">
        <v>420</v>
      </c>
      <c r="Q3781" s="4" t="s">
        <v>1396</v>
      </c>
    </row>
    <row r="3782" spans="1:17" x14ac:dyDescent="0.3">
      <c r="A3782" s="2" t="s">
        <v>1389</v>
      </c>
      <c r="B3782" s="3">
        <v>159637</v>
      </c>
      <c r="C3782" s="3">
        <v>912224</v>
      </c>
      <c r="D3782" s="4" t="s">
        <v>81</v>
      </c>
      <c r="E3782" s="4" t="s">
        <v>725</v>
      </c>
      <c r="F3782" s="4" t="s">
        <v>83</v>
      </c>
      <c r="G3782" s="4" t="s">
        <v>34</v>
      </c>
      <c r="H3782" s="5">
        <v>-900000</v>
      </c>
      <c r="I3782" s="4" t="s">
        <v>21</v>
      </c>
      <c r="J3782" s="5">
        <f t="shared" si="59"/>
        <v>3169710</v>
      </c>
      <c r="K3782" s="4" t="s">
        <v>55</v>
      </c>
      <c r="L3782" s="6">
        <v>3.5219</v>
      </c>
      <c r="M3782" s="6">
        <v>0.28389999999999999</v>
      </c>
      <c r="N3782" s="6">
        <v>3.5045000000000002</v>
      </c>
      <c r="O3782" s="6">
        <v>1</v>
      </c>
      <c r="P3782" s="5">
        <v>15651</v>
      </c>
      <c r="Q3782" s="4" t="s">
        <v>1392</v>
      </c>
    </row>
    <row r="3783" spans="1:17" x14ac:dyDescent="0.3">
      <c r="A3783" s="2" t="s">
        <v>1389</v>
      </c>
      <c r="B3783" s="3">
        <v>159638</v>
      </c>
      <c r="C3783" s="3">
        <v>912236</v>
      </c>
      <c r="D3783" s="4" t="s">
        <v>81</v>
      </c>
      <c r="E3783" s="4" t="s">
        <v>739</v>
      </c>
      <c r="F3783" s="4" t="s">
        <v>83</v>
      </c>
      <c r="G3783" s="4" t="s">
        <v>20</v>
      </c>
      <c r="H3783" s="5">
        <v>-100000</v>
      </c>
      <c r="I3783" s="4" t="s">
        <v>91</v>
      </c>
      <c r="J3783" s="5">
        <f t="shared" si="59"/>
        <v>86820</v>
      </c>
      <c r="K3783" s="4" t="s">
        <v>55</v>
      </c>
      <c r="L3783" s="6">
        <v>0.86819999999999997</v>
      </c>
      <c r="M3783" s="6">
        <v>1.1517999999999999</v>
      </c>
      <c r="N3783" s="6">
        <v>4.2008999999999999</v>
      </c>
      <c r="O3783" s="6">
        <v>4.8319999999999999</v>
      </c>
      <c r="P3783" s="5">
        <v>-566.096</v>
      </c>
      <c r="Q3783" s="4" t="s">
        <v>1391</v>
      </c>
    </row>
    <row r="3784" spans="1:17" x14ac:dyDescent="0.3">
      <c r="A3784" s="2" t="s">
        <v>1389</v>
      </c>
      <c r="B3784" s="3">
        <v>159640</v>
      </c>
      <c r="C3784" s="3">
        <v>912257</v>
      </c>
      <c r="D3784" s="4" t="s">
        <v>81</v>
      </c>
      <c r="E3784" s="4" t="s">
        <v>730</v>
      </c>
      <c r="F3784" s="4" t="s">
        <v>83</v>
      </c>
      <c r="G3784" s="4" t="s">
        <v>20</v>
      </c>
      <c r="H3784" s="5">
        <v>-400000</v>
      </c>
      <c r="I3784" s="4" t="s">
        <v>80</v>
      </c>
      <c r="J3784" s="5">
        <f t="shared" si="59"/>
        <v>3315920</v>
      </c>
      <c r="K3784" s="4" t="s">
        <v>55</v>
      </c>
      <c r="L3784" s="6">
        <v>8.2897999999999996</v>
      </c>
      <c r="M3784" s="6">
        <v>0.1206</v>
      </c>
      <c r="N3784" s="6">
        <v>4.2008999999999999</v>
      </c>
      <c r="O3784" s="6">
        <v>0.50449999999999995</v>
      </c>
      <c r="P3784" s="5">
        <v>-7472.3059999999996</v>
      </c>
      <c r="Q3784" s="4" t="s">
        <v>1396</v>
      </c>
    </row>
    <row r="3785" spans="1:17" x14ac:dyDescent="0.3">
      <c r="A3785" s="2" t="s">
        <v>1389</v>
      </c>
      <c r="B3785" s="3">
        <v>159641</v>
      </c>
      <c r="C3785" s="3">
        <v>912264</v>
      </c>
      <c r="D3785" s="4" t="s">
        <v>81</v>
      </c>
      <c r="E3785" s="4" t="s">
        <v>735</v>
      </c>
      <c r="F3785" s="4" t="s">
        <v>87</v>
      </c>
      <c r="G3785" s="4" t="s">
        <v>20</v>
      </c>
      <c r="H3785" s="5">
        <v>2000000</v>
      </c>
      <c r="I3785" s="4" t="s">
        <v>21</v>
      </c>
      <c r="J3785" s="5">
        <f t="shared" si="59"/>
        <v>-8402000</v>
      </c>
      <c r="K3785" s="4" t="s">
        <v>55</v>
      </c>
      <c r="L3785" s="6">
        <v>4.2009999999999996</v>
      </c>
      <c r="M3785" s="6">
        <v>0.23799999999999999</v>
      </c>
      <c r="N3785" s="6">
        <v>4.2008999999999999</v>
      </c>
      <c r="O3785" s="6">
        <v>1</v>
      </c>
      <c r="P3785" s="5">
        <v>-200</v>
      </c>
      <c r="Q3785" s="4" t="s">
        <v>1394</v>
      </c>
    </row>
    <row r="3786" spans="1:17" x14ac:dyDescent="0.3">
      <c r="A3786" s="2" t="s">
        <v>1389</v>
      </c>
      <c r="B3786" s="3">
        <v>159642</v>
      </c>
      <c r="C3786" s="3">
        <v>912268</v>
      </c>
      <c r="D3786" s="4" t="s">
        <v>81</v>
      </c>
      <c r="E3786" s="4" t="s">
        <v>730</v>
      </c>
      <c r="F3786" s="4" t="s">
        <v>83</v>
      </c>
      <c r="G3786" s="4" t="s">
        <v>20</v>
      </c>
      <c r="H3786" s="5">
        <v>-100000</v>
      </c>
      <c r="I3786" s="4" t="s">
        <v>80</v>
      </c>
      <c r="J3786" s="5">
        <f t="shared" si="59"/>
        <v>829299.99999999988</v>
      </c>
      <c r="K3786" s="4" t="s">
        <v>55</v>
      </c>
      <c r="L3786" s="6">
        <v>8.2929999999999993</v>
      </c>
      <c r="M3786" s="6">
        <v>0.1206</v>
      </c>
      <c r="N3786" s="6">
        <v>4.2008999999999999</v>
      </c>
      <c r="O3786" s="6">
        <v>0.50449999999999995</v>
      </c>
      <c r="P3786" s="5">
        <v>-1705.6275000000001</v>
      </c>
      <c r="Q3786" s="4" t="s">
        <v>1396</v>
      </c>
    </row>
    <row r="3787" spans="1:17" x14ac:dyDescent="0.3">
      <c r="A3787" s="2" t="s">
        <v>1389</v>
      </c>
      <c r="B3787" s="3">
        <v>159643</v>
      </c>
      <c r="C3787" s="3">
        <v>912272</v>
      </c>
      <c r="D3787" s="4" t="s">
        <v>81</v>
      </c>
      <c r="E3787" s="4" t="s">
        <v>732</v>
      </c>
      <c r="F3787" s="4" t="s">
        <v>87</v>
      </c>
      <c r="G3787" s="4" t="s">
        <v>20</v>
      </c>
      <c r="H3787" s="5">
        <v>150000</v>
      </c>
      <c r="I3787" s="4" t="s">
        <v>21</v>
      </c>
      <c r="J3787" s="5">
        <f t="shared" si="59"/>
        <v>-630165</v>
      </c>
      <c r="K3787" s="4" t="s">
        <v>55</v>
      </c>
      <c r="L3787" s="6">
        <v>4.2011000000000003</v>
      </c>
      <c r="M3787" s="6">
        <v>0.23799999999999999</v>
      </c>
      <c r="N3787" s="6">
        <v>4.2008999999999999</v>
      </c>
      <c r="O3787" s="6">
        <v>1</v>
      </c>
      <c r="P3787" s="5">
        <v>-30</v>
      </c>
      <c r="Q3787" s="4" t="s">
        <v>1394</v>
      </c>
    </row>
    <row r="3788" spans="1:17" x14ac:dyDescent="0.3">
      <c r="A3788" s="2" t="s">
        <v>1389</v>
      </c>
      <c r="B3788" s="3">
        <v>159644</v>
      </c>
      <c r="C3788" s="3">
        <v>912276</v>
      </c>
      <c r="D3788" s="4" t="s">
        <v>81</v>
      </c>
      <c r="E3788" s="4" t="s">
        <v>733</v>
      </c>
      <c r="F3788" s="4" t="s">
        <v>87</v>
      </c>
      <c r="G3788" s="4" t="s">
        <v>34</v>
      </c>
      <c r="H3788" s="5">
        <v>400000</v>
      </c>
      <c r="I3788" s="4" t="s">
        <v>74</v>
      </c>
      <c r="J3788" s="5">
        <f t="shared" si="59"/>
        <v>-3868680</v>
      </c>
      <c r="K3788" s="4" t="s">
        <v>55</v>
      </c>
      <c r="L3788" s="6">
        <v>9.6716999999999995</v>
      </c>
      <c r="M3788" s="6">
        <v>0.10340000000000001</v>
      </c>
      <c r="N3788" s="6">
        <v>3.5045000000000002</v>
      </c>
      <c r="O3788" s="6">
        <v>0.36430000000000001</v>
      </c>
      <c r="P3788" s="5">
        <v>-7565.9528</v>
      </c>
      <c r="Q3788" s="4" t="s">
        <v>1391</v>
      </c>
    </row>
    <row r="3789" spans="1:17" x14ac:dyDescent="0.3">
      <c r="A3789" s="2" t="s">
        <v>1389</v>
      </c>
      <c r="B3789" s="3">
        <v>159645</v>
      </c>
      <c r="C3789" s="3">
        <v>220632</v>
      </c>
      <c r="D3789" s="4" t="s">
        <v>17</v>
      </c>
      <c r="E3789" s="4" t="s">
        <v>1088</v>
      </c>
      <c r="F3789" s="4" t="s">
        <v>19</v>
      </c>
      <c r="G3789" s="4" t="s">
        <v>20</v>
      </c>
      <c r="H3789" s="5">
        <v>170000</v>
      </c>
      <c r="I3789" s="4" t="s">
        <v>21</v>
      </c>
      <c r="J3789" s="5">
        <f t="shared" si="59"/>
        <v>-711280</v>
      </c>
      <c r="K3789" s="4" t="s">
        <v>54</v>
      </c>
      <c r="L3789" s="6">
        <v>4.1840000000000002</v>
      </c>
      <c r="M3789" s="6">
        <v>0.23899999999999999</v>
      </c>
      <c r="N3789" s="6">
        <v>4.2118000000000002</v>
      </c>
      <c r="O3789" s="6">
        <v>1</v>
      </c>
      <c r="P3789" s="5">
        <v>4726</v>
      </c>
      <c r="Q3789" s="4" t="s">
        <v>1390</v>
      </c>
    </row>
    <row r="3790" spans="1:17" x14ac:dyDescent="0.3">
      <c r="A3790" s="2" t="s">
        <v>1389</v>
      </c>
      <c r="B3790" s="3">
        <v>159646</v>
      </c>
      <c r="C3790" s="3">
        <v>220634</v>
      </c>
      <c r="D3790" s="4" t="s">
        <v>17</v>
      </c>
      <c r="E3790" s="4" t="s">
        <v>1284</v>
      </c>
      <c r="F3790" s="4" t="s">
        <v>19</v>
      </c>
      <c r="G3790" s="4" t="s">
        <v>20</v>
      </c>
      <c r="H3790" s="5">
        <v>800000</v>
      </c>
      <c r="I3790" s="4" t="s">
        <v>21</v>
      </c>
      <c r="J3790" s="5">
        <f t="shared" si="59"/>
        <v>-3352320.0000000005</v>
      </c>
      <c r="K3790" s="4" t="s">
        <v>54</v>
      </c>
      <c r="L3790" s="6">
        <v>4.1904000000000003</v>
      </c>
      <c r="M3790" s="6">
        <v>0.23860000000000001</v>
      </c>
      <c r="N3790" s="6">
        <v>4.2118000000000002</v>
      </c>
      <c r="O3790" s="6">
        <v>1</v>
      </c>
      <c r="P3790" s="5">
        <v>17119.999999999534</v>
      </c>
      <c r="Q3790" s="4" t="s">
        <v>1390</v>
      </c>
    </row>
    <row r="3791" spans="1:17" x14ac:dyDescent="0.3">
      <c r="A3791" s="2" t="s">
        <v>1389</v>
      </c>
      <c r="B3791" s="3">
        <v>159648</v>
      </c>
      <c r="C3791" s="3">
        <v>912318</v>
      </c>
      <c r="D3791" s="4" t="s">
        <v>81</v>
      </c>
      <c r="E3791" s="4" t="s">
        <v>733</v>
      </c>
      <c r="F3791" s="4" t="s">
        <v>87</v>
      </c>
      <c r="G3791" s="4" t="s">
        <v>34</v>
      </c>
      <c r="H3791" s="5">
        <v>500000</v>
      </c>
      <c r="I3791" s="4" t="s">
        <v>21</v>
      </c>
      <c r="J3791" s="5">
        <f t="shared" si="59"/>
        <v>-1758500</v>
      </c>
      <c r="K3791" s="4" t="s">
        <v>55</v>
      </c>
      <c r="L3791" s="6">
        <v>3.5169999999999999</v>
      </c>
      <c r="M3791" s="6">
        <v>0.2843</v>
      </c>
      <c r="N3791" s="6">
        <v>3.5045000000000002</v>
      </c>
      <c r="O3791" s="6">
        <v>1</v>
      </c>
      <c r="P3791" s="5">
        <v>-6270</v>
      </c>
      <c r="Q3791" s="4" t="s">
        <v>1391</v>
      </c>
    </row>
    <row r="3792" spans="1:17" x14ac:dyDescent="0.3">
      <c r="A3792" s="2" t="s">
        <v>1389</v>
      </c>
      <c r="B3792" s="3">
        <v>159649</v>
      </c>
      <c r="C3792" s="3">
        <v>220640</v>
      </c>
      <c r="D3792" s="4" t="s">
        <v>17</v>
      </c>
      <c r="E3792" s="4" t="s">
        <v>773</v>
      </c>
      <c r="F3792" s="4" t="s">
        <v>19</v>
      </c>
      <c r="G3792" s="4" t="s">
        <v>20</v>
      </c>
      <c r="H3792" s="5">
        <v>26500</v>
      </c>
      <c r="I3792" s="4" t="s">
        <v>21</v>
      </c>
      <c r="J3792" s="5">
        <f t="shared" si="59"/>
        <v>-110976.70000000001</v>
      </c>
      <c r="K3792" s="4" t="s">
        <v>54</v>
      </c>
      <c r="L3792" s="6">
        <v>4.1878000000000002</v>
      </c>
      <c r="M3792" s="6">
        <v>0.23880000000000001</v>
      </c>
      <c r="N3792" s="6">
        <v>4.2118000000000002</v>
      </c>
      <c r="O3792" s="6">
        <v>1</v>
      </c>
      <c r="P3792" s="5">
        <v>636</v>
      </c>
      <c r="Q3792" s="4" t="s">
        <v>1390</v>
      </c>
    </row>
    <row r="3793" spans="1:17" x14ac:dyDescent="0.3">
      <c r="A3793" s="2" t="s">
        <v>1389</v>
      </c>
      <c r="B3793" s="3">
        <v>159650</v>
      </c>
      <c r="C3793" s="3">
        <v>912325</v>
      </c>
      <c r="D3793" s="4" t="s">
        <v>81</v>
      </c>
      <c r="E3793" s="4" t="s">
        <v>734</v>
      </c>
      <c r="F3793" s="4" t="s">
        <v>87</v>
      </c>
      <c r="G3793" s="4" t="s">
        <v>34</v>
      </c>
      <c r="H3793" s="5">
        <v>500000</v>
      </c>
      <c r="I3793" s="4" t="s">
        <v>21</v>
      </c>
      <c r="J3793" s="5">
        <f t="shared" si="59"/>
        <v>-1758500</v>
      </c>
      <c r="K3793" s="4" t="s">
        <v>55</v>
      </c>
      <c r="L3793" s="6">
        <v>3.5169999999999999</v>
      </c>
      <c r="M3793" s="6">
        <v>0.2843</v>
      </c>
      <c r="N3793" s="6">
        <v>3.5045000000000002</v>
      </c>
      <c r="O3793" s="6">
        <v>1</v>
      </c>
      <c r="P3793" s="5">
        <v>-6250</v>
      </c>
      <c r="Q3793" s="4" t="s">
        <v>1393</v>
      </c>
    </row>
    <row r="3794" spans="1:17" x14ac:dyDescent="0.3">
      <c r="A3794" s="2" t="s">
        <v>1389</v>
      </c>
      <c r="B3794" s="3">
        <v>159651</v>
      </c>
      <c r="C3794" s="3">
        <v>912326</v>
      </c>
      <c r="D3794" s="4" t="s">
        <v>81</v>
      </c>
      <c r="E3794" s="4" t="s">
        <v>733</v>
      </c>
      <c r="F3794" s="4" t="s">
        <v>87</v>
      </c>
      <c r="G3794" s="4" t="s">
        <v>34</v>
      </c>
      <c r="H3794" s="5">
        <v>500000</v>
      </c>
      <c r="I3794" s="4" t="s">
        <v>21</v>
      </c>
      <c r="J3794" s="5">
        <f t="shared" si="59"/>
        <v>-1758350</v>
      </c>
      <c r="K3794" s="4" t="s">
        <v>55</v>
      </c>
      <c r="L3794" s="6">
        <v>3.5167000000000002</v>
      </c>
      <c r="M3794" s="6">
        <v>0.28439999999999999</v>
      </c>
      <c r="N3794" s="6">
        <v>3.5045000000000002</v>
      </c>
      <c r="O3794" s="6">
        <v>1</v>
      </c>
      <c r="P3794" s="5">
        <v>-6085</v>
      </c>
      <c r="Q3794" s="4" t="s">
        <v>1391</v>
      </c>
    </row>
    <row r="3795" spans="1:17" x14ac:dyDescent="0.3">
      <c r="A3795" s="2" t="s">
        <v>1389</v>
      </c>
      <c r="B3795" s="3">
        <v>159652</v>
      </c>
      <c r="C3795" s="3">
        <v>912327</v>
      </c>
      <c r="D3795" s="4" t="s">
        <v>81</v>
      </c>
      <c r="E3795" s="4" t="s">
        <v>735</v>
      </c>
      <c r="F3795" s="4" t="s">
        <v>87</v>
      </c>
      <c r="G3795" s="4" t="s">
        <v>34</v>
      </c>
      <c r="H3795" s="5">
        <v>500000</v>
      </c>
      <c r="I3795" s="4" t="s">
        <v>21</v>
      </c>
      <c r="J3795" s="5">
        <f t="shared" si="59"/>
        <v>-1758350</v>
      </c>
      <c r="K3795" s="4" t="s">
        <v>55</v>
      </c>
      <c r="L3795" s="6">
        <v>3.5167000000000002</v>
      </c>
      <c r="M3795" s="6">
        <v>0.28439999999999999</v>
      </c>
      <c r="N3795" s="6">
        <v>3.5045000000000002</v>
      </c>
      <c r="O3795" s="6">
        <v>1</v>
      </c>
      <c r="P3795" s="5">
        <v>-6100</v>
      </c>
      <c r="Q3795" s="4" t="s">
        <v>1394</v>
      </c>
    </row>
    <row r="3796" spans="1:17" x14ac:dyDescent="0.3">
      <c r="A3796" s="2" t="s">
        <v>1389</v>
      </c>
      <c r="B3796" s="3">
        <v>159654</v>
      </c>
      <c r="C3796" s="3">
        <v>220643</v>
      </c>
      <c r="D3796" s="4" t="s">
        <v>17</v>
      </c>
      <c r="E3796" s="4" t="s">
        <v>1254</v>
      </c>
      <c r="F3796" s="4" t="s">
        <v>19</v>
      </c>
      <c r="G3796" s="4" t="s">
        <v>20</v>
      </c>
      <c r="H3796" s="5">
        <v>36400</v>
      </c>
      <c r="I3796" s="4" t="s">
        <v>21</v>
      </c>
      <c r="J3796" s="5">
        <f t="shared" si="59"/>
        <v>-152435.92000000001</v>
      </c>
      <c r="K3796" s="4" t="s">
        <v>54</v>
      </c>
      <c r="L3796" s="6">
        <v>4.1878000000000002</v>
      </c>
      <c r="M3796" s="6">
        <v>0.23880000000000001</v>
      </c>
      <c r="N3796" s="6">
        <v>4.2118000000000002</v>
      </c>
      <c r="O3796" s="6">
        <v>1</v>
      </c>
      <c r="P3796" s="5">
        <v>873.60000000000582</v>
      </c>
      <c r="Q3796" s="4" t="s">
        <v>1390</v>
      </c>
    </row>
    <row r="3797" spans="1:17" x14ac:dyDescent="0.3">
      <c r="A3797" s="2" t="s">
        <v>1389</v>
      </c>
      <c r="B3797" s="3">
        <v>159655</v>
      </c>
      <c r="C3797" s="3">
        <v>912334</v>
      </c>
      <c r="D3797" s="4" t="s">
        <v>81</v>
      </c>
      <c r="E3797" s="4" t="s">
        <v>769</v>
      </c>
      <c r="F3797" s="4" t="s">
        <v>83</v>
      </c>
      <c r="G3797" s="4" t="s">
        <v>20</v>
      </c>
      <c r="H3797" s="5">
        <v>-150000</v>
      </c>
      <c r="I3797" s="4" t="s">
        <v>21</v>
      </c>
      <c r="J3797" s="5">
        <f t="shared" si="59"/>
        <v>630405</v>
      </c>
      <c r="K3797" s="4" t="s">
        <v>55</v>
      </c>
      <c r="L3797" s="6">
        <v>4.2027000000000001</v>
      </c>
      <c r="M3797" s="6">
        <v>0.2379</v>
      </c>
      <c r="N3797" s="6">
        <v>4.2008999999999999</v>
      </c>
      <c r="O3797" s="6">
        <v>1</v>
      </c>
      <c r="P3797" s="5">
        <v>270</v>
      </c>
      <c r="Q3797" s="4" t="s">
        <v>1390</v>
      </c>
    </row>
    <row r="3798" spans="1:17" x14ac:dyDescent="0.3">
      <c r="A3798" s="2" t="s">
        <v>1389</v>
      </c>
      <c r="B3798" s="3">
        <v>159656</v>
      </c>
      <c r="C3798" s="3">
        <v>220644</v>
      </c>
      <c r="D3798" s="4" t="s">
        <v>17</v>
      </c>
      <c r="E3798" s="4" t="s">
        <v>1034</v>
      </c>
      <c r="F3798" s="4" t="s">
        <v>19</v>
      </c>
      <c r="G3798" s="4" t="s">
        <v>20</v>
      </c>
      <c r="H3798" s="5">
        <v>9900</v>
      </c>
      <c r="I3798" s="4" t="s">
        <v>21</v>
      </c>
      <c r="J3798" s="5">
        <f t="shared" si="59"/>
        <v>-41459.22</v>
      </c>
      <c r="K3798" s="4" t="s">
        <v>54</v>
      </c>
      <c r="L3798" s="6">
        <v>4.1878000000000002</v>
      </c>
      <c r="M3798" s="6">
        <v>0.23880000000000001</v>
      </c>
      <c r="N3798" s="6">
        <v>4.2118000000000002</v>
      </c>
      <c r="O3798" s="6">
        <v>1</v>
      </c>
      <c r="P3798" s="5">
        <v>237.59999999999854</v>
      </c>
      <c r="Q3798" s="4" t="s">
        <v>1390</v>
      </c>
    </row>
    <row r="3799" spans="1:17" x14ac:dyDescent="0.3">
      <c r="A3799" s="2" t="s">
        <v>1389</v>
      </c>
      <c r="B3799" s="3">
        <v>159657</v>
      </c>
      <c r="C3799" s="3">
        <v>912341</v>
      </c>
      <c r="D3799" s="4" t="s">
        <v>81</v>
      </c>
      <c r="E3799" s="4" t="s">
        <v>733</v>
      </c>
      <c r="F3799" s="4" t="s">
        <v>87</v>
      </c>
      <c r="G3799" s="4" t="s">
        <v>34</v>
      </c>
      <c r="H3799" s="5">
        <v>500000</v>
      </c>
      <c r="I3799" s="4" t="s">
        <v>21</v>
      </c>
      <c r="J3799" s="5">
        <f t="shared" si="59"/>
        <v>-1756550</v>
      </c>
      <c r="K3799" s="4" t="s">
        <v>55</v>
      </c>
      <c r="L3799" s="6">
        <v>3.5131000000000001</v>
      </c>
      <c r="M3799" s="6">
        <v>0.28460000000000002</v>
      </c>
      <c r="N3799" s="6">
        <v>3.5045000000000002</v>
      </c>
      <c r="O3799" s="6">
        <v>1</v>
      </c>
      <c r="P3799" s="5">
        <v>-4295</v>
      </c>
      <c r="Q3799" s="4" t="s">
        <v>1391</v>
      </c>
    </row>
    <row r="3800" spans="1:17" x14ac:dyDescent="0.3">
      <c r="A3800" s="2" t="s">
        <v>1389</v>
      </c>
      <c r="B3800" s="3">
        <v>159660</v>
      </c>
      <c r="C3800" s="3">
        <v>220648</v>
      </c>
      <c r="D3800" s="4" t="s">
        <v>17</v>
      </c>
      <c r="E3800" s="4" t="s">
        <v>761</v>
      </c>
      <c r="F3800" s="4" t="s">
        <v>32</v>
      </c>
      <c r="G3800" s="4" t="s">
        <v>20</v>
      </c>
      <c r="H3800" s="5">
        <v>-50000</v>
      </c>
      <c r="I3800" s="4" t="s">
        <v>21</v>
      </c>
      <c r="J3800" s="5">
        <f t="shared" si="59"/>
        <v>210020</v>
      </c>
      <c r="K3800" s="4" t="s">
        <v>54</v>
      </c>
      <c r="L3800" s="6">
        <v>4.2004000000000001</v>
      </c>
      <c r="M3800" s="6">
        <v>0.23810000000000001</v>
      </c>
      <c r="N3800" s="6">
        <v>4.2118000000000002</v>
      </c>
      <c r="O3800" s="6">
        <v>1</v>
      </c>
      <c r="P3800" s="5">
        <v>-590</v>
      </c>
      <c r="Q3800" s="4" t="s">
        <v>1390</v>
      </c>
    </row>
    <row r="3801" spans="1:17" x14ac:dyDescent="0.3">
      <c r="A3801" s="2" t="s">
        <v>1389</v>
      </c>
      <c r="B3801" s="3">
        <v>159661</v>
      </c>
      <c r="C3801" s="3">
        <v>912351</v>
      </c>
      <c r="D3801" s="4" t="s">
        <v>81</v>
      </c>
      <c r="E3801" s="4" t="s">
        <v>735</v>
      </c>
      <c r="F3801" s="4" t="s">
        <v>87</v>
      </c>
      <c r="G3801" s="4" t="s">
        <v>20</v>
      </c>
      <c r="H3801" s="5">
        <v>2000000</v>
      </c>
      <c r="I3801" s="4" t="s">
        <v>21</v>
      </c>
      <c r="J3801" s="5">
        <f t="shared" si="59"/>
        <v>-8396000</v>
      </c>
      <c r="K3801" s="4" t="s">
        <v>55</v>
      </c>
      <c r="L3801" s="6">
        <v>4.1980000000000004</v>
      </c>
      <c r="M3801" s="6">
        <v>0.2382</v>
      </c>
      <c r="N3801" s="6">
        <v>4.2008999999999999</v>
      </c>
      <c r="O3801" s="6">
        <v>1</v>
      </c>
      <c r="P3801" s="5">
        <v>5800</v>
      </c>
      <c r="Q3801" s="4" t="s">
        <v>1394</v>
      </c>
    </row>
    <row r="3802" spans="1:17" x14ac:dyDescent="0.3">
      <c r="A3802" s="2" t="s">
        <v>1389</v>
      </c>
      <c r="B3802" s="3">
        <v>159662</v>
      </c>
      <c r="C3802" s="3">
        <v>912352</v>
      </c>
      <c r="D3802" s="4" t="s">
        <v>81</v>
      </c>
      <c r="E3802" s="4" t="s">
        <v>734</v>
      </c>
      <c r="F3802" s="4" t="s">
        <v>87</v>
      </c>
      <c r="G3802" s="4" t="s">
        <v>20</v>
      </c>
      <c r="H3802" s="5">
        <v>500000</v>
      </c>
      <c r="I3802" s="4" t="s">
        <v>21</v>
      </c>
      <c r="J3802" s="5">
        <f t="shared" si="59"/>
        <v>-2099000</v>
      </c>
      <c r="K3802" s="4" t="s">
        <v>55</v>
      </c>
      <c r="L3802" s="6">
        <v>4.1980000000000004</v>
      </c>
      <c r="M3802" s="6">
        <v>0.2382</v>
      </c>
      <c r="N3802" s="6">
        <v>4.2008999999999999</v>
      </c>
      <c r="O3802" s="6">
        <v>1</v>
      </c>
      <c r="P3802" s="5">
        <v>1450</v>
      </c>
      <c r="Q3802" s="4" t="s">
        <v>1393</v>
      </c>
    </row>
    <row r="3803" spans="1:17" x14ac:dyDescent="0.3">
      <c r="A3803" s="2" t="s">
        <v>1389</v>
      </c>
      <c r="B3803" s="3">
        <v>159663</v>
      </c>
      <c r="C3803" s="3">
        <v>220649</v>
      </c>
      <c r="D3803" s="4" t="s">
        <v>17</v>
      </c>
      <c r="E3803" s="4" t="s">
        <v>1316</v>
      </c>
      <c r="F3803" s="4" t="s">
        <v>32</v>
      </c>
      <c r="G3803" s="4" t="s">
        <v>20</v>
      </c>
      <c r="H3803" s="5">
        <v>-100000</v>
      </c>
      <c r="I3803" s="4" t="s">
        <v>21</v>
      </c>
      <c r="J3803" s="5">
        <f t="shared" si="59"/>
        <v>420040</v>
      </c>
      <c r="K3803" s="4" t="s">
        <v>54</v>
      </c>
      <c r="L3803" s="6">
        <v>4.2004000000000001</v>
      </c>
      <c r="M3803" s="6">
        <v>0.23810000000000001</v>
      </c>
      <c r="N3803" s="6">
        <v>4.2118000000000002</v>
      </c>
      <c r="O3803" s="6">
        <v>1</v>
      </c>
      <c r="P3803" s="5">
        <v>-1180</v>
      </c>
      <c r="Q3803" s="4" t="s">
        <v>1390</v>
      </c>
    </row>
    <row r="3804" spans="1:17" x14ac:dyDescent="0.3">
      <c r="A3804" s="2" t="s">
        <v>1389</v>
      </c>
      <c r="B3804" s="3">
        <v>159664</v>
      </c>
      <c r="C3804" s="3">
        <v>220650</v>
      </c>
      <c r="D3804" s="4" t="s">
        <v>17</v>
      </c>
      <c r="E3804" s="4" t="s">
        <v>1316</v>
      </c>
      <c r="F3804" s="4" t="s">
        <v>32</v>
      </c>
      <c r="G3804" s="4" t="s">
        <v>20</v>
      </c>
      <c r="H3804" s="5">
        <v>-100000</v>
      </c>
      <c r="I3804" s="4" t="s">
        <v>21</v>
      </c>
      <c r="J3804" s="5">
        <f t="shared" si="59"/>
        <v>420040</v>
      </c>
      <c r="K3804" s="4" t="s">
        <v>54</v>
      </c>
      <c r="L3804" s="6">
        <v>4.2004000000000001</v>
      </c>
      <c r="M3804" s="6">
        <v>0.23810000000000001</v>
      </c>
      <c r="N3804" s="6">
        <v>4.2118000000000002</v>
      </c>
      <c r="O3804" s="6">
        <v>1</v>
      </c>
      <c r="P3804" s="5">
        <v>-1180</v>
      </c>
      <c r="Q3804" s="4" t="s">
        <v>1390</v>
      </c>
    </row>
    <row r="3805" spans="1:17" x14ac:dyDescent="0.3">
      <c r="A3805" s="2" t="s">
        <v>1389</v>
      </c>
      <c r="B3805" s="3">
        <v>159665</v>
      </c>
      <c r="C3805" s="3">
        <v>220651</v>
      </c>
      <c r="D3805" s="4" t="s">
        <v>17</v>
      </c>
      <c r="E3805" s="4" t="s">
        <v>1316</v>
      </c>
      <c r="F3805" s="4" t="s">
        <v>32</v>
      </c>
      <c r="G3805" s="4" t="s">
        <v>20</v>
      </c>
      <c r="H3805" s="5">
        <v>-100000</v>
      </c>
      <c r="I3805" s="4" t="s">
        <v>21</v>
      </c>
      <c r="J3805" s="5">
        <f t="shared" si="59"/>
        <v>420040</v>
      </c>
      <c r="K3805" s="4" t="s">
        <v>54</v>
      </c>
      <c r="L3805" s="6">
        <v>4.2004000000000001</v>
      </c>
      <c r="M3805" s="6">
        <v>0.23810000000000001</v>
      </c>
      <c r="N3805" s="6">
        <v>4.2118000000000002</v>
      </c>
      <c r="O3805" s="6">
        <v>1</v>
      </c>
      <c r="P3805" s="5">
        <v>-1180</v>
      </c>
      <c r="Q3805" s="4" t="s">
        <v>1390</v>
      </c>
    </row>
    <row r="3806" spans="1:17" x14ac:dyDescent="0.3">
      <c r="A3806" s="2" t="s">
        <v>1389</v>
      </c>
      <c r="B3806" s="3">
        <v>159666</v>
      </c>
      <c r="C3806" s="3">
        <v>912362</v>
      </c>
      <c r="D3806" s="4" t="s">
        <v>81</v>
      </c>
      <c r="E3806" s="4" t="s">
        <v>733</v>
      </c>
      <c r="F3806" s="4" t="s">
        <v>87</v>
      </c>
      <c r="G3806" s="4" t="s">
        <v>20</v>
      </c>
      <c r="H3806" s="5">
        <v>500000</v>
      </c>
      <c r="I3806" s="4" t="s">
        <v>21</v>
      </c>
      <c r="J3806" s="5">
        <f t="shared" si="59"/>
        <v>-2099100</v>
      </c>
      <c r="K3806" s="4" t="s">
        <v>55</v>
      </c>
      <c r="L3806" s="6">
        <v>4.1981999999999999</v>
      </c>
      <c r="M3806" s="6">
        <v>0.2382</v>
      </c>
      <c r="N3806" s="6">
        <v>4.2008999999999999</v>
      </c>
      <c r="O3806" s="6">
        <v>1</v>
      </c>
      <c r="P3806" s="5">
        <v>1325</v>
      </c>
      <c r="Q3806" s="4" t="s">
        <v>1391</v>
      </c>
    </row>
    <row r="3807" spans="1:17" x14ac:dyDescent="0.3">
      <c r="A3807" s="2" t="s">
        <v>1389</v>
      </c>
      <c r="B3807" s="3">
        <v>159667</v>
      </c>
      <c r="C3807" s="3">
        <v>912363</v>
      </c>
      <c r="D3807" s="4" t="s">
        <v>81</v>
      </c>
      <c r="E3807" s="4" t="s">
        <v>733</v>
      </c>
      <c r="F3807" s="4" t="s">
        <v>87</v>
      </c>
      <c r="G3807" s="4" t="s">
        <v>20</v>
      </c>
      <c r="H3807" s="5">
        <v>500000</v>
      </c>
      <c r="I3807" s="4" t="s">
        <v>21</v>
      </c>
      <c r="J3807" s="5">
        <f t="shared" si="59"/>
        <v>-2099000</v>
      </c>
      <c r="K3807" s="4" t="s">
        <v>55</v>
      </c>
      <c r="L3807" s="6">
        <v>4.1980000000000004</v>
      </c>
      <c r="M3807" s="6">
        <v>0.2382</v>
      </c>
      <c r="N3807" s="6">
        <v>4.2008999999999999</v>
      </c>
      <c r="O3807" s="6">
        <v>1</v>
      </c>
      <c r="P3807" s="5">
        <v>1430</v>
      </c>
      <c r="Q3807" s="4" t="s">
        <v>1391</v>
      </c>
    </row>
    <row r="3808" spans="1:17" x14ac:dyDescent="0.3">
      <c r="A3808" s="2" t="s">
        <v>1389</v>
      </c>
      <c r="B3808" s="3">
        <v>159668</v>
      </c>
      <c r="C3808" s="3">
        <v>912364</v>
      </c>
      <c r="D3808" s="4" t="s">
        <v>81</v>
      </c>
      <c r="E3808" s="4" t="s">
        <v>732</v>
      </c>
      <c r="F3808" s="4" t="s">
        <v>83</v>
      </c>
      <c r="G3808" s="4" t="s">
        <v>20</v>
      </c>
      <c r="H3808" s="5">
        <v>-500000</v>
      </c>
      <c r="I3808" s="4" t="s">
        <v>21</v>
      </c>
      <c r="J3808" s="5">
        <f t="shared" si="59"/>
        <v>2099050</v>
      </c>
      <c r="K3808" s="4" t="s">
        <v>55</v>
      </c>
      <c r="L3808" s="6">
        <v>4.1981000000000002</v>
      </c>
      <c r="M3808" s="6">
        <v>0.2382</v>
      </c>
      <c r="N3808" s="6">
        <v>4.2008999999999999</v>
      </c>
      <c r="O3808" s="6">
        <v>1</v>
      </c>
      <c r="P3808" s="5">
        <v>-1400</v>
      </c>
      <c r="Q3808" s="4" t="s">
        <v>1394</v>
      </c>
    </row>
    <row r="3809" spans="1:17" x14ac:dyDescent="0.3">
      <c r="A3809" s="2" t="s">
        <v>1389</v>
      </c>
      <c r="B3809" s="3">
        <v>159669</v>
      </c>
      <c r="C3809" s="3">
        <v>912365</v>
      </c>
      <c r="D3809" s="4" t="s">
        <v>81</v>
      </c>
      <c r="E3809" s="4" t="s">
        <v>733</v>
      </c>
      <c r="F3809" s="4" t="s">
        <v>87</v>
      </c>
      <c r="G3809" s="4" t="s">
        <v>20</v>
      </c>
      <c r="H3809" s="5">
        <v>500000</v>
      </c>
      <c r="I3809" s="4" t="s">
        <v>21</v>
      </c>
      <c r="J3809" s="5">
        <f t="shared" si="59"/>
        <v>-2099100</v>
      </c>
      <c r="K3809" s="4" t="s">
        <v>55</v>
      </c>
      <c r="L3809" s="6">
        <v>4.1981999999999999</v>
      </c>
      <c r="M3809" s="6">
        <v>0.2382</v>
      </c>
      <c r="N3809" s="6">
        <v>4.2008999999999999</v>
      </c>
      <c r="O3809" s="6">
        <v>1</v>
      </c>
      <c r="P3809" s="5">
        <v>1345</v>
      </c>
      <c r="Q3809" s="4" t="s">
        <v>1391</v>
      </c>
    </row>
    <row r="3810" spans="1:17" x14ac:dyDescent="0.3">
      <c r="A3810" s="2" t="s">
        <v>1389</v>
      </c>
      <c r="B3810" s="3">
        <v>159670</v>
      </c>
      <c r="C3810" s="3">
        <v>912366</v>
      </c>
      <c r="D3810" s="4" t="s">
        <v>81</v>
      </c>
      <c r="E3810" s="4" t="s">
        <v>733</v>
      </c>
      <c r="F3810" s="4" t="s">
        <v>87</v>
      </c>
      <c r="G3810" s="4" t="s">
        <v>20</v>
      </c>
      <c r="H3810" s="5">
        <v>500000</v>
      </c>
      <c r="I3810" s="4" t="s">
        <v>21</v>
      </c>
      <c r="J3810" s="5">
        <f t="shared" si="59"/>
        <v>-2099100</v>
      </c>
      <c r="K3810" s="4" t="s">
        <v>55</v>
      </c>
      <c r="L3810" s="6">
        <v>4.1981999999999999</v>
      </c>
      <c r="M3810" s="6">
        <v>0.2382</v>
      </c>
      <c r="N3810" s="6">
        <v>4.2008999999999999</v>
      </c>
      <c r="O3810" s="6">
        <v>1</v>
      </c>
      <c r="P3810" s="5">
        <v>1345</v>
      </c>
      <c r="Q3810" s="4" t="s">
        <v>1391</v>
      </c>
    </row>
    <row r="3811" spans="1:17" x14ac:dyDescent="0.3">
      <c r="A3811" s="2" t="s">
        <v>1389</v>
      </c>
      <c r="B3811" s="3">
        <v>159671</v>
      </c>
      <c r="C3811" s="3">
        <v>912367</v>
      </c>
      <c r="D3811" s="4" t="s">
        <v>81</v>
      </c>
      <c r="E3811" s="4" t="s">
        <v>733</v>
      </c>
      <c r="F3811" s="4" t="s">
        <v>87</v>
      </c>
      <c r="G3811" s="4" t="s">
        <v>20</v>
      </c>
      <c r="H3811" s="5">
        <v>500000</v>
      </c>
      <c r="I3811" s="4" t="s">
        <v>21</v>
      </c>
      <c r="J3811" s="5">
        <f t="shared" si="59"/>
        <v>-2099100</v>
      </c>
      <c r="K3811" s="4" t="s">
        <v>55</v>
      </c>
      <c r="L3811" s="6">
        <v>4.1981999999999999</v>
      </c>
      <c r="M3811" s="6">
        <v>0.2382</v>
      </c>
      <c r="N3811" s="6">
        <v>4.2008999999999999</v>
      </c>
      <c r="O3811" s="6">
        <v>1</v>
      </c>
      <c r="P3811" s="5">
        <v>1325</v>
      </c>
      <c r="Q3811" s="4" t="s">
        <v>1391</v>
      </c>
    </row>
    <row r="3812" spans="1:17" x14ac:dyDescent="0.3">
      <c r="A3812" s="2" t="s">
        <v>1389</v>
      </c>
      <c r="B3812" s="3">
        <v>159672</v>
      </c>
      <c r="C3812" s="3">
        <v>912368</v>
      </c>
      <c r="D3812" s="4" t="s">
        <v>81</v>
      </c>
      <c r="E3812" s="4" t="s">
        <v>733</v>
      </c>
      <c r="F3812" s="4" t="s">
        <v>87</v>
      </c>
      <c r="G3812" s="4" t="s">
        <v>20</v>
      </c>
      <c r="H3812" s="5">
        <v>500000</v>
      </c>
      <c r="I3812" s="4" t="s">
        <v>21</v>
      </c>
      <c r="J3812" s="5">
        <f t="shared" si="59"/>
        <v>-2099100</v>
      </c>
      <c r="K3812" s="4" t="s">
        <v>55</v>
      </c>
      <c r="L3812" s="6">
        <v>4.1981999999999999</v>
      </c>
      <c r="M3812" s="6">
        <v>0.2382</v>
      </c>
      <c r="N3812" s="6">
        <v>4.2008999999999999</v>
      </c>
      <c r="O3812" s="6">
        <v>1</v>
      </c>
      <c r="P3812" s="5">
        <v>1325</v>
      </c>
      <c r="Q3812" s="4" t="s">
        <v>1391</v>
      </c>
    </row>
    <row r="3813" spans="1:17" x14ac:dyDescent="0.3">
      <c r="A3813" s="2" t="s">
        <v>1389</v>
      </c>
      <c r="B3813" s="3">
        <v>159673</v>
      </c>
      <c r="C3813" s="3">
        <v>912369</v>
      </c>
      <c r="D3813" s="4" t="s">
        <v>81</v>
      </c>
      <c r="E3813" s="4" t="s">
        <v>733</v>
      </c>
      <c r="F3813" s="4" t="s">
        <v>87</v>
      </c>
      <c r="G3813" s="4" t="s">
        <v>20</v>
      </c>
      <c r="H3813" s="5">
        <v>500000</v>
      </c>
      <c r="I3813" s="4" t="s">
        <v>21</v>
      </c>
      <c r="J3813" s="5">
        <f t="shared" si="59"/>
        <v>-2099100</v>
      </c>
      <c r="K3813" s="4" t="s">
        <v>55</v>
      </c>
      <c r="L3813" s="6">
        <v>4.1981999999999999</v>
      </c>
      <c r="M3813" s="6">
        <v>0.2382</v>
      </c>
      <c r="N3813" s="6">
        <v>4.2008999999999999</v>
      </c>
      <c r="O3813" s="6">
        <v>1</v>
      </c>
      <c r="P3813" s="5">
        <v>1345</v>
      </c>
      <c r="Q3813" s="4" t="s">
        <v>1391</v>
      </c>
    </row>
    <row r="3814" spans="1:17" x14ac:dyDescent="0.3">
      <c r="A3814" s="2" t="s">
        <v>1389</v>
      </c>
      <c r="B3814" s="3">
        <v>159674</v>
      </c>
      <c r="C3814" s="3">
        <v>912370</v>
      </c>
      <c r="D3814" s="4" t="s">
        <v>81</v>
      </c>
      <c r="E3814" s="4" t="s">
        <v>733</v>
      </c>
      <c r="F3814" s="4" t="s">
        <v>87</v>
      </c>
      <c r="G3814" s="4" t="s">
        <v>20</v>
      </c>
      <c r="H3814" s="5">
        <v>500000</v>
      </c>
      <c r="I3814" s="4" t="s">
        <v>21</v>
      </c>
      <c r="J3814" s="5">
        <f t="shared" si="59"/>
        <v>-2098900</v>
      </c>
      <c r="K3814" s="4" t="s">
        <v>55</v>
      </c>
      <c r="L3814" s="6">
        <v>4.1978</v>
      </c>
      <c r="M3814" s="6">
        <v>0.2382</v>
      </c>
      <c r="N3814" s="6">
        <v>4.2008999999999999</v>
      </c>
      <c r="O3814" s="6">
        <v>1</v>
      </c>
      <c r="P3814" s="5">
        <v>1540</v>
      </c>
      <c r="Q3814" s="4" t="s">
        <v>1391</v>
      </c>
    </row>
    <row r="3815" spans="1:17" x14ac:dyDescent="0.3">
      <c r="A3815" s="2" t="s">
        <v>1389</v>
      </c>
      <c r="B3815" s="3">
        <v>159675</v>
      </c>
      <c r="C3815" s="3">
        <v>912371</v>
      </c>
      <c r="D3815" s="4" t="s">
        <v>81</v>
      </c>
      <c r="E3815" s="4" t="s">
        <v>733</v>
      </c>
      <c r="F3815" s="4" t="s">
        <v>87</v>
      </c>
      <c r="G3815" s="4" t="s">
        <v>20</v>
      </c>
      <c r="H3815" s="5">
        <v>500000</v>
      </c>
      <c r="I3815" s="4" t="s">
        <v>21</v>
      </c>
      <c r="J3815" s="5">
        <f t="shared" si="59"/>
        <v>-2098900</v>
      </c>
      <c r="K3815" s="4" t="s">
        <v>55</v>
      </c>
      <c r="L3815" s="6">
        <v>4.1978</v>
      </c>
      <c r="M3815" s="6">
        <v>0.2382</v>
      </c>
      <c r="N3815" s="6">
        <v>4.2008999999999999</v>
      </c>
      <c r="O3815" s="6">
        <v>1</v>
      </c>
      <c r="P3815" s="5">
        <v>1550</v>
      </c>
      <c r="Q3815" s="4" t="s">
        <v>1391</v>
      </c>
    </row>
    <row r="3816" spans="1:17" x14ac:dyDescent="0.3">
      <c r="A3816" s="2" t="s">
        <v>1389</v>
      </c>
      <c r="B3816" s="3">
        <v>159676</v>
      </c>
      <c r="C3816" s="3">
        <v>912372</v>
      </c>
      <c r="D3816" s="4" t="s">
        <v>81</v>
      </c>
      <c r="E3816" s="4" t="s">
        <v>733</v>
      </c>
      <c r="F3816" s="4" t="s">
        <v>87</v>
      </c>
      <c r="G3816" s="4" t="s">
        <v>20</v>
      </c>
      <c r="H3816" s="5">
        <v>500000</v>
      </c>
      <c r="I3816" s="4" t="s">
        <v>21</v>
      </c>
      <c r="J3816" s="5">
        <f t="shared" si="59"/>
        <v>-2098900</v>
      </c>
      <c r="K3816" s="4" t="s">
        <v>55</v>
      </c>
      <c r="L3816" s="6">
        <v>4.1978</v>
      </c>
      <c r="M3816" s="6">
        <v>0.2382</v>
      </c>
      <c r="N3816" s="6">
        <v>4.2008999999999999</v>
      </c>
      <c r="O3816" s="6">
        <v>1</v>
      </c>
      <c r="P3816" s="5">
        <v>1545</v>
      </c>
      <c r="Q3816" s="4" t="s">
        <v>1391</v>
      </c>
    </row>
    <row r="3817" spans="1:17" x14ac:dyDescent="0.3">
      <c r="A3817" s="2" t="s">
        <v>1389</v>
      </c>
      <c r="B3817" s="3">
        <v>159677</v>
      </c>
      <c r="C3817" s="3">
        <v>912373</v>
      </c>
      <c r="D3817" s="4" t="s">
        <v>81</v>
      </c>
      <c r="E3817" s="4" t="s">
        <v>733</v>
      </c>
      <c r="F3817" s="4" t="s">
        <v>87</v>
      </c>
      <c r="G3817" s="4" t="s">
        <v>20</v>
      </c>
      <c r="H3817" s="5">
        <v>500000</v>
      </c>
      <c r="I3817" s="4" t="s">
        <v>21</v>
      </c>
      <c r="J3817" s="5">
        <f t="shared" si="59"/>
        <v>-2099000</v>
      </c>
      <c r="K3817" s="4" t="s">
        <v>55</v>
      </c>
      <c r="L3817" s="6">
        <v>4.1980000000000004</v>
      </c>
      <c r="M3817" s="6">
        <v>0.2382</v>
      </c>
      <c r="N3817" s="6">
        <v>4.2008999999999999</v>
      </c>
      <c r="O3817" s="6">
        <v>1</v>
      </c>
      <c r="P3817" s="5">
        <v>1430</v>
      </c>
      <c r="Q3817" s="4" t="s">
        <v>1391</v>
      </c>
    </row>
    <row r="3818" spans="1:17" x14ac:dyDescent="0.3">
      <c r="A3818" s="2" t="s">
        <v>1389</v>
      </c>
      <c r="B3818" s="3">
        <v>159678</v>
      </c>
      <c r="C3818" s="3">
        <v>912374</v>
      </c>
      <c r="D3818" s="4" t="s">
        <v>81</v>
      </c>
      <c r="E3818" s="4" t="s">
        <v>733</v>
      </c>
      <c r="F3818" s="4" t="s">
        <v>87</v>
      </c>
      <c r="G3818" s="4" t="s">
        <v>20</v>
      </c>
      <c r="H3818" s="5">
        <v>500000</v>
      </c>
      <c r="I3818" s="4" t="s">
        <v>21</v>
      </c>
      <c r="J3818" s="5">
        <f t="shared" si="59"/>
        <v>-2098750</v>
      </c>
      <c r="K3818" s="4" t="s">
        <v>55</v>
      </c>
      <c r="L3818" s="6">
        <v>4.1974999999999998</v>
      </c>
      <c r="M3818" s="6">
        <v>0.2382</v>
      </c>
      <c r="N3818" s="6">
        <v>4.2008999999999999</v>
      </c>
      <c r="O3818" s="6">
        <v>1</v>
      </c>
      <c r="P3818" s="5">
        <v>1685</v>
      </c>
      <c r="Q3818" s="4" t="s">
        <v>1391</v>
      </c>
    </row>
    <row r="3819" spans="1:17" x14ac:dyDescent="0.3">
      <c r="A3819" s="2" t="s">
        <v>1389</v>
      </c>
      <c r="B3819" s="3">
        <v>159679</v>
      </c>
      <c r="C3819" s="3">
        <v>912375</v>
      </c>
      <c r="D3819" s="4" t="s">
        <v>81</v>
      </c>
      <c r="E3819" s="4" t="s">
        <v>733</v>
      </c>
      <c r="F3819" s="4" t="s">
        <v>87</v>
      </c>
      <c r="G3819" s="4" t="s">
        <v>20</v>
      </c>
      <c r="H3819" s="5">
        <v>100000</v>
      </c>
      <c r="I3819" s="4" t="s">
        <v>89</v>
      </c>
      <c r="J3819" s="5">
        <f t="shared" si="59"/>
        <v>-746770</v>
      </c>
      <c r="K3819" s="4" t="s">
        <v>55</v>
      </c>
      <c r="L3819" s="6">
        <v>7.4676999999999998</v>
      </c>
      <c r="M3819" s="6">
        <v>0.13389999999999999</v>
      </c>
      <c r="N3819" s="6">
        <v>4.2008999999999999</v>
      </c>
      <c r="O3819" s="6">
        <v>0.56259999999999999</v>
      </c>
      <c r="P3819" s="5">
        <v>-42.802</v>
      </c>
      <c r="Q3819" s="4" t="s">
        <v>1391</v>
      </c>
    </row>
    <row r="3820" spans="1:17" x14ac:dyDescent="0.3">
      <c r="A3820" s="2" t="s">
        <v>1389</v>
      </c>
      <c r="B3820" s="3">
        <v>159680</v>
      </c>
      <c r="C3820" s="3">
        <v>912376</v>
      </c>
      <c r="D3820" s="4" t="s">
        <v>81</v>
      </c>
      <c r="E3820" s="4" t="s">
        <v>725</v>
      </c>
      <c r="F3820" s="4" t="s">
        <v>87</v>
      </c>
      <c r="G3820" s="4" t="s">
        <v>20</v>
      </c>
      <c r="H3820" s="5">
        <v>500000</v>
      </c>
      <c r="I3820" s="4" t="s">
        <v>21</v>
      </c>
      <c r="J3820" s="5">
        <f t="shared" si="59"/>
        <v>-2098900</v>
      </c>
      <c r="K3820" s="4" t="s">
        <v>55</v>
      </c>
      <c r="L3820" s="6">
        <v>4.1978</v>
      </c>
      <c r="M3820" s="6">
        <v>0.2382</v>
      </c>
      <c r="N3820" s="6">
        <v>4.2008999999999999</v>
      </c>
      <c r="O3820" s="6">
        <v>1</v>
      </c>
      <c r="P3820" s="5">
        <v>1550</v>
      </c>
      <c r="Q3820" s="4" t="s">
        <v>1392</v>
      </c>
    </row>
    <row r="3821" spans="1:17" x14ac:dyDescent="0.3">
      <c r="A3821" s="2" t="s">
        <v>1389</v>
      </c>
      <c r="B3821" s="3">
        <v>159682</v>
      </c>
      <c r="C3821" s="3">
        <v>912383</v>
      </c>
      <c r="D3821" s="4" t="s">
        <v>81</v>
      </c>
      <c r="E3821" s="4" t="s">
        <v>733</v>
      </c>
      <c r="F3821" s="4" t="s">
        <v>87</v>
      </c>
      <c r="G3821" s="4" t="s">
        <v>20</v>
      </c>
      <c r="H3821" s="5">
        <v>500000</v>
      </c>
      <c r="I3821" s="4" t="s">
        <v>21</v>
      </c>
      <c r="J3821" s="5">
        <f t="shared" si="59"/>
        <v>-2098700</v>
      </c>
      <c r="K3821" s="4" t="s">
        <v>55</v>
      </c>
      <c r="L3821" s="6">
        <v>4.1974</v>
      </c>
      <c r="M3821" s="6">
        <v>0.2382</v>
      </c>
      <c r="N3821" s="6">
        <v>4.2008999999999999</v>
      </c>
      <c r="O3821" s="6">
        <v>1</v>
      </c>
      <c r="P3821" s="5">
        <v>1750</v>
      </c>
      <c r="Q3821" s="4" t="s">
        <v>1391</v>
      </c>
    </row>
    <row r="3822" spans="1:17" x14ac:dyDescent="0.3">
      <c r="A3822" s="2" t="s">
        <v>1389</v>
      </c>
      <c r="B3822" s="3">
        <v>159684</v>
      </c>
      <c r="C3822" s="3">
        <v>912385</v>
      </c>
      <c r="D3822" s="4" t="s">
        <v>81</v>
      </c>
      <c r="E3822" s="4" t="s">
        <v>733</v>
      </c>
      <c r="F3822" s="4" t="s">
        <v>87</v>
      </c>
      <c r="G3822" s="4" t="s">
        <v>20</v>
      </c>
      <c r="H3822" s="5">
        <v>500000</v>
      </c>
      <c r="I3822" s="4" t="s">
        <v>21</v>
      </c>
      <c r="J3822" s="5">
        <f t="shared" si="59"/>
        <v>-2098650</v>
      </c>
      <c r="K3822" s="4" t="s">
        <v>55</v>
      </c>
      <c r="L3822" s="6">
        <v>4.1973000000000003</v>
      </c>
      <c r="M3822" s="6">
        <v>0.2382</v>
      </c>
      <c r="N3822" s="6">
        <v>4.2008999999999999</v>
      </c>
      <c r="O3822" s="6">
        <v>1</v>
      </c>
      <c r="P3822" s="5">
        <v>1810</v>
      </c>
      <c r="Q3822" s="4" t="s">
        <v>1391</v>
      </c>
    </row>
    <row r="3823" spans="1:17" x14ac:dyDescent="0.3">
      <c r="A3823" s="2" t="s">
        <v>1389</v>
      </c>
      <c r="B3823" s="3">
        <v>159685</v>
      </c>
      <c r="C3823" s="3">
        <v>912386</v>
      </c>
      <c r="D3823" s="4" t="s">
        <v>81</v>
      </c>
      <c r="E3823" s="4" t="s">
        <v>733</v>
      </c>
      <c r="F3823" s="4" t="s">
        <v>87</v>
      </c>
      <c r="G3823" s="4" t="s">
        <v>20</v>
      </c>
      <c r="H3823" s="5">
        <v>500000</v>
      </c>
      <c r="I3823" s="4" t="s">
        <v>21</v>
      </c>
      <c r="J3823" s="5">
        <f t="shared" si="59"/>
        <v>-2098650</v>
      </c>
      <c r="K3823" s="4" t="s">
        <v>55</v>
      </c>
      <c r="L3823" s="6">
        <v>4.1973000000000003</v>
      </c>
      <c r="M3823" s="6">
        <v>0.2382</v>
      </c>
      <c r="N3823" s="6">
        <v>4.2008999999999999</v>
      </c>
      <c r="O3823" s="6">
        <v>1</v>
      </c>
      <c r="P3823" s="5">
        <v>1795</v>
      </c>
      <c r="Q3823" s="4" t="s">
        <v>1391</v>
      </c>
    </row>
    <row r="3824" spans="1:17" x14ac:dyDescent="0.3">
      <c r="A3824" s="2" t="s">
        <v>1389</v>
      </c>
      <c r="B3824" s="3">
        <v>159686</v>
      </c>
      <c r="C3824" s="3">
        <v>220654</v>
      </c>
      <c r="D3824" s="4" t="s">
        <v>17</v>
      </c>
      <c r="E3824" s="4" t="s">
        <v>791</v>
      </c>
      <c r="F3824" s="4" t="s">
        <v>32</v>
      </c>
      <c r="G3824" s="4" t="s">
        <v>89</v>
      </c>
      <c r="H3824" s="5">
        <v>-12650000</v>
      </c>
      <c r="I3824" s="4" t="s">
        <v>21</v>
      </c>
      <c r="J3824" s="5">
        <f t="shared" si="59"/>
        <v>7115625</v>
      </c>
      <c r="K3824" s="4" t="s">
        <v>54</v>
      </c>
      <c r="L3824" s="6">
        <v>0.5625</v>
      </c>
      <c r="M3824" s="6">
        <v>1.7778</v>
      </c>
      <c r="N3824" s="6">
        <v>0.56399999999999995</v>
      </c>
      <c r="O3824" s="6">
        <v>1</v>
      </c>
      <c r="P3824" s="5">
        <v>-18975</v>
      </c>
      <c r="Q3824" s="4" t="s">
        <v>1390</v>
      </c>
    </row>
    <row r="3825" spans="1:17" x14ac:dyDescent="0.3">
      <c r="A3825" s="2" t="s">
        <v>1389</v>
      </c>
      <c r="B3825" s="3">
        <v>159687</v>
      </c>
      <c r="C3825" s="3">
        <v>912393</v>
      </c>
      <c r="D3825" s="4" t="s">
        <v>81</v>
      </c>
      <c r="E3825" s="4" t="s">
        <v>725</v>
      </c>
      <c r="F3825" s="4" t="s">
        <v>83</v>
      </c>
      <c r="G3825" s="4" t="s">
        <v>20</v>
      </c>
      <c r="H3825" s="5">
        <v>-1750000</v>
      </c>
      <c r="I3825" s="4" t="s">
        <v>89</v>
      </c>
      <c r="J3825" s="5">
        <f t="shared" si="59"/>
        <v>13068300</v>
      </c>
      <c r="K3825" s="4" t="s">
        <v>55</v>
      </c>
      <c r="L3825" s="6">
        <v>7.4676</v>
      </c>
      <c r="M3825" s="6">
        <v>0.13389999999999999</v>
      </c>
      <c r="N3825" s="6">
        <v>4.2008999999999999</v>
      </c>
      <c r="O3825" s="6">
        <v>0.56259999999999999</v>
      </c>
      <c r="P3825" s="5">
        <v>699.8075</v>
      </c>
      <c r="Q3825" s="4" t="s">
        <v>1392</v>
      </c>
    </row>
    <row r="3826" spans="1:17" x14ac:dyDescent="0.3">
      <c r="A3826" s="2" t="s">
        <v>1389</v>
      </c>
      <c r="B3826" s="3">
        <v>159688</v>
      </c>
      <c r="C3826" s="3">
        <v>912394</v>
      </c>
      <c r="D3826" s="4" t="s">
        <v>81</v>
      </c>
      <c r="E3826" s="4" t="s">
        <v>735</v>
      </c>
      <c r="F3826" s="4" t="s">
        <v>87</v>
      </c>
      <c r="G3826" s="4" t="s">
        <v>34</v>
      </c>
      <c r="H3826" s="5">
        <v>500000</v>
      </c>
      <c r="I3826" s="4" t="s">
        <v>21</v>
      </c>
      <c r="J3826" s="5">
        <f t="shared" si="59"/>
        <v>-1753400</v>
      </c>
      <c r="K3826" s="4" t="s">
        <v>55</v>
      </c>
      <c r="L3826" s="6">
        <v>3.5068000000000001</v>
      </c>
      <c r="M3826" s="6">
        <v>0.28520000000000001</v>
      </c>
      <c r="N3826" s="6">
        <v>3.5045000000000002</v>
      </c>
      <c r="O3826" s="6">
        <v>1</v>
      </c>
      <c r="P3826" s="5">
        <v>-1150</v>
      </c>
      <c r="Q3826" s="4" t="s">
        <v>1394</v>
      </c>
    </row>
    <row r="3827" spans="1:17" x14ac:dyDescent="0.3">
      <c r="A3827" s="2" t="s">
        <v>1389</v>
      </c>
      <c r="B3827" s="3">
        <v>159689</v>
      </c>
      <c r="C3827" s="3">
        <v>220655</v>
      </c>
      <c r="D3827" s="4" t="s">
        <v>17</v>
      </c>
      <c r="E3827" s="4" t="s">
        <v>791</v>
      </c>
      <c r="F3827" s="4" t="s">
        <v>32</v>
      </c>
      <c r="G3827" s="4" t="s">
        <v>20</v>
      </c>
      <c r="H3827" s="5">
        <v>-5600000</v>
      </c>
      <c r="I3827" s="4" t="s">
        <v>21</v>
      </c>
      <c r="J3827" s="5">
        <f t="shared" si="59"/>
        <v>23521120</v>
      </c>
      <c r="K3827" s="4" t="s">
        <v>30</v>
      </c>
      <c r="L3827" s="6">
        <v>4.2001999999999997</v>
      </c>
      <c r="M3827" s="6">
        <v>0.23810000000000001</v>
      </c>
      <c r="N3827" s="6">
        <v>4.2031999999999998</v>
      </c>
      <c r="O3827" s="6">
        <v>1</v>
      </c>
      <c r="P3827" s="5">
        <v>-17920</v>
      </c>
      <c r="Q3827" s="4" t="s">
        <v>1390</v>
      </c>
    </row>
    <row r="3828" spans="1:17" x14ac:dyDescent="0.3">
      <c r="A3828" s="2" t="s">
        <v>1389</v>
      </c>
      <c r="B3828" s="3">
        <v>159690</v>
      </c>
      <c r="C3828" s="3">
        <v>912400</v>
      </c>
      <c r="D3828" s="4" t="s">
        <v>81</v>
      </c>
      <c r="E3828" s="4" t="s">
        <v>733</v>
      </c>
      <c r="F3828" s="4" t="s">
        <v>87</v>
      </c>
      <c r="G3828" s="4" t="s">
        <v>20</v>
      </c>
      <c r="H3828" s="5">
        <v>500000</v>
      </c>
      <c r="I3828" s="4" t="s">
        <v>21</v>
      </c>
      <c r="J3828" s="5">
        <f t="shared" si="59"/>
        <v>-2098900</v>
      </c>
      <c r="K3828" s="4" t="s">
        <v>55</v>
      </c>
      <c r="L3828" s="6">
        <v>4.1978</v>
      </c>
      <c r="M3828" s="6">
        <v>0.2382</v>
      </c>
      <c r="N3828" s="6">
        <v>4.2008999999999999</v>
      </c>
      <c r="O3828" s="6">
        <v>1</v>
      </c>
      <c r="P3828" s="5">
        <v>1555</v>
      </c>
      <c r="Q3828" s="4" t="s">
        <v>1391</v>
      </c>
    </row>
    <row r="3829" spans="1:17" x14ac:dyDescent="0.3">
      <c r="A3829" s="2" t="s">
        <v>1389</v>
      </c>
      <c r="B3829" s="3">
        <v>159691</v>
      </c>
      <c r="C3829" s="3">
        <v>220656</v>
      </c>
      <c r="D3829" s="4" t="s">
        <v>17</v>
      </c>
      <c r="E3829" s="4" t="s">
        <v>1320</v>
      </c>
      <c r="F3829" s="4" t="s">
        <v>32</v>
      </c>
      <c r="G3829" s="4" t="s">
        <v>20</v>
      </c>
      <c r="H3829" s="5">
        <v>-18000</v>
      </c>
      <c r="I3829" s="4" t="s">
        <v>21</v>
      </c>
      <c r="J3829" s="5">
        <f t="shared" si="59"/>
        <v>76050</v>
      </c>
      <c r="K3829" s="4" t="s">
        <v>54</v>
      </c>
      <c r="L3829" s="6">
        <v>4.2249999999999996</v>
      </c>
      <c r="M3829" s="6">
        <v>0.23669999999999999</v>
      </c>
      <c r="N3829" s="6">
        <v>4.2118000000000002</v>
      </c>
      <c r="O3829" s="6">
        <v>1</v>
      </c>
      <c r="P3829" s="5">
        <v>237.6</v>
      </c>
      <c r="Q3829" s="4" t="s">
        <v>1390</v>
      </c>
    </row>
    <row r="3830" spans="1:17" x14ac:dyDescent="0.3">
      <c r="A3830" s="2" t="s">
        <v>1389</v>
      </c>
      <c r="B3830" s="3">
        <v>159692</v>
      </c>
      <c r="C3830" s="3">
        <v>912404</v>
      </c>
      <c r="D3830" s="4" t="s">
        <v>81</v>
      </c>
      <c r="E3830" s="4" t="s">
        <v>733</v>
      </c>
      <c r="F3830" s="4" t="s">
        <v>87</v>
      </c>
      <c r="G3830" s="4" t="s">
        <v>20</v>
      </c>
      <c r="H3830" s="5">
        <v>500000</v>
      </c>
      <c r="I3830" s="4" t="s">
        <v>21</v>
      </c>
      <c r="J3830" s="5">
        <f t="shared" si="59"/>
        <v>-2098700</v>
      </c>
      <c r="K3830" s="4" t="s">
        <v>55</v>
      </c>
      <c r="L3830" s="6">
        <v>4.1974</v>
      </c>
      <c r="M3830" s="6">
        <v>0.2382</v>
      </c>
      <c r="N3830" s="6">
        <v>4.2008999999999999</v>
      </c>
      <c r="O3830" s="6">
        <v>1</v>
      </c>
      <c r="P3830" s="5">
        <v>1735</v>
      </c>
      <c r="Q3830" s="4" t="s">
        <v>1391</v>
      </c>
    </row>
    <row r="3831" spans="1:17" x14ac:dyDescent="0.3">
      <c r="A3831" s="2" t="s">
        <v>1389</v>
      </c>
      <c r="B3831" s="3">
        <v>159693</v>
      </c>
      <c r="C3831" s="3">
        <v>912405</v>
      </c>
      <c r="D3831" s="4" t="s">
        <v>81</v>
      </c>
      <c r="E3831" s="4" t="s">
        <v>1019</v>
      </c>
      <c r="F3831" s="4" t="s">
        <v>83</v>
      </c>
      <c r="G3831" s="4" t="s">
        <v>20</v>
      </c>
      <c r="H3831" s="5">
        <v>-300000</v>
      </c>
      <c r="I3831" s="4" t="s">
        <v>21</v>
      </c>
      <c r="J3831" s="5">
        <f t="shared" si="59"/>
        <v>1259400.0000000002</v>
      </c>
      <c r="K3831" s="4" t="s">
        <v>55</v>
      </c>
      <c r="L3831" s="6">
        <v>4.1980000000000004</v>
      </c>
      <c r="M3831" s="6">
        <v>0.2382</v>
      </c>
      <c r="N3831" s="6">
        <v>4.2008999999999999</v>
      </c>
      <c r="O3831" s="6">
        <v>1</v>
      </c>
      <c r="P3831" s="5">
        <v>-870</v>
      </c>
      <c r="Q3831" s="4" t="s">
        <v>1390</v>
      </c>
    </row>
    <row r="3832" spans="1:17" x14ac:dyDescent="0.3">
      <c r="A3832" s="2" t="s">
        <v>1389</v>
      </c>
      <c r="B3832" s="3">
        <v>159694</v>
      </c>
      <c r="C3832" s="3">
        <v>912406</v>
      </c>
      <c r="D3832" s="4" t="s">
        <v>81</v>
      </c>
      <c r="E3832" s="4" t="s">
        <v>733</v>
      </c>
      <c r="F3832" s="4" t="s">
        <v>87</v>
      </c>
      <c r="G3832" s="4" t="s">
        <v>20</v>
      </c>
      <c r="H3832" s="5">
        <v>500000</v>
      </c>
      <c r="I3832" s="4" t="s">
        <v>21</v>
      </c>
      <c r="J3832" s="5">
        <f t="shared" si="59"/>
        <v>-2098700</v>
      </c>
      <c r="K3832" s="4" t="s">
        <v>55</v>
      </c>
      <c r="L3832" s="6">
        <v>4.1974</v>
      </c>
      <c r="M3832" s="6">
        <v>0.2382</v>
      </c>
      <c r="N3832" s="6">
        <v>4.2008999999999999</v>
      </c>
      <c r="O3832" s="6">
        <v>1</v>
      </c>
      <c r="P3832" s="5">
        <v>1730</v>
      </c>
      <c r="Q3832" s="4" t="s">
        <v>1391</v>
      </c>
    </row>
    <row r="3833" spans="1:17" x14ac:dyDescent="0.3">
      <c r="A3833" s="2" t="s">
        <v>1389</v>
      </c>
      <c r="B3833" s="3">
        <v>159695</v>
      </c>
      <c r="C3833" s="3">
        <v>912407</v>
      </c>
      <c r="D3833" s="4" t="s">
        <v>81</v>
      </c>
      <c r="E3833" s="4" t="s">
        <v>733</v>
      </c>
      <c r="F3833" s="4" t="s">
        <v>87</v>
      </c>
      <c r="G3833" s="4" t="s">
        <v>20</v>
      </c>
      <c r="H3833" s="5">
        <v>500000</v>
      </c>
      <c r="I3833" s="4" t="s">
        <v>21</v>
      </c>
      <c r="J3833" s="5">
        <f t="shared" si="59"/>
        <v>-2098700</v>
      </c>
      <c r="K3833" s="4" t="s">
        <v>55</v>
      </c>
      <c r="L3833" s="6">
        <v>4.1974</v>
      </c>
      <c r="M3833" s="6">
        <v>0.2382</v>
      </c>
      <c r="N3833" s="6">
        <v>4.2008999999999999</v>
      </c>
      <c r="O3833" s="6">
        <v>1</v>
      </c>
      <c r="P3833" s="5">
        <v>1740</v>
      </c>
      <c r="Q3833" s="4" t="s">
        <v>1391</v>
      </c>
    </row>
    <row r="3834" spans="1:17" x14ac:dyDescent="0.3">
      <c r="A3834" s="2" t="s">
        <v>1389</v>
      </c>
      <c r="B3834" s="3">
        <v>159696</v>
      </c>
      <c r="C3834" s="3">
        <v>912408</v>
      </c>
      <c r="D3834" s="4" t="s">
        <v>81</v>
      </c>
      <c r="E3834" s="4" t="s">
        <v>733</v>
      </c>
      <c r="F3834" s="4" t="s">
        <v>87</v>
      </c>
      <c r="G3834" s="4" t="s">
        <v>20</v>
      </c>
      <c r="H3834" s="5">
        <v>500000</v>
      </c>
      <c r="I3834" s="4" t="s">
        <v>21</v>
      </c>
      <c r="J3834" s="5">
        <f t="shared" si="59"/>
        <v>-2098700</v>
      </c>
      <c r="K3834" s="4" t="s">
        <v>55</v>
      </c>
      <c r="L3834" s="6">
        <v>4.1974</v>
      </c>
      <c r="M3834" s="6">
        <v>0.2382</v>
      </c>
      <c r="N3834" s="6">
        <v>4.2008999999999999</v>
      </c>
      <c r="O3834" s="6">
        <v>1</v>
      </c>
      <c r="P3834" s="5">
        <v>1735</v>
      </c>
      <c r="Q3834" s="4" t="s">
        <v>1391</v>
      </c>
    </row>
    <row r="3835" spans="1:17" x14ac:dyDescent="0.3">
      <c r="A3835" s="2" t="s">
        <v>1389</v>
      </c>
      <c r="B3835" s="3">
        <v>159697</v>
      </c>
      <c r="C3835" s="3">
        <v>220657</v>
      </c>
      <c r="D3835" s="4" t="s">
        <v>17</v>
      </c>
      <c r="E3835" s="4" t="s">
        <v>1063</v>
      </c>
      <c r="F3835" s="4" t="s">
        <v>32</v>
      </c>
      <c r="G3835" s="4" t="s">
        <v>34</v>
      </c>
      <c r="H3835" s="5">
        <v>-15000</v>
      </c>
      <c r="I3835" s="4" t="s">
        <v>21</v>
      </c>
      <c r="J3835" s="5">
        <f t="shared" si="59"/>
        <v>52710</v>
      </c>
      <c r="K3835" s="4" t="s">
        <v>54</v>
      </c>
      <c r="L3835" s="6">
        <v>3.5139999999999998</v>
      </c>
      <c r="M3835" s="6">
        <v>0.28460000000000002</v>
      </c>
      <c r="N3835" s="6">
        <v>3.5499000000000001</v>
      </c>
      <c r="O3835" s="6">
        <v>1</v>
      </c>
      <c r="P3835" s="5">
        <v>-538.5</v>
      </c>
      <c r="Q3835" s="4" t="s">
        <v>1390</v>
      </c>
    </row>
    <row r="3836" spans="1:17" x14ac:dyDescent="0.3">
      <c r="A3836" s="2" t="s">
        <v>1389</v>
      </c>
      <c r="B3836" s="3">
        <v>159698</v>
      </c>
      <c r="C3836" s="3">
        <v>912418</v>
      </c>
      <c r="D3836" s="4" t="s">
        <v>81</v>
      </c>
      <c r="E3836" s="4" t="s">
        <v>733</v>
      </c>
      <c r="F3836" s="4" t="s">
        <v>87</v>
      </c>
      <c r="G3836" s="4" t="s">
        <v>20</v>
      </c>
      <c r="H3836" s="5">
        <v>1000000</v>
      </c>
      <c r="I3836" s="4" t="s">
        <v>21</v>
      </c>
      <c r="J3836" s="5">
        <f t="shared" si="59"/>
        <v>-4195800</v>
      </c>
      <c r="K3836" s="4" t="s">
        <v>55</v>
      </c>
      <c r="L3836" s="6">
        <v>4.1958000000000002</v>
      </c>
      <c r="M3836" s="6">
        <v>0.23830000000000001</v>
      </c>
      <c r="N3836" s="6">
        <v>4.2008999999999999</v>
      </c>
      <c r="O3836" s="6">
        <v>1</v>
      </c>
      <c r="P3836" s="5">
        <v>5130</v>
      </c>
      <c r="Q3836" s="4" t="s">
        <v>1391</v>
      </c>
    </row>
    <row r="3837" spans="1:17" x14ac:dyDescent="0.3">
      <c r="A3837" s="2" t="s">
        <v>1389</v>
      </c>
      <c r="B3837" s="3">
        <v>159699</v>
      </c>
      <c r="C3837" s="3">
        <v>912419</v>
      </c>
      <c r="D3837" s="4" t="s">
        <v>81</v>
      </c>
      <c r="E3837" s="4" t="s">
        <v>733</v>
      </c>
      <c r="F3837" s="4" t="s">
        <v>87</v>
      </c>
      <c r="G3837" s="4" t="s">
        <v>20</v>
      </c>
      <c r="H3837" s="5">
        <v>1000000</v>
      </c>
      <c r="I3837" s="4" t="s">
        <v>21</v>
      </c>
      <c r="J3837" s="5">
        <f t="shared" si="59"/>
        <v>-4195900</v>
      </c>
      <c r="K3837" s="4" t="s">
        <v>55</v>
      </c>
      <c r="L3837" s="6">
        <v>4.1959</v>
      </c>
      <c r="M3837" s="6">
        <v>0.23830000000000001</v>
      </c>
      <c r="N3837" s="6">
        <v>4.2008999999999999</v>
      </c>
      <c r="O3837" s="6">
        <v>1</v>
      </c>
      <c r="P3837" s="5">
        <v>4990</v>
      </c>
      <c r="Q3837" s="4" t="s">
        <v>1391</v>
      </c>
    </row>
    <row r="3838" spans="1:17" x14ac:dyDescent="0.3">
      <c r="A3838" s="2" t="s">
        <v>1389</v>
      </c>
      <c r="B3838" s="3">
        <v>159700</v>
      </c>
      <c r="C3838" s="3">
        <v>912420</v>
      </c>
      <c r="D3838" s="4" t="s">
        <v>81</v>
      </c>
      <c r="E3838" s="4" t="s">
        <v>733</v>
      </c>
      <c r="F3838" s="4" t="s">
        <v>87</v>
      </c>
      <c r="G3838" s="4" t="s">
        <v>20</v>
      </c>
      <c r="H3838" s="5">
        <v>1000000</v>
      </c>
      <c r="I3838" s="4" t="s">
        <v>21</v>
      </c>
      <c r="J3838" s="5">
        <f t="shared" si="59"/>
        <v>-4195900</v>
      </c>
      <c r="K3838" s="4" t="s">
        <v>55</v>
      </c>
      <c r="L3838" s="6">
        <v>4.1959</v>
      </c>
      <c r="M3838" s="6">
        <v>0.23830000000000001</v>
      </c>
      <c r="N3838" s="6">
        <v>4.2008999999999999</v>
      </c>
      <c r="O3838" s="6">
        <v>1</v>
      </c>
      <c r="P3838" s="5">
        <v>5000</v>
      </c>
      <c r="Q3838" s="4" t="s">
        <v>1391</v>
      </c>
    </row>
    <row r="3839" spans="1:17" x14ac:dyDescent="0.3">
      <c r="A3839" s="2" t="s">
        <v>1389</v>
      </c>
      <c r="B3839" s="3">
        <v>159701</v>
      </c>
      <c r="C3839" s="3">
        <v>912421</v>
      </c>
      <c r="D3839" s="4" t="s">
        <v>81</v>
      </c>
      <c r="E3839" s="4" t="s">
        <v>733</v>
      </c>
      <c r="F3839" s="4" t="s">
        <v>87</v>
      </c>
      <c r="G3839" s="4" t="s">
        <v>20</v>
      </c>
      <c r="H3839" s="5">
        <v>1000000</v>
      </c>
      <c r="I3839" s="4" t="s">
        <v>21</v>
      </c>
      <c r="J3839" s="5">
        <f t="shared" si="59"/>
        <v>-4195900</v>
      </c>
      <c r="K3839" s="4" t="s">
        <v>55</v>
      </c>
      <c r="L3839" s="6">
        <v>4.1959</v>
      </c>
      <c r="M3839" s="6">
        <v>0.23830000000000001</v>
      </c>
      <c r="N3839" s="6">
        <v>4.2008999999999999</v>
      </c>
      <c r="O3839" s="6">
        <v>1</v>
      </c>
      <c r="P3839" s="5">
        <v>5010</v>
      </c>
      <c r="Q3839" s="4" t="s">
        <v>1391</v>
      </c>
    </row>
    <row r="3840" spans="1:17" x14ac:dyDescent="0.3">
      <c r="A3840" s="2" t="s">
        <v>1389</v>
      </c>
      <c r="B3840" s="3">
        <v>159702</v>
      </c>
      <c r="C3840" s="3">
        <v>912422</v>
      </c>
      <c r="D3840" s="4" t="s">
        <v>81</v>
      </c>
      <c r="E3840" s="4" t="s">
        <v>733</v>
      </c>
      <c r="F3840" s="4" t="s">
        <v>87</v>
      </c>
      <c r="G3840" s="4" t="s">
        <v>20</v>
      </c>
      <c r="H3840" s="5">
        <v>1000000</v>
      </c>
      <c r="I3840" s="4" t="s">
        <v>21</v>
      </c>
      <c r="J3840" s="5">
        <f t="shared" si="59"/>
        <v>-4195900</v>
      </c>
      <c r="K3840" s="4" t="s">
        <v>55</v>
      </c>
      <c r="L3840" s="6">
        <v>4.1959</v>
      </c>
      <c r="M3840" s="6">
        <v>0.23830000000000001</v>
      </c>
      <c r="N3840" s="6">
        <v>4.2008999999999999</v>
      </c>
      <c r="O3840" s="6">
        <v>1</v>
      </c>
      <c r="P3840" s="5">
        <v>4960</v>
      </c>
      <c r="Q3840" s="4" t="s">
        <v>1391</v>
      </c>
    </row>
    <row r="3841" spans="1:17" x14ac:dyDescent="0.3">
      <c r="A3841" s="2" t="s">
        <v>1389</v>
      </c>
      <c r="B3841" s="3">
        <v>159703</v>
      </c>
      <c r="C3841" s="3">
        <v>912423</v>
      </c>
      <c r="D3841" s="4" t="s">
        <v>81</v>
      </c>
      <c r="E3841" s="4" t="s">
        <v>733</v>
      </c>
      <c r="F3841" s="4" t="s">
        <v>87</v>
      </c>
      <c r="G3841" s="4" t="s">
        <v>20</v>
      </c>
      <c r="H3841" s="5">
        <v>1000000</v>
      </c>
      <c r="I3841" s="4" t="s">
        <v>21</v>
      </c>
      <c r="J3841" s="5">
        <f t="shared" si="59"/>
        <v>-4195900</v>
      </c>
      <c r="K3841" s="4" t="s">
        <v>55</v>
      </c>
      <c r="L3841" s="6">
        <v>4.1959</v>
      </c>
      <c r="M3841" s="6">
        <v>0.23830000000000001</v>
      </c>
      <c r="N3841" s="6">
        <v>4.2008999999999999</v>
      </c>
      <c r="O3841" s="6">
        <v>1</v>
      </c>
      <c r="P3841" s="5">
        <v>4990</v>
      </c>
      <c r="Q3841" s="4" t="s">
        <v>1391</v>
      </c>
    </row>
    <row r="3842" spans="1:17" x14ac:dyDescent="0.3">
      <c r="A3842" s="2" t="s">
        <v>1389</v>
      </c>
      <c r="B3842" s="3">
        <v>159704</v>
      </c>
      <c r="C3842" s="3">
        <v>912424</v>
      </c>
      <c r="D3842" s="4" t="s">
        <v>81</v>
      </c>
      <c r="E3842" s="4" t="s">
        <v>733</v>
      </c>
      <c r="F3842" s="4" t="s">
        <v>87</v>
      </c>
      <c r="G3842" s="4" t="s">
        <v>20</v>
      </c>
      <c r="H3842" s="5">
        <v>1000000</v>
      </c>
      <c r="I3842" s="4" t="s">
        <v>21</v>
      </c>
      <c r="J3842" s="5">
        <f t="shared" si="59"/>
        <v>-4195900</v>
      </c>
      <c r="K3842" s="4" t="s">
        <v>55</v>
      </c>
      <c r="L3842" s="6">
        <v>4.1959</v>
      </c>
      <c r="M3842" s="6">
        <v>0.23830000000000001</v>
      </c>
      <c r="N3842" s="6">
        <v>4.2008999999999999</v>
      </c>
      <c r="O3842" s="6">
        <v>1</v>
      </c>
      <c r="P3842" s="5">
        <v>4980</v>
      </c>
      <c r="Q3842" s="4" t="s">
        <v>1391</v>
      </c>
    </row>
    <row r="3843" spans="1:17" x14ac:dyDescent="0.3">
      <c r="A3843" s="2" t="s">
        <v>1389</v>
      </c>
      <c r="B3843" s="3">
        <v>159705</v>
      </c>
      <c r="C3843" s="3">
        <v>912425</v>
      </c>
      <c r="D3843" s="4" t="s">
        <v>81</v>
      </c>
      <c r="E3843" s="4" t="s">
        <v>733</v>
      </c>
      <c r="F3843" s="4" t="s">
        <v>87</v>
      </c>
      <c r="G3843" s="4" t="s">
        <v>20</v>
      </c>
      <c r="H3843" s="5">
        <v>500000</v>
      </c>
      <c r="I3843" s="4" t="s">
        <v>21</v>
      </c>
      <c r="J3843" s="5">
        <f t="shared" si="59"/>
        <v>-2097900</v>
      </c>
      <c r="K3843" s="4" t="s">
        <v>55</v>
      </c>
      <c r="L3843" s="6">
        <v>4.1958000000000002</v>
      </c>
      <c r="M3843" s="6">
        <v>0.23830000000000001</v>
      </c>
      <c r="N3843" s="6">
        <v>4.2008999999999999</v>
      </c>
      <c r="O3843" s="6">
        <v>1</v>
      </c>
      <c r="P3843" s="5">
        <v>2530</v>
      </c>
      <c r="Q3843" s="4" t="s">
        <v>1391</v>
      </c>
    </row>
    <row r="3844" spans="1:17" x14ac:dyDescent="0.3">
      <c r="A3844" s="2" t="s">
        <v>1389</v>
      </c>
      <c r="B3844" s="3">
        <v>159706</v>
      </c>
      <c r="C3844" s="3">
        <v>912426</v>
      </c>
      <c r="D3844" s="4" t="s">
        <v>81</v>
      </c>
      <c r="E3844" s="4" t="s">
        <v>791</v>
      </c>
      <c r="F3844" s="4" t="s">
        <v>83</v>
      </c>
      <c r="G3844" s="4" t="s">
        <v>20</v>
      </c>
      <c r="H3844" s="5">
        <v>-1550000</v>
      </c>
      <c r="I3844" s="4" t="s">
        <v>21</v>
      </c>
      <c r="J3844" s="5">
        <f t="shared" ref="J3844:J3907" si="60">-H3844*L3844</f>
        <v>6510000</v>
      </c>
      <c r="K3844" s="4" t="s">
        <v>55</v>
      </c>
      <c r="L3844" s="6">
        <v>4.2</v>
      </c>
      <c r="M3844" s="6">
        <v>0.23810000000000001</v>
      </c>
      <c r="N3844" s="6">
        <v>4.2008999999999999</v>
      </c>
      <c r="O3844" s="6">
        <v>1</v>
      </c>
      <c r="P3844" s="5">
        <v>-1395</v>
      </c>
      <c r="Q3844" s="4" t="s">
        <v>1390</v>
      </c>
    </row>
    <row r="3845" spans="1:17" x14ac:dyDescent="0.3">
      <c r="A3845" s="2" t="s">
        <v>1389</v>
      </c>
      <c r="B3845" s="3">
        <v>159707</v>
      </c>
      <c r="C3845" s="3">
        <v>220660</v>
      </c>
      <c r="D3845" s="4" t="s">
        <v>17</v>
      </c>
      <c r="E3845" s="4" t="s">
        <v>791</v>
      </c>
      <c r="F3845" s="4" t="s">
        <v>32</v>
      </c>
      <c r="G3845" s="4" t="s">
        <v>20</v>
      </c>
      <c r="H3845" s="5">
        <v>-8600000</v>
      </c>
      <c r="I3845" s="4" t="s">
        <v>21</v>
      </c>
      <c r="J3845" s="5">
        <f t="shared" si="60"/>
        <v>36109680</v>
      </c>
      <c r="K3845" s="4" t="s">
        <v>27</v>
      </c>
      <c r="L3845" s="6">
        <v>4.1988000000000003</v>
      </c>
      <c r="M3845" s="6">
        <v>0.2382</v>
      </c>
      <c r="N3845" s="6">
        <v>4.2072000000000003</v>
      </c>
      <c r="O3845" s="6">
        <v>1</v>
      </c>
      <c r="P3845" s="5">
        <v>-70520</v>
      </c>
      <c r="Q3845" s="4" t="s">
        <v>1390</v>
      </c>
    </row>
    <row r="3846" spans="1:17" x14ac:dyDescent="0.3">
      <c r="A3846" s="2" t="s">
        <v>1389</v>
      </c>
      <c r="B3846" s="3">
        <v>159708</v>
      </c>
      <c r="C3846" s="3">
        <v>912430</v>
      </c>
      <c r="D3846" s="4" t="s">
        <v>81</v>
      </c>
      <c r="E3846" s="4" t="s">
        <v>734</v>
      </c>
      <c r="F3846" s="4" t="s">
        <v>87</v>
      </c>
      <c r="G3846" s="4" t="s">
        <v>20</v>
      </c>
      <c r="H3846" s="5">
        <v>100000</v>
      </c>
      <c r="I3846" s="4" t="s">
        <v>34</v>
      </c>
      <c r="J3846" s="5">
        <f t="shared" si="60"/>
        <v>-119520</v>
      </c>
      <c r="K3846" s="4" t="s">
        <v>55</v>
      </c>
      <c r="L3846" s="6">
        <v>1.1952</v>
      </c>
      <c r="M3846" s="6">
        <v>0.8367</v>
      </c>
      <c r="N3846" s="6">
        <v>4.2008999999999999</v>
      </c>
      <c r="O3846" s="6">
        <v>3.5045000000000002</v>
      </c>
      <c r="P3846" s="5">
        <v>1232.1600000000001</v>
      </c>
      <c r="Q3846" s="4" t="s">
        <v>1393</v>
      </c>
    </row>
    <row r="3847" spans="1:17" x14ac:dyDescent="0.3">
      <c r="A3847" s="2" t="s">
        <v>1389</v>
      </c>
      <c r="B3847" s="3">
        <v>159709</v>
      </c>
      <c r="C3847" s="3">
        <v>912431</v>
      </c>
      <c r="D3847" s="4" t="s">
        <v>81</v>
      </c>
      <c r="E3847" s="4" t="s">
        <v>734</v>
      </c>
      <c r="F3847" s="4" t="s">
        <v>87</v>
      </c>
      <c r="G3847" s="4" t="s">
        <v>20</v>
      </c>
      <c r="H3847" s="5">
        <v>100000</v>
      </c>
      <c r="I3847" s="4" t="s">
        <v>34</v>
      </c>
      <c r="J3847" s="5">
        <f t="shared" si="60"/>
        <v>-119520</v>
      </c>
      <c r="K3847" s="4" t="s">
        <v>55</v>
      </c>
      <c r="L3847" s="6">
        <v>1.1952</v>
      </c>
      <c r="M3847" s="6">
        <v>0.8367</v>
      </c>
      <c r="N3847" s="6">
        <v>4.2008999999999999</v>
      </c>
      <c r="O3847" s="6">
        <v>3.5045000000000002</v>
      </c>
      <c r="P3847" s="5">
        <v>1246.1780000000001</v>
      </c>
      <c r="Q3847" s="4" t="s">
        <v>1393</v>
      </c>
    </row>
    <row r="3848" spans="1:17" x14ac:dyDescent="0.3">
      <c r="A3848" s="2" t="s">
        <v>1389</v>
      </c>
      <c r="B3848" s="3">
        <v>159710</v>
      </c>
      <c r="C3848" s="3">
        <v>912432</v>
      </c>
      <c r="D3848" s="4" t="s">
        <v>81</v>
      </c>
      <c r="E3848" s="4" t="s">
        <v>734</v>
      </c>
      <c r="F3848" s="4" t="s">
        <v>87</v>
      </c>
      <c r="G3848" s="4" t="s">
        <v>20</v>
      </c>
      <c r="H3848" s="5">
        <v>100000</v>
      </c>
      <c r="I3848" s="4" t="s">
        <v>34</v>
      </c>
      <c r="J3848" s="5">
        <f t="shared" si="60"/>
        <v>-119510</v>
      </c>
      <c r="K3848" s="4" t="s">
        <v>55</v>
      </c>
      <c r="L3848" s="6">
        <v>1.1951000000000001</v>
      </c>
      <c r="M3848" s="6">
        <v>0.8367</v>
      </c>
      <c r="N3848" s="6">
        <v>4.2008999999999999</v>
      </c>
      <c r="O3848" s="6">
        <v>3.5045000000000002</v>
      </c>
      <c r="P3848" s="5">
        <v>1253.1869999999999</v>
      </c>
      <c r="Q3848" s="4" t="s">
        <v>1393</v>
      </c>
    </row>
    <row r="3849" spans="1:17" x14ac:dyDescent="0.3">
      <c r="A3849" s="2" t="s">
        <v>1389</v>
      </c>
      <c r="B3849" s="3">
        <v>159711</v>
      </c>
      <c r="C3849" s="3">
        <v>220661</v>
      </c>
      <c r="D3849" s="4" t="s">
        <v>17</v>
      </c>
      <c r="E3849" s="4" t="s">
        <v>1111</v>
      </c>
      <c r="F3849" s="4" t="s">
        <v>19</v>
      </c>
      <c r="G3849" s="4" t="s">
        <v>20</v>
      </c>
      <c r="H3849" s="5">
        <v>300000</v>
      </c>
      <c r="I3849" s="4" t="s">
        <v>21</v>
      </c>
      <c r="J3849" s="5">
        <f t="shared" si="60"/>
        <v>-1242000</v>
      </c>
      <c r="K3849" s="4" t="s">
        <v>54</v>
      </c>
      <c r="L3849" s="6">
        <v>4.1399999999999997</v>
      </c>
      <c r="M3849" s="6">
        <v>0.24149999999999999</v>
      </c>
      <c r="N3849" s="6">
        <v>4.2118000000000002</v>
      </c>
      <c r="O3849" s="6">
        <v>1</v>
      </c>
      <c r="P3849" s="5">
        <v>21540</v>
      </c>
      <c r="Q3849" s="4" t="s">
        <v>1390</v>
      </c>
    </row>
    <row r="3850" spans="1:17" x14ac:dyDescent="0.3">
      <c r="A3850" s="2" t="s">
        <v>1389</v>
      </c>
      <c r="B3850" s="3">
        <v>159714</v>
      </c>
      <c r="C3850" s="3">
        <v>912442</v>
      </c>
      <c r="D3850" s="4" t="s">
        <v>81</v>
      </c>
      <c r="E3850" s="4" t="s">
        <v>1134</v>
      </c>
      <c r="F3850" s="4" t="s">
        <v>83</v>
      </c>
      <c r="G3850" s="4" t="s">
        <v>20</v>
      </c>
      <c r="H3850" s="5">
        <v>-100000</v>
      </c>
      <c r="I3850" s="4" t="s">
        <v>21</v>
      </c>
      <c r="J3850" s="5">
        <f t="shared" si="60"/>
        <v>420000</v>
      </c>
      <c r="K3850" s="4" t="s">
        <v>55</v>
      </c>
      <c r="L3850" s="6">
        <v>4.2</v>
      </c>
      <c r="M3850" s="6">
        <v>0.23810000000000001</v>
      </c>
      <c r="N3850" s="6">
        <v>4.2008999999999999</v>
      </c>
      <c r="O3850" s="6">
        <v>1</v>
      </c>
      <c r="P3850" s="5">
        <v>-90</v>
      </c>
      <c r="Q3850" s="4" t="s">
        <v>1390</v>
      </c>
    </row>
    <row r="3851" spans="1:17" x14ac:dyDescent="0.3">
      <c r="A3851" s="2" t="s">
        <v>1389</v>
      </c>
      <c r="B3851" s="3">
        <v>159715</v>
      </c>
      <c r="C3851" s="3">
        <v>220663</v>
      </c>
      <c r="D3851" s="4" t="s">
        <v>17</v>
      </c>
      <c r="E3851" s="4" t="s">
        <v>1341</v>
      </c>
      <c r="F3851" s="4" t="s">
        <v>19</v>
      </c>
      <c r="G3851" s="4" t="s">
        <v>21</v>
      </c>
      <c r="H3851" s="5">
        <v>150000</v>
      </c>
      <c r="I3851" s="4" t="s">
        <v>20</v>
      </c>
      <c r="J3851" s="5">
        <f t="shared" si="60"/>
        <v>-631575</v>
      </c>
      <c r="K3851" s="4" t="s">
        <v>54</v>
      </c>
      <c r="L3851" s="6">
        <v>4.2104999999999997</v>
      </c>
      <c r="M3851" s="6">
        <v>0.23749999999999999</v>
      </c>
      <c r="N3851" s="6">
        <v>1</v>
      </c>
      <c r="O3851" s="6">
        <v>4.2118000000000002</v>
      </c>
      <c r="P3851" s="5">
        <v>-2510067.585</v>
      </c>
      <c r="Q3851" s="4" t="s">
        <v>1390</v>
      </c>
    </row>
    <row r="3852" spans="1:17" x14ac:dyDescent="0.3">
      <c r="A3852" s="2" t="s">
        <v>1389</v>
      </c>
      <c r="B3852" s="3">
        <v>159716</v>
      </c>
      <c r="C3852" s="3">
        <v>220664</v>
      </c>
      <c r="D3852" s="4" t="s">
        <v>17</v>
      </c>
      <c r="E3852" s="4" t="s">
        <v>1201</v>
      </c>
      <c r="F3852" s="4" t="s">
        <v>32</v>
      </c>
      <c r="G3852" s="4" t="s">
        <v>20</v>
      </c>
      <c r="H3852" s="5">
        <v>-2500000</v>
      </c>
      <c r="I3852" s="4" t="s">
        <v>21</v>
      </c>
      <c r="J3852" s="5">
        <f t="shared" si="60"/>
        <v>10500000</v>
      </c>
      <c r="K3852" s="4" t="s">
        <v>30</v>
      </c>
      <c r="L3852" s="6">
        <v>4.2</v>
      </c>
      <c r="M3852" s="6">
        <v>0.23810000000000001</v>
      </c>
      <c r="N3852" s="6">
        <v>4.2031999999999998</v>
      </c>
      <c r="O3852" s="6">
        <v>1</v>
      </c>
      <c r="P3852" s="5">
        <v>-8000</v>
      </c>
      <c r="Q3852" s="4" t="s">
        <v>1390</v>
      </c>
    </row>
    <row r="3853" spans="1:17" x14ac:dyDescent="0.3">
      <c r="A3853" s="2" t="s">
        <v>1389</v>
      </c>
      <c r="B3853" s="3">
        <v>159717</v>
      </c>
      <c r="C3853" s="3">
        <v>220666</v>
      </c>
      <c r="D3853" s="4" t="s">
        <v>17</v>
      </c>
      <c r="E3853" s="4" t="s">
        <v>1201</v>
      </c>
      <c r="F3853" s="4" t="s">
        <v>32</v>
      </c>
      <c r="G3853" s="4" t="s">
        <v>20</v>
      </c>
      <c r="H3853" s="5">
        <v>-2000000</v>
      </c>
      <c r="I3853" s="4" t="s">
        <v>21</v>
      </c>
      <c r="J3853" s="5">
        <f t="shared" si="60"/>
        <v>8406000</v>
      </c>
      <c r="K3853" s="4" t="s">
        <v>30</v>
      </c>
      <c r="L3853" s="6">
        <v>4.2030000000000003</v>
      </c>
      <c r="M3853" s="6">
        <v>0.2379</v>
      </c>
      <c r="N3853" s="6">
        <v>4.2031999999999998</v>
      </c>
      <c r="O3853" s="6">
        <v>1</v>
      </c>
      <c r="P3853" s="5">
        <v>-400</v>
      </c>
      <c r="Q3853" s="4" t="s">
        <v>1390</v>
      </c>
    </row>
    <row r="3854" spans="1:17" x14ac:dyDescent="0.3">
      <c r="A3854" s="2" t="s">
        <v>1389</v>
      </c>
      <c r="B3854" s="3">
        <v>159718</v>
      </c>
      <c r="C3854" s="3">
        <v>912456</v>
      </c>
      <c r="D3854" s="4" t="s">
        <v>81</v>
      </c>
      <c r="E3854" s="4" t="s">
        <v>732</v>
      </c>
      <c r="F3854" s="4" t="s">
        <v>87</v>
      </c>
      <c r="G3854" s="4" t="s">
        <v>20</v>
      </c>
      <c r="H3854" s="5">
        <v>500000</v>
      </c>
      <c r="I3854" s="4" t="s">
        <v>21</v>
      </c>
      <c r="J3854" s="5">
        <f t="shared" si="60"/>
        <v>-2099400</v>
      </c>
      <c r="K3854" s="4" t="s">
        <v>55</v>
      </c>
      <c r="L3854" s="6">
        <v>4.1988000000000003</v>
      </c>
      <c r="M3854" s="6">
        <v>0.2382</v>
      </c>
      <c r="N3854" s="6">
        <v>4.2008999999999999</v>
      </c>
      <c r="O3854" s="6">
        <v>1</v>
      </c>
      <c r="P3854" s="5">
        <v>1050</v>
      </c>
      <c r="Q3854" s="4" t="s">
        <v>1394</v>
      </c>
    </row>
    <row r="3855" spans="1:17" x14ac:dyDescent="0.3">
      <c r="A3855" s="2" t="s">
        <v>1389</v>
      </c>
      <c r="B3855" s="3">
        <v>159719</v>
      </c>
      <c r="C3855" s="3">
        <v>912465</v>
      </c>
      <c r="D3855" s="4" t="s">
        <v>81</v>
      </c>
      <c r="E3855" s="4" t="s">
        <v>734</v>
      </c>
      <c r="F3855" s="4" t="s">
        <v>87</v>
      </c>
      <c r="G3855" s="4" t="s">
        <v>34</v>
      </c>
      <c r="H3855" s="5">
        <v>141331.76</v>
      </c>
      <c r="I3855" s="4" t="s">
        <v>21</v>
      </c>
      <c r="J3855" s="5">
        <f t="shared" si="60"/>
        <v>-494915.55716800003</v>
      </c>
      <c r="K3855" s="4" t="s">
        <v>55</v>
      </c>
      <c r="L3855" s="6">
        <v>3.5017999999999998</v>
      </c>
      <c r="M3855" s="6">
        <v>0.28560000000000002</v>
      </c>
      <c r="N3855" s="6">
        <v>3.5045000000000002</v>
      </c>
      <c r="O3855" s="6">
        <v>1</v>
      </c>
      <c r="P3855" s="5">
        <v>384.42291999999998</v>
      </c>
      <c r="Q3855" s="4" t="s">
        <v>1393</v>
      </c>
    </row>
    <row r="3856" spans="1:17" x14ac:dyDescent="0.3">
      <c r="A3856" s="2" t="s">
        <v>1389</v>
      </c>
      <c r="B3856" s="3">
        <v>159720</v>
      </c>
      <c r="C3856" s="3">
        <v>912466</v>
      </c>
      <c r="D3856" s="4" t="s">
        <v>81</v>
      </c>
      <c r="E3856" s="4" t="s">
        <v>734</v>
      </c>
      <c r="F3856" s="4" t="s">
        <v>83</v>
      </c>
      <c r="G3856" s="4" t="s">
        <v>93</v>
      </c>
      <c r="H3856" s="5">
        <v>-29985.54</v>
      </c>
      <c r="I3856" s="4" t="s">
        <v>21</v>
      </c>
      <c r="J3856" s="5">
        <f t="shared" si="60"/>
        <v>137030.919246</v>
      </c>
      <c r="K3856" s="4" t="s">
        <v>55</v>
      </c>
      <c r="L3856" s="6">
        <v>4.5698999999999996</v>
      </c>
      <c r="M3856" s="6">
        <v>0.21879999999999999</v>
      </c>
      <c r="N3856" s="6">
        <v>4.5683999999999996</v>
      </c>
      <c r="O3856" s="6">
        <v>1</v>
      </c>
      <c r="P3856" s="5">
        <v>44.079064000000002</v>
      </c>
      <c r="Q3856" s="4" t="s">
        <v>1393</v>
      </c>
    </row>
    <row r="3857" spans="1:17" x14ac:dyDescent="0.3">
      <c r="A3857" s="2" t="s">
        <v>1389</v>
      </c>
      <c r="B3857" s="3">
        <v>159721</v>
      </c>
      <c r="C3857" s="3">
        <v>912467</v>
      </c>
      <c r="D3857" s="4" t="s">
        <v>81</v>
      </c>
      <c r="E3857" s="4" t="s">
        <v>734</v>
      </c>
      <c r="F3857" s="4" t="s">
        <v>87</v>
      </c>
      <c r="G3857" s="4" t="s">
        <v>34</v>
      </c>
      <c r="H3857" s="5">
        <v>42509.65</v>
      </c>
      <c r="I3857" s="4" t="s">
        <v>21</v>
      </c>
      <c r="J3857" s="5">
        <f t="shared" si="60"/>
        <v>-148949.56263500001</v>
      </c>
      <c r="K3857" s="4" t="s">
        <v>55</v>
      </c>
      <c r="L3857" s="6">
        <v>3.5038999999999998</v>
      </c>
      <c r="M3857" s="6">
        <v>0.28539999999999999</v>
      </c>
      <c r="N3857" s="6">
        <v>3.5045000000000002</v>
      </c>
      <c r="O3857" s="6">
        <v>1</v>
      </c>
      <c r="P3857" s="5">
        <v>24.658425000000001</v>
      </c>
      <c r="Q3857" s="4" t="s">
        <v>1393</v>
      </c>
    </row>
    <row r="3858" spans="1:17" x14ac:dyDescent="0.3">
      <c r="A3858" s="2" t="s">
        <v>1389</v>
      </c>
      <c r="B3858" s="3">
        <v>159722</v>
      </c>
      <c r="C3858" s="3">
        <v>912468</v>
      </c>
      <c r="D3858" s="4" t="s">
        <v>81</v>
      </c>
      <c r="E3858" s="4" t="s">
        <v>734</v>
      </c>
      <c r="F3858" s="4" t="s">
        <v>87</v>
      </c>
      <c r="G3858" s="4" t="s">
        <v>20</v>
      </c>
      <c r="H3858" s="5">
        <v>44681.07</v>
      </c>
      <c r="I3858" s="4" t="s">
        <v>21</v>
      </c>
      <c r="J3858" s="5">
        <f t="shared" si="60"/>
        <v>-187571.13186000002</v>
      </c>
      <c r="K3858" s="4" t="s">
        <v>55</v>
      </c>
      <c r="L3858" s="6">
        <v>4.1980000000000004</v>
      </c>
      <c r="M3858" s="6">
        <v>0.2382</v>
      </c>
      <c r="N3858" s="6">
        <v>4.2008999999999999</v>
      </c>
      <c r="O3858" s="6">
        <v>1</v>
      </c>
      <c r="P3858" s="5">
        <v>130.46696299999999</v>
      </c>
      <c r="Q3858" s="4" t="s">
        <v>1393</v>
      </c>
    </row>
    <row r="3859" spans="1:17" x14ac:dyDescent="0.3">
      <c r="A3859" s="2" t="s">
        <v>1389</v>
      </c>
      <c r="B3859" s="3">
        <v>159723</v>
      </c>
      <c r="C3859" s="3">
        <v>912469</v>
      </c>
      <c r="D3859" s="4" t="s">
        <v>81</v>
      </c>
      <c r="E3859" s="4" t="s">
        <v>734</v>
      </c>
      <c r="F3859" s="4" t="s">
        <v>87</v>
      </c>
      <c r="G3859" s="4" t="s">
        <v>91</v>
      </c>
      <c r="H3859" s="5">
        <v>686.45</v>
      </c>
      <c r="I3859" s="4" t="s">
        <v>21</v>
      </c>
      <c r="J3859" s="5">
        <f t="shared" si="60"/>
        <v>-3315.1416300000001</v>
      </c>
      <c r="K3859" s="4" t="s">
        <v>55</v>
      </c>
      <c r="L3859" s="6">
        <v>4.8293999999999997</v>
      </c>
      <c r="M3859" s="6">
        <v>0.20710000000000001</v>
      </c>
      <c r="N3859" s="6">
        <v>4.8319999999999999</v>
      </c>
      <c r="O3859" s="6">
        <v>1</v>
      </c>
      <c r="P3859" s="5">
        <v>1.7864</v>
      </c>
      <c r="Q3859" s="4" t="s">
        <v>1393</v>
      </c>
    </row>
    <row r="3860" spans="1:17" x14ac:dyDescent="0.3">
      <c r="A3860" s="2" t="s">
        <v>1389</v>
      </c>
      <c r="B3860" s="3">
        <v>159724</v>
      </c>
      <c r="C3860" s="3">
        <v>912474</v>
      </c>
      <c r="D3860" s="4" t="s">
        <v>81</v>
      </c>
      <c r="E3860" s="4" t="s">
        <v>734</v>
      </c>
      <c r="F3860" s="4" t="s">
        <v>87</v>
      </c>
      <c r="G3860" s="4" t="s">
        <v>20</v>
      </c>
      <c r="H3860" s="5">
        <v>109369.76</v>
      </c>
      <c r="I3860" s="4" t="s">
        <v>21</v>
      </c>
      <c r="J3860" s="5">
        <f t="shared" si="60"/>
        <v>-459112.37852799997</v>
      </c>
      <c r="K3860" s="4" t="s">
        <v>55</v>
      </c>
      <c r="L3860" s="6">
        <v>4.1978</v>
      </c>
      <c r="M3860" s="6">
        <v>0.2382</v>
      </c>
      <c r="N3860" s="6">
        <v>4.2008999999999999</v>
      </c>
      <c r="O3860" s="6">
        <v>1</v>
      </c>
      <c r="P3860" s="5">
        <v>337.95478400000002</v>
      </c>
      <c r="Q3860" s="4" t="s">
        <v>1393</v>
      </c>
    </row>
    <row r="3861" spans="1:17" x14ac:dyDescent="0.3">
      <c r="A3861" s="2" t="s">
        <v>1389</v>
      </c>
      <c r="B3861" s="3">
        <v>159725</v>
      </c>
      <c r="C3861" s="3">
        <v>912476</v>
      </c>
      <c r="D3861" s="4" t="s">
        <v>81</v>
      </c>
      <c r="E3861" s="4" t="s">
        <v>735</v>
      </c>
      <c r="F3861" s="4" t="s">
        <v>83</v>
      </c>
      <c r="G3861" s="4" t="s">
        <v>91</v>
      </c>
      <c r="H3861" s="5">
        <v>-4879.0600000000004</v>
      </c>
      <c r="I3861" s="4" t="s">
        <v>21</v>
      </c>
      <c r="J3861" s="5">
        <f t="shared" si="60"/>
        <v>23580.984886000002</v>
      </c>
      <c r="K3861" s="4" t="s">
        <v>55</v>
      </c>
      <c r="L3861" s="6">
        <v>4.8331</v>
      </c>
      <c r="M3861" s="6">
        <v>0.2069</v>
      </c>
      <c r="N3861" s="6">
        <v>4.8319999999999999</v>
      </c>
      <c r="O3861" s="6">
        <v>1</v>
      </c>
      <c r="P3861" s="5">
        <v>5.3620799999999997</v>
      </c>
      <c r="Q3861" s="4" t="s">
        <v>1394</v>
      </c>
    </row>
    <row r="3862" spans="1:17" x14ac:dyDescent="0.3">
      <c r="A3862" s="2" t="s">
        <v>1389</v>
      </c>
      <c r="B3862" s="3">
        <v>159726</v>
      </c>
      <c r="C3862" s="3">
        <v>912477</v>
      </c>
      <c r="D3862" s="4" t="s">
        <v>81</v>
      </c>
      <c r="E3862" s="4" t="s">
        <v>734</v>
      </c>
      <c r="F3862" s="4" t="s">
        <v>87</v>
      </c>
      <c r="G3862" s="4" t="s">
        <v>34</v>
      </c>
      <c r="H3862" s="5">
        <v>63629.87</v>
      </c>
      <c r="I3862" s="4" t="s">
        <v>21</v>
      </c>
      <c r="J3862" s="5">
        <f t="shared" si="60"/>
        <v>-223149.95409000001</v>
      </c>
      <c r="K3862" s="4" t="s">
        <v>55</v>
      </c>
      <c r="L3862" s="6">
        <v>3.5070000000000001</v>
      </c>
      <c r="M3862" s="6">
        <v>0.28510000000000002</v>
      </c>
      <c r="N3862" s="6">
        <v>3.5045000000000002</v>
      </c>
      <c r="O3862" s="6">
        <v>1</v>
      </c>
      <c r="P3862" s="5">
        <v>-160.350585</v>
      </c>
      <c r="Q3862" s="4" t="s">
        <v>1393</v>
      </c>
    </row>
    <row r="3863" spans="1:17" x14ac:dyDescent="0.3">
      <c r="A3863" s="2" t="s">
        <v>1389</v>
      </c>
      <c r="B3863" s="3">
        <v>159727</v>
      </c>
      <c r="C3863" s="3">
        <v>912478</v>
      </c>
      <c r="D3863" s="4" t="s">
        <v>81</v>
      </c>
      <c r="E3863" s="4" t="s">
        <v>734</v>
      </c>
      <c r="F3863" s="4" t="s">
        <v>87</v>
      </c>
      <c r="G3863" s="4" t="s">
        <v>20</v>
      </c>
      <c r="H3863" s="5">
        <v>20579.650000000001</v>
      </c>
      <c r="I3863" s="4" t="s">
        <v>21</v>
      </c>
      <c r="J3863" s="5">
        <f t="shared" si="60"/>
        <v>-86436.587964999999</v>
      </c>
      <c r="K3863" s="4" t="s">
        <v>55</v>
      </c>
      <c r="L3863" s="6">
        <v>4.2000999999999999</v>
      </c>
      <c r="M3863" s="6">
        <v>0.23810000000000001</v>
      </c>
      <c r="N3863" s="6">
        <v>4.2008999999999999</v>
      </c>
      <c r="O3863" s="6">
        <v>1</v>
      </c>
      <c r="P3863" s="5">
        <v>16.461684999999999</v>
      </c>
      <c r="Q3863" s="4" t="s">
        <v>1393</v>
      </c>
    </row>
    <row r="3864" spans="1:17" x14ac:dyDescent="0.3">
      <c r="A3864" s="2" t="s">
        <v>1389</v>
      </c>
      <c r="B3864" s="3">
        <v>159728</v>
      </c>
      <c r="C3864" s="3">
        <v>912479</v>
      </c>
      <c r="D3864" s="4" t="s">
        <v>81</v>
      </c>
      <c r="E3864" s="4" t="s">
        <v>734</v>
      </c>
      <c r="F3864" s="4" t="s">
        <v>83</v>
      </c>
      <c r="G3864" s="4" t="s">
        <v>93</v>
      </c>
      <c r="H3864" s="5">
        <v>-9213.81</v>
      </c>
      <c r="I3864" s="4" t="s">
        <v>21</v>
      </c>
      <c r="J3864" s="5">
        <f t="shared" si="60"/>
        <v>42152.259368999999</v>
      </c>
      <c r="K3864" s="4" t="s">
        <v>55</v>
      </c>
      <c r="L3864" s="6">
        <v>4.5749000000000004</v>
      </c>
      <c r="M3864" s="6">
        <v>0.21859999999999999</v>
      </c>
      <c r="N3864" s="6">
        <v>4.5683999999999996</v>
      </c>
      <c r="O3864" s="6">
        <v>1</v>
      </c>
      <c r="P3864" s="5">
        <v>59.520395999999998</v>
      </c>
      <c r="Q3864" s="4" t="s">
        <v>1393</v>
      </c>
    </row>
    <row r="3865" spans="1:17" x14ac:dyDescent="0.3">
      <c r="A3865" s="2" t="s">
        <v>1389</v>
      </c>
      <c r="B3865" s="3">
        <v>159729</v>
      </c>
      <c r="C3865" s="3">
        <v>912484</v>
      </c>
      <c r="D3865" s="4" t="s">
        <v>81</v>
      </c>
      <c r="E3865" s="4" t="s">
        <v>735</v>
      </c>
      <c r="F3865" s="4" t="s">
        <v>87</v>
      </c>
      <c r="G3865" s="4" t="s">
        <v>34</v>
      </c>
      <c r="H3865" s="5">
        <v>110082.66</v>
      </c>
      <c r="I3865" s="4" t="s">
        <v>21</v>
      </c>
      <c r="J3865" s="5">
        <f t="shared" si="60"/>
        <v>-385982.83075800003</v>
      </c>
      <c r="K3865" s="4" t="s">
        <v>55</v>
      </c>
      <c r="L3865" s="6">
        <v>3.5063</v>
      </c>
      <c r="M3865" s="6">
        <v>0.28520000000000001</v>
      </c>
      <c r="N3865" s="6">
        <v>3.5045000000000002</v>
      </c>
      <c r="O3865" s="6">
        <v>1</v>
      </c>
      <c r="P3865" s="5">
        <v>-198.14803000000001</v>
      </c>
      <c r="Q3865" s="4" t="s">
        <v>1394</v>
      </c>
    </row>
    <row r="3866" spans="1:17" x14ac:dyDescent="0.3">
      <c r="A3866" s="2" t="s">
        <v>1389</v>
      </c>
      <c r="B3866" s="3">
        <v>159730</v>
      </c>
      <c r="C3866" s="3">
        <v>912486</v>
      </c>
      <c r="D3866" s="4" t="s">
        <v>81</v>
      </c>
      <c r="E3866" s="4" t="s">
        <v>734</v>
      </c>
      <c r="F3866" s="4" t="s">
        <v>87</v>
      </c>
      <c r="G3866" s="4" t="s">
        <v>34</v>
      </c>
      <c r="H3866" s="5">
        <v>1200000</v>
      </c>
      <c r="I3866" s="4" t="s">
        <v>21</v>
      </c>
      <c r="J3866" s="5">
        <f t="shared" si="60"/>
        <v>-4189440</v>
      </c>
      <c r="K3866" s="4" t="s">
        <v>55</v>
      </c>
      <c r="L3866" s="6">
        <v>3.4912000000000001</v>
      </c>
      <c r="M3866" s="6">
        <v>0.28639999999999999</v>
      </c>
      <c r="N3866" s="6">
        <v>3.5045000000000002</v>
      </c>
      <c r="O3866" s="6">
        <v>1</v>
      </c>
      <c r="P3866" s="5">
        <v>15960</v>
      </c>
      <c r="Q3866" s="4" t="s">
        <v>1393</v>
      </c>
    </row>
    <row r="3867" spans="1:17" x14ac:dyDescent="0.3">
      <c r="A3867" s="2" t="s">
        <v>1389</v>
      </c>
      <c r="B3867" s="3">
        <v>159731</v>
      </c>
      <c r="C3867" s="3">
        <v>912487</v>
      </c>
      <c r="D3867" s="4" t="s">
        <v>81</v>
      </c>
      <c r="E3867" s="4" t="s">
        <v>734</v>
      </c>
      <c r="F3867" s="4" t="s">
        <v>87</v>
      </c>
      <c r="G3867" s="4" t="s">
        <v>34</v>
      </c>
      <c r="H3867" s="5">
        <v>1000000</v>
      </c>
      <c r="I3867" s="4" t="s">
        <v>21</v>
      </c>
      <c r="J3867" s="5">
        <f t="shared" si="60"/>
        <v>-3488500</v>
      </c>
      <c r="K3867" s="4" t="s">
        <v>55</v>
      </c>
      <c r="L3867" s="6">
        <v>3.4885000000000002</v>
      </c>
      <c r="M3867" s="6">
        <v>0.28670000000000001</v>
      </c>
      <c r="N3867" s="6">
        <v>3.5045000000000002</v>
      </c>
      <c r="O3867" s="6">
        <v>1</v>
      </c>
      <c r="P3867" s="5">
        <v>16000</v>
      </c>
      <c r="Q3867" s="4" t="s">
        <v>1393</v>
      </c>
    </row>
    <row r="3868" spans="1:17" x14ac:dyDescent="0.3">
      <c r="A3868" s="2" t="s">
        <v>1389</v>
      </c>
      <c r="B3868" s="3">
        <v>159732</v>
      </c>
      <c r="C3868" s="3">
        <v>912488</v>
      </c>
      <c r="D3868" s="4" t="s">
        <v>81</v>
      </c>
      <c r="E3868" s="4" t="s">
        <v>735</v>
      </c>
      <c r="F3868" s="4" t="s">
        <v>87</v>
      </c>
      <c r="G3868" s="4" t="s">
        <v>34</v>
      </c>
      <c r="H3868" s="5">
        <v>209063.35</v>
      </c>
      <c r="I3868" s="4" t="s">
        <v>21</v>
      </c>
      <c r="J3868" s="5">
        <f t="shared" si="60"/>
        <v>-729526.559825</v>
      </c>
      <c r="K3868" s="4" t="s">
        <v>55</v>
      </c>
      <c r="L3868" s="6">
        <v>3.4895</v>
      </c>
      <c r="M3868" s="6">
        <v>0.28660000000000002</v>
      </c>
      <c r="N3868" s="6">
        <v>3.5045000000000002</v>
      </c>
      <c r="O3868" s="6">
        <v>1</v>
      </c>
      <c r="P3868" s="5">
        <v>3135.9500750000002</v>
      </c>
      <c r="Q3868" s="4" t="s">
        <v>1394</v>
      </c>
    </row>
    <row r="3869" spans="1:17" x14ac:dyDescent="0.3">
      <c r="A3869" s="2" t="s">
        <v>1389</v>
      </c>
      <c r="B3869" s="3">
        <v>159733</v>
      </c>
      <c r="C3869" s="3">
        <v>912490</v>
      </c>
      <c r="D3869" s="4" t="s">
        <v>81</v>
      </c>
      <c r="E3869" s="4" t="s">
        <v>743</v>
      </c>
      <c r="F3869" s="4" t="s">
        <v>87</v>
      </c>
      <c r="G3869" s="4" t="s">
        <v>20</v>
      </c>
      <c r="H3869" s="5">
        <v>30632.01</v>
      </c>
      <c r="I3869" s="4" t="s">
        <v>21</v>
      </c>
      <c r="J3869" s="5">
        <f t="shared" si="60"/>
        <v>-128645.25239699999</v>
      </c>
      <c r="K3869" s="4" t="s">
        <v>27</v>
      </c>
      <c r="L3869" s="6">
        <v>4.1997</v>
      </c>
      <c r="M3869" s="6">
        <v>0.23810000000000001</v>
      </c>
      <c r="N3869" s="6">
        <v>4.2072000000000003</v>
      </c>
      <c r="O3869" s="6">
        <v>1</v>
      </c>
      <c r="P3869" s="5">
        <v>230.96247199999999</v>
      </c>
      <c r="Q3869" s="4" t="s">
        <v>1395</v>
      </c>
    </row>
    <row r="3870" spans="1:17" x14ac:dyDescent="0.3">
      <c r="A3870" s="2" t="s">
        <v>1389</v>
      </c>
      <c r="B3870" s="3">
        <v>159734</v>
      </c>
      <c r="C3870" s="3">
        <v>912491</v>
      </c>
      <c r="D3870" s="4" t="s">
        <v>81</v>
      </c>
      <c r="E3870" s="4" t="s">
        <v>734</v>
      </c>
      <c r="F3870" s="4" t="s">
        <v>87</v>
      </c>
      <c r="G3870" s="4" t="s">
        <v>34</v>
      </c>
      <c r="H3870" s="5">
        <v>93631.28</v>
      </c>
      <c r="I3870" s="4" t="s">
        <v>21</v>
      </c>
      <c r="J3870" s="5">
        <f t="shared" si="60"/>
        <v>-326520.36274399998</v>
      </c>
      <c r="K3870" s="4" t="s">
        <v>27</v>
      </c>
      <c r="L3870" s="6">
        <v>3.4872999999999998</v>
      </c>
      <c r="M3870" s="6">
        <v>0.2868</v>
      </c>
      <c r="N3870" s="6">
        <v>3.5188999999999999</v>
      </c>
      <c r="O3870" s="6">
        <v>1</v>
      </c>
      <c r="P3870" s="5">
        <v>2960.6211920000001</v>
      </c>
      <c r="Q3870" s="4" t="s">
        <v>1393</v>
      </c>
    </row>
    <row r="3871" spans="1:17" x14ac:dyDescent="0.3">
      <c r="A3871" s="2" t="s">
        <v>1389</v>
      </c>
      <c r="B3871" s="3">
        <v>159735</v>
      </c>
      <c r="C3871" s="3">
        <v>912492</v>
      </c>
      <c r="D3871" s="4" t="s">
        <v>81</v>
      </c>
      <c r="E3871" s="4" t="s">
        <v>734</v>
      </c>
      <c r="F3871" s="4" t="s">
        <v>83</v>
      </c>
      <c r="G3871" s="4" t="s">
        <v>93</v>
      </c>
      <c r="H3871" s="5">
        <v>-1839.78</v>
      </c>
      <c r="I3871" s="4" t="s">
        <v>21</v>
      </c>
      <c r="J3871" s="5">
        <f t="shared" si="60"/>
        <v>8413.31394</v>
      </c>
      <c r="K3871" s="4" t="s">
        <v>27</v>
      </c>
      <c r="L3871" s="6">
        <v>4.5730000000000004</v>
      </c>
      <c r="M3871" s="6">
        <v>0.21870000000000001</v>
      </c>
      <c r="N3871" s="6">
        <v>4.5830000000000002</v>
      </c>
      <c r="O3871" s="6">
        <v>1</v>
      </c>
      <c r="P3871" s="5">
        <v>-18.40174</v>
      </c>
      <c r="Q3871" s="4" t="s">
        <v>1393</v>
      </c>
    </row>
    <row r="3872" spans="1:17" x14ac:dyDescent="0.3">
      <c r="A3872" s="2" t="s">
        <v>1389</v>
      </c>
      <c r="B3872" s="3">
        <v>159736</v>
      </c>
      <c r="C3872" s="3">
        <v>912525</v>
      </c>
      <c r="D3872" s="4" t="s">
        <v>81</v>
      </c>
      <c r="E3872" s="4" t="s">
        <v>730</v>
      </c>
      <c r="F3872" s="4" t="s">
        <v>87</v>
      </c>
      <c r="G3872" s="4" t="s">
        <v>34</v>
      </c>
      <c r="H3872" s="5">
        <v>23455.09</v>
      </c>
      <c r="I3872" s="4" t="s">
        <v>21</v>
      </c>
      <c r="J3872" s="5">
        <f t="shared" si="60"/>
        <v>-82083.432964000007</v>
      </c>
      <c r="K3872" s="4" t="s">
        <v>27</v>
      </c>
      <c r="L3872" s="6">
        <v>3.4996</v>
      </c>
      <c r="M3872" s="6">
        <v>0.28570000000000001</v>
      </c>
      <c r="N3872" s="6">
        <v>3.5188999999999999</v>
      </c>
      <c r="O3872" s="6">
        <v>1</v>
      </c>
      <c r="P3872" s="5">
        <v>453.15620100000001</v>
      </c>
      <c r="Q3872" s="4" t="s">
        <v>1396</v>
      </c>
    </row>
    <row r="3873" spans="1:17" x14ac:dyDescent="0.3">
      <c r="A3873" s="2" t="s">
        <v>1389</v>
      </c>
      <c r="B3873" s="3">
        <v>159737</v>
      </c>
      <c r="C3873" s="3">
        <v>912526</v>
      </c>
      <c r="D3873" s="4" t="s">
        <v>81</v>
      </c>
      <c r="E3873" s="4" t="s">
        <v>730</v>
      </c>
      <c r="F3873" s="4" t="s">
        <v>87</v>
      </c>
      <c r="G3873" s="4" t="s">
        <v>20</v>
      </c>
      <c r="H3873" s="5">
        <v>9209.77</v>
      </c>
      <c r="I3873" s="4" t="s">
        <v>21</v>
      </c>
      <c r="J3873" s="5">
        <f t="shared" si="60"/>
        <v>-38678.271069000002</v>
      </c>
      <c r="K3873" s="4" t="s">
        <v>27</v>
      </c>
      <c r="L3873" s="6">
        <v>4.1997</v>
      </c>
      <c r="M3873" s="6">
        <v>0.23810000000000001</v>
      </c>
      <c r="N3873" s="6">
        <v>4.2072000000000003</v>
      </c>
      <c r="O3873" s="6">
        <v>1</v>
      </c>
      <c r="P3873" s="5">
        <v>69.534344000000004</v>
      </c>
      <c r="Q3873" s="4" t="s">
        <v>1396</v>
      </c>
    </row>
    <row r="3874" spans="1:17" x14ac:dyDescent="0.3">
      <c r="A3874" s="2" t="s">
        <v>1389</v>
      </c>
      <c r="B3874" s="3">
        <v>159738</v>
      </c>
      <c r="C3874" s="3">
        <v>912527</v>
      </c>
      <c r="D3874" s="4" t="s">
        <v>81</v>
      </c>
      <c r="E3874" s="4" t="s">
        <v>730</v>
      </c>
      <c r="F3874" s="4" t="s">
        <v>83</v>
      </c>
      <c r="G3874" s="4" t="s">
        <v>91</v>
      </c>
      <c r="H3874" s="5">
        <v>-2354</v>
      </c>
      <c r="I3874" s="4" t="s">
        <v>21</v>
      </c>
      <c r="J3874" s="5">
        <f t="shared" si="60"/>
        <v>11377.117399999999</v>
      </c>
      <c r="K3874" s="4" t="s">
        <v>27</v>
      </c>
      <c r="L3874" s="6">
        <v>4.8331</v>
      </c>
      <c r="M3874" s="6">
        <v>0.2069</v>
      </c>
      <c r="N3874" s="6">
        <v>4.8574000000000002</v>
      </c>
      <c r="O3874" s="6">
        <v>1</v>
      </c>
      <c r="P3874" s="5">
        <v>-57.319600000000001</v>
      </c>
      <c r="Q3874" s="4" t="s">
        <v>1396</v>
      </c>
    </row>
    <row r="3875" spans="1:17" x14ac:dyDescent="0.3">
      <c r="A3875" s="2" t="s">
        <v>1389</v>
      </c>
      <c r="B3875" s="3">
        <v>159739</v>
      </c>
      <c r="C3875" s="3">
        <v>220668</v>
      </c>
      <c r="D3875" s="4" t="s">
        <v>17</v>
      </c>
      <c r="E3875" s="4" t="s">
        <v>727</v>
      </c>
      <c r="F3875" s="4" t="s">
        <v>32</v>
      </c>
      <c r="G3875" s="4" t="s">
        <v>20</v>
      </c>
      <c r="H3875" s="5">
        <v>-1000</v>
      </c>
      <c r="I3875" s="4" t="s">
        <v>21</v>
      </c>
      <c r="J3875" s="5">
        <f t="shared" si="60"/>
        <v>4198.1000000000004</v>
      </c>
      <c r="K3875" s="4" t="s">
        <v>30</v>
      </c>
      <c r="L3875" s="6">
        <v>4.1981000000000002</v>
      </c>
      <c r="M3875" s="6">
        <v>0.2382</v>
      </c>
      <c r="N3875" s="6">
        <v>4.2031999999999998</v>
      </c>
      <c r="O3875" s="6">
        <v>1</v>
      </c>
      <c r="P3875" s="5">
        <v>-5.7</v>
      </c>
      <c r="Q3875" s="4" t="s">
        <v>1397</v>
      </c>
    </row>
    <row r="3876" spans="1:17" x14ac:dyDescent="0.3">
      <c r="A3876" s="2" t="s">
        <v>1389</v>
      </c>
      <c r="B3876" s="3">
        <v>159740</v>
      </c>
      <c r="C3876" s="3">
        <v>220670</v>
      </c>
      <c r="D3876" s="4" t="s">
        <v>17</v>
      </c>
      <c r="E3876" s="4" t="s">
        <v>1272</v>
      </c>
      <c r="F3876" s="4" t="s">
        <v>32</v>
      </c>
      <c r="G3876" s="4" t="s">
        <v>34</v>
      </c>
      <c r="H3876" s="5">
        <v>-25000</v>
      </c>
      <c r="I3876" s="4" t="s">
        <v>21</v>
      </c>
      <c r="J3876" s="5">
        <f t="shared" si="60"/>
        <v>87595</v>
      </c>
      <c r="K3876" s="4" t="s">
        <v>30</v>
      </c>
      <c r="L3876" s="6">
        <v>3.5038</v>
      </c>
      <c r="M3876" s="6">
        <v>0.28539999999999999</v>
      </c>
      <c r="N3876" s="6">
        <v>3.5354000000000001</v>
      </c>
      <c r="O3876" s="6">
        <v>1</v>
      </c>
      <c r="P3876" s="5">
        <v>-787.5</v>
      </c>
      <c r="Q3876" s="4" t="s">
        <v>1390</v>
      </c>
    </row>
    <row r="3877" spans="1:17" x14ac:dyDescent="0.3">
      <c r="A3877" s="2" t="s">
        <v>1389</v>
      </c>
      <c r="B3877" s="3">
        <v>159741</v>
      </c>
      <c r="C3877" s="3">
        <v>220671</v>
      </c>
      <c r="D3877" s="4" t="s">
        <v>17</v>
      </c>
      <c r="E3877" s="4" t="s">
        <v>727</v>
      </c>
      <c r="F3877" s="4" t="s">
        <v>19</v>
      </c>
      <c r="G3877" s="4" t="s">
        <v>34</v>
      </c>
      <c r="H3877" s="5">
        <v>25000</v>
      </c>
      <c r="I3877" s="4" t="s">
        <v>21</v>
      </c>
      <c r="J3877" s="5">
        <f t="shared" si="60"/>
        <v>-87470</v>
      </c>
      <c r="K3877" s="4" t="s">
        <v>30</v>
      </c>
      <c r="L3877" s="6">
        <v>3.4988000000000001</v>
      </c>
      <c r="M3877" s="6">
        <v>0.2858</v>
      </c>
      <c r="N3877" s="6">
        <v>3.5354000000000001</v>
      </c>
      <c r="O3877" s="6">
        <v>1</v>
      </c>
      <c r="P3877" s="5">
        <v>915</v>
      </c>
      <c r="Q3877" s="4" t="s">
        <v>1397</v>
      </c>
    </row>
    <row r="3878" spans="1:17" x14ac:dyDescent="0.3">
      <c r="A3878" s="2" t="s">
        <v>1389</v>
      </c>
      <c r="B3878" s="3">
        <v>159742</v>
      </c>
      <c r="C3878" s="3">
        <v>220673</v>
      </c>
      <c r="D3878" s="4" t="s">
        <v>17</v>
      </c>
      <c r="E3878" s="4" t="s">
        <v>743</v>
      </c>
      <c r="F3878" s="4" t="s">
        <v>19</v>
      </c>
      <c r="G3878" s="4" t="s">
        <v>20</v>
      </c>
      <c r="H3878" s="5">
        <v>7285</v>
      </c>
      <c r="I3878" s="4" t="s">
        <v>21</v>
      </c>
      <c r="J3878" s="5">
        <f t="shared" si="60"/>
        <v>-30584.615499999996</v>
      </c>
      <c r="K3878" s="4" t="s">
        <v>30</v>
      </c>
      <c r="L3878" s="6">
        <v>4.1982999999999997</v>
      </c>
      <c r="M3878" s="6">
        <v>0.2382</v>
      </c>
      <c r="N3878" s="6">
        <v>4.2031999999999998</v>
      </c>
      <c r="O3878" s="6">
        <v>1</v>
      </c>
      <c r="P3878" s="5">
        <v>35.696500000001834</v>
      </c>
      <c r="Q3878" s="4" t="s">
        <v>1395</v>
      </c>
    </row>
    <row r="3879" spans="1:17" x14ac:dyDescent="0.3">
      <c r="A3879" s="2" t="s">
        <v>1389</v>
      </c>
      <c r="B3879" s="3">
        <v>159743</v>
      </c>
      <c r="C3879" s="3">
        <v>220674</v>
      </c>
      <c r="D3879" s="4" t="s">
        <v>17</v>
      </c>
      <c r="E3879" s="4" t="s">
        <v>734</v>
      </c>
      <c r="F3879" s="4" t="s">
        <v>32</v>
      </c>
      <c r="G3879" s="4" t="s">
        <v>20</v>
      </c>
      <c r="H3879" s="5">
        <v>-1300</v>
      </c>
      <c r="I3879" s="4" t="s">
        <v>21</v>
      </c>
      <c r="J3879" s="5">
        <f t="shared" si="60"/>
        <v>5456.1</v>
      </c>
      <c r="K3879" s="4" t="s">
        <v>30</v>
      </c>
      <c r="L3879" s="6">
        <v>4.1970000000000001</v>
      </c>
      <c r="M3879" s="6">
        <v>0.23830000000000001</v>
      </c>
      <c r="N3879" s="6">
        <v>4.2031999999999998</v>
      </c>
      <c r="O3879" s="6">
        <v>1</v>
      </c>
      <c r="P3879" s="5">
        <v>-8.6199999999999992</v>
      </c>
      <c r="Q3879" s="4" t="s">
        <v>1393</v>
      </c>
    </row>
    <row r="3880" spans="1:17" x14ac:dyDescent="0.3">
      <c r="A3880" s="2" t="s">
        <v>1389</v>
      </c>
      <c r="B3880" s="3">
        <v>159744</v>
      </c>
      <c r="C3880" s="3">
        <v>220676</v>
      </c>
      <c r="D3880" s="4" t="s">
        <v>17</v>
      </c>
      <c r="E3880" s="4" t="s">
        <v>735</v>
      </c>
      <c r="F3880" s="4" t="s">
        <v>19</v>
      </c>
      <c r="G3880" s="4" t="s">
        <v>34</v>
      </c>
      <c r="H3880" s="5">
        <v>34000</v>
      </c>
      <c r="I3880" s="4" t="s">
        <v>21</v>
      </c>
      <c r="J3880" s="5">
        <f t="shared" si="60"/>
        <v>-118983</v>
      </c>
      <c r="K3880" s="4" t="s">
        <v>30</v>
      </c>
      <c r="L3880" s="6">
        <v>3.4994999999999998</v>
      </c>
      <c r="M3880" s="6">
        <v>0.2858</v>
      </c>
      <c r="N3880" s="6">
        <v>3.5354000000000001</v>
      </c>
      <c r="O3880" s="6">
        <v>1</v>
      </c>
      <c r="P3880" s="5">
        <v>1220.6000000000058</v>
      </c>
      <c r="Q3880" s="4" t="s">
        <v>1394</v>
      </c>
    </row>
    <row r="3881" spans="1:17" x14ac:dyDescent="0.3">
      <c r="A3881" s="2" t="s">
        <v>1389</v>
      </c>
      <c r="B3881" s="3">
        <v>159745</v>
      </c>
      <c r="C3881" s="3">
        <v>220678</v>
      </c>
      <c r="D3881" s="4" t="s">
        <v>17</v>
      </c>
      <c r="E3881" s="4" t="s">
        <v>735</v>
      </c>
      <c r="F3881" s="4" t="s">
        <v>19</v>
      </c>
      <c r="G3881" s="4" t="s">
        <v>20</v>
      </c>
      <c r="H3881" s="5">
        <v>20000</v>
      </c>
      <c r="I3881" s="4" t="s">
        <v>21</v>
      </c>
      <c r="J3881" s="5">
        <f t="shared" si="60"/>
        <v>-83956</v>
      </c>
      <c r="K3881" s="4" t="s">
        <v>30</v>
      </c>
      <c r="L3881" s="6">
        <v>4.1978</v>
      </c>
      <c r="M3881" s="6">
        <v>0.2382</v>
      </c>
      <c r="N3881" s="6">
        <v>4.2031999999999998</v>
      </c>
      <c r="O3881" s="6">
        <v>1</v>
      </c>
      <c r="P3881" s="5">
        <v>108</v>
      </c>
      <c r="Q3881" s="4" t="s">
        <v>1394</v>
      </c>
    </row>
    <row r="3882" spans="1:17" x14ac:dyDescent="0.3">
      <c r="A3882" s="2" t="s">
        <v>1389</v>
      </c>
      <c r="B3882" s="3">
        <v>159746</v>
      </c>
      <c r="C3882" s="3">
        <v>220680</v>
      </c>
      <c r="D3882" s="4" t="s">
        <v>17</v>
      </c>
      <c r="E3882" s="4" t="s">
        <v>743</v>
      </c>
      <c r="F3882" s="4" t="s">
        <v>19</v>
      </c>
      <c r="G3882" s="4" t="s">
        <v>20</v>
      </c>
      <c r="H3882" s="5">
        <v>50000</v>
      </c>
      <c r="I3882" s="4" t="s">
        <v>21</v>
      </c>
      <c r="J3882" s="5">
        <f t="shared" si="60"/>
        <v>-209815</v>
      </c>
      <c r="K3882" s="4" t="s">
        <v>30</v>
      </c>
      <c r="L3882" s="6">
        <v>4.1962999999999999</v>
      </c>
      <c r="M3882" s="6">
        <v>0.23830000000000001</v>
      </c>
      <c r="N3882" s="6">
        <v>4.2031999999999998</v>
      </c>
      <c r="O3882" s="6">
        <v>1</v>
      </c>
      <c r="P3882" s="5">
        <v>345</v>
      </c>
      <c r="Q3882" s="4" t="s">
        <v>1395</v>
      </c>
    </row>
    <row r="3883" spans="1:17" x14ac:dyDescent="0.3">
      <c r="A3883" s="2" t="s">
        <v>1389</v>
      </c>
      <c r="B3883" s="3">
        <v>159747</v>
      </c>
      <c r="C3883" s="3">
        <v>912559</v>
      </c>
      <c r="D3883" s="4" t="s">
        <v>81</v>
      </c>
      <c r="E3883" s="4" t="s">
        <v>743</v>
      </c>
      <c r="F3883" s="4" t="s">
        <v>83</v>
      </c>
      <c r="G3883" s="4" t="s">
        <v>93</v>
      </c>
      <c r="H3883" s="5">
        <v>-1652.74</v>
      </c>
      <c r="I3883" s="4" t="s">
        <v>21</v>
      </c>
      <c r="J3883" s="5">
        <f t="shared" si="60"/>
        <v>7555.5009100000007</v>
      </c>
      <c r="K3883" s="4" t="s">
        <v>27</v>
      </c>
      <c r="L3883" s="6">
        <v>4.5715000000000003</v>
      </c>
      <c r="M3883" s="6">
        <v>0.21870000000000001</v>
      </c>
      <c r="N3883" s="6">
        <v>4.5830000000000002</v>
      </c>
      <c r="O3883" s="6">
        <v>1</v>
      </c>
      <c r="P3883" s="5">
        <v>-19.027419999999999</v>
      </c>
      <c r="Q3883" s="4" t="s">
        <v>1395</v>
      </c>
    </row>
    <row r="3884" spans="1:17" x14ac:dyDescent="0.3">
      <c r="A3884" s="2" t="s">
        <v>1389</v>
      </c>
      <c r="B3884" s="3">
        <v>159748</v>
      </c>
      <c r="C3884" s="3">
        <v>912560</v>
      </c>
      <c r="D3884" s="4" t="s">
        <v>81</v>
      </c>
      <c r="E3884" s="4" t="s">
        <v>743</v>
      </c>
      <c r="F3884" s="4" t="s">
        <v>83</v>
      </c>
      <c r="G3884" s="4" t="s">
        <v>20</v>
      </c>
      <c r="H3884" s="5">
        <v>-6215.3</v>
      </c>
      <c r="I3884" s="4" t="s">
        <v>21</v>
      </c>
      <c r="J3884" s="5">
        <f t="shared" si="60"/>
        <v>26072.561969999999</v>
      </c>
      <c r="K3884" s="4" t="s">
        <v>27</v>
      </c>
      <c r="L3884" s="6">
        <v>4.1948999999999996</v>
      </c>
      <c r="M3884" s="6">
        <v>0.2384</v>
      </c>
      <c r="N3884" s="6">
        <v>4.2072000000000003</v>
      </c>
      <c r="O3884" s="6">
        <v>1</v>
      </c>
      <c r="P3884" s="5">
        <v>-76.510159999999999</v>
      </c>
      <c r="Q3884" s="4" t="s">
        <v>1395</v>
      </c>
    </row>
    <row r="3885" spans="1:17" x14ac:dyDescent="0.3">
      <c r="A3885" s="2" t="s">
        <v>1389</v>
      </c>
      <c r="B3885" s="3">
        <v>159749</v>
      </c>
      <c r="C3885" s="3">
        <v>912561</v>
      </c>
      <c r="D3885" s="4" t="s">
        <v>81</v>
      </c>
      <c r="E3885" s="4" t="s">
        <v>743</v>
      </c>
      <c r="F3885" s="4" t="s">
        <v>83</v>
      </c>
      <c r="G3885" s="4" t="s">
        <v>34</v>
      </c>
      <c r="H3885" s="5">
        <v>-37333.089999999997</v>
      </c>
      <c r="I3885" s="4" t="s">
        <v>21</v>
      </c>
      <c r="J3885" s="5">
        <f t="shared" si="60"/>
        <v>130251.417701</v>
      </c>
      <c r="K3885" s="4" t="s">
        <v>27</v>
      </c>
      <c r="L3885" s="6">
        <v>3.4889000000000001</v>
      </c>
      <c r="M3885" s="6">
        <v>0.28660000000000002</v>
      </c>
      <c r="N3885" s="6">
        <v>3.5188999999999999</v>
      </c>
      <c r="O3885" s="6">
        <v>1</v>
      </c>
      <c r="P3885" s="5">
        <v>-1119.990401</v>
      </c>
      <c r="Q3885" s="4" t="s">
        <v>1395</v>
      </c>
    </row>
    <row r="3886" spans="1:17" x14ac:dyDescent="0.3">
      <c r="A3886" s="2" t="s">
        <v>1389</v>
      </c>
      <c r="B3886" s="3">
        <v>159750</v>
      </c>
      <c r="C3886" s="3">
        <v>912562</v>
      </c>
      <c r="D3886" s="4" t="s">
        <v>81</v>
      </c>
      <c r="E3886" s="4" t="s">
        <v>743</v>
      </c>
      <c r="F3886" s="4" t="s">
        <v>83</v>
      </c>
      <c r="G3886" s="4" t="s">
        <v>91</v>
      </c>
      <c r="H3886" s="5">
        <v>-6990.66</v>
      </c>
      <c r="I3886" s="4" t="s">
        <v>21</v>
      </c>
      <c r="J3886" s="5">
        <f t="shared" si="60"/>
        <v>33726.439169999998</v>
      </c>
      <c r="K3886" s="4" t="s">
        <v>27</v>
      </c>
      <c r="L3886" s="6">
        <v>4.8244999999999996</v>
      </c>
      <c r="M3886" s="6">
        <v>0.20730000000000001</v>
      </c>
      <c r="N3886" s="6">
        <v>4.8574000000000002</v>
      </c>
      <c r="O3886" s="6">
        <v>1</v>
      </c>
      <c r="P3886" s="5">
        <v>-230.13188400000001</v>
      </c>
      <c r="Q3886" s="4" t="s">
        <v>1395</v>
      </c>
    </row>
    <row r="3887" spans="1:17" x14ac:dyDescent="0.3">
      <c r="A3887" s="2" t="s">
        <v>1389</v>
      </c>
      <c r="B3887" s="3">
        <v>159751</v>
      </c>
      <c r="C3887" s="3">
        <v>220683</v>
      </c>
      <c r="D3887" s="4" t="s">
        <v>17</v>
      </c>
      <c r="E3887" s="4" t="s">
        <v>739</v>
      </c>
      <c r="F3887" s="4" t="s">
        <v>19</v>
      </c>
      <c r="G3887" s="4" t="s">
        <v>20</v>
      </c>
      <c r="H3887" s="5">
        <v>48500</v>
      </c>
      <c r="I3887" s="4" t="s">
        <v>21</v>
      </c>
      <c r="J3887" s="5">
        <f t="shared" si="60"/>
        <v>-203525.4</v>
      </c>
      <c r="K3887" s="4" t="s">
        <v>30</v>
      </c>
      <c r="L3887" s="6">
        <v>4.1963999999999997</v>
      </c>
      <c r="M3887" s="6">
        <v>0.23830000000000001</v>
      </c>
      <c r="N3887" s="6">
        <v>4.2031999999999998</v>
      </c>
      <c r="O3887" s="6">
        <v>1</v>
      </c>
      <c r="P3887" s="5">
        <v>329.79999999998836</v>
      </c>
      <c r="Q3887" s="4" t="s">
        <v>1391</v>
      </c>
    </row>
    <row r="3888" spans="1:17" x14ac:dyDescent="0.3">
      <c r="A3888" s="2" t="s">
        <v>1389</v>
      </c>
      <c r="B3888" s="3">
        <v>159752</v>
      </c>
      <c r="C3888" s="3">
        <v>220685</v>
      </c>
      <c r="D3888" s="4" t="s">
        <v>17</v>
      </c>
      <c r="E3888" s="4" t="s">
        <v>735</v>
      </c>
      <c r="F3888" s="4" t="s">
        <v>19</v>
      </c>
      <c r="G3888" s="4" t="s">
        <v>20</v>
      </c>
      <c r="H3888" s="5">
        <v>22682</v>
      </c>
      <c r="I3888" s="4" t="s">
        <v>21</v>
      </c>
      <c r="J3888" s="5">
        <f t="shared" si="60"/>
        <v>-95169.135600000009</v>
      </c>
      <c r="K3888" s="4" t="s">
        <v>30</v>
      </c>
      <c r="L3888" s="6">
        <v>4.1958000000000002</v>
      </c>
      <c r="M3888" s="6">
        <v>0.23830000000000001</v>
      </c>
      <c r="N3888" s="6">
        <v>4.2031999999999998</v>
      </c>
      <c r="O3888" s="6">
        <v>1</v>
      </c>
      <c r="P3888" s="5">
        <v>167.8467999999848</v>
      </c>
      <c r="Q3888" s="4" t="s">
        <v>1394</v>
      </c>
    </row>
    <row r="3889" spans="1:17" x14ac:dyDescent="0.3">
      <c r="A3889" s="2" t="s">
        <v>1389</v>
      </c>
      <c r="B3889" s="3">
        <v>159753</v>
      </c>
      <c r="C3889" s="3">
        <v>220686</v>
      </c>
      <c r="D3889" s="4" t="s">
        <v>17</v>
      </c>
      <c r="E3889" s="4" t="s">
        <v>735</v>
      </c>
      <c r="F3889" s="4" t="s">
        <v>19</v>
      </c>
      <c r="G3889" s="4" t="s">
        <v>20</v>
      </c>
      <c r="H3889" s="5">
        <v>10000</v>
      </c>
      <c r="I3889" s="4" t="s">
        <v>21</v>
      </c>
      <c r="J3889" s="5">
        <f t="shared" si="60"/>
        <v>-41952.999999999993</v>
      </c>
      <c r="K3889" s="4" t="s">
        <v>30</v>
      </c>
      <c r="L3889" s="6">
        <v>4.1952999999999996</v>
      </c>
      <c r="M3889" s="6">
        <v>0.2384</v>
      </c>
      <c r="N3889" s="6">
        <v>4.2031999999999998</v>
      </c>
      <c r="O3889" s="6">
        <v>1</v>
      </c>
      <c r="P3889" s="5">
        <v>79.000000000007276</v>
      </c>
      <c r="Q3889" s="4" t="s">
        <v>1394</v>
      </c>
    </row>
    <row r="3890" spans="1:17" x14ac:dyDescent="0.3">
      <c r="A3890" s="2" t="s">
        <v>1389</v>
      </c>
      <c r="B3890" s="3">
        <v>159754</v>
      </c>
      <c r="C3890" s="3">
        <v>220688</v>
      </c>
      <c r="D3890" s="4" t="s">
        <v>17</v>
      </c>
      <c r="E3890" s="4" t="s">
        <v>739</v>
      </c>
      <c r="F3890" s="4" t="s">
        <v>32</v>
      </c>
      <c r="G3890" s="4" t="s">
        <v>20</v>
      </c>
      <c r="H3890" s="5">
        <v>-1500</v>
      </c>
      <c r="I3890" s="4" t="s">
        <v>21</v>
      </c>
      <c r="J3890" s="5">
        <f t="shared" si="60"/>
        <v>6292.3499999999995</v>
      </c>
      <c r="K3890" s="4" t="s">
        <v>30</v>
      </c>
      <c r="L3890" s="6">
        <v>4.1948999999999996</v>
      </c>
      <c r="M3890" s="6">
        <v>0.2384</v>
      </c>
      <c r="N3890" s="6">
        <v>4.2031999999999998</v>
      </c>
      <c r="O3890" s="6">
        <v>1</v>
      </c>
      <c r="P3890" s="5">
        <v>-13.08</v>
      </c>
      <c r="Q3890" s="4" t="s">
        <v>1391</v>
      </c>
    </row>
    <row r="3891" spans="1:17" x14ac:dyDescent="0.3">
      <c r="A3891" s="2" t="s">
        <v>1389</v>
      </c>
      <c r="B3891" s="3">
        <v>159755</v>
      </c>
      <c r="C3891" s="3">
        <v>220690</v>
      </c>
      <c r="D3891" s="4" t="s">
        <v>17</v>
      </c>
      <c r="E3891" s="4" t="s">
        <v>735</v>
      </c>
      <c r="F3891" s="4" t="s">
        <v>19</v>
      </c>
      <c r="G3891" s="4" t="s">
        <v>20</v>
      </c>
      <c r="H3891" s="5">
        <v>8000</v>
      </c>
      <c r="I3891" s="4" t="s">
        <v>21</v>
      </c>
      <c r="J3891" s="5">
        <f t="shared" si="60"/>
        <v>-33567.199999999997</v>
      </c>
      <c r="K3891" s="4" t="s">
        <v>30</v>
      </c>
      <c r="L3891" s="6">
        <v>4.1959</v>
      </c>
      <c r="M3891" s="6">
        <v>0.23830000000000001</v>
      </c>
      <c r="N3891" s="6">
        <v>4.2031999999999998</v>
      </c>
      <c r="O3891" s="6">
        <v>1</v>
      </c>
      <c r="P3891" s="5">
        <v>58.400000000001455</v>
      </c>
      <c r="Q3891" s="4" t="s">
        <v>1394</v>
      </c>
    </row>
    <row r="3892" spans="1:17" x14ac:dyDescent="0.3">
      <c r="A3892" s="2" t="s">
        <v>1389</v>
      </c>
      <c r="B3892" s="3">
        <v>159756</v>
      </c>
      <c r="C3892" s="3">
        <v>220693</v>
      </c>
      <c r="D3892" s="4" t="s">
        <v>17</v>
      </c>
      <c r="E3892" s="4" t="s">
        <v>1180</v>
      </c>
      <c r="F3892" s="4" t="s">
        <v>19</v>
      </c>
      <c r="G3892" s="4" t="s">
        <v>20</v>
      </c>
      <c r="H3892" s="5">
        <v>40000</v>
      </c>
      <c r="I3892" s="4" t="s">
        <v>21</v>
      </c>
      <c r="J3892" s="5">
        <f t="shared" si="60"/>
        <v>-167640</v>
      </c>
      <c r="K3892" s="4" t="s">
        <v>30</v>
      </c>
      <c r="L3892" s="6">
        <v>4.1909999999999998</v>
      </c>
      <c r="M3892" s="6">
        <v>0.23860000000000001</v>
      </c>
      <c r="N3892" s="6">
        <v>4.2031999999999998</v>
      </c>
      <c r="O3892" s="6">
        <v>1</v>
      </c>
      <c r="P3892" s="5">
        <v>488</v>
      </c>
      <c r="Q3892" s="4" t="s">
        <v>1390</v>
      </c>
    </row>
    <row r="3893" spans="1:17" x14ac:dyDescent="0.3">
      <c r="A3893" s="2" t="s">
        <v>1389</v>
      </c>
      <c r="B3893" s="3">
        <v>159757</v>
      </c>
      <c r="C3893" s="3">
        <v>220694</v>
      </c>
      <c r="D3893" s="4" t="s">
        <v>17</v>
      </c>
      <c r="E3893" s="4" t="s">
        <v>1180</v>
      </c>
      <c r="F3893" s="4" t="s">
        <v>19</v>
      </c>
      <c r="G3893" s="4" t="s">
        <v>20</v>
      </c>
      <c r="H3893" s="5">
        <v>17871.61</v>
      </c>
      <c r="I3893" s="4" t="s">
        <v>21</v>
      </c>
      <c r="J3893" s="5">
        <f t="shared" si="60"/>
        <v>-74899.917509999999</v>
      </c>
      <c r="K3893" s="4" t="s">
        <v>30</v>
      </c>
      <c r="L3893" s="6">
        <v>4.1909999999999998</v>
      </c>
      <c r="M3893" s="6">
        <v>0.23860000000000001</v>
      </c>
      <c r="N3893" s="6">
        <v>4.2031999999999998</v>
      </c>
      <c r="O3893" s="6">
        <v>1</v>
      </c>
      <c r="P3893" s="5">
        <v>218.03364199999487</v>
      </c>
      <c r="Q3893" s="4" t="s">
        <v>1390</v>
      </c>
    </row>
    <row r="3894" spans="1:17" x14ac:dyDescent="0.3">
      <c r="A3894" s="2" t="s">
        <v>1389</v>
      </c>
      <c r="B3894" s="3">
        <v>159758</v>
      </c>
      <c r="C3894" s="3">
        <v>220698</v>
      </c>
      <c r="D3894" s="4" t="s">
        <v>17</v>
      </c>
      <c r="E3894" s="4" t="s">
        <v>799</v>
      </c>
      <c r="F3894" s="4" t="s">
        <v>32</v>
      </c>
      <c r="G3894" s="4" t="s">
        <v>20</v>
      </c>
      <c r="H3894" s="5">
        <v>-50000</v>
      </c>
      <c r="I3894" s="4" t="s">
        <v>21</v>
      </c>
      <c r="J3894" s="5">
        <f t="shared" si="60"/>
        <v>210460</v>
      </c>
      <c r="K3894" s="4" t="s">
        <v>30</v>
      </c>
      <c r="L3894" s="6">
        <v>4.2092000000000001</v>
      </c>
      <c r="M3894" s="6">
        <v>0.23760000000000001</v>
      </c>
      <c r="N3894" s="6">
        <v>4.2031999999999998</v>
      </c>
      <c r="O3894" s="6">
        <v>1</v>
      </c>
      <c r="P3894" s="5">
        <v>280</v>
      </c>
      <c r="Q3894" s="4" t="s">
        <v>1390</v>
      </c>
    </row>
    <row r="3895" spans="1:17" x14ac:dyDescent="0.3">
      <c r="A3895" s="2" t="s">
        <v>1389</v>
      </c>
      <c r="B3895" s="3">
        <v>159759</v>
      </c>
      <c r="C3895" s="3">
        <v>220699</v>
      </c>
      <c r="D3895" s="4" t="s">
        <v>17</v>
      </c>
      <c r="E3895" s="4" t="s">
        <v>799</v>
      </c>
      <c r="F3895" s="4" t="s">
        <v>32</v>
      </c>
      <c r="G3895" s="4" t="s">
        <v>34</v>
      </c>
      <c r="H3895" s="5">
        <v>-50000</v>
      </c>
      <c r="I3895" s="4" t="s">
        <v>21</v>
      </c>
      <c r="J3895" s="5">
        <f t="shared" si="60"/>
        <v>175590</v>
      </c>
      <c r="K3895" s="4" t="s">
        <v>30</v>
      </c>
      <c r="L3895" s="6">
        <v>3.5118</v>
      </c>
      <c r="M3895" s="6">
        <v>0.2848</v>
      </c>
      <c r="N3895" s="6">
        <v>3.5354000000000001</v>
      </c>
      <c r="O3895" s="6">
        <v>1</v>
      </c>
      <c r="P3895" s="5">
        <v>-1180</v>
      </c>
      <c r="Q3895" s="4" t="s">
        <v>1390</v>
      </c>
    </row>
    <row r="3896" spans="1:17" x14ac:dyDescent="0.3">
      <c r="A3896" s="2" t="s">
        <v>1389</v>
      </c>
      <c r="B3896" s="3">
        <v>159762</v>
      </c>
      <c r="C3896" s="3">
        <v>912628</v>
      </c>
      <c r="D3896" s="4" t="s">
        <v>81</v>
      </c>
      <c r="E3896" s="4" t="s">
        <v>861</v>
      </c>
      <c r="F3896" s="4" t="s">
        <v>83</v>
      </c>
      <c r="G3896" s="4" t="s">
        <v>20</v>
      </c>
      <c r="H3896" s="5">
        <v>-20475.189999999999</v>
      </c>
      <c r="I3896" s="4" t="s">
        <v>21</v>
      </c>
      <c r="J3896" s="5">
        <f t="shared" si="60"/>
        <v>86759.522586999999</v>
      </c>
      <c r="K3896" s="4" t="s">
        <v>27</v>
      </c>
      <c r="L3896" s="6">
        <v>4.2373000000000003</v>
      </c>
      <c r="M3896" s="6">
        <v>0.23599999999999999</v>
      </c>
      <c r="N3896" s="6">
        <v>4.2072000000000003</v>
      </c>
      <c r="O3896" s="6">
        <v>1</v>
      </c>
      <c r="P3896" s="5">
        <v>616.30063199999995</v>
      </c>
      <c r="Q3896" s="4" t="s">
        <v>1390</v>
      </c>
    </row>
    <row r="3897" spans="1:17" x14ac:dyDescent="0.3">
      <c r="A3897" s="2" t="s">
        <v>1389</v>
      </c>
      <c r="B3897" s="3">
        <v>159763</v>
      </c>
      <c r="C3897" s="3">
        <v>220705</v>
      </c>
      <c r="D3897" s="4" t="s">
        <v>17</v>
      </c>
      <c r="E3897" s="4" t="s">
        <v>1138</v>
      </c>
      <c r="F3897" s="4" t="s">
        <v>19</v>
      </c>
      <c r="G3897" s="4" t="s">
        <v>20</v>
      </c>
      <c r="H3897" s="5">
        <v>3417</v>
      </c>
      <c r="I3897" s="4" t="s">
        <v>34</v>
      </c>
      <c r="J3897" s="5">
        <f t="shared" si="60"/>
        <v>-4091.1741000000002</v>
      </c>
      <c r="K3897" s="4" t="s">
        <v>30</v>
      </c>
      <c r="L3897" s="6">
        <v>1.1973</v>
      </c>
      <c r="M3897" s="6">
        <v>0.83520000000000005</v>
      </c>
      <c r="N3897" s="6">
        <v>4.2031999999999998</v>
      </c>
      <c r="O3897" s="6">
        <v>3.5354000000000001</v>
      </c>
      <c r="P3897" s="5">
        <v>-101.60251314000197</v>
      </c>
      <c r="Q3897" s="4" t="s">
        <v>1390</v>
      </c>
    </row>
    <row r="3898" spans="1:17" x14ac:dyDescent="0.3">
      <c r="A3898" s="2" t="s">
        <v>1389</v>
      </c>
      <c r="B3898" s="3">
        <v>159764</v>
      </c>
      <c r="C3898" s="3">
        <v>220706</v>
      </c>
      <c r="D3898" s="4" t="s">
        <v>17</v>
      </c>
      <c r="E3898" s="4" t="s">
        <v>1224</v>
      </c>
      <c r="F3898" s="4" t="s">
        <v>32</v>
      </c>
      <c r="G3898" s="4" t="s">
        <v>20</v>
      </c>
      <c r="H3898" s="5">
        <v>-10000</v>
      </c>
      <c r="I3898" s="4" t="s">
        <v>21</v>
      </c>
      <c r="J3898" s="5">
        <f t="shared" si="60"/>
        <v>41997</v>
      </c>
      <c r="K3898" s="4" t="s">
        <v>30</v>
      </c>
      <c r="L3898" s="6">
        <v>4.1997</v>
      </c>
      <c r="M3898" s="6">
        <v>0.23810000000000001</v>
      </c>
      <c r="N3898" s="6">
        <v>4.2031999999999998</v>
      </c>
      <c r="O3898" s="6">
        <v>1</v>
      </c>
      <c r="P3898" s="5">
        <v>-39</v>
      </c>
      <c r="Q3898" s="4" t="s">
        <v>1390</v>
      </c>
    </row>
    <row r="3899" spans="1:17" x14ac:dyDescent="0.3">
      <c r="A3899" s="2" t="s">
        <v>1389</v>
      </c>
      <c r="B3899" s="3">
        <v>159765</v>
      </c>
      <c r="C3899" s="3">
        <v>912642</v>
      </c>
      <c r="D3899" s="4" t="s">
        <v>81</v>
      </c>
      <c r="E3899" s="4" t="s">
        <v>734</v>
      </c>
      <c r="F3899" s="4" t="s">
        <v>87</v>
      </c>
      <c r="G3899" s="4" t="s">
        <v>20</v>
      </c>
      <c r="H3899" s="5">
        <v>2610510</v>
      </c>
      <c r="I3899" s="4" t="s">
        <v>21</v>
      </c>
      <c r="J3899" s="5">
        <f t="shared" si="60"/>
        <v>-10952394.705</v>
      </c>
      <c r="K3899" s="4" t="s">
        <v>27</v>
      </c>
      <c r="L3899" s="6">
        <v>4.1955</v>
      </c>
      <c r="M3899" s="6">
        <v>0.2384</v>
      </c>
      <c r="N3899" s="6">
        <v>4.2072000000000003</v>
      </c>
      <c r="O3899" s="6">
        <v>1</v>
      </c>
      <c r="P3899" s="5">
        <v>30542.962</v>
      </c>
      <c r="Q3899" s="4" t="s">
        <v>1393</v>
      </c>
    </row>
    <row r="3900" spans="1:17" x14ac:dyDescent="0.3">
      <c r="A3900" s="2" t="s">
        <v>1389</v>
      </c>
      <c r="B3900" s="3">
        <v>159766</v>
      </c>
      <c r="C3900" s="3">
        <v>220709</v>
      </c>
      <c r="D3900" s="4" t="s">
        <v>17</v>
      </c>
      <c r="E3900" s="4" t="s">
        <v>904</v>
      </c>
      <c r="F3900" s="4" t="s">
        <v>19</v>
      </c>
      <c r="G3900" s="4" t="s">
        <v>20</v>
      </c>
      <c r="H3900" s="5">
        <v>100000</v>
      </c>
      <c r="I3900" s="4" t="s">
        <v>34</v>
      </c>
      <c r="J3900" s="5">
        <f t="shared" si="60"/>
        <v>-119820</v>
      </c>
      <c r="K3900" s="4" t="s">
        <v>30</v>
      </c>
      <c r="L3900" s="6">
        <v>1.1981999999999999</v>
      </c>
      <c r="M3900" s="6">
        <v>0.83460000000000001</v>
      </c>
      <c r="N3900" s="6">
        <v>4.2031999999999998</v>
      </c>
      <c r="O3900" s="6">
        <v>3.5354000000000001</v>
      </c>
      <c r="P3900" s="5">
        <v>-3291.6280000000261</v>
      </c>
      <c r="Q3900" s="4" t="s">
        <v>1390</v>
      </c>
    </row>
    <row r="3901" spans="1:17" x14ac:dyDescent="0.3">
      <c r="A3901" s="2" t="s">
        <v>1389</v>
      </c>
      <c r="B3901" s="3">
        <v>159768</v>
      </c>
      <c r="C3901" s="3">
        <v>220712</v>
      </c>
      <c r="D3901" s="4" t="s">
        <v>17</v>
      </c>
      <c r="E3901" s="4" t="s">
        <v>1224</v>
      </c>
      <c r="F3901" s="4" t="s">
        <v>32</v>
      </c>
      <c r="G3901" s="4" t="s">
        <v>20</v>
      </c>
      <c r="H3901" s="5">
        <v>-10000</v>
      </c>
      <c r="I3901" s="4" t="s">
        <v>21</v>
      </c>
      <c r="J3901" s="5">
        <f t="shared" si="60"/>
        <v>42001</v>
      </c>
      <c r="K3901" s="4" t="s">
        <v>30</v>
      </c>
      <c r="L3901" s="6">
        <v>4.2000999999999999</v>
      </c>
      <c r="M3901" s="6">
        <v>0.23810000000000001</v>
      </c>
      <c r="N3901" s="6">
        <v>4.2031999999999998</v>
      </c>
      <c r="O3901" s="6">
        <v>1</v>
      </c>
      <c r="P3901" s="5">
        <v>-35</v>
      </c>
      <c r="Q3901" s="4" t="s">
        <v>1390</v>
      </c>
    </row>
    <row r="3902" spans="1:17" x14ac:dyDescent="0.3">
      <c r="A3902" s="2" t="s">
        <v>1389</v>
      </c>
      <c r="B3902" s="3">
        <v>159769</v>
      </c>
      <c r="C3902" s="3">
        <v>912662</v>
      </c>
      <c r="D3902" s="4" t="s">
        <v>81</v>
      </c>
      <c r="E3902" s="4" t="s">
        <v>732</v>
      </c>
      <c r="F3902" s="4" t="s">
        <v>87</v>
      </c>
      <c r="G3902" s="4" t="s">
        <v>20</v>
      </c>
      <c r="H3902" s="5">
        <v>500000</v>
      </c>
      <c r="I3902" s="4" t="s">
        <v>21</v>
      </c>
      <c r="J3902" s="5">
        <f t="shared" si="60"/>
        <v>-2098600</v>
      </c>
      <c r="K3902" s="4" t="s">
        <v>27</v>
      </c>
      <c r="L3902" s="6">
        <v>4.1971999999999996</v>
      </c>
      <c r="M3902" s="6">
        <v>0.23830000000000001</v>
      </c>
      <c r="N3902" s="6">
        <v>4.2072000000000003</v>
      </c>
      <c r="O3902" s="6">
        <v>1</v>
      </c>
      <c r="P3902" s="5">
        <v>5000</v>
      </c>
      <c r="Q3902" s="4" t="s">
        <v>1394</v>
      </c>
    </row>
    <row r="3903" spans="1:17" x14ac:dyDescent="0.3">
      <c r="A3903" s="2" t="s">
        <v>1389</v>
      </c>
      <c r="B3903" s="3">
        <v>159770</v>
      </c>
      <c r="C3903" s="3">
        <v>220714</v>
      </c>
      <c r="D3903" s="4" t="s">
        <v>17</v>
      </c>
      <c r="E3903" s="4" t="s">
        <v>1284</v>
      </c>
      <c r="F3903" s="4" t="s">
        <v>19</v>
      </c>
      <c r="G3903" s="4" t="s">
        <v>20</v>
      </c>
      <c r="H3903" s="5">
        <v>105000</v>
      </c>
      <c r="I3903" s="4" t="s">
        <v>21</v>
      </c>
      <c r="J3903" s="5">
        <f t="shared" si="60"/>
        <v>-439677</v>
      </c>
      <c r="K3903" s="4" t="s">
        <v>30</v>
      </c>
      <c r="L3903" s="6">
        <v>4.1874000000000002</v>
      </c>
      <c r="M3903" s="6">
        <v>0.23880000000000001</v>
      </c>
      <c r="N3903" s="6">
        <v>4.2031999999999998</v>
      </c>
      <c r="O3903" s="6">
        <v>1</v>
      </c>
      <c r="P3903" s="5">
        <v>1659</v>
      </c>
      <c r="Q3903" s="4" t="s">
        <v>1390</v>
      </c>
    </row>
    <row r="3904" spans="1:17" x14ac:dyDescent="0.3">
      <c r="A3904" s="2" t="s">
        <v>1389</v>
      </c>
      <c r="B3904" s="3">
        <v>159771</v>
      </c>
      <c r="C3904" s="3">
        <v>220718</v>
      </c>
      <c r="D3904" s="4" t="s">
        <v>17</v>
      </c>
      <c r="E3904" s="4" t="s">
        <v>1170</v>
      </c>
      <c r="F3904" s="4" t="s">
        <v>32</v>
      </c>
      <c r="G3904" s="4" t="s">
        <v>20</v>
      </c>
      <c r="H3904" s="5">
        <v>-50000</v>
      </c>
      <c r="I3904" s="4" t="s">
        <v>21</v>
      </c>
      <c r="J3904" s="5">
        <f t="shared" si="60"/>
        <v>209974.99999999997</v>
      </c>
      <c r="K3904" s="4" t="s">
        <v>30</v>
      </c>
      <c r="L3904" s="6">
        <v>4.1994999999999996</v>
      </c>
      <c r="M3904" s="6">
        <v>0.23810000000000001</v>
      </c>
      <c r="N3904" s="6">
        <v>4.2031999999999998</v>
      </c>
      <c r="O3904" s="6">
        <v>1</v>
      </c>
      <c r="P3904" s="5">
        <v>-185</v>
      </c>
      <c r="Q3904" s="4" t="s">
        <v>1390</v>
      </c>
    </row>
    <row r="3905" spans="1:17" x14ac:dyDescent="0.3">
      <c r="A3905" s="2" t="s">
        <v>1389</v>
      </c>
      <c r="B3905" s="3">
        <v>159772</v>
      </c>
      <c r="C3905" s="3">
        <v>912682</v>
      </c>
      <c r="D3905" s="4" t="s">
        <v>81</v>
      </c>
      <c r="E3905" s="4" t="s">
        <v>1114</v>
      </c>
      <c r="F3905" s="4" t="s">
        <v>83</v>
      </c>
      <c r="G3905" s="4" t="s">
        <v>20</v>
      </c>
      <c r="H3905" s="5">
        <v>-200000</v>
      </c>
      <c r="I3905" s="4" t="s">
        <v>21</v>
      </c>
      <c r="J3905" s="5">
        <f t="shared" si="60"/>
        <v>839520.00000000012</v>
      </c>
      <c r="K3905" s="4" t="s">
        <v>27</v>
      </c>
      <c r="L3905" s="6">
        <v>4.1976000000000004</v>
      </c>
      <c r="M3905" s="6">
        <v>0.2382</v>
      </c>
      <c r="N3905" s="6">
        <v>4.2072000000000003</v>
      </c>
      <c r="O3905" s="6">
        <v>1</v>
      </c>
      <c r="P3905" s="5">
        <v>-1920</v>
      </c>
      <c r="Q3905" s="4" t="s">
        <v>1390</v>
      </c>
    </row>
    <row r="3906" spans="1:17" x14ac:dyDescent="0.3">
      <c r="A3906" s="2" t="s">
        <v>1389</v>
      </c>
      <c r="B3906" s="3">
        <v>159773</v>
      </c>
      <c r="C3906" s="3">
        <v>912683</v>
      </c>
      <c r="D3906" s="4" t="s">
        <v>81</v>
      </c>
      <c r="E3906" s="4" t="s">
        <v>1224</v>
      </c>
      <c r="F3906" s="4" t="s">
        <v>83</v>
      </c>
      <c r="G3906" s="4" t="s">
        <v>20</v>
      </c>
      <c r="H3906" s="5">
        <v>-10000</v>
      </c>
      <c r="I3906" s="4" t="s">
        <v>21</v>
      </c>
      <c r="J3906" s="5">
        <f t="shared" si="60"/>
        <v>41977</v>
      </c>
      <c r="K3906" s="4" t="s">
        <v>27</v>
      </c>
      <c r="L3906" s="6">
        <v>4.1977000000000002</v>
      </c>
      <c r="M3906" s="6">
        <v>0.2382</v>
      </c>
      <c r="N3906" s="6">
        <v>4.2072000000000003</v>
      </c>
      <c r="O3906" s="6">
        <v>1</v>
      </c>
      <c r="P3906" s="5">
        <v>-95</v>
      </c>
      <c r="Q3906" s="4" t="s">
        <v>1390</v>
      </c>
    </row>
    <row r="3907" spans="1:17" x14ac:dyDescent="0.3">
      <c r="A3907" s="2" t="s">
        <v>1389</v>
      </c>
      <c r="B3907" s="3">
        <v>159775</v>
      </c>
      <c r="C3907" s="3">
        <v>220722</v>
      </c>
      <c r="D3907" s="4" t="s">
        <v>17</v>
      </c>
      <c r="E3907" s="4" t="s">
        <v>1224</v>
      </c>
      <c r="F3907" s="4" t="s">
        <v>32</v>
      </c>
      <c r="G3907" s="4" t="s">
        <v>20</v>
      </c>
      <c r="H3907" s="5">
        <v>-10000</v>
      </c>
      <c r="I3907" s="4" t="s">
        <v>21</v>
      </c>
      <c r="J3907" s="5">
        <f t="shared" si="60"/>
        <v>41969</v>
      </c>
      <c r="K3907" s="4" t="s">
        <v>30</v>
      </c>
      <c r="L3907" s="6">
        <v>4.1969000000000003</v>
      </c>
      <c r="M3907" s="6">
        <v>0.23830000000000001</v>
      </c>
      <c r="N3907" s="6">
        <v>4.2031999999999998</v>
      </c>
      <c r="O3907" s="6">
        <v>1</v>
      </c>
      <c r="P3907" s="5">
        <v>-67</v>
      </c>
      <c r="Q3907" s="4" t="s">
        <v>1390</v>
      </c>
    </row>
    <row r="3908" spans="1:17" x14ac:dyDescent="0.3">
      <c r="A3908" s="2" t="s">
        <v>1389</v>
      </c>
      <c r="B3908" s="3">
        <v>159776</v>
      </c>
      <c r="C3908" s="3">
        <v>220723</v>
      </c>
      <c r="D3908" s="4" t="s">
        <v>17</v>
      </c>
      <c r="E3908" s="4" t="s">
        <v>1132</v>
      </c>
      <c r="F3908" s="4" t="s">
        <v>19</v>
      </c>
      <c r="G3908" s="4" t="s">
        <v>20</v>
      </c>
      <c r="H3908" s="5">
        <v>10000</v>
      </c>
      <c r="I3908" s="4" t="s">
        <v>21</v>
      </c>
      <c r="J3908" s="5">
        <f t="shared" ref="J3908:J3971" si="61">-H3908*L3908</f>
        <v>-41904</v>
      </c>
      <c r="K3908" s="4" t="s">
        <v>30</v>
      </c>
      <c r="L3908" s="6">
        <v>4.1904000000000003</v>
      </c>
      <c r="M3908" s="6">
        <v>0.23860000000000001</v>
      </c>
      <c r="N3908" s="6">
        <v>4.2031999999999998</v>
      </c>
      <c r="O3908" s="6">
        <v>1</v>
      </c>
      <c r="P3908" s="5">
        <v>128</v>
      </c>
      <c r="Q3908" s="4" t="s">
        <v>1390</v>
      </c>
    </row>
    <row r="3909" spans="1:17" x14ac:dyDescent="0.3">
      <c r="A3909" s="2" t="s">
        <v>1389</v>
      </c>
      <c r="B3909" s="3">
        <v>159777</v>
      </c>
      <c r="C3909" s="3">
        <v>912696</v>
      </c>
      <c r="D3909" s="4" t="s">
        <v>81</v>
      </c>
      <c r="E3909" s="4" t="s">
        <v>1092</v>
      </c>
      <c r="F3909" s="4" t="s">
        <v>83</v>
      </c>
      <c r="G3909" s="4" t="s">
        <v>34</v>
      </c>
      <c r="H3909" s="5">
        <v>-5000</v>
      </c>
      <c r="I3909" s="4" t="s">
        <v>21</v>
      </c>
      <c r="J3909" s="5">
        <f t="shared" si="61"/>
        <v>17507.5</v>
      </c>
      <c r="K3909" s="4" t="s">
        <v>27</v>
      </c>
      <c r="L3909" s="6">
        <v>3.5015000000000001</v>
      </c>
      <c r="M3909" s="6">
        <v>0.28560000000000002</v>
      </c>
      <c r="N3909" s="6">
        <v>3.5188999999999999</v>
      </c>
      <c r="O3909" s="6">
        <v>1</v>
      </c>
      <c r="P3909" s="5">
        <v>-87</v>
      </c>
      <c r="Q3909" s="4" t="s">
        <v>1390</v>
      </c>
    </row>
    <row r="3910" spans="1:17" x14ac:dyDescent="0.3">
      <c r="A3910" s="2" t="s">
        <v>1389</v>
      </c>
      <c r="B3910" s="3">
        <v>159779</v>
      </c>
      <c r="C3910" s="3">
        <v>220727</v>
      </c>
      <c r="D3910" s="4" t="s">
        <v>17</v>
      </c>
      <c r="E3910" s="4" t="s">
        <v>1154</v>
      </c>
      <c r="F3910" s="4" t="s">
        <v>32</v>
      </c>
      <c r="G3910" s="4" t="s">
        <v>20</v>
      </c>
      <c r="H3910" s="5">
        <v>-454300</v>
      </c>
      <c r="I3910" s="4" t="s">
        <v>21</v>
      </c>
      <c r="J3910" s="5">
        <f t="shared" si="61"/>
        <v>1906560.81</v>
      </c>
      <c r="K3910" s="4" t="s">
        <v>30</v>
      </c>
      <c r="L3910" s="6">
        <v>4.1966999999999999</v>
      </c>
      <c r="M3910" s="6">
        <v>0.23830000000000001</v>
      </c>
      <c r="N3910" s="6">
        <v>4.2031999999999998</v>
      </c>
      <c r="O3910" s="6">
        <v>1</v>
      </c>
      <c r="P3910" s="5">
        <v>-3134.67</v>
      </c>
      <c r="Q3910" s="4" t="s">
        <v>1390</v>
      </c>
    </row>
    <row r="3911" spans="1:17" x14ac:dyDescent="0.3">
      <c r="A3911" s="2" t="s">
        <v>1389</v>
      </c>
      <c r="B3911" s="3">
        <v>159780</v>
      </c>
      <c r="C3911" s="3">
        <v>220731</v>
      </c>
      <c r="D3911" s="4" t="s">
        <v>17</v>
      </c>
      <c r="E3911" s="4" t="s">
        <v>1224</v>
      </c>
      <c r="F3911" s="4" t="s">
        <v>32</v>
      </c>
      <c r="G3911" s="4" t="s">
        <v>20</v>
      </c>
      <c r="H3911" s="5">
        <v>-10000</v>
      </c>
      <c r="I3911" s="4" t="s">
        <v>21</v>
      </c>
      <c r="J3911" s="5">
        <f t="shared" si="61"/>
        <v>41984</v>
      </c>
      <c r="K3911" s="4" t="s">
        <v>30</v>
      </c>
      <c r="L3911" s="6">
        <v>4.1984000000000004</v>
      </c>
      <c r="M3911" s="6">
        <v>0.2382</v>
      </c>
      <c r="N3911" s="6">
        <v>4.2031999999999998</v>
      </c>
      <c r="O3911" s="6">
        <v>1</v>
      </c>
      <c r="P3911" s="5">
        <v>-52</v>
      </c>
      <c r="Q3911" s="4" t="s">
        <v>1390</v>
      </c>
    </row>
    <row r="3912" spans="1:17" x14ac:dyDescent="0.3">
      <c r="A3912" s="2" t="s">
        <v>1389</v>
      </c>
      <c r="B3912" s="3">
        <v>159781</v>
      </c>
      <c r="C3912" s="3">
        <v>912721</v>
      </c>
      <c r="D3912" s="4" t="s">
        <v>81</v>
      </c>
      <c r="E3912" s="4" t="s">
        <v>1220</v>
      </c>
      <c r="F3912" s="4" t="s">
        <v>87</v>
      </c>
      <c r="G3912" s="4" t="s">
        <v>20</v>
      </c>
      <c r="H3912" s="5">
        <v>1000</v>
      </c>
      <c r="I3912" s="4" t="s">
        <v>21</v>
      </c>
      <c r="J3912" s="5">
        <f t="shared" si="61"/>
        <v>-4145.5</v>
      </c>
      <c r="K3912" s="4" t="s">
        <v>27</v>
      </c>
      <c r="L3912" s="6">
        <v>4.1455000000000002</v>
      </c>
      <c r="M3912" s="6">
        <v>0.2412</v>
      </c>
      <c r="N3912" s="6">
        <v>4.2072000000000003</v>
      </c>
      <c r="O3912" s="6">
        <v>1</v>
      </c>
      <c r="P3912" s="5">
        <v>61.7</v>
      </c>
      <c r="Q3912" s="4" t="s">
        <v>1400</v>
      </c>
    </row>
    <row r="3913" spans="1:17" x14ac:dyDescent="0.3">
      <c r="A3913" s="2" t="s">
        <v>1389</v>
      </c>
      <c r="B3913" s="3">
        <v>159783</v>
      </c>
      <c r="C3913" s="3">
        <v>912723</v>
      </c>
      <c r="D3913" s="4" t="s">
        <v>81</v>
      </c>
      <c r="E3913" s="4" t="s">
        <v>725</v>
      </c>
      <c r="F3913" s="4" t="s">
        <v>87</v>
      </c>
      <c r="G3913" s="4" t="s">
        <v>20</v>
      </c>
      <c r="H3913" s="5">
        <v>500000</v>
      </c>
      <c r="I3913" s="4" t="s">
        <v>21</v>
      </c>
      <c r="J3913" s="5">
        <f t="shared" si="61"/>
        <v>-2097900</v>
      </c>
      <c r="K3913" s="4" t="s">
        <v>27</v>
      </c>
      <c r="L3913" s="6">
        <v>4.1958000000000002</v>
      </c>
      <c r="M3913" s="6">
        <v>0.23830000000000001</v>
      </c>
      <c r="N3913" s="6">
        <v>4.2072000000000003</v>
      </c>
      <c r="O3913" s="6">
        <v>1</v>
      </c>
      <c r="P3913" s="5">
        <v>5715</v>
      </c>
      <c r="Q3913" s="4" t="s">
        <v>1392</v>
      </c>
    </row>
    <row r="3914" spans="1:17" x14ac:dyDescent="0.3">
      <c r="A3914" s="2" t="s">
        <v>1389</v>
      </c>
      <c r="B3914" s="3">
        <v>159784</v>
      </c>
      <c r="C3914" s="3">
        <v>220732</v>
      </c>
      <c r="D3914" s="4" t="s">
        <v>17</v>
      </c>
      <c r="E3914" s="4" t="s">
        <v>1281</v>
      </c>
      <c r="F3914" s="4" t="s">
        <v>19</v>
      </c>
      <c r="G3914" s="4" t="s">
        <v>20</v>
      </c>
      <c r="H3914" s="5">
        <v>10000</v>
      </c>
      <c r="I3914" s="4" t="s">
        <v>21</v>
      </c>
      <c r="J3914" s="5">
        <f t="shared" si="61"/>
        <v>-41304</v>
      </c>
      <c r="K3914" s="4" t="s">
        <v>30</v>
      </c>
      <c r="L3914" s="6">
        <v>4.1303999999999998</v>
      </c>
      <c r="M3914" s="6">
        <v>0.24210000000000001</v>
      </c>
      <c r="N3914" s="6">
        <v>4.2031999999999998</v>
      </c>
      <c r="O3914" s="6">
        <v>1</v>
      </c>
      <c r="P3914" s="5">
        <v>728</v>
      </c>
      <c r="Q3914" s="4" t="s">
        <v>1390</v>
      </c>
    </row>
    <row r="3915" spans="1:17" x14ac:dyDescent="0.3">
      <c r="A3915" s="2" t="s">
        <v>1389</v>
      </c>
      <c r="B3915" s="3">
        <v>159785</v>
      </c>
      <c r="C3915" s="3">
        <v>912727</v>
      </c>
      <c r="D3915" s="4" t="s">
        <v>81</v>
      </c>
      <c r="E3915" s="4" t="s">
        <v>735</v>
      </c>
      <c r="F3915" s="4" t="s">
        <v>87</v>
      </c>
      <c r="G3915" s="4" t="s">
        <v>20</v>
      </c>
      <c r="H3915" s="5">
        <v>500000</v>
      </c>
      <c r="I3915" s="4" t="s">
        <v>21</v>
      </c>
      <c r="J3915" s="5">
        <f t="shared" si="61"/>
        <v>-2097900</v>
      </c>
      <c r="K3915" s="4" t="s">
        <v>27</v>
      </c>
      <c r="L3915" s="6">
        <v>4.1958000000000002</v>
      </c>
      <c r="M3915" s="6">
        <v>0.23830000000000001</v>
      </c>
      <c r="N3915" s="6">
        <v>4.2072000000000003</v>
      </c>
      <c r="O3915" s="6">
        <v>1</v>
      </c>
      <c r="P3915" s="5">
        <v>5700</v>
      </c>
      <c r="Q3915" s="4" t="s">
        <v>1394</v>
      </c>
    </row>
    <row r="3916" spans="1:17" x14ac:dyDescent="0.3">
      <c r="A3916" s="2" t="s">
        <v>1389</v>
      </c>
      <c r="B3916" s="3">
        <v>159786</v>
      </c>
      <c r="C3916" s="3">
        <v>912728</v>
      </c>
      <c r="D3916" s="4" t="s">
        <v>81</v>
      </c>
      <c r="E3916" s="4" t="s">
        <v>783</v>
      </c>
      <c r="F3916" s="4" t="s">
        <v>87</v>
      </c>
      <c r="G3916" s="4" t="s">
        <v>34</v>
      </c>
      <c r="H3916" s="5">
        <v>50000</v>
      </c>
      <c r="I3916" s="4" t="s">
        <v>21</v>
      </c>
      <c r="J3916" s="5">
        <f t="shared" si="61"/>
        <v>-174875</v>
      </c>
      <c r="K3916" s="4" t="s">
        <v>27</v>
      </c>
      <c r="L3916" s="6">
        <v>3.4975000000000001</v>
      </c>
      <c r="M3916" s="6">
        <v>0.28589999999999999</v>
      </c>
      <c r="N3916" s="6">
        <v>3.5188999999999999</v>
      </c>
      <c r="O3916" s="6">
        <v>1</v>
      </c>
      <c r="P3916" s="5">
        <v>1070</v>
      </c>
      <c r="Q3916" s="4" t="s">
        <v>1390</v>
      </c>
    </row>
    <row r="3917" spans="1:17" x14ac:dyDescent="0.3">
      <c r="A3917" s="2" t="s">
        <v>1389</v>
      </c>
      <c r="B3917" s="3">
        <v>159787</v>
      </c>
      <c r="C3917" s="3">
        <v>220733</v>
      </c>
      <c r="D3917" s="4" t="s">
        <v>17</v>
      </c>
      <c r="E3917" s="4" t="s">
        <v>980</v>
      </c>
      <c r="F3917" s="4" t="s">
        <v>32</v>
      </c>
      <c r="G3917" s="4" t="s">
        <v>20</v>
      </c>
      <c r="H3917" s="5">
        <v>-50000</v>
      </c>
      <c r="I3917" s="4" t="s">
        <v>21</v>
      </c>
      <c r="J3917" s="5">
        <f t="shared" si="61"/>
        <v>209974.99999999997</v>
      </c>
      <c r="K3917" s="4" t="s">
        <v>30</v>
      </c>
      <c r="L3917" s="6">
        <v>4.1994999999999996</v>
      </c>
      <c r="M3917" s="6">
        <v>0.23810000000000001</v>
      </c>
      <c r="N3917" s="6">
        <v>4.2031999999999998</v>
      </c>
      <c r="O3917" s="6">
        <v>1</v>
      </c>
      <c r="P3917" s="5">
        <v>-185</v>
      </c>
      <c r="Q3917" s="4" t="s">
        <v>1390</v>
      </c>
    </row>
    <row r="3918" spans="1:17" x14ac:dyDescent="0.3">
      <c r="A3918" s="2" t="s">
        <v>1389</v>
      </c>
      <c r="B3918" s="3">
        <v>159788</v>
      </c>
      <c r="C3918" s="3">
        <v>220735</v>
      </c>
      <c r="D3918" s="4" t="s">
        <v>17</v>
      </c>
      <c r="E3918" s="4" t="s">
        <v>1224</v>
      </c>
      <c r="F3918" s="4" t="s">
        <v>32</v>
      </c>
      <c r="G3918" s="4" t="s">
        <v>20</v>
      </c>
      <c r="H3918" s="5">
        <v>-10000</v>
      </c>
      <c r="I3918" s="4" t="s">
        <v>21</v>
      </c>
      <c r="J3918" s="5">
        <f t="shared" si="61"/>
        <v>42000</v>
      </c>
      <c r="K3918" s="4" t="s">
        <v>30</v>
      </c>
      <c r="L3918" s="6">
        <v>4.2</v>
      </c>
      <c r="M3918" s="6">
        <v>0.23810000000000001</v>
      </c>
      <c r="N3918" s="6">
        <v>4.2031999999999998</v>
      </c>
      <c r="O3918" s="6">
        <v>1</v>
      </c>
      <c r="P3918" s="5">
        <v>-36</v>
      </c>
      <c r="Q3918" s="4" t="s">
        <v>1390</v>
      </c>
    </row>
    <row r="3919" spans="1:17" x14ac:dyDescent="0.3">
      <c r="A3919" s="2" t="s">
        <v>1389</v>
      </c>
      <c r="B3919" s="3">
        <v>159789</v>
      </c>
      <c r="C3919" s="3">
        <v>912738</v>
      </c>
      <c r="D3919" s="4" t="s">
        <v>81</v>
      </c>
      <c r="E3919" s="4" t="s">
        <v>783</v>
      </c>
      <c r="F3919" s="4" t="s">
        <v>87</v>
      </c>
      <c r="G3919" s="4" t="s">
        <v>80</v>
      </c>
      <c r="H3919" s="5">
        <v>500000</v>
      </c>
      <c r="I3919" s="4" t="s">
        <v>21</v>
      </c>
      <c r="J3919" s="5">
        <f t="shared" si="61"/>
        <v>-251800.00000000003</v>
      </c>
      <c r="K3919" s="4" t="s">
        <v>27</v>
      </c>
      <c r="L3919" s="6">
        <v>0.50360000000000005</v>
      </c>
      <c r="M3919" s="6">
        <v>1.9857</v>
      </c>
      <c r="N3919" s="6">
        <v>0.50660000000000005</v>
      </c>
      <c r="O3919" s="6">
        <v>1</v>
      </c>
      <c r="P3919" s="5">
        <v>1500</v>
      </c>
      <c r="Q3919" s="4" t="s">
        <v>1390</v>
      </c>
    </row>
    <row r="3920" spans="1:17" x14ac:dyDescent="0.3">
      <c r="A3920" s="2" t="s">
        <v>1389</v>
      </c>
      <c r="B3920" s="3">
        <v>159790</v>
      </c>
      <c r="C3920" s="3">
        <v>220736</v>
      </c>
      <c r="D3920" s="4" t="s">
        <v>17</v>
      </c>
      <c r="E3920" s="4" t="s">
        <v>1224</v>
      </c>
      <c r="F3920" s="4" t="s">
        <v>32</v>
      </c>
      <c r="G3920" s="4" t="s">
        <v>20</v>
      </c>
      <c r="H3920" s="5">
        <v>-10000</v>
      </c>
      <c r="I3920" s="4" t="s">
        <v>21</v>
      </c>
      <c r="J3920" s="5">
        <f t="shared" si="61"/>
        <v>41994</v>
      </c>
      <c r="K3920" s="4" t="s">
        <v>30</v>
      </c>
      <c r="L3920" s="6">
        <v>4.1993999999999998</v>
      </c>
      <c r="M3920" s="6">
        <v>0.23810000000000001</v>
      </c>
      <c r="N3920" s="6">
        <v>4.2031999999999998</v>
      </c>
      <c r="O3920" s="6">
        <v>1</v>
      </c>
      <c r="P3920" s="5">
        <v>-42</v>
      </c>
      <c r="Q3920" s="4" t="s">
        <v>1390</v>
      </c>
    </row>
    <row r="3921" spans="1:17" x14ac:dyDescent="0.3">
      <c r="A3921" s="2" t="s">
        <v>1389</v>
      </c>
      <c r="B3921" s="3">
        <v>159792</v>
      </c>
      <c r="C3921" s="3">
        <v>220739</v>
      </c>
      <c r="D3921" s="4" t="s">
        <v>17</v>
      </c>
      <c r="E3921" s="4" t="s">
        <v>1253</v>
      </c>
      <c r="F3921" s="4" t="s">
        <v>32</v>
      </c>
      <c r="G3921" s="4" t="s">
        <v>20</v>
      </c>
      <c r="H3921" s="5">
        <v>-8500</v>
      </c>
      <c r="I3921" s="4" t="s">
        <v>21</v>
      </c>
      <c r="J3921" s="5">
        <f t="shared" si="61"/>
        <v>35796.9</v>
      </c>
      <c r="K3921" s="4" t="s">
        <v>30</v>
      </c>
      <c r="L3921" s="6">
        <v>4.2114000000000003</v>
      </c>
      <c r="M3921" s="6">
        <v>0.23749999999999999</v>
      </c>
      <c r="N3921" s="6">
        <v>4.2031999999999998</v>
      </c>
      <c r="O3921" s="6">
        <v>1</v>
      </c>
      <c r="P3921" s="5">
        <v>66.3</v>
      </c>
      <c r="Q3921" s="4" t="s">
        <v>1390</v>
      </c>
    </row>
    <row r="3922" spans="1:17" x14ac:dyDescent="0.3">
      <c r="A3922" s="2" t="s">
        <v>1389</v>
      </c>
      <c r="B3922" s="3">
        <v>159797</v>
      </c>
      <c r="C3922" s="3">
        <v>912766</v>
      </c>
      <c r="D3922" s="4" t="s">
        <v>81</v>
      </c>
      <c r="E3922" s="4" t="s">
        <v>730</v>
      </c>
      <c r="F3922" s="4" t="s">
        <v>87</v>
      </c>
      <c r="G3922" s="4" t="s">
        <v>20</v>
      </c>
      <c r="H3922" s="5">
        <v>250000</v>
      </c>
      <c r="I3922" s="4" t="s">
        <v>80</v>
      </c>
      <c r="J3922" s="5">
        <f t="shared" si="61"/>
        <v>-2077925</v>
      </c>
      <c r="K3922" s="4" t="s">
        <v>27</v>
      </c>
      <c r="L3922" s="6">
        <v>8.3117000000000001</v>
      </c>
      <c r="M3922" s="6">
        <v>0.1203</v>
      </c>
      <c r="N3922" s="6">
        <v>4.2072000000000003</v>
      </c>
      <c r="O3922" s="6">
        <v>0.50660000000000005</v>
      </c>
      <c r="P3922" s="5">
        <v>-880.60450000000003</v>
      </c>
      <c r="Q3922" s="4" t="s">
        <v>1396</v>
      </c>
    </row>
    <row r="3923" spans="1:17" x14ac:dyDescent="0.3">
      <c r="A3923" s="2" t="s">
        <v>1389</v>
      </c>
      <c r="B3923" s="3">
        <v>159799</v>
      </c>
      <c r="C3923" s="3">
        <v>220746</v>
      </c>
      <c r="D3923" s="4" t="s">
        <v>17</v>
      </c>
      <c r="E3923" s="4" t="s">
        <v>820</v>
      </c>
      <c r="F3923" s="4" t="s">
        <v>19</v>
      </c>
      <c r="G3923" s="4" t="s">
        <v>20</v>
      </c>
      <c r="H3923" s="5">
        <v>400000</v>
      </c>
      <c r="I3923" s="4" t="s">
        <v>21</v>
      </c>
      <c r="J3923" s="5">
        <f t="shared" si="61"/>
        <v>-1639999.9999999998</v>
      </c>
      <c r="K3923" s="4" t="s">
        <v>30</v>
      </c>
      <c r="L3923" s="6">
        <v>4.0999999999999996</v>
      </c>
      <c r="M3923" s="6">
        <v>0.24390000000000001</v>
      </c>
      <c r="N3923" s="6">
        <v>4.2031999999999998</v>
      </c>
      <c r="O3923" s="6">
        <v>1</v>
      </c>
      <c r="P3923" s="5">
        <v>41280.000000000233</v>
      </c>
      <c r="Q3923" s="4" t="s">
        <v>1390</v>
      </c>
    </row>
    <row r="3924" spans="1:17" x14ac:dyDescent="0.3">
      <c r="A3924" s="2" t="s">
        <v>1389</v>
      </c>
      <c r="B3924" s="3">
        <v>159800</v>
      </c>
      <c r="C3924" s="3">
        <v>912779</v>
      </c>
      <c r="D3924" s="4" t="s">
        <v>81</v>
      </c>
      <c r="E3924" s="4" t="s">
        <v>1155</v>
      </c>
      <c r="F3924" s="4" t="s">
        <v>83</v>
      </c>
      <c r="G3924" s="4" t="s">
        <v>20</v>
      </c>
      <c r="H3924" s="5">
        <v>-40000</v>
      </c>
      <c r="I3924" s="4" t="s">
        <v>74</v>
      </c>
      <c r="J3924" s="5">
        <f t="shared" si="61"/>
        <v>460788</v>
      </c>
      <c r="K3924" s="4" t="s">
        <v>27</v>
      </c>
      <c r="L3924" s="6">
        <v>11.5197</v>
      </c>
      <c r="M3924" s="6">
        <v>8.6800000000000002E-2</v>
      </c>
      <c r="N3924" s="6">
        <v>4.2072000000000003</v>
      </c>
      <c r="O3924" s="6">
        <v>0.3674</v>
      </c>
      <c r="P3924" s="5">
        <v>1005.5112</v>
      </c>
      <c r="Q3924" s="4" t="s">
        <v>1390</v>
      </c>
    </row>
    <row r="3925" spans="1:17" x14ac:dyDescent="0.3">
      <c r="A3925" s="2" t="s">
        <v>1389</v>
      </c>
      <c r="B3925" s="3">
        <v>159801</v>
      </c>
      <c r="C3925" s="3">
        <v>912793</v>
      </c>
      <c r="D3925" s="4" t="s">
        <v>81</v>
      </c>
      <c r="E3925" s="4" t="s">
        <v>744</v>
      </c>
      <c r="F3925" s="4" t="s">
        <v>87</v>
      </c>
      <c r="G3925" s="4" t="s">
        <v>20</v>
      </c>
      <c r="H3925" s="5">
        <v>100000</v>
      </c>
      <c r="I3925" s="4" t="s">
        <v>74</v>
      </c>
      <c r="J3925" s="5">
        <f t="shared" si="61"/>
        <v>-1151680</v>
      </c>
      <c r="K3925" s="4" t="s">
        <v>27</v>
      </c>
      <c r="L3925" s="6">
        <v>11.5168</v>
      </c>
      <c r="M3925" s="6">
        <v>8.6800000000000002E-2</v>
      </c>
      <c r="N3925" s="6">
        <v>4.2072000000000003</v>
      </c>
      <c r="O3925" s="6">
        <v>0.3674</v>
      </c>
      <c r="P3925" s="5">
        <v>-2407.232</v>
      </c>
      <c r="Q3925" s="4" t="s">
        <v>1395</v>
      </c>
    </row>
    <row r="3926" spans="1:17" x14ac:dyDescent="0.3">
      <c r="A3926" s="2" t="s">
        <v>1389</v>
      </c>
      <c r="B3926" s="3">
        <v>159805</v>
      </c>
      <c r="C3926" s="3">
        <v>220750</v>
      </c>
      <c r="D3926" s="4" t="s">
        <v>17</v>
      </c>
      <c r="E3926" s="4" t="s">
        <v>1383</v>
      </c>
      <c r="F3926" s="4" t="s">
        <v>19</v>
      </c>
      <c r="G3926" s="4" t="s">
        <v>34</v>
      </c>
      <c r="H3926" s="5">
        <v>100000</v>
      </c>
      <c r="I3926" s="4" t="s">
        <v>21</v>
      </c>
      <c r="J3926" s="5">
        <f t="shared" si="61"/>
        <v>-349350</v>
      </c>
      <c r="K3926" s="4" t="s">
        <v>30</v>
      </c>
      <c r="L3926" s="6">
        <v>3.4935</v>
      </c>
      <c r="M3926" s="6">
        <v>0.28620000000000001</v>
      </c>
      <c r="N3926" s="6">
        <v>3.5354000000000001</v>
      </c>
      <c r="O3926" s="6">
        <v>1</v>
      </c>
      <c r="P3926" s="5">
        <v>4190</v>
      </c>
      <c r="Q3926" s="4" t="s">
        <v>1390</v>
      </c>
    </row>
    <row r="3927" spans="1:17" x14ac:dyDescent="0.3">
      <c r="A3927" s="2" t="s">
        <v>1389</v>
      </c>
      <c r="B3927" s="3">
        <v>159806</v>
      </c>
      <c r="C3927" s="3">
        <v>912807</v>
      </c>
      <c r="D3927" s="4" t="s">
        <v>81</v>
      </c>
      <c r="E3927" s="4" t="s">
        <v>735</v>
      </c>
      <c r="F3927" s="4" t="s">
        <v>87</v>
      </c>
      <c r="G3927" s="4" t="s">
        <v>34</v>
      </c>
      <c r="H3927" s="5">
        <v>500000</v>
      </c>
      <c r="I3927" s="4" t="s">
        <v>21</v>
      </c>
      <c r="J3927" s="5">
        <f t="shared" si="61"/>
        <v>-1751900</v>
      </c>
      <c r="K3927" s="4" t="s">
        <v>27</v>
      </c>
      <c r="L3927" s="6">
        <v>3.5038</v>
      </c>
      <c r="M3927" s="6">
        <v>0.28539999999999999</v>
      </c>
      <c r="N3927" s="6">
        <v>3.5188999999999999</v>
      </c>
      <c r="O3927" s="6">
        <v>1</v>
      </c>
      <c r="P3927" s="5">
        <v>7550</v>
      </c>
      <c r="Q3927" s="4" t="s">
        <v>1394</v>
      </c>
    </row>
    <row r="3928" spans="1:17" x14ac:dyDescent="0.3">
      <c r="A3928" s="2" t="s">
        <v>1389</v>
      </c>
      <c r="B3928" s="3">
        <v>159808</v>
      </c>
      <c r="C3928" s="3">
        <v>912811</v>
      </c>
      <c r="D3928" s="4" t="s">
        <v>81</v>
      </c>
      <c r="E3928" s="4" t="s">
        <v>735</v>
      </c>
      <c r="F3928" s="4" t="s">
        <v>87</v>
      </c>
      <c r="G3928" s="4" t="s">
        <v>34</v>
      </c>
      <c r="H3928" s="5">
        <v>500000</v>
      </c>
      <c r="I3928" s="4" t="s">
        <v>21</v>
      </c>
      <c r="J3928" s="5">
        <f t="shared" si="61"/>
        <v>-1751700</v>
      </c>
      <c r="K3928" s="4" t="s">
        <v>27</v>
      </c>
      <c r="L3928" s="6">
        <v>3.5034000000000001</v>
      </c>
      <c r="M3928" s="6">
        <v>0.28539999999999999</v>
      </c>
      <c r="N3928" s="6">
        <v>3.5188999999999999</v>
      </c>
      <c r="O3928" s="6">
        <v>1</v>
      </c>
      <c r="P3928" s="5">
        <v>7750</v>
      </c>
      <c r="Q3928" s="4" t="s">
        <v>1394</v>
      </c>
    </row>
    <row r="3929" spans="1:17" x14ac:dyDescent="0.3">
      <c r="A3929" s="2" t="s">
        <v>1389</v>
      </c>
      <c r="B3929" s="3">
        <v>159809</v>
      </c>
      <c r="C3929" s="3">
        <v>220753</v>
      </c>
      <c r="D3929" s="4" t="s">
        <v>17</v>
      </c>
      <c r="E3929" s="4" t="s">
        <v>1386</v>
      </c>
      <c r="F3929" s="4" t="s">
        <v>19</v>
      </c>
      <c r="G3929" s="4" t="s">
        <v>20</v>
      </c>
      <c r="H3929" s="5">
        <v>2216.75</v>
      </c>
      <c r="I3929" s="4" t="s">
        <v>21</v>
      </c>
      <c r="J3929" s="5">
        <f t="shared" si="61"/>
        <v>-9088.6749999999993</v>
      </c>
      <c r="K3929" s="4" t="s">
        <v>30</v>
      </c>
      <c r="L3929" s="6">
        <v>4.0999999999999996</v>
      </c>
      <c r="M3929" s="6">
        <v>0.24390000000000001</v>
      </c>
      <c r="N3929" s="6">
        <v>4.2031999999999998</v>
      </c>
      <c r="O3929" s="6">
        <v>1</v>
      </c>
      <c r="P3929" s="5">
        <v>228.76860000000124</v>
      </c>
      <c r="Q3929" s="4" t="s">
        <v>1390</v>
      </c>
    </row>
    <row r="3930" spans="1:17" x14ac:dyDescent="0.3">
      <c r="A3930" s="2" t="s">
        <v>1389</v>
      </c>
      <c r="B3930" s="3">
        <v>159810</v>
      </c>
      <c r="C3930" s="3">
        <v>220754</v>
      </c>
      <c r="D3930" s="4" t="s">
        <v>17</v>
      </c>
      <c r="E3930" s="4" t="s">
        <v>1386</v>
      </c>
      <c r="F3930" s="4" t="s">
        <v>19</v>
      </c>
      <c r="G3930" s="4" t="s">
        <v>20</v>
      </c>
      <c r="H3930" s="5">
        <v>2821.22</v>
      </c>
      <c r="I3930" s="4" t="s">
        <v>21</v>
      </c>
      <c r="J3930" s="5">
        <f t="shared" si="61"/>
        <v>-11567.001999999999</v>
      </c>
      <c r="K3930" s="4" t="s">
        <v>30</v>
      </c>
      <c r="L3930" s="6">
        <v>4.0999999999999996</v>
      </c>
      <c r="M3930" s="6">
        <v>0.24390000000000001</v>
      </c>
      <c r="N3930" s="6">
        <v>4.2031999999999998</v>
      </c>
      <c r="O3930" s="6">
        <v>1</v>
      </c>
      <c r="P3930" s="5">
        <v>291.14990399999988</v>
      </c>
      <c r="Q3930" s="4" t="s">
        <v>1390</v>
      </c>
    </row>
    <row r="3931" spans="1:17" x14ac:dyDescent="0.3">
      <c r="A3931" s="2" t="s">
        <v>1389</v>
      </c>
      <c r="B3931" s="3">
        <v>159811</v>
      </c>
      <c r="C3931" s="3">
        <v>220755</v>
      </c>
      <c r="D3931" s="4" t="s">
        <v>17</v>
      </c>
      <c r="E3931" s="4" t="s">
        <v>1386</v>
      </c>
      <c r="F3931" s="4" t="s">
        <v>19</v>
      </c>
      <c r="G3931" s="4" t="s">
        <v>20</v>
      </c>
      <c r="H3931" s="5">
        <v>1617.71</v>
      </c>
      <c r="I3931" s="4" t="s">
        <v>21</v>
      </c>
      <c r="J3931" s="5">
        <f t="shared" si="61"/>
        <v>-6632.6109999999999</v>
      </c>
      <c r="K3931" s="4" t="s">
        <v>30</v>
      </c>
      <c r="L3931" s="6">
        <v>4.0999999999999996</v>
      </c>
      <c r="M3931" s="6">
        <v>0.24390000000000001</v>
      </c>
      <c r="N3931" s="6">
        <v>4.2031999999999998</v>
      </c>
      <c r="O3931" s="6">
        <v>1</v>
      </c>
      <c r="P3931" s="5">
        <v>166.94767200000024</v>
      </c>
      <c r="Q3931" s="4" t="s">
        <v>1390</v>
      </c>
    </row>
    <row r="3932" spans="1:17" x14ac:dyDescent="0.3">
      <c r="A3932" s="2" t="s">
        <v>1389</v>
      </c>
      <c r="B3932" s="3">
        <v>159812</v>
      </c>
      <c r="C3932" s="3">
        <v>220756</v>
      </c>
      <c r="D3932" s="4" t="s">
        <v>17</v>
      </c>
      <c r="E3932" s="4" t="s">
        <v>1386</v>
      </c>
      <c r="F3932" s="4" t="s">
        <v>19</v>
      </c>
      <c r="G3932" s="4" t="s">
        <v>20</v>
      </c>
      <c r="H3932" s="5">
        <v>3501.37</v>
      </c>
      <c r="I3932" s="4" t="s">
        <v>21</v>
      </c>
      <c r="J3932" s="5">
        <f t="shared" si="61"/>
        <v>-14355.616999999998</v>
      </c>
      <c r="K3932" s="4" t="s">
        <v>30</v>
      </c>
      <c r="L3932" s="6">
        <v>4.0999999999999996</v>
      </c>
      <c r="M3932" s="6">
        <v>0.24390000000000001</v>
      </c>
      <c r="N3932" s="6">
        <v>4.2031999999999998</v>
      </c>
      <c r="O3932" s="6">
        <v>1</v>
      </c>
      <c r="P3932" s="5">
        <v>361.3413840000012</v>
      </c>
      <c r="Q3932" s="4" t="s">
        <v>1390</v>
      </c>
    </row>
    <row r="3933" spans="1:17" x14ac:dyDescent="0.3">
      <c r="A3933" s="2" t="s">
        <v>1389</v>
      </c>
      <c r="B3933" s="3">
        <v>159813</v>
      </c>
      <c r="C3933" s="3">
        <v>220757</v>
      </c>
      <c r="D3933" s="4" t="s">
        <v>17</v>
      </c>
      <c r="E3933" s="4" t="s">
        <v>1386</v>
      </c>
      <c r="F3933" s="4" t="s">
        <v>19</v>
      </c>
      <c r="G3933" s="4" t="s">
        <v>20</v>
      </c>
      <c r="H3933" s="5">
        <v>2272.33</v>
      </c>
      <c r="I3933" s="4" t="s">
        <v>21</v>
      </c>
      <c r="J3933" s="5">
        <f t="shared" si="61"/>
        <v>-9316.5529999999981</v>
      </c>
      <c r="K3933" s="4" t="s">
        <v>30</v>
      </c>
      <c r="L3933" s="6">
        <v>4.0999999999999996</v>
      </c>
      <c r="M3933" s="6">
        <v>0.24390000000000001</v>
      </c>
      <c r="N3933" s="6">
        <v>4.2031999999999998</v>
      </c>
      <c r="O3933" s="6">
        <v>1</v>
      </c>
      <c r="P3933" s="5">
        <v>234.50445600000057</v>
      </c>
      <c r="Q3933" s="4" t="s">
        <v>1390</v>
      </c>
    </row>
    <row r="3934" spans="1:17" x14ac:dyDescent="0.3">
      <c r="A3934" s="2" t="s">
        <v>1389</v>
      </c>
      <c r="B3934" s="3">
        <v>159814</v>
      </c>
      <c r="C3934" s="3">
        <v>220758</v>
      </c>
      <c r="D3934" s="4" t="s">
        <v>17</v>
      </c>
      <c r="E3934" s="4" t="s">
        <v>1386</v>
      </c>
      <c r="F3934" s="4" t="s">
        <v>19</v>
      </c>
      <c r="G3934" s="4" t="s">
        <v>20</v>
      </c>
      <c r="H3934" s="5">
        <v>600</v>
      </c>
      <c r="I3934" s="4" t="s">
        <v>21</v>
      </c>
      <c r="J3934" s="5">
        <f t="shared" si="61"/>
        <v>-2460</v>
      </c>
      <c r="K3934" s="4" t="s">
        <v>30</v>
      </c>
      <c r="L3934" s="6">
        <v>4.0999999999999996</v>
      </c>
      <c r="M3934" s="6">
        <v>0.24390000000000001</v>
      </c>
      <c r="N3934" s="6">
        <v>4.2031999999999998</v>
      </c>
      <c r="O3934" s="6">
        <v>1</v>
      </c>
      <c r="P3934" s="5">
        <v>61.920000000000073</v>
      </c>
      <c r="Q3934" s="4" t="s">
        <v>1390</v>
      </c>
    </row>
    <row r="3935" spans="1:17" x14ac:dyDescent="0.3">
      <c r="A3935" s="2" t="s">
        <v>1389</v>
      </c>
      <c r="B3935" s="3">
        <v>159815</v>
      </c>
      <c r="C3935" s="3">
        <v>220760</v>
      </c>
      <c r="D3935" s="4" t="s">
        <v>17</v>
      </c>
      <c r="E3935" s="4" t="s">
        <v>1386</v>
      </c>
      <c r="F3935" s="4" t="s">
        <v>19</v>
      </c>
      <c r="G3935" s="4" t="s">
        <v>20</v>
      </c>
      <c r="H3935" s="5">
        <v>2209.21</v>
      </c>
      <c r="I3935" s="4" t="s">
        <v>21</v>
      </c>
      <c r="J3935" s="5">
        <f t="shared" si="61"/>
        <v>-9057.7609999999986</v>
      </c>
      <c r="K3935" s="4" t="s">
        <v>30</v>
      </c>
      <c r="L3935" s="6">
        <v>4.0999999999999996</v>
      </c>
      <c r="M3935" s="6">
        <v>0.24390000000000001</v>
      </c>
      <c r="N3935" s="6">
        <v>4.2031999999999998</v>
      </c>
      <c r="O3935" s="6">
        <v>1</v>
      </c>
      <c r="P3935" s="5">
        <v>227.99047200000132</v>
      </c>
      <c r="Q3935" s="4" t="s">
        <v>1390</v>
      </c>
    </row>
    <row r="3936" spans="1:17" x14ac:dyDescent="0.3">
      <c r="A3936" s="2" t="s">
        <v>1389</v>
      </c>
      <c r="B3936" s="3">
        <v>159816</v>
      </c>
      <c r="C3936" s="3">
        <v>220762</v>
      </c>
      <c r="D3936" s="4" t="s">
        <v>17</v>
      </c>
      <c r="E3936" s="4" t="s">
        <v>1386</v>
      </c>
      <c r="F3936" s="4" t="s">
        <v>19</v>
      </c>
      <c r="G3936" s="4" t="s">
        <v>20</v>
      </c>
      <c r="H3936" s="5">
        <v>2441.19</v>
      </c>
      <c r="I3936" s="4" t="s">
        <v>21</v>
      </c>
      <c r="J3936" s="5">
        <f t="shared" si="61"/>
        <v>-10008.878999999999</v>
      </c>
      <c r="K3936" s="4" t="s">
        <v>30</v>
      </c>
      <c r="L3936" s="6">
        <v>4.0999999999999996</v>
      </c>
      <c r="M3936" s="6">
        <v>0.24390000000000001</v>
      </c>
      <c r="N3936" s="6">
        <v>4.2031999999999998</v>
      </c>
      <c r="O3936" s="6">
        <v>1</v>
      </c>
      <c r="P3936" s="5">
        <v>251.93080800000098</v>
      </c>
      <c r="Q3936" s="4" t="s">
        <v>1390</v>
      </c>
    </row>
    <row r="3937" spans="1:17" x14ac:dyDescent="0.3">
      <c r="A3937" s="2" t="s">
        <v>1389</v>
      </c>
      <c r="B3937" s="3">
        <v>159817</v>
      </c>
      <c r="C3937" s="3">
        <v>220763</v>
      </c>
      <c r="D3937" s="4" t="s">
        <v>17</v>
      </c>
      <c r="E3937" s="4" t="s">
        <v>1386</v>
      </c>
      <c r="F3937" s="4" t="s">
        <v>19</v>
      </c>
      <c r="G3937" s="4" t="s">
        <v>20</v>
      </c>
      <c r="H3937" s="5">
        <v>2180.21</v>
      </c>
      <c r="I3937" s="4" t="s">
        <v>21</v>
      </c>
      <c r="J3937" s="5">
        <f t="shared" si="61"/>
        <v>-8938.860999999999</v>
      </c>
      <c r="K3937" s="4" t="s">
        <v>30</v>
      </c>
      <c r="L3937" s="6">
        <v>4.0999999999999996</v>
      </c>
      <c r="M3937" s="6">
        <v>0.24390000000000001</v>
      </c>
      <c r="N3937" s="6">
        <v>4.2031999999999998</v>
      </c>
      <c r="O3937" s="6">
        <v>1</v>
      </c>
      <c r="P3937" s="5">
        <v>224.99767200000133</v>
      </c>
      <c r="Q3937" s="4" t="s">
        <v>1390</v>
      </c>
    </row>
    <row r="3938" spans="1:17" x14ac:dyDescent="0.3">
      <c r="A3938" s="2" t="s">
        <v>1389</v>
      </c>
      <c r="B3938" s="3">
        <v>159818</v>
      </c>
      <c r="C3938" s="3">
        <v>220764</v>
      </c>
      <c r="D3938" s="4" t="s">
        <v>17</v>
      </c>
      <c r="E3938" s="4" t="s">
        <v>1386</v>
      </c>
      <c r="F3938" s="4" t="s">
        <v>19</v>
      </c>
      <c r="G3938" s="4" t="s">
        <v>20</v>
      </c>
      <c r="H3938" s="5">
        <v>2179.84</v>
      </c>
      <c r="I3938" s="4" t="s">
        <v>21</v>
      </c>
      <c r="J3938" s="5">
        <f t="shared" si="61"/>
        <v>-8937.3439999999991</v>
      </c>
      <c r="K3938" s="4" t="s">
        <v>30</v>
      </c>
      <c r="L3938" s="6">
        <v>4.0999999999999996</v>
      </c>
      <c r="M3938" s="6">
        <v>0.24390000000000001</v>
      </c>
      <c r="N3938" s="6">
        <v>4.2031999999999998</v>
      </c>
      <c r="O3938" s="6">
        <v>1</v>
      </c>
      <c r="P3938" s="5">
        <v>224.95948800000042</v>
      </c>
      <c r="Q3938" s="4" t="s">
        <v>1390</v>
      </c>
    </row>
    <row r="3939" spans="1:17" x14ac:dyDescent="0.3">
      <c r="A3939" s="2" t="s">
        <v>1389</v>
      </c>
      <c r="B3939" s="3">
        <v>159819</v>
      </c>
      <c r="C3939" s="3">
        <v>220765</v>
      </c>
      <c r="D3939" s="4" t="s">
        <v>17</v>
      </c>
      <c r="E3939" s="4" t="s">
        <v>1386</v>
      </c>
      <c r="F3939" s="4" t="s">
        <v>19</v>
      </c>
      <c r="G3939" s="4" t="s">
        <v>20</v>
      </c>
      <c r="H3939" s="5">
        <v>600</v>
      </c>
      <c r="I3939" s="4" t="s">
        <v>21</v>
      </c>
      <c r="J3939" s="5">
        <f t="shared" si="61"/>
        <v>-2460</v>
      </c>
      <c r="K3939" s="4" t="s">
        <v>30</v>
      </c>
      <c r="L3939" s="6">
        <v>4.0999999999999996</v>
      </c>
      <c r="M3939" s="6">
        <v>0.24390000000000001</v>
      </c>
      <c r="N3939" s="6">
        <v>4.2031999999999998</v>
      </c>
      <c r="O3939" s="6">
        <v>1</v>
      </c>
      <c r="P3939" s="5">
        <v>61.920000000000073</v>
      </c>
      <c r="Q3939" s="4" t="s">
        <v>1390</v>
      </c>
    </row>
    <row r="3940" spans="1:17" x14ac:dyDescent="0.3">
      <c r="A3940" s="2" t="s">
        <v>1389</v>
      </c>
      <c r="B3940" s="3">
        <v>159820</v>
      </c>
      <c r="C3940" s="3">
        <v>220766</v>
      </c>
      <c r="D3940" s="4" t="s">
        <v>17</v>
      </c>
      <c r="E3940" s="4" t="s">
        <v>1386</v>
      </c>
      <c r="F3940" s="4" t="s">
        <v>19</v>
      </c>
      <c r="G3940" s="4" t="s">
        <v>20</v>
      </c>
      <c r="H3940" s="5">
        <v>287.51</v>
      </c>
      <c r="I3940" s="4" t="s">
        <v>21</v>
      </c>
      <c r="J3940" s="5">
        <f t="shared" si="61"/>
        <v>-1178.7909999999999</v>
      </c>
      <c r="K3940" s="4" t="s">
        <v>30</v>
      </c>
      <c r="L3940" s="6">
        <v>4.0999999999999996</v>
      </c>
      <c r="M3940" s="6">
        <v>0.24390000000000001</v>
      </c>
      <c r="N3940" s="6">
        <v>4.2031999999999998</v>
      </c>
      <c r="O3940" s="6">
        <v>1</v>
      </c>
      <c r="P3940" s="5">
        <v>29.671031999999968</v>
      </c>
      <c r="Q3940" s="4" t="s">
        <v>1390</v>
      </c>
    </row>
    <row r="3941" spans="1:17" x14ac:dyDescent="0.3">
      <c r="A3941" s="2" t="s">
        <v>1389</v>
      </c>
      <c r="B3941" s="3">
        <v>159821</v>
      </c>
      <c r="C3941" s="3">
        <v>220767</v>
      </c>
      <c r="D3941" s="4" t="s">
        <v>17</v>
      </c>
      <c r="E3941" s="4" t="s">
        <v>1386</v>
      </c>
      <c r="F3941" s="4" t="s">
        <v>19</v>
      </c>
      <c r="G3941" s="4" t="s">
        <v>20</v>
      </c>
      <c r="H3941" s="5">
        <v>1233.8699999999999</v>
      </c>
      <c r="I3941" s="4" t="s">
        <v>21</v>
      </c>
      <c r="J3941" s="5">
        <f t="shared" si="61"/>
        <v>-5058.8669999999993</v>
      </c>
      <c r="K3941" s="4" t="s">
        <v>30</v>
      </c>
      <c r="L3941" s="6">
        <v>4.0999999999999996</v>
      </c>
      <c r="M3941" s="6">
        <v>0.24390000000000001</v>
      </c>
      <c r="N3941" s="6">
        <v>4.2031999999999998</v>
      </c>
      <c r="O3941" s="6">
        <v>1</v>
      </c>
      <c r="P3941" s="5">
        <v>127.33538399999998</v>
      </c>
      <c r="Q3941" s="4" t="s">
        <v>1390</v>
      </c>
    </row>
    <row r="3942" spans="1:17" x14ac:dyDescent="0.3">
      <c r="A3942" s="2" t="s">
        <v>1389</v>
      </c>
      <c r="B3942" s="3">
        <v>159822</v>
      </c>
      <c r="C3942" s="3">
        <v>220769</v>
      </c>
      <c r="D3942" s="4" t="s">
        <v>17</v>
      </c>
      <c r="E3942" s="4" t="s">
        <v>1195</v>
      </c>
      <c r="F3942" s="4" t="s">
        <v>19</v>
      </c>
      <c r="G3942" s="4" t="s">
        <v>20</v>
      </c>
      <c r="H3942" s="5">
        <v>40000</v>
      </c>
      <c r="I3942" s="4" t="s">
        <v>21</v>
      </c>
      <c r="J3942" s="5">
        <f t="shared" si="61"/>
        <v>-166800</v>
      </c>
      <c r="K3942" s="4" t="s">
        <v>30</v>
      </c>
      <c r="L3942" s="6">
        <v>4.17</v>
      </c>
      <c r="M3942" s="6">
        <v>0.23980000000000001</v>
      </c>
      <c r="N3942" s="6">
        <v>4.2031999999999998</v>
      </c>
      <c r="O3942" s="6">
        <v>1</v>
      </c>
      <c r="P3942" s="5">
        <v>1328</v>
      </c>
      <c r="Q3942" s="4" t="s">
        <v>1390</v>
      </c>
    </row>
    <row r="3943" spans="1:17" x14ac:dyDescent="0.3">
      <c r="A3943" s="2" t="s">
        <v>1389</v>
      </c>
      <c r="B3943" s="3">
        <v>159823</v>
      </c>
      <c r="C3943" s="3">
        <v>220771</v>
      </c>
      <c r="D3943" s="4" t="s">
        <v>17</v>
      </c>
      <c r="E3943" s="4" t="s">
        <v>755</v>
      </c>
      <c r="F3943" s="4" t="s">
        <v>19</v>
      </c>
      <c r="G3943" s="4" t="s">
        <v>20</v>
      </c>
      <c r="H3943" s="5">
        <v>20000</v>
      </c>
      <c r="I3943" s="4" t="s">
        <v>21</v>
      </c>
      <c r="J3943" s="5">
        <f t="shared" si="61"/>
        <v>-83850</v>
      </c>
      <c r="K3943" s="4" t="s">
        <v>30</v>
      </c>
      <c r="L3943" s="6">
        <v>4.1924999999999999</v>
      </c>
      <c r="M3943" s="6">
        <v>0.23849999999999999</v>
      </c>
      <c r="N3943" s="6">
        <v>4.2031999999999998</v>
      </c>
      <c r="O3943" s="6">
        <v>1</v>
      </c>
      <c r="P3943" s="5">
        <v>214</v>
      </c>
      <c r="Q3943" s="4" t="s">
        <v>1390</v>
      </c>
    </row>
    <row r="3944" spans="1:17" x14ac:dyDescent="0.3">
      <c r="A3944" s="2" t="s">
        <v>1389</v>
      </c>
      <c r="B3944" s="3">
        <v>159828</v>
      </c>
      <c r="C3944" s="3">
        <v>220780</v>
      </c>
      <c r="D3944" s="4" t="s">
        <v>17</v>
      </c>
      <c r="E3944" s="4" t="s">
        <v>1382</v>
      </c>
      <c r="F3944" s="4" t="s">
        <v>19</v>
      </c>
      <c r="G3944" s="4" t="s">
        <v>20</v>
      </c>
      <c r="H3944" s="5">
        <v>10000</v>
      </c>
      <c r="I3944" s="4" t="s">
        <v>21</v>
      </c>
      <c r="J3944" s="5">
        <f t="shared" si="61"/>
        <v>-41778.000000000007</v>
      </c>
      <c r="K3944" s="4" t="s">
        <v>30</v>
      </c>
      <c r="L3944" s="6">
        <v>4.1778000000000004</v>
      </c>
      <c r="M3944" s="6">
        <v>0.2394</v>
      </c>
      <c r="N3944" s="6">
        <v>4.2031999999999998</v>
      </c>
      <c r="O3944" s="6">
        <v>1</v>
      </c>
      <c r="P3944" s="5">
        <v>253.99999999999272</v>
      </c>
      <c r="Q3944" s="4" t="s">
        <v>1390</v>
      </c>
    </row>
    <row r="3945" spans="1:17" x14ac:dyDescent="0.3">
      <c r="A3945" s="2" t="s">
        <v>1389</v>
      </c>
      <c r="B3945" s="3">
        <v>159832</v>
      </c>
      <c r="C3945" s="3">
        <v>220787</v>
      </c>
      <c r="D3945" s="4" t="s">
        <v>17</v>
      </c>
      <c r="E3945" s="4" t="s">
        <v>986</v>
      </c>
      <c r="F3945" s="4" t="s">
        <v>19</v>
      </c>
      <c r="G3945" s="4" t="s">
        <v>20</v>
      </c>
      <c r="H3945" s="5">
        <v>40000</v>
      </c>
      <c r="I3945" s="4" t="s">
        <v>21</v>
      </c>
      <c r="J3945" s="5">
        <f t="shared" si="61"/>
        <v>-167800</v>
      </c>
      <c r="K3945" s="4" t="s">
        <v>30</v>
      </c>
      <c r="L3945" s="6">
        <v>4.1950000000000003</v>
      </c>
      <c r="M3945" s="6">
        <v>0.2384</v>
      </c>
      <c r="N3945" s="6">
        <v>4.2031999999999998</v>
      </c>
      <c r="O3945" s="6">
        <v>1</v>
      </c>
      <c r="P3945" s="5">
        <v>328</v>
      </c>
      <c r="Q3945" s="4" t="s">
        <v>1390</v>
      </c>
    </row>
    <row r="3946" spans="1:17" x14ac:dyDescent="0.3">
      <c r="A3946" s="2" t="s">
        <v>1389</v>
      </c>
      <c r="B3946" s="3">
        <v>159833</v>
      </c>
      <c r="C3946" s="3">
        <v>912940</v>
      </c>
      <c r="D3946" s="4" t="s">
        <v>81</v>
      </c>
      <c r="E3946" s="4" t="s">
        <v>884</v>
      </c>
      <c r="F3946" s="4" t="s">
        <v>83</v>
      </c>
      <c r="G3946" s="4" t="s">
        <v>20</v>
      </c>
      <c r="H3946" s="5">
        <v>-127676.46</v>
      </c>
      <c r="I3946" s="4" t="s">
        <v>21</v>
      </c>
      <c r="J3946" s="5">
        <f t="shared" si="61"/>
        <v>536917.81723800011</v>
      </c>
      <c r="K3946" s="4" t="s">
        <v>27</v>
      </c>
      <c r="L3946" s="6">
        <v>4.2053000000000003</v>
      </c>
      <c r="M3946" s="6">
        <v>0.23780000000000001</v>
      </c>
      <c r="N3946" s="6">
        <v>4.2072000000000003</v>
      </c>
      <c r="O3946" s="6">
        <v>1</v>
      </c>
      <c r="P3946" s="5">
        <v>-242.58251200000001</v>
      </c>
      <c r="Q3946" s="4" t="s">
        <v>1390</v>
      </c>
    </row>
    <row r="3947" spans="1:17" x14ac:dyDescent="0.3">
      <c r="A3947" s="2" t="s">
        <v>1389</v>
      </c>
      <c r="B3947" s="3">
        <v>159834</v>
      </c>
      <c r="C3947" s="3">
        <v>220792</v>
      </c>
      <c r="D3947" s="4" t="s">
        <v>17</v>
      </c>
      <c r="E3947" s="4" t="s">
        <v>959</v>
      </c>
      <c r="F3947" s="4" t="s">
        <v>32</v>
      </c>
      <c r="G3947" s="4" t="s">
        <v>20</v>
      </c>
      <c r="H3947" s="5">
        <v>-18966.330000000002</v>
      </c>
      <c r="I3947" s="4" t="s">
        <v>21</v>
      </c>
      <c r="J3947" s="5">
        <f t="shared" si="61"/>
        <v>79990.496775000007</v>
      </c>
      <c r="K3947" s="4" t="s">
        <v>30</v>
      </c>
      <c r="L3947" s="6">
        <v>4.2175000000000002</v>
      </c>
      <c r="M3947" s="6">
        <v>0.23710000000000001</v>
      </c>
      <c r="N3947" s="6">
        <v>4.2031999999999998</v>
      </c>
      <c r="O3947" s="6">
        <v>1</v>
      </c>
      <c r="P3947" s="5">
        <v>280.70174400000002</v>
      </c>
      <c r="Q3947" s="4" t="s">
        <v>1390</v>
      </c>
    </row>
    <row r="3948" spans="1:17" x14ac:dyDescent="0.3">
      <c r="A3948" s="2" t="s">
        <v>1389</v>
      </c>
      <c r="B3948" s="3">
        <v>159835</v>
      </c>
      <c r="C3948" s="3">
        <v>912948</v>
      </c>
      <c r="D3948" s="4" t="s">
        <v>81</v>
      </c>
      <c r="E3948" s="4" t="s">
        <v>734</v>
      </c>
      <c r="F3948" s="4" t="s">
        <v>83</v>
      </c>
      <c r="G3948" s="4" t="s">
        <v>20</v>
      </c>
      <c r="H3948" s="5">
        <v>-100000</v>
      </c>
      <c r="I3948" s="4" t="s">
        <v>34</v>
      </c>
      <c r="J3948" s="5">
        <f t="shared" si="61"/>
        <v>119910</v>
      </c>
      <c r="K3948" s="4" t="s">
        <v>27</v>
      </c>
      <c r="L3948" s="6">
        <v>1.1991000000000001</v>
      </c>
      <c r="M3948" s="6">
        <v>0.83399999999999996</v>
      </c>
      <c r="N3948" s="6">
        <v>4.2072000000000003</v>
      </c>
      <c r="O3948" s="6">
        <v>3.5188999999999999</v>
      </c>
      <c r="P3948" s="5">
        <v>1231.299</v>
      </c>
      <c r="Q3948" s="4" t="s">
        <v>1393</v>
      </c>
    </row>
    <row r="3949" spans="1:17" x14ac:dyDescent="0.3">
      <c r="A3949" s="2" t="s">
        <v>1389</v>
      </c>
      <c r="B3949" s="3">
        <v>159837</v>
      </c>
      <c r="C3949" s="3">
        <v>220803</v>
      </c>
      <c r="D3949" s="4" t="s">
        <v>17</v>
      </c>
      <c r="E3949" s="4" t="s">
        <v>1046</v>
      </c>
      <c r="F3949" s="4" t="s">
        <v>19</v>
      </c>
      <c r="G3949" s="4" t="s">
        <v>20</v>
      </c>
      <c r="H3949" s="5">
        <v>70000</v>
      </c>
      <c r="I3949" s="4" t="s">
        <v>21</v>
      </c>
      <c r="J3949" s="5">
        <f t="shared" si="61"/>
        <v>-292264</v>
      </c>
      <c r="K3949" s="4" t="s">
        <v>55</v>
      </c>
      <c r="L3949" s="6">
        <v>4.1752000000000002</v>
      </c>
      <c r="M3949" s="6">
        <v>0.23949999999999999</v>
      </c>
      <c r="N3949" s="6">
        <v>4.2008999999999999</v>
      </c>
      <c r="O3949" s="6">
        <v>1</v>
      </c>
      <c r="P3949" s="5">
        <v>1799</v>
      </c>
      <c r="Q3949" s="4" t="s">
        <v>1390</v>
      </c>
    </row>
    <row r="3950" spans="1:17" x14ac:dyDescent="0.3">
      <c r="A3950" s="2" t="s">
        <v>1389</v>
      </c>
      <c r="B3950" s="3">
        <v>159838</v>
      </c>
      <c r="C3950" s="3">
        <v>220809</v>
      </c>
      <c r="D3950" s="4" t="s">
        <v>17</v>
      </c>
      <c r="E3950" s="4" t="s">
        <v>944</v>
      </c>
      <c r="F3950" s="4" t="s">
        <v>32</v>
      </c>
      <c r="G3950" s="4" t="s">
        <v>20</v>
      </c>
      <c r="H3950" s="5">
        <v>-10000</v>
      </c>
      <c r="I3950" s="4" t="s">
        <v>21</v>
      </c>
      <c r="J3950" s="5">
        <f t="shared" si="61"/>
        <v>42074.999999999993</v>
      </c>
      <c r="K3950" s="4" t="s">
        <v>30</v>
      </c>
      <c r="L3950" s="6">
        <v>4.2074999999999996</v>
      </c>
      <c r="M3950" s="6">
        <v>0.23769999999999999</v>
      </c>
      <c r="N3950" s="6">
        <v>4.2031999999999998</v>
      </c>
      <c r="O3950" s="6">
        <v>1</v>
      </c>
      <c r="P3950" s="5">
        <v>43</v>
      </c>
      <c r="Q3950" s="4" t="s">
        <v>1390</v>
      </c>
    </row>
    <row r="3951" spans="1:17" x14ac:dyDescent="0.3">
      <c r="A3951" s="2" t="s">
        <v>1389</v>
      </c>
      <c r="B3951" s="3">
        <v>159839</v>
      </c>
      <c r="C3951" s="3">
        <v>913011</v>
      </c>
      <c r="D3951" s="4" t="s">
        <v>81</v>
      </c>
      <c r="E3951" s="4" t="s">
        <v>954</v>
      </c>
      <c r="F3951" s="4" t="s">
        <v>83</v>
      </c>
      <c r="G3951" s="4" t="s">
        <v>20</v>
      </c>
      <c r="H3951" s="5">
        <v>-600000</v>
      </c>
      <c r="I3951" s="4" t="s">
        <v>21</v>
      </c>
      <c r="J3951" s="5">
        <f t="shared" si="61"/>
        <v>2521800</v>
      </c>
      <c r="K3951" s="4" t="s">
        <v>27</v>
      </c>
      <c r="L3951" s="6">
        <v>4.2030000000000003</v>
      </c>
      <c r="M3951" s="6">
        <v>0.2379</v>
      </c>
      <c r="N3951" s="6">
        <v>4.2072000000000003</v>
      </c>
      <c r="O3951" s="6">
        <v>1</v>
      </c>
      <c r="P3951" s="5">
        <v>-2520</v>
      </c>
      <c r="Q3951" s="4" t="s">
        <v>1390</v>
      </c>
    </row>
    <row r="3952" spans="1:17" x14ac:dyDescent="0.3">
      <c r="A3952" s="2" t="s">
        <v>1389</v>
      </c>
      <c r="B3952" s="3">
        <v>159840</v>
      </c>
      <c r="C3952" s="3">
        <v>913012</v>
      </c>
      <c r="D3952" s="4" t="s">
        <v>81</v>
      </c>
      <c r="E3952" s="4" t="s">
        <v>1303</v>
      </c>
      <c r="F3952" s="4" t="s">
        <v>83</v>
      </c>
      <c r="G3952" s="4" t="s">
        <v>20</v>
      </c>
      <c r="H3952" s="5">
        <v>-1000</v>
      </c>
      <c r="I3952" s="4" t="s">
        <v>21</v>
      </c>
      <c r="J3952" s="5">
        <f t="shared" si="61"/>
        <v>4221.2</v>
      </c>
      <c r="K3952" s="4" t="s">
        <v>27</v>
      </c>
      <c r="L3952" s="6">
        <v>4.2211999999999996</v>
      </c>
      <c r="M3952" s="6">
        <v>0.2369</v>
      </c>
      <c r="N3952" s="6">
        <v>4.2072000000000003</v>
      </c>
      <c r="O3952" s="6">
        <v>1</v>
      </c>
      <c r="P3952" s="5">
        <v>14</v>
      </c>
      <c r="Q3952" s="4" t="s">
        <v>1390</v>
      </c>
    </row>
    <row r="3953" spans="1:17" x14ac:dyDescent="0.3">
      <c r="A3953" s="2" t="s">
        <v>1389</v>
      </c>
      <c r="B3953" s="3">
        <v>159841</v>
      </c>
      <c r="C3953" s="3">
        <v>220814</v>
      </c>
      <c r="D3953" s="4" t="s">
        <v>17</v>
      </c>
      <c r="E3953" s="4" t="s">
        <v>774</v>
      </c>
      <c r="F3953" s="4" t="s">
        <v>32</v>
      </c>
      <c r="G3953" s="4" t="s">
        <v>20</v>
      </c>
      <c r="H3953" s="5">
        <v>-38707</v>
      </c>
      <c r="I3953" s="4" t="s">
        <v>21</v>
      </c>
      <c r="J3953" s="5">
        <f t="shared" si="61"/>
        <v>162685.52100000001</v>
      </c>
      <c r="K3953" s="4" t="s">
        <v>30</v>
      </c>
      <c r="L3953" s="6">
        <v>4.2030000000000003</v>
      </c>
      <c r="M3953" s="6">
        <v>0.2379</v>
      </c>
      <c r="N3953" s="6">
        <v>4.2031999999999998</v>
      </c>
      <c r="O3953" s="6">
        <v>1</v>
      </c>
      <c r="P3953" s="5">
        <v>-7.7423999999999999</v>
      </c>
      <c r="Q3953" s="4" t="s">
        <v>1390</v>
      </c>
    </row>
    <row r="3954" spans="1:17" x14ac:dyDescent="0.3">
      <c r="A3954" s="2" t="s">
        <v>1389</v>
      </c>
      <c r="B3954" s="3">
        <v>159842</v>
      </c>
      <c r="C3954" s="3">
        <v>220822</v>
      </c>
      <c r="D3954" s="4" t="s">
        <v>17</v>
      </c>
      <c r="E3954" s="4" t="s">
        <v>1061</v>
      </c>
      <c r="F3954" s="4" t="s">
        <v>19</v>
      </c>
      <c r="G3954" s="4" t="s">
        <v>20</v>
      </c>
      <c r="H3954" s="5">
        <v>278070</v>
      </c>
      <c r="I3954" s="4" t="s">
        <v>21</v>
      </c>
      <c r="J3954" s="5">
        <f t="shared" si="61"/>
        <v>-1166614.878</v>
      </c>
      <c r="K3954" s="4" t="s">
        <v>30</v>
      </c>
      <c r="L3954" s="6">
        <v>4.1954000000000002</v>
      </c>
      <c r="M3954" s="6">
        <v>0.2384</v>
      </c>
      <c r="N3954" s="6">
        <v>4.2031999999999998</v>
      </c>
      <c r="O3954" s="6">
        <v>1</v>
      </c>
      <c r="P3954" s="5">
        <v>2168.9459999999963</v>
      </c>
      <c r="Q3954" s="4" t="s">
        <v>1390</v>
      </c>
    </row>
    <row r="3955" spans="1:17" x14ac:dyDescent="0.3">
      <c r="A3955" s="2" t="s">
        <v>1389</v>
      </c>
      <c r="B3955" s="3">
        <v>159843</v>
      </c>
      <c r="C3955" s="3">
        <v>220825</v>
      </c>
      <c r="D3955" s="4" t="s">
        <v>17</v>
      </c>
      <c r="E3955" s="4" t="s">
        <v>1196</v>
      </c>
      <c r="F3955" s="4" t="s">
        <v>32</v>
      </c>
      <c r="G3955" s="4" t="s">
        <v>20</v>
      </c>
      <c r="H3955" s="5">
        <v>-51557.61</v>
      </c>
      <c r="I3955" s="4" t="s">
        <v>21</v>
      </c>
      <c r="J3955" s="5">
        <f t="shared" si="61"/>
        <v>217005.98048999999</v>
      </c>
      <c r="K3955" s="4" t="s">
        <v>30</v>
      </c>
      <c r="L3955" s="6">
        <v>4.2089999999999996</v>
      </c>
      <c r="M3955" s="6">
        <v>0.23760000000000001</v>
      </c>
      <c r="N3955" s="6">
        <v>4.2031999999999998</v>
      </c>
      <c r="O3955" s="6">
        <v>1</v>
      </c>
      <c r="P3955" s="5">
        <v>299.03364800000003</v>
      </c>
      <c r="Q3955" s="4" t="s">
        <v>1390</v>
      </c>
    </row>
    <row r="3956" spans="1:17" x14ac:dyDescent="0.3">
      <c r="A3956" s="2" t="s">
        <v>1389</v>
      </c>
      <c r="B3956" s="3">
        <v>159844</v>
      </c>
      <c r="C3956" s="3">
        <v>913091</v>
      </c>
      <c r="D3956" s="4" t="s">
        <v>81</v>
      </c>
      <c r="E3956" s="4" t="s">
        <v>732</v>
      </c>
      <c r="F3956" s="4" t="s">
        <v>87</v>
      </c>
      <c r="G3956" s="4" t="s">
        <v>20</v>
      </c>
      <c r="H3956" s="5">
        <v>500000</v>
      </c>
      <c r="I3956" s="4" t="s">
        <v>21</v>
      </c>
      <c r="J3956" s="5">
        <f t="shared" si="61"/>
        <v>-2100600</v>
      </c>
      <c r="K3956" s="4" t="s">
        <v>27</v>
      </c>
      <c r="L3956" s="6">
        <v>4.2012</v>
      </c>
      <c r="M3956" s="6">
        <v>0.23799999999999999</v>
      </c>
      <c r="N3956" s="6">
        <v>4.2072000000000003</v>
      </c>
      <c r="O3956" s="6">
        <v>1</v>
      </c>
      <c r="P3956" s="5">
        <v>3000</v>
      </c>
      <c r="Q3956" s="4" t="s">
        <v>1394</v>
      </c>
    </row>
    <row r="3957" spans="1:17" x14ac:dyDescent="0.3">
      <c r="A3957" s="2" t="s">
        <v>1389</v>
      </c>
      <c r="B3957" s="3">
        <v>159845</v>
      </c>
      <c r="C3957" s="3">
        <v>220834</v>
      </c>
      <c r="D3957" s="4" t="s">
        <v>17</v>
      </c>
      <c r="E3957" s="4" t="s">
        <v>1155</v>
      </c>
      <c r="F3957" s="4" t="s">
        <v>19</v>
      </c>
      <c r="G3957" s="4" t="s">
        <v>20</v>
      </c>
      <c r="H3957" s="5">
        <v>5000</v>
      </c>
      <c r="I3957" s="4" t="s">
        <v>74</v>
      </c>
      <c r="J3957" s="5">
        <f t="shared" si="61"/>
        <v>-57607.5</v>
      </c>
      <c r="K3957" s="4" t="s">
        <v>30</v>
      </c>
      <c r="L3957" s="6">
        <v>11.5215</v>
      </c>
      <c r="M3957" s="6">
        <v>8.6800000000000002E-2</v>
      </c>
      <c r="N3957" s="6">
        <v>4.2031999999999998</v>
      </c>
      <c r="O3957" s="6">
        <v>0.36259999999999998</v>
      </c>
      <c r="P3957" s="5">
        <v>127.52050000000236</v>
      </c>
      <c r="Q3957" s="4" t="s">
        <v>1390</v>
      </c>
    </row>
    <row r="3958" spans="1:17" x14ac:dyDescent="0.3">
      <c r="A3958" s="2" t="s">
        <v>1389</v>
      </c>
      <c r="B3958" s="3">
        <v>159846</v>
      </c>
      <c r="C3958" s="3">
        <v>220835</v>
      </c>
      <c r="D3958" s="4" t="s">
        <v>17</v>
      </c>
      <c r="E3958" s="4" t="s">
        <v>1301</v>
      </c>
      <c r="F3958" s="4" t="s">
        <v>19</v>
      </c>
      <c r="G3958" s="4" t="s">
        <v>20</v>
      </c>
      <c r="H3958" s="5">
        <v>10000</v>
      </c>
      <c r="I3958" s="4" t="s">
        <v>21</v>
      </c>
      <c r="J3958" s="5">
        <f t="shared" si="61"/>
        <v>-41910</v>
      </c>
      <c r="K3958" s="4" t="s">
        <v>30</v>
      </c>
      <c r="L3958" s="6">
        <v>4.1909999999999998</v>
      </c>
      <c r="M3958" s="6">
        <v>0.23860000000000001</v>
      </c>
      <c r="N3958" s="6">
        <v>4.2031999999999998</v>
      </c>
      <c r="O3958" s="6">
        <v>1</v>
      </c>
      <c r="P3958" s="5">
        <v>122</v>
      </c>
      <c r="Q3958" s="4" t="s">
        <v>1390</v>
      </c>
    </row>
    <row r="3959" spans="1:17" x14ac:dyDescent="0.3">
      <c r="A3959" s="2" t="s">
        <v>1389</v>
      </c>
      <c r="B3959" s="3">
        <v>159847</v>
      </c>
      <c r="C3959" s="3">
        <v>220837</v>
      </c>
      <c r="D3959" s="4" t="s">
        <v>17</v>
      </c>
      <c r="E3959" s="4" t="s">
        <v>1336</v>
      </c>
      <c r="F3959" s="4" t="s">
        <v>32</v>
      </c>
      <c r="G3959" s="4" t="s">
        <v>20</v>
      </c>
      <c r="H3959" s="5">
        <v>-115000</v>
      </c>
      <c r="I3959" s="4" t="s">
        <v>21</v>
      </c>
      <c r="J3959" s="5">
        <f t="shared" si="61"/>
        <v>483805</v>
      </c>
      <c r="K3959" s="4" t="s">
        <v>30</v>
      </c>
      <c r="L3959" s="6">
        <v>4.2069999999999999</v>
      </c>
      <c r="M3959" s="6">
        <v>0.23769999999999999</v>
      </c>
      <c r="N3959" s="6">
        <v>4.2031999999999998</v>
      </c>
      <c r="O3959" s="6">
        <v>1</v>
      </c>
      <c r="P3959" s="5">
        <v>437</v>
      </c>
      <c r="Q3959" s="4" t="s">
        <v>1390</v>
      </c>
    </row>
    <row r="3960" spans="1:17" x14ac:dyDescent="0.3">
      <c r="A3960" s="2" t="s">
        <v>1389</v>
      </c>
      <c r="B3960" s="3">
        <v>159855</v>
      </c>
      <c r="C3960" s="3">
        <v>913130</v>
      </c>
      <c r="D3960" s="4" t="s">
        <v>81</v>
      </c>
      <c r="E3960" s="4" t="s">
        <v>733</v>
      </c>
      <c r="F3960" s="4" t="s">
        <v>83</v>
      </c>
      <c r="G3960" s="4" t="s">
        <v>34</v>
      </c>
      <c r="H3960" s="5">
        <v>-500000</v>
      </c>
      <c r="I3960" s="4" t="s">
        <v>21</v>
      </c>
      <c r="J3960" s="5">
        <f t="shared" si="61"/>
        <v>1754300</v>
      </c>
      <c r="K3960" s="4" t="s">
        <v>27</v>
      </c>
      <c r="L3960" s="6">
        <v>3.5085999999999999</v>
      </c>
      <c r="M3960" s="6">
        <v>0.28499999999999998</v>
      </c>
      <c r="N3960" s="6">
        <v>3.5188999999999999</v>
      </c>
      <c r="O3960" s="6">
        <v>1</v>
      </c>
      <c r="P3960" s="5">
        <v>-5125</v>
      </c>
      <c r="Q3960" s="4" t="s">
        <v>1391</v>
      </c>
    </row>
    <row r="3961" spans="1:17" x14ac:dyDescent="0.3">
      <c r="A3961" s="2" t="s">
        <v>1389</v>
      </c>
      <c r="B3961" s="3">
        <v>159860</v>
      </c>
      <c r="C3961" s="3">
        <v>913162</v>
      </c>
      <c r="D3961" s="4" t="s">
        <v>81</v>
      </c>
      <c r="E3961" s="4" t="s">
        <v>1077</v>
      </c>
      <c r="F3961" s="4" t="s">
        <v>87</v>
      </c>
      <c r="G3961" s="4" t="s">
        <v>20</v>
      </c>
      <c r="H3961" s="5">
        <v>25000</v>
      </c>
      <c r="I3961" s="4" t="s">
        <v>21</v>
      </c>
      <c r="J3961" s="5">
        <f t="shared" si="61"/>
        <v>-105000</v>
      </c>
      <c r="K3961" s="4" t="s">
        <v>27</v>
      </c>
      <c r="L3961" s="6">
        <v>4.2</v>
      </c>
      <c r="M3961" s="6">
        <v>0.23810000000000001</v>
      </c>
      <c r="N3961" s="6">
        <v>4.2072000000000003</v>
      </c>
      <c r="O3961" s="6">
        <v>1</v>
      </c>
      <c r="P3961" s="5">
        <v>180</v>
      </c>
      <c r="Q3961" s="4" t="s">
        <v>1390</v>
      </c>
    </row>
    <row r="3962" spans="1:17" x14ac:dyDescent="0.3">
      <c r="A3962" s="2" t="s">
        <v>1389</v>
      </c>
      <c r="B3962" s="3">
        <v>159861</v>
      </c>
      <c r="C3962" s="3">
        <v>913163</v>
      </c>
      <c r="D3962" s="4" t="s">
        <v>81</v>
      </c>
      <c r="E3962" s="4" t="s">
        <v>1077</v>
      </c>
      <c r="F3962" s="4" t="s">
        <v>87</v>
      </c>
      <c r="G3962" s="4" t="s">
        <v>20</v>
      </c>
      <c r="H3962" s="5">
        <v>25000</v>
      </c>
      <c r="I3962" s="4" t="s">
        <v>21</v>
      </c>
      <c r="J3962" s="5">
        <f t="shared" si="61"/>
        <v>-105000</v>
      </c>
      <c r="K3962" s="4" t="s">
        <v>27</v>
      </c>
      <c r="L3962" s="6">
        <v>4.2</v>
      </c>
      <c r="M3962" s="6">
        <v>0.23810000000000001</v>
      </c>
      <c r="N3962" s="6">
        <v>4.2072000000000003</v>
      </c>
      <c r="O3962" s="6">
        <v>1</v>
      </c>
      <c r="P3962" s="5">
        <v>180</v>
      </c>
      <c r="Q3962" s="4" t="s">
        <v>1390</v>
      </c>
    </row>
    <row r="3963" spans="1:17" x14ac:dyDescent="0.3">
      <c r="A3963" s="2" t="s">
        <v>1389</v>
      </c>
      <c r="B3963" s="3">
        <v>159862</v>
      </c>
      <c r="C3963" s="3">
        <v>220855</v>
      </c>
      <c r="D3963" s="4" t="s">
        <v>17</v>
      </c>
      <c r="E3963" s="4" t="s">
        <v>1352</v>
      </c>
      <c r="F3963" s="4" t="s">
        <v>19</v>
      </c>
      <c r="G3963" s="4" t="s">
        <v>20</v>
      </c>
      <c r="H3963" s="5">
        <v>190000</v>
      </c>
      <c r="I3963" s="4" t="s">
        <v>21</v>
      </c>
      <c r="J3963" s="5">
        <f t="shared" si="61"/>
        <v>-795378.00000000012</v>
      </c>
      <c r="K3963" s="4" t="s">
        <v>30</v>
      </c>
      <c r="L3963" s="6">
        <v>4.1862000000000004</v>
      </c>
      <c r="M3963" s="6">
        <v>0.2389</v>
      </c>
      <c r="N3963" s="6">
        <v>4.2031999999999998</v>
      </c>
      <c r="O3963" s="6">
        <v>1</v>
      </c>
      <c r="P3963" s="5">
        <v>3229.9999999998836</v>
      </c>
      <c r="Q3963" s="4" t="s">
        <v>1390</v>
      </c>
    </row>
    <row r="3964" spans="1:17" x14ac:dyDescent="0.3">
      <c r="A3964" s="2" t="s">
        <v>1389</v>
      </c>
      <c r="B3964" s="3">
        <v>159866</v>
      </c>
      <c r="C3964" s="3">
        <v>220862</v>
      </c>
      <c r="D3964" s="4" t="s">
        <v>17</v>
      </c>
      <c r="E3964" s="4" t="s">
        <v>918</v>
      </c>
      <c r="F3964" s="4" t="s">
        <v>19</v>
      </c>
      <c r="G3964" s="4" t="s">
        <v>20</v>
      </c>
      <c r="H3964" s="5">
        <v>5000</v>
      </c>
      <c r="I3964" s="4" t="s">
        <v>21</v>
      </c>
      <c r="J3964" s="5">
        <f t="shared" si="61"/>
        <v>-21000</v>
      </c>
      <c r="K3964" s="4" t="s">
        <v>55</v>
      </c>
      <c r="L3964" s="6">
        <v>4.2</v>
      </c>
      <c r="M3964" s="6">
        <v>0.23810000000000001</v>
      </c>
      <c r="N3964" s="6">
        <v>4.2008999999999999</v>
      </c>
      <c r="O3964" s="6">
        <v>1</v>
      </c>
      <c r="P3964" s="5">
        <v>4.5</v>
      </c>
      <c r="Q3964" s="4" t="s">
        <v>1390</v>
      </c>
    </row>
    <row r="3965" spans="1:17" x14ac:dyDescent="0.3">
      <c r="A3965" s="2" t="s">
        <v>1389</v>
      </c>
      <c r="B3965" s="3">
        <v>159869</v>
      </c>
      <c r="C3965" s="3">
        <v>220864</v>
      </c>
      <c r="D3965" s="4" t="s">
        <v>17</v>
      </c>
      <c r="E3965" s="4" t="s">
        <v>1202</v>
      </c>
      <c r="F3965" s="4" t="s">
        <v>19</v>
      </c>
      <c r="G3965" s="4" t="s">
        <v>20</v>
      </c>
      <c r="H3965" s="5">
        <v>40000</v>
      </c>
      <c r="I3965" s="4" t="s">
        <v>21</v>
      </c>
      <c r="J3965" s="5">
        <f t="shared" si="61"/>
        <v>-167640</v>
      </c>
      <c r="K3965" s="4" t="s">
        <v>30</v>
      </c>
      <c r="L3965" s="6">
        <v>4.1909999999999998</v>
      </c>
      <c r="M3965" s="6">
        <v>0.23860000000000001</v>
      </c>
      <c r="N3965" s="6">
        <v>4.2031999999999998</v>
      </c>
      <c r="O3965" s="6">
        <v>1</v>
      </c>
      <c r="P3965" s="5">
        <v>488</v>
      </c>
      <c r="Q3965" s="4" t="s">
        <v>1390</v>
      </c>
    </row>
    <row r="3966" spans="1:17" x14ac:dyDescent="0.3">
      <c r="A3966" s="2" t="s">
        <v>1389</v>
      </c>
      <c r="B3966" s="3">
        <v>159870</v>
      </c>
      <c r="C3966" s="3">
        <v>220866</v>
      </c>
      <c r="D3966" s="4" t="s">
        <v>17</v>
      </c>
      <c r="E3966" s="4" t="s">
        <v>1248</v>
      </c>
      <c r="F3966" s="4" t="s">
        <v>19</v>
      </c>
      <c r="G3966" s="4" t="s">
        <v>20</v>
      </c>
      <c r="H3966" s="5">
        <v>20000</v>
      </c>
      <c r="I3966" s="4" t="s">
        <v>21</v>
      </c>
      <c r="J3966" s="5">
        <f t="shared" si="61"/>
        <v>-82449.999999999985</v>
      </c>
      <c r="K3966" s="4" t="s">
        <v>30</v>
      </c>
      <c r="L3966" s="6">
        <v>4.1224999999999996</v>
      </c>
      <c r="M3966" s="6">
        <v>0.24260000000000001</v>
      </c>
      <c r="N3966" s="6">
        <v>4.2031999999999998</v>
      </c>
      <c r="O3966" s="6">
        <v>1</v>
      </c>
      <c r="P3966" s="5">
        <v>1614.0000000000146</v>
      </c>
      <c r="Q3966" s="4" t="s">
        <v>1390</v>
      </c>
    </row>
    <row r="3967" spans="1:17" x14ac:dyDescent="0.3">
      <c r="A3967" s="2" t="s">
        <v>1389</v>
      </c>
      <c r="B3967" s="3">
        <v>159871</v>
      </c>
      <c r="C3967" s="3">
        <v>220870</v>
      </c>
      <c r="D3967" s="4" t="s">
        <v>17</v>
      </c>
      <c r="E3967" s="4" t="s">
        <v>755</v>
      </c>
      <c r="F3967" s="4" t="s">
        <v>19</v>
      </c>
      <c r="G3967" s="4" t="s">
        <v>20</v>
      </c>
      <c r="H3967" s="5">
        <v>20000</v>
      </c>
      <c r="I3967" s="4" t="s">
        <v>21</v>
      </c>
      <c r="J3967" s="5">
        <f t="shared" si="61"/>
        <v>-83900</v>
      </c>
      <c r="K3967" s="4" t="s">
        <v>30</v>
      </c>
      <c r="L3967" s="6">
        <v>4.1950000000000003</v>
      </c>
      <c r="M3967" s="6">
        <v>0.2384</v>
      </c>
      <c r="N3967" s="6">
        <v>4.2031999999999998</v>
      </c>
      <c r="O3967" s="6">
        <v>1</v>
      </c>
      <c r="P3967" s="5">
        <v>164</v>
      </c>
      <c r="Q3967" s="4" t="s">
        <v>1390</v>
      </c>
    </row>
    <row r="3968" spans="1:17" x14ac:dyDescent="0.3">
      <c r="A3968" s="2" t="s">
        <v>1389</v>
      </c>
      <c r="B3968" s="3">
        <v>159873</v>
      </c>
      <c r="C3968" s="3">
        <v>220871</v>
      </c>
      <c r="D3968" s="4" t="s">
        <v>17</v>
      </c>
      <c r="E3968" s="4" t="s">
        <v>819</v>
      </c>
      <c r="F3968" s="4" t="s">
        <v>32</v>
      </c>
      <c r="G3968" s="4" t="s">
        <v>20</v>
      </c>
      <c r="H3968" s="5">
        <v>-50000</v>
      </c>
      <c r="I3968" s="4" t="s">
        <v>21</v>
      </c>
      <c r="J3968" s="5">
        <f t="shared" si="61"/>
        <v>210250</v>
      </c>
      <c r="K3968" s="4" t="s">
        <v>30</v>
      </c>
      <c r="L3968" s="6">
        <v>4.2050000000000001</v>
      </c>
      <c r="M3968" s="6">
        <v>0.23780000000000001</v>
      </c>
      <c r="N3968" s="6">
        <v>4.2031999999999998</v>
      </c>
      <c r="O3968" s="6">
        <v>1</v>
      </c>
      <c r="P3968" s="5">
        <v>90</v>
      </c>
      <c r="Q3968" s="4" t="s">
        <v>1390</v>
      </c>
    </row>
    <row r="3969" spans="1:17" x14ac:dyDescent="0.3">
      <c r="A3969" s="2" t="s">
        <v>1389</v>
      </c>
      <c r="B3969" s="3">
        <v>159874</v>
      </c>
      <c r="C3969" s="3">
        <v>220874</v>
      </c>
      <c r="D3969" s="4" t="s">
        <v>17</v>
      </c>
      <c r="E3969" s="4" t="s">
        <v>1005</v>
      </c>
      <c r="F3969" s="4" t="s">
        <v>19</v>
      </c>
      <c r="G3969" s="4" t="s">
        <v>20</v>
      </c>
      <c r="H3969" s="5">
        <v>7813.25</v>
      </c>
      <c r="I3969" s="4" t="s">
        <v>21</v>
      </c>
      <c r="J3969" s="5">
        <f t="shared" si="61"/>
        <v>-32799.242174999999</v>
      </c>
      <c r="K3969" s="4" t="s">
        <v>30</v>
      </c>
      <c r="L3969" s="6">
        <v>4.1978999999999997</v>
      </c>
      <c r="M3969" s="6">
        <v>0.2382</v>
      </c>
      <c r="N3969" s="6">
        <v>4.2031999999999998</v>
      </c>
      <c r="O3969" s="6">
        <v>1</v>
      </c>
      <c r="P3969" s="5">
        <v>41.410224999999627</v>
      </c>
      <c r="Q3969" s="4" t="s">
        <v>1390</v>
      </c>
    </row>
    <row r="3970" spans="1:17" x14ac:dyDescent="0.3">
      <c r="A3970" s="2" t="s">
        <v>1389</v>
      </c>
      <c r="B3970" s="3">
        <v>159875</v>
      </c>
      <c r="C3970" s="3">
        <v>220877</v>
      </c>
      <c r="D3970" s="4" t="s">
        <v>17</v>
      </c>
      <c r="E3970" s="4" t="s">
        <v>1372</v>
      </c>
      <c r="F3970" s="4" t="s">
        <v>32</v>
      </c>
      <c r="G3970" s="4" t="s">
        <v>20</v>
      </c>
      <c r="H3970" s="5">
        <v>-10000</v>
      </c>
      <c r="I3970" s="4" t="s">
        <v>21</v>
      </c>
      <c r="J3970" s="5">
        <f t="shared" si="61"/>
        <v>42189</v>
      </c>
      <c r="K3970" s="4" t="s">
        <v>30</v>
      </c>
      <c r="L3970" s="6">
        <v>4.2188999999999997</v>
      </c>
      <c r="M3970" s="6">
        <v>0.23699999999999999</v>
      </c>
      <c r="N3970" s="6">
        <v>4.2031999999999998</v>
      </c>
      <c r="O3970" s="6">
        <v>1</v>
      </c>
      <c r="P3970" s="5">
        <v>153</v>
      </c>
      <c r="Q3970" s="4" t="s">
        <v>1390</v>
      </c>
    </row>
    <row r="3971" spans="1:17" x14ac:dyDescent="0.3">
      <c r="A3971" s="2" t="s">
        <v>1389</v>
      </c>
      <c r="B3971" s="3">
        <v>159888</v>
      </c>
      <c r="C3971" s="3">
        <v>220884</v>
      </c>
      <c r="D3971" s="4" t="s">
        <v>17</v>
      </c>
      <c r="E3971" s="4" t="s">
        <v>1088</v>
      </c>
      <c r="F3971" s="4" t="s">
        <v>19</v>
      </c>
      <c r="G3971" s="4" t="s">
        <v>20</v>
      </c>
      <c r="H3971" s="5">
        <v>125000</v>
      </c>
      <c r="I3971" s="4" t="s">
        <v>21</v>
      </c>
      <c r="J3971" s="5">
        <f t="shared" si="61"/>
        <v>-523250</v>
      </c>
      <c r="K3971" s="4" t="s">
        <v>30</v>
      </c>
      <c r="L3971" s="6">
        <v>4.1859999999999999</v>
      </c>
      <c r="M3971" s="6">
        <v>0.2389</v>
      </c>
      <c r="N3971" s="6">
        <v>4.2031999999999998</v>
      </c>
      <c r="O3971" s="6">
        <v>1</v>
      </c>
      <c r="P3971" s="5">
        <v>2150</v>
      </c>
      <c r="Q3971" s="4" t="s">
        <v>1390</v>
      </c>
    </row>
    <row r="3972" spans="1:17" x14ac:dyDescent="0.3">
      <c r="A3972" s="2" t="s">
        <v>1389</v>
      </c>
      <c r="B3972" s="3">
        <v>159889</v>
      </c>
      <c r="C3972" s="3">
        <v>220885</v>
      </c>
      <c r="D3972" s="4" t="s">
        <v>17</v>
      </c>
      <c r="E3972" s="4" t="s">
        <v>1376</v>
      </c>
      <c r="F3972" s="4" t="s">
        <v>19</v>
      </c>
      <c r="G3972" s="4" t="s">
        <v>20</v>
      </c>
      <c r="H3972" s="5">
        <v>100000</v>
      </c>
      <c r="I3972" s="4" t="s">
        <v>21</v>
      </c>
      <c r="J3972" s="5">
        <f t="shared" ref="J3972:J4035" si="62">-H3972*L3972</f>
        <v>-419100</v>
      </c>
      <c r="K3972" s="4" t="s">
        <v>30</v>
      </c>
      <c r="L3972" s="6">
        <v>4.1909999999999998</v>
      </c>
      <c r="M3972" s="6">
        <v>0.23860000000000001</v>
      </c>
      <c r="N3972" s="6">
        <v>4.2031999999999998</v>
      </c>
      <c r="O3972" s="6">
        <v>1</v>
      </c>
      <c r="P3972" s="5">
        <v>1220</v>
      </c>
      <c r="Q3972" s="4" t="s">
        <v>1390</v>
      </c>
    </row>
    <row r="3973" spans="1:17" x14ac:dyDescent="0.3">
      <c r="A3973" s="2" t="s">
        <v>1389</v>
      </c>
      <c r="B3973" s="3">
        <v>159891</v>
      </c>
      <c r="C3973" s="3">
        <v>913299</v>
      </c>
      <c r="D3973" s="4" t="s">
        <v>81</v>
      </c>
      <c r="E3973" s="4" t="s">
        <v>732</v>
      </c>
      <c r="F3973" s="4" t="s">
        <v>87</v>
      </c>
      <c r="G3973" s="4" t="s">
        <v>34</v>
      </c>
      <c r="H3973" s="5">
        <v>1000000</v>
      </c>
      <c r="I3973" s="4" t="s">
        <v>21</v>
      </c>
      <c r="J3973" s="5">
        <f t="shared" si="62"/>
        <v>-3513100</v>
      </c>
      <c r="K3973" s="4" t="s">
        <v>27</v>
      </c>
      <c r="L3973" s="6">
        <v>3.5131000000000001</v>
      </c>
      <c r="M3973" s="6">
        <v>0.28460000000000002</v>
      </c>
      <c r="N3973" s="6">
        <v>3.5188999999999999</v>
      </c>
      <c r="O3973" s="6">
        <v>1</v>
      </c>
      <c r="P3973" s="5">
        <v>5800</v>
      </c>
      <c r="Q3973" s="4" t="s">
        <v>1394</v>
      </c>
    </row>
    <row r="3974" spans="1:17" x14ac:dyDescent="0.3">
      <c r="A3974" s="2" t="s">
        <v>1389</v>
      </c>
      <c r="B3974" s="3">
        <v>159892</v>
      </c>
      <c r="C3974" s="3">
        <v>913300</v>
      </c>
      <c r="D3974" s="4" t="s">
        <v>81</v>
      </c>
      <c r="E3974" s="4" t="s">
        <v>732</v>
      </c>
      <c r="F3974" s="4" t="s">
        <v>87</v>
      </c>
      <c r="G3974" s="4" t="s">
        <v>20</v>
      </c>
      <c r="H3974" s="5">
        <v>1000000</v>
      </c>
      <c r="I3974" s="4" t="s">
        <v>21</v>
      </c>
      <c r="J3974" s="5">
        <f t="shared" si="62"/>
        <v>-4204300</v>
      </c>
      <c r="K3974" s="4" t="s">
        <v>27</v>
      </c>
      <c r="L3974" s="6">
        <v>4.2042999999999999</v>
      </c>
      <c r="M3974" s="6">
        <v>0.2379</v>
      </c>
      <c r="N3974" s="6">
        <v>4.2072000000000003</v>
      </c>
      <c r="O3974" s="6">
        <v>1</v>
      </c>
      <c r="P3974" s="5">
        <v>2900</v>
      </c>
      <c r="Q3974" s="4" t="s">
        <v>1394</v>
      </c>
    </row>
    <row r="3975" spans="1:17" x14ac:dyDescent="0.3">
      <c r="A3975" s="2" t="s">
        <v>1389</v>
      </c>
      <c r="B3975" s="3">
        <v>159893</v>
      </c>
      <c r="C3975" s="3">
        <v>913301</v>
      </c>
      <c r="D3975" s="4" t="s">
        <v>81</v>
      </c>
      <c r="E3975" s="4" t="s">
        <v>733</v>
      </c>
      <c r="F3975" s="4" t="s">
        <v>87</v>
      </c>
      <c r="G3975" s="4" t="s">
        <v>20</v>
      </c>
      <c r="H3975" s="5">
        <v>1000000</v>
      </c>
      <c r="I3975" s="4" t="s">
        <v>21</v>
      </c>
      <c r="J3975" s="5">
        <f t="shared" si="62"/>
        <v>-4204400</v>
      </c>
      <c r="K3975" s="4" t="s">
        <v>27</v>
      </c>
      <c r="L3975" s="6">
        <v>4.2043999999999997</v>
      </c>
      <c r="M3975" s="6">
        <v>0.23780000000000001</v>
      </c>
      <c r="N3975" s="6">
        <v>4.2072000000000003</v>
      </c>
      <c r="O3975" s="6">
        <v>1</v>
      </c>
      <c r="P3975" s="5">
        <v>2800</v>
      </c>
      <c r="Q3975" s="4" t="s">
        <v>1391</v>
      </c>
    </row>
    <row r="3976" spans="1:17" x14ac:dyDescent="0.3">
      <c r="A3976" s="2" t="s">
        <v>1389</v>
      </c>
      <c r="B3976" s="3">
        <v>159894</v>
      </c>
      <c r="C3976" s="3">
        <v>913302</v>
      </c>
      <c r="D3976" s="4" t="s">
        <v>81</v>
      </c>
      <c r="E3976" s="4" t="s">
        <v>733</v>
      </c>
      <c r="F3976" s="4" t="s">
        <v>87</v>
      </c>
      <c r="G3976" s="4" t="s">
        <v>20</v>
      </c>
      <c r="H3976" s="5">
        <v>1000000</v>
      </c>
      <c r="I3976" s="4" t="s">
        <v>21</v>
      </c>
      <c r="J3976" s="5">
        <f t="shared" si="62"/>
        <v>-4204300</v>
      </c>
      <c r="K3976" s="4" t="s">
        <v>27</v>
      </c>
      <c r="L3976" s="6">
        <v>4.2042999999999999</v>
      </c>
      <c r="M3976" s="6">
        <v>0.2379</v>
      </c>
      <c r="N3976" s="6">
        <v>4.2072000000000003</v>
      </c>
      <c r="O3976" s="6">
        <v>1</v>
      </c>
      <c r="P3976" s="5">
        <v>2930</v>
      </c>
      <c r="Q3976" s="4" t="s">
        <v>1391</v>
      </c>
    </row>
    <row r="3977" spans="1:17" x14ac:dyDescent="0.3">
      <c r="A3977" s="2" t="s">
        <v>1389</v>
      </c>
      <c r="B3977" s="3">
        <v>159895</v>
      </c>
      <c r="C3977" s="3">
        <v>913306</v>
      </c>
      <c r="D3977" s="4" t="s">
        <v>81</v>
      </c>
      <c r="E3977" s="4" t="s">
        <v>743</v>
      </c>
      <c r="F3977" s="4" t="s">
        <v>87</v>
      </c>
      <c r="G3977" s="4" t="s">
        <v>20</v>
      </c>
      <c r="H3977" s="5">
        <v>1000000</v>
      </c>
      <c r="I3977" s="4" t="s">
        <v>21</v>
      </c>
      <c r="J3977" s="5">
        <f t="shared" si="62"/>
        <v>-4203900</v>
      </c>
      <c r="K3977" s="4" t="s">
        <v>27</v>
      </c>
      <c r="L3977" s="6">
        <v>4.2039</v>
      </c>
      <c r="M3977" s="6">
        <v>0.2379</v>
      </c>
      <c r="N3977" s="6">
        <v>4.2072000000000003</v>
      </c>
      <c r="O3977" s="6">
        <v>1</v>
      </c>
      <c r="P3977" s="5">
        <v>3300</v>
      </c>
      <c r="Q3977" s="4" t="s">
        <v>1395</v>
      </c>
    </row>
    <row r="3978" spans="1:17" x14ac:dyDescent="0.3">
      <c r="A3978" s="2" t="s">
        <v>1389</v>
      </c>
      <c r="B3978" s="3">
        <v>159896</v>
      </c>
      <c r="C3978" s="3">
        <v>220893</v>
      </c>
      <c r="D3978" s="4" t="s">
        <v>17</v>
      </c>
      <c r="E3978" s="4" t="s">
        <v>1047</v>
      </c>
      <c r="F3978" s="4" t="s">
        <v>32</v>
      </c>
      <c r="G3978" s="4" t="s">
        <v>34</v>
      </c>
      <c r="H3978" s="5">
        <v>-650000</v>
      </c>
      <c r="I3978" s="4" t="s">
        <v>21</v>
      </c>
      <c r="J3978" s="5">
        <f t="shared" si="62"/>
        <v>2286700</v>
      </c>
      <c r="K3978" s="4" t="s">
        <v>30</v>
      </c>
      <c r="L3978" s="6">
        <v>3.5179999999999998</v>
      </c>
      <c r="M3978" s="6">
        <v>0.2843</v>
      </c>
      <c r="N3978" s="6">
        <v>3.5354000000000001</v>
      </c>
      <c r="O3978" s="6">
        <v>1</v>
      </c>
      <c r="P3978" s="5">
        <v>-11310</v>
      </c>
      <c r="Q3978" s="4" t="s">
        <v>1390</v>
      </c>
    </row>
    <row r="3979" spans="1:17" x14ac:dyDescent="0.3">
      <c r="A3979" s="2" t="s">
        <v>1389</v>
      </c>
      <c r="B3979" s="3">
        <v>159898</v>
      </c>
      <c r="C3979" s="3">
        <v>220894</v>
      </c>
      <c r="D3979" s="4" t="s">
        <v>17</v>
      </c>
      <c r="E3979" s="4" t="s">
        <v>1201</v>
      </c>
      <c r="F3979" s="4" t="s">
        <v>32</v>
      </c>
      <c r="G3979" s="4" t="s">
        <v>20</v>
      </c>
      <c r="H3979" s="5">
        <v>-1000000</v>
      </c>
      <c r="I3979" s="4" t="s">
        <v>21</v>
      </c>
      <c r="J3979" s="5">
        <f t="shared" si="62"/>
        <v>4206400</v>
      </c>
      <c r="K3979" s="4" t="s">
        <v>30</v>
      </c>
      <c r="L3979" s="6">
        <v>4.2064000000000004</v>
      </c>
      <c r="M3979" s="6">
        <v>0.23769999999999999</v>
      </c>
      <c r="N3979" s="6">
        <v>4.2031999999999998</v>
      </c>
      <c r="O3979" s="6">
        <v>1</v>
      </c>
      <c r="P3979" s="5">
        <v>2800</v>
      </c>
      <c r="Q3979" s="4" t="s">
        <v>1390</v>
      </c>
    </row>
    <row r="3980" spans="1:17" x14ac:dyDescent="0.3">
      <c r="A3980" s="2" t="s">
        <v>1389</v>
      </c>
      <c r="B3980" s="3">
        <v>159900</v>
      </c>
      <c r="C3980" s="3">
        <v>220897</v>
      </c>
      <c r="D3980" s="4" t="s">
        <v>17</v>
      </c>
      <c r="E3980" s="4" t="s">
        <v>1201</v>
      </c>
      <c r="F3980" s="4" t="s">
        <v>32</v>
      </c>
      <c r="G3980" s="4" t="s">
        <v>20</v>
      </c>
      <c r="H3980" s="5">
        <v>-1000000</v>
      </c>
      <c r="I3980" s="4" t="s">
        <v>21</v>
      </c>
      <c r="J3980" s="5">
        <f t="shared" si="62"/>
        <v>4197400</v>
      </c>
      <c r="K3980" s="4" t="s">
        <v>30</v>
      </c>
      <c r="L3980" s="6">
        <v>4.1974</v>
      </c>
      <c r="M3980" s="6">
        <v>0.2382</v>
      </c>
      <c r="N3980" s="6">
        <v>4.2031999999999998</v>
      </c>
      <c r="O3980" s="6">
        <v>1</v>
      </c>
      <c r="P3980" s="5">
        <v>-6200</v>
      </c>
      <c r="Q3980" s="4" t="s">
        <v>1390</v>
      </c>
    </row>
    <row r="3981" spans="1:17" x14ac:dyDescent="0.3">
      <c r="A3981" s="2" t="s">
        <v>1389</v>
      </c>
      <c r="B3981" s="3">
        <v>159901</v>
      </c>
      <c r="C3981" s="3">
        <v>220898</v>
      </c>
      <c r="D3981" s="4" t="s">
        <v>17</v>
      </c>
      <c r="E3981" s="4" t="s">
        <v>1201</v>
      </c>
      <c r="F3981" s="4" t="s">
        <v>32</v>
      </c>
      <c r="G3981" s="4" t="s">
        <v>20</v>
      </c>
      <c r="H3981" s="5">
        <v>-1000000</v>
      </c>
      <c r="I3981" s="4" t="s">
        <v>21</v>
      </c>
      <c r="J3981" s="5">
        <f t="shared" si="62"/>
        <v>4197400</v>
      </c>
      <c r="K3981" s="4" t="s">
        <v>30</v>
      </c>
      <c r="L3981" s="6">
        <v>4.1974</v>
      </c>
      <c r="M3981" s="6">
        <v>0.2382</v>
      </c>
      <c r="N3981" s="6">
        <v>4.2031999999999998</v>
      </c>
      <c r="O3981" s="6">
        <v>1</v>
      </c>
      <c r="P3981" s="5">
        <v>-6200</v>
      </c>
      <c r="Q3981" s="4" t="s">
        <v>1390</v>
      </c>
    </row>
    <row r="3982" spans="1:17" x14ac:dyDescent="0.3">
      <c r="A3982" s="2" t="s">
        <v>1389</v>
      </c>
      <c r="B3982" s="3">
        <v>159902</v>
      </c>
      <c r="C3982" s="3">
        <v>220899</v>
      </c>
      <c r="D3982" s="4" t="s">
        <v>17</v>
      </c>
      <c r="E3982" s="4" t="s">
        <v>1201</v>
      </c>
      <c r="F3982" s="4" t="s">
        <v>32</v>
      </c>
      <c r="G3982" s="4" t="s">
        <v>20</v>
      </c>
      <c r="H3982" s="5">
        <v>-1000000</v>
      </c>
      <c r="I3982" s="4" t="s">
        <v>21</v>
      </c>
      <c r="J3982" s="5">
        <f t="shared" si="62"/>
        <v>4197400</v>
      </c>
      <c r="K3982" s="4" t="s">
        <v>30</v>
      </c>
      <c r="L3982" s="6">
        <v>4.1974</v>
      </c>
      <c r="M3982" s="6">
        <v>0.2382</v>
      </c>
      <c r="N3982" s="6">
        <v>4.2031999999999998</v>
      </c>
      <c r="O3982" s="6">
        <v>1</v>
      </c>
      <c r="P3982" s="5">
        <v>-6200</v>
      </c>
      <c r="Q3982" s="4" t="s">
        <v>1390</v>
      </c>
    </row>
    <row r="3983" spans="1:17" x14ac:dyDescent="0.3">
      <c r="A3983" s="2" t="s">
        <v>1389</v>
      </c>
      <c r="B3983" s="3">
        <v>159903</v>
      </c>
      <c r="C3983" s="3">
        <v>220903</v>
      </c>
      <c r="D3983" s="4" t="s">
        <v>17</v>
      </c>
      <c r="E3983" s="4" t="s">
        <v>1234</v>
      </c>
      <c r="F3983" s="4" t="s">
        <v>19</v>
      </c>
      <c r="G3983" s="4" t="s">
        <v>20</v>
      </c>
      <c r="H3983" s="5">
        <v>72540.84</v>
      </c>
      <c r="I3983" s="4" t="s">
        <v>21</v>
      </c>
      <c r="J3983" s="5">
        <f t="shared" si="62"/>
        <v>-304200.01254000003</v>
      </c>
      <c r="K3983" s="4" t="s">
        <v>30</v>
      </c>
      <c r="L3983" s="6">
        <v>4.1935000000000002</v>
      </c>
      <c r="M3983" s="6">
        <v>0.23849999999999999</v>
      </c>
      <c r="N3983" s="6">
        <v>4.2031999999999998</v>
      </c>
      <c r="O3983" s="6">
        <v>1</v>
      </c>
      <c r="P3983" s="5">
        <v>703.64614799997071</v>
      </c>
      <c r="Q3983" s="4" t="s">
        <v>1390</v>
      </c>
    </row>
    <row r="3984" spans="1:17" x14ac:dyDescent="0.3">
      <c r="A3984" s="2" t="s">
        <v>1389</v>
      </c>
      <c r="B3984" s="3">
        <v>159904</v>
      </c>
      <c r="C3984" s="3">
        <v>220905</v>
      </c>
      <c r="D3984" s="4" t="s">
        <v>17</v>
      </c>
      <c r="E3984" s="4" t="s">
        <v>971</v>
      </c>
      <c r="F3984" s="4" t="s">
        <v>19</v>
      </c>
      <c r="G3984" s="4" t="s">
        <v>20</v>
      </c>
      <c r="H3984" s="5">
        <v>16000</v>
      </c>
      <c r="I3984" s="4" t="s">
        <v>21</v>
      </c>
      <c r="J3984" s="5">
        <f t="shared" si="62"/>
        <v>-67040</v>
      </c>
      <c r="K3984" s="4" t="s">
        <v>30</v>
      </c>
      <c r="L3984" s="6">
        <v>4.1900000000000004</v>
      </c>
      <c r="M3984" s="6">
        <v>0.2387</v>
      </c>
      <c r="N3984" s="6">
        <v>4.2031999999999998</v>
      </c>
      <c r="O3984" s="6">
        <v>1</v>
      </c>
      <c r="P3984" s="5">
        <v>211.19999999999709</v>
      </c>
      <c r="Q3984" s="4" t="s">
        <v>1390</v>
      </c>
    </row>
    <row r="3985" spans="1:17" x14ac:dyDescent="0.3">
      <c r="A3985" s="2" t="s">
        <v>1389</v>
      </c>
      <c r="B3985" s="3">
        <v>159905</v>
      </c>
      <c r="C3985" s="3">
        <v>220907</v>
      </c>
      <c r="D3985" s="4" t="s">
        <v>17</v>
      </c>
      <c r="E3985" s="4" t="s">
        <v>1368</v>
      </c>
      <c r="F3985" s="4" t="s">
        <v>19</v>
      </c>
      <c r="G3985" s="4" t="s">
        <v>91</v>
      </c>
      <c r="H3985" s="5">
        <v>24962.38</v>
      </c>
      <c r="I3985" s="4" t="s">
        <v>21</v>
      </c>
      <c r="J3985" s="5">
        <f t="shared" si="62"/>
        <v>-120323.664076</v>
      </c>
      <c r="K3985" s="4" t="s">
        <v>30</v>
      </c>
      <c r="L3985" s="6">
        <v>4.8201999999999998</v>
      </c>
      <c r="M3985" s="6">
        <v>0.20749999999999999</v>
      </c>
      <c r="N3985" s="6">
        <v>4.8432000000000004</v>
      </c>
      <c r="O3985" s="6">
        <v>1</v>
      </c>
      <c r="P3985" s="5">
        <v>574.13474000000861</v>
      </c>
      <c r="Q3985" s="4" t="s">
        <v>1390</v>
      </c>
    </row>
    <row r="3986" spans="1:17" x14ac:dyDescent="0.3">
      <c r="A3986" s="2" t="s">
        <v>1389</v>
      </c>
      <c r="B3986" s="3">
        <v>159906</v>
      </c>
      <c r="C3986" s="3">
        <v>913358</v>
      </c>
      <c r="D3986" s="4" t="s">
        <v>81</v>
      </c>
      <c r="E3986" s="4" t="s">
        <v>1077</v>
      </c>
      <c r="F3986" s="4" t="s">
        <v>87</v>
      </c>
      <c r="G3986" s="4" t="s">
        <v>20</v>
      </c>
      <c r="H3986" s="5">
        <v>25000</v>
      </c>
      <c r="I3986" s="4" t="s">
        <v>21</v>
      </c>
      <c r="J3986" s="5">
        <f t="shared" si="62"/>
        <v>-105012.5</v>
      </c>
      <c r="K3986" s="4" t="s">
        <v>27</v>
      </c>
      <c r="L3986" s="6">
        <v>4.2004999999999999</v>
      </c>
      <c r="M3986" s="6">
        <v>0.23810000000000001</v>
      </c>
      <c r="N3986" s="6">
        <v>4.2072000000000003</v>
      </c>
      <c r="O3986" s="6">
        <v>1</v>
      </c>
      <c r="P3986" s="5">
        <v>167.5</v>
      </c>
      <c r="Q3986" s="4" t="s">
        <v>1390</v>
      </c>
    </row>
    <row r="3987" spans="1:17" x14ac:dyDescent="0.3">
      <c r="A3987" s="2" t="s">
        <v>1389</v>
      </c>
      <c r="B3987" s="3">
        <v>159907</v>
      </c>
      <c r="C3987" s="3">
        <v>913359</v>
      </c>
      <c r="D3987" s="4" t="s">
        <v>81</v>
      </c>
      <c r="E3987" s="4" t="s">
        <v>1077</v>
      </c>
      <c r="F3987" s="4" t="s">
        <v>87</v>
      </c>
      <c r="G3987" s="4" t="s">
        <v>20</v>
      </c>
      <c r="H3987" s="5">
        <v>25000</v>
      </c>
      <c r="I3987" s="4" t="s">
        <v>21</v>
      </c>
      <c r="J3987" s="5">
        <f t="shared" si="62"/>
        <v>-105007.50000000001</v>
      </c>
      <c r="K3987" s="4" t="s">
        <v>27</v>
      </c>
      <c r="L3987" s="6">
        <v>4.2003000000000004</v>
      </c>
      <c r="M3987" s="6">
        <v>0.23810000000000001</v>
      </c>
      <c r="N3987" s="6">
        <v>4.2072000000000003</v>
      </c>
      <c r="O3987" s="6">
        <v>1</v>
      </c>
      <c r="P3987" s="5">
        <v>172.5</v>
      </c>
      <c r="Q3987" s="4" t="s">
        <v>1390</v>
      </c>
    </row>
    <row r="3988" spans="1:17" x14ac:dyDescent="0.3">
      <c r="A3988" s="2" t="s">
        <v>1389</v>
      </c>
      <c r="B3988" s="3">
        <v>159909</v>
      </c>
      <c r="C3988" s="3">
        <v>913360</v>
      </c>
      <c r="D3988" s="4" t="s">
        <v>81</v>
      </c>
      <c r="E3988" s="4" t="s">
        <v>1077</v>
      </c>
      <c r="F3988" s="4" t="s">
        <v>87</v>
      </c>
      <c r="G3988" s="4" t="s">
        <v>20</v>
      </c>
      <c r="H3988" s="5">
        <v>10000</v>
      </c>
      <c r="I3988" s="4" t="s">
        <v>21</v>
      </c>
      <c r="J3988" s="5">
        <f t="shared" si="62"/>
        <v>-42005</v>
      </c>
      <c r="K3988" s="4" t="s">
        <v>27</v>
      </c>
      <c r="L3988" s="6">
        <v>4.2004999999999999</v>
      </c>
      <c r="M3988" s="6">
        <v>0.23810000000000001</v>
      </c>
      <c r="N3988" s="6">
        <v>4.2072000000000003</v>
      </c>
      <c r="O3988" s="6">
        <v>1</v>
      </c>
      <c r="P3988" s="5">
        <v>67</v>
      </c>
      <c r="Q3988" s="4" t="s">
        <v>1390</v>
      </c>
    </row>
    <row r="3989" spans="1:17" x14ac:dyDescent="0.3">
      <c r="A3989" s="2" t="s">
        <v>1389</v>
      </c>
      <c r="B3989" s="3">
        <v>159911</v>
      </c>
      <c r="C3989" s="3">
        <v>220910</v>
      </c>
      <c r="D3989" s="4" t="s">
        <v>17</v>
      </c>
      <c r="E3989" s="4" t="s">
        <v>1008</v>
      </c>
      <c r="F3989" s="4" t="s">
        <v>32</v>
      </c>
      <c r="G3989" s="4" t="s">
        <v>20</v>
      </c>
      <c r="H3989" s="5">
        <v>-60000</v>
      </c>
      <c r="I3989" s="4" t="s">
        <v>21</v>
      </c>
      <c r="J3989" s="5">
        <f t="shared" si="62"/>
        <v>252480</v>
      </c>
      <c r="K3989" s="4" t="s">
        <v>30</v>
      </c>
      <c r="L3989" s="6">
        <v>4.2080000000000002</v>
      </c>
      <c r="M3989" s="6">
        <v>0.23760000000000001</v>
      </c>
      <c r="N3989" s="6">
        <v>4.2031999999999998</v>
      </c>
      <c r="O3989" s="6">
        <v>1</v>
      </c>
      <c r="P3989" s="5">
        <v>288</v>
      </c>
      <c r="Q3989" s="4" t="s">
        <v>1390</v>
      </c>
    </row>
    <row r="3990" spans="1:17" x14ac:dyDescent="0.3">
      <c r="A3990" s="2" t="s">
        <v>1389</v>
      </c>
      <c r="B3990" s="3">
        <v>159912</v>
      </c>
      <c r="C3990" s="3">
        <v>220913</v>
      </c>
      <c r="D3990" s="4" t="s">
        <v>17</v>
      </c>
      <c r="E3990" s="4" t="s">
        <v>796</v>
      </c>
      <c r="F3990" s="4" t="s">
        <v>19</v>
      </c>
      <c r="G3990" s="4" t="s">
        <v>20</v>
      </c>
      <c r="H3990" s="5">
        <v>50000</v>
      </c>
      <c r="I3990" s="4" t="s">
        <v>21</v>
      </c>
      <c r="J3990" s="5">
        <f t="shared" si="62"/>
        <v>-210045</v>
      </c>
      <c r="K3990" s="4" t="s">
        <v>30</v>
      </c>
      <c r="L3990" s="6">
        <v>4.2008999999999999</v>
      </c>
      <c r="M3990" s="6">
        <v>0.23799999999999999</v>
      </c>
      <c r="N3990" s="6">
        <v>4.2031999999999998</v>
      </c>
      <c r="O3990" s="6">
        <v>1</v>
      </c>
      <c r="P3990" s="5">
        <v>115</v>
      </c>
      <c r="Q3990" s="4" t="s">
        <v>1390</v>
      </c>
    </row>
    <row r="3991" spans="1:17" x14ac:dyDescent="0.3">
      <c r="A3991" s="2" t="s">
        <v>1389</v>
      </c>
      <c r="B3991" s="3">
        <v>159914</v>
      </c>
      <c r="C3991" s="3">
        <v>220917</v>
      </c>
      <c r="D3991" s="4" t="s">
        <v>17</v>
      </c>
      <c r="E3991" s="4" t="s">
        <v>850</v>
      </c>
      <c r="F3991" s="4" t="s">
        <v>32</v>
      </c>
      <c r="G3991" s="4" t="s">
        <v>34</v>
      </c>
      <c r="H3991" s="5">
        <v>-200000</v>
      </c>
      <c r="I3991" s="4" t="s">
        <v>21</v>
      </c>
      <c r="J3991" s="5">
        <f t="shared" si="62"/>
        <v>702400</v>
      </c>
      <c r="K3991" s="4" t="s">
        <v>30</v>
      </c>
      <c r="L3991" s="6">
        <v>3.512</v>
      </c>
      <c r="M3991" s="6">
        <v>0.28470000000000001</v>
      </c>
      <c r="N3991" s="6">
        <v>3.5354000000000001</v>
      </c>
      <c r="O3991" s="6">
        <v>1</v>
      </c>
      <c r="P3991" s="5">
        <v>-4680</v>
      </c>
      <c r="Q3991" s="4" t="s">
        <v>1390</v>
      </c>
    </row>
    <row r="3992" spans="1:17" x14ac:dyDescent="0.3">
      <c r="A3992" s="2" t="s">
        <v>1389</v>
      </c>
      <c r="B3992" s="3">
        <v>159915</v>
      </c>
      <c r="C3992" s="3">
        <v>220919</v>
      </c>
      <c r="D3992" s="4" t="s">
        <v>17</v>
      </c>
      <c r="E3992" s="4" t="s">
        <v>1143</v>
      </c>
      <c r="F3992" s="4" t="s">
        <v>32</v>
      </c>
      <c r="G3992" s="4" t="s">
        <v>20</v>
      </c>
      <c r="H3992" s="5">
        <v>-110000</v>
      </c>
      <c r="I3992" s="4" t="s">
        <v>21</v>
      </c>
      <c r="J3992" s="5">
        <f t="shared" si="62"/>
        <v>462913.00000000006</v>
      </c>
      <c r="K3992" s="4" t="s">
        <v>30</v>
      </c>
      <c r="L3992" s="6">
        <v>4.2083000000000004</v>
      </c>
      <c r="M3992" s="6">
        <v>0.23760000000000001</v>
      </c>
      <c r="N3992" s="6">
        <v>4.2031999999999998</v>
      </c>
      <c r="O3992" s="6">
        <v>1</v>
      </c>
      <c r="P3992" s="5">
        <v>517</v>
      </c>
      <c r="Q3992" s="4" t="s">
        <v>1390</v>
      </c>
    </row>
    <row r="3993" spans="1:17" x14ac:dyDescent="0.3">
      <c r="A3993" s="2" t="s">
        <v>1389</v>
      </c>
      <c r="B3993" s="3">
        <v>159917</v>
      </c>
      <c r="C3993" s="3">
        <v>913411</v>
      </c>
      <c r="D3993" s="4" t="s">
        <v>81</v>
      </c>
      <c r="E3993" s="4" t="s">
        <v>725</v>
      </c>
      <c r="F3993" s="4" t="s">
        <v>87</v>
      </c>
      <c r="G3993" s="4" t="s">
        <v>34</v>
      </c>
      <c r="H3993" s="5">
        <v>300000</v>
      </c>
      <c r="I3993" s="4" t="s">
        <v>74</v>
      </c>
      <c r="J3993" s="5">
        <f t="shared" si="62"/>
        <v>-2886030</v>
      </c>
      <c r="K3993" s="4" t="s">
        <v>27</v>
      </c>
      <c r="L3993" s="6">
        <v>9.6201000000000008</v>
      </c>
      <c r="M3993" s="6">
        <v>0.10390000000000001</v>
      </c>
      <c r="N3993" s="6">
        <v>3.5188999999999999</v>
      </c>
      <c r="O3993" s="6">
        <v>0.3674</v>
      </c>
      <c r="P3993" s="5">
        <v>-4654.1153999999997</v>
      </c>
      <c r="Q3993" s="4" t="s">
        <v>1392</v>
      </c>
    </row>
    <row r="3994" spans="1:17" x14ac:dyDescent="0.3">
      <c r="A3994" s="2" t="s">
        <v>1389</v>
      </c>
      <c r="B3994" s="3">
        <v>159939</v>
      </c>
      <c r="C3994" s="3">
        <v>220950</v>
      </c>
      <c r="D3994" s="4" t="s">
        <v>17</v>
      </c>
      <c r="E3994" s="4" t="s">
        <v>772</v>
      </c>
      <c r="F3994" s="4" t="s">
        <v>32</v>
      </c>
      <c r="G3994" s="4" t="s">
        <v>20</v>
      </c>
      <c r="H3994" s="5">
        <v>-4500</v>
      </c>
      <c r="I3994" s="4" t="s">
        <v>21</v>
      </c>
      <c r="J3994" s="5">
        <f t="shared" si="62"/>
        <v>18938.699999999997</v>
      </c>
      <c r="K3994" s="4" t="s">
        <v>30</v>
      </c>
      <c r="L3994" s="6">
        <v>4.2085999999999997</v>
      </c>
      <c r="M3994" s="6">
        <v>0.23760000000000001</v>
      </c>
      <c r="N3994" s="6">
        <v>4.2031999999999998</v>
      </c>
      <c r="O3994" s="6">
        <v>1</v>
      </c>
      <c r="P3994" s="5">
        <v>22.5</v>
      </c>
      <c r="Q3994" s="4" t="s">
        <v>1390</v>
      </c>
    </row>
    <row r="3995" spans="1:17" x14ac:dyDescent="0.3">
      <c r="A3995" s="2" t="s">
        <v>1389</v>
      </c>
      <c r="B3995" s="3">
        <v>159941</v>
      </c>
      <c r="C3995" s="3">
        <v>913499</v>
      </c>
      <c r="D3995" s="4" t="s">
        <v>81</v>
      </c>
      <c r="E3995" s="4" t="s">
        <v>732</v>
      </c>
      <c r="F3995" s="4" t="s">
        <v>83</v>
      </c>
      <c r="G3995" s="4" t="s">
        <v>20</v>
      </c>
      <c r="H3995" s="5">
        <v>-500000</v>
      </c>
      <c r="I3995" s="4" t="s">
        <v>21</v>
      </c>
      <c r="J3995" s="5">
        <f t="shared" si="62"/>
        <v>2101500</v>
      </c>
      <c r="K3995" s="4" t="s">
        <v>27</v>
      </c>
      <c r="L3995" s="6">
        <v>4.2030000000000003</v>
      </c>
      <c r="M3995" s="6">
        <v>0.2379</v>
      </c>
      <c r="N3995" s="6">
        <v>4.2072000000000003</v>
      </c>
      <c r="O3995" s="6">
        <v>1</v>
      </c>
      <c r="P3995" s="5">
        <v>-2100</v>
      </c>
      <c r="Q3995" s="4" t="s">
        <v>1394</v>
      </c>
    </row>
    <row r="3996" spans="1:17" x14ac:dyDescent="0.3">
      <c r="A3996" s="2" t="s">
        <v>1389</v>
      </c>
      <c r="B3996" s="3">
        <v>159945</v>
      </c>
      <c r="C3996" s="3">
        <v>220953</v>
      </c>
      <c r="D3996" s="4" t="s">
        <v>17</v>
      </c>
      <c r="E3996" s="4" t="s">
        <v>1192</v>
      </c>
      <c r="F3996" s="4" t="s">
        <v>19</v>
      </c>
      <c r="G3996" s="4" t="s">
        <v>20</v>
      </c>
      <c r="H3996" s="5">
        <v>400000</v>
      </c>
      <c r="I3996" s="4" t="s">
        <v>21</v>
      </c>
      <c r="J3996" s="5">
        <f t="shared" si="62"/>
        <v>-1680640</v>
      </c>
      <c r="K3996" s="4" t="s">
        <v>30</v>
      </c>
      <c r="L3996" s="6">
        <v>4.2016</v>
      </c>
      <c r="M3996" s="6">
        <v>0.23799999999999999</v>
      </c>
      <c r="N3996" s="6">
        <v>4.2031999999999998</v>
      </c>
      <c r="O3996" s="6">
        <v>1</v>
      </c>
      <c r="P3996" s="5">
        <v>640</v>
      </c>
      <c r="Q3996" s="4" t="s">
        <v>1390</v>
      </c>
    </row>
    <row r="3997" spans="1:17" x14ac:dyDescent="0.3">
      <c r="A3997" s="2" t="s">
        <v>1389</v>
      </c>
      <c r="B3997" s="3">
        <v>159949</v>
      </c>
      <c r="C3997" s="3">
        <v>913521</v>
      </c>
      <c r="D3997" s="4" t="s">
        <v>81</v>
      </c>
      <c r="E3997" s="4" t="s">
        <v>742</v>
      </c>
      <c r="F3997" s="4" t="s">
        <v>83</v>
      </c>
      <c r="G3997" s="4" t="s">
        <v>20</v>
      </c>
      <c r="H3997" s="5">
        <v>-500000</v>
      </c>
      <c r="I3997" s="4" t="s">
        <v>21</v>
      </c>
      <c r="J3997" s="5">
        <f t="shared" si="62"/>
        <v>2101800</v>
      </c>
      <c r="K3997" s="4" t="s">
        <v>27</v>
      </c>
      <c r="L3997" s="6">
        <v>4.2035999999999998</v>
      </c>
      <c r="M3997" s="6">
        <v>0.2379</v>
      </c>
      <c r="N3997" s="6">
        <v>4.2072000000000003</v>
      </c>
      <c r="O3997" s="6">
        <v>1</v>
      </c>
      <c r="P3997" s="5">
        <v>-1800</v>
      </c>
      <c r="Q3997" s="4" t="s">
        <v>1396</v>
      </c>
    </row>
    <row r="3998" spans="1:17" x14ac:dyDescent="0.3">
      <c r="A3998" s="2" t="s">
        <v>1389</v>
      </c>
      <c r="B3998" s="3">
        <v>159984</v>
      </c>
      <c r="C3998" s="3">
        <v>913646</v>
      </c>
      <c r="D3998" s="4" t="s">
        <v>81</v>
      </c>
      <c r="E3998" s="4" t="s">
        <v>742</v>
      </c>
      <c r="F3998" s="4" t="s">
        <v>83</v>
      </c>
      <c r="G3998" s="4" t="s">
        <v>20</v>
      </c>
      <c r="H3998" s="5">
        <v>-500000</v>
      </c>
      <c r="I3998" s="4" t="s">
        <v>21</v>
      </c>
      <c r="J3998" s="5">
        <f t="shared" si="62"/>
        <v>2102000</v>
      </c>
      <c r="K3998" s="4" t="s">
        <v>27</v>
      </c>
      <c r="L3998" s="6">
        <v>4.2039999999999997</v>
      </c>
      <c r="M3998" s="6">
        <v>0.2379</v>
      </c>
      <c r="N3998" s="6">
        <v>4.2072000000000003</v>
      </c>
      <c r="O3998" s="6">
        <v>1</v>
      </c>
      <c r="P3998" s="5">
        <v>-1600</v>
      </c>
      <c r="Q3998" s="4" t="s">
        <v>1396</v>
      </c>
    </row>
    <row r="3999" spans="1:17" x14ac:dyDescent="0.3">
      <c r="A3999" s="2" t="s">
        <v>1389</v>
      </c>
      <c r="B3999" s="3">
        <v>159985</v>
      </c>
      <c r="C3999" s="3">
        <v>913647</v>
      </c>
      <c r="D3999" s="4" t="s">
        <v>81</v>
      </c>
      <c r="E3999" s="4" t="s">
        <v>739</v>
      </c>
      <c r="F3999" s="4" t="s">
        <v>87</v>
      </c>
      <c r="G3999" s="4" t="s">
        <v>20</v>
      </c>
      <c r="H3999" s="5">
        <v>100000</v>
      </c>
      <c r="I3999" s="4" t="s">
        <v>91</v>
      </c>
      <c r="J3999" s="5">
        <f t="shared" si="62"/>
        <v>-86850</v>
      </c>
      <c r="K3999" s="4" t="s">
        <v>27</v>
      </c>
      <c r="L3999" s="6">
        <v>0.86850000000000005</v>
      </c>
      <c r="M3999" s="6">
        <v>1.1514</v>
      </c>
      <c r="N3999" s="6">
        <v>4.2072000000000003</v>
      </c>
      <c r="O3999" s="6">
        <v>4.8574000000000002</v>
      </c>
      <c r="P3999" s="5">
        <v>-1159.7621999999999</v>
      </c>
      <c r="Q3999" s="4" t="s">
        <v>1391</v>
      </c>
    </row>
    <row r="4000" spans="1:17" x14ac:dyDescent="0.3">
      <c r="A4000" s="2" t="s">
        <v>1389</v>
      </c>
      <c r="B4000" s="3">
        <v>159995</v>
      </c>
      <c r="C4000" s="3">
        <v>913669</v>
      </c>
      <c r="D4000" s="4" t="s">
        <v>81</v>
      </c>
      <c r="E4000" s="4" t="s">
        <v>742</v>
      </c>
      <c r="F4000" s="4" t="s">
        <v>83</v>
      </c>
      <c r="G4000" s="4" t="s">
        <v>20</v>
      </c>
      <c r="H4000" s="5">
        <v>-500000</v>
      </c>
      <c r="I4000" s="4" t="s">
        <v>21</v>
      </c>
      <c r="J4000" s="5">
        <f t="shared" si="62"/>
        <v>2102100</v>
      </c>
      <c r="K4000" s="4" t="s">
        <v>27</v>
      </c>
      <c r="L4000" s="6">
        <v>4.2042000000000002</v>
      </c>
      <c r="M4000" s="6">
        <v>0.2379</v>
      </c>
      <c r="N4000" s="6">
        <v>4.2072000000000003</v>
      </c>
      <c r="O4000" s="6">
        <v>1</v>
      </c>
      <c r="P4000" s="5">
        <v>-1500</v>
      </c>
      <c r="Q4000" s="4" t="s">
        <v>1396</v>
      </c>
    </row>
    <row r="4001" spans="1:17" x14ac:dyDescent="0.3">
      <c r="A4001" s="2" t="s">
        <v>1389</v>
      </c>
      <c r="B4001" s="3">
        <v>159996</v>
      </c>
      <c r="C4001" s="3">
        <v>221002</v>
      </c>
      <c r="D4001" s="4" t="s">
        <v>17</v>
      </c>
      <c r="E4001" s="4" t="s">
        <v>866</v>
      </c>
      <c r="F4001" s="4" t="s">
        <v>19</v>
      </c>
      <c r="G4001" s="4" t="s">
        <v>20</v>
      </c>
      <c r="H4001" s="5">
        <v>5891.86</v>
      </c>
      <c r="I4001" s="4" t="s">
        <v>21</v>
      </c>
      <c r="J4001" s="5">
        <f t="shared" si="62"/>
        <v>-24689.839329999999</v>
      </c>
      <c r="K4001" s="4" t="s">
        <v>30</v>
      </c>
      <c r="L4001" s="6">
        <v>4.1905000000000001</v>
      </c>
      <c r="M4001" s="6">
        <v>0.23860000000000001</v>
      </c>
      <c r="N4001" s="6">
        <v>4.2031999999999998</v>
      </c>
      <c r="O4001" s="6">
        <v>1</v>
      </c>
      <c r="P4001" s="5">
        <v>74.826622000000498</v>
      </c>
      <c r="Q4001" s="4" t="s">
        <v>1390</v>
      </c>
    </row>
    <row r="4002" spans="1:17" x14ac:dyDescent="0.3">
      <c r="A4002" s="2" t="s">
        <v>1389</v>
      </c>
      <c r="B4002" s="3">
        <v>159997</v>
      </c>
      <c r="C4002" s="3">
        <v>913673</v>
      </c>
      <c r="D4002" s="4" t="s">
        <v>81</v>
      </c>
      <c r="E4002" s="4" t="s">
        <v>726</v>
      </c>
      <c r="F4002" s="4" t="s">
        <v>83</v>
      </c>
      <c r="G4002" s="4" t="s">
        <v>20</v>
      </c>
      <c r="H4002" s="5">
        <v>-500000</v>
      </c>
      <c r="I4002" s="4" t="s">
        <v>21</v>
      </c>
      <c r="J4002" s="5">
        <f t="shared" si="62"/>
        <v>2102600</v>
      </c>
      <c r="K4002" s="4" t="s">
        <v>27</v>
      </c>
      <c r="L4002" s="6">
        <v>4.2051999999999996</v>
      </c>
      <c r="M4002" s="6">
        <v>0.23780000000000001</v>
      </c>
      <c r="N4002" s="6">
        <v>4.2072000000000003</v>
      </c>
      <c r="O4002" s="6">
        <v>1</v>
      </c>
      <c r="P4002" s="5">
        <v>-985</v>
      </c>
      <c r="Q4002" s="4" t="s">
        <v>1390</v>
      </c>
    </row>
    <row r="4003" spans="1:17" x14ac:dyDescent="0.3">
      <c r="A4003" s="2" t="s">
        <v>1389</v>
      </c>
      <c r="B4003" s="3">
        <v>159998</v>
      </c>
      <c r="C4003" s="3">
        <v>221004</v>
      </c>
      <c r="D4003" s="4" t="s">
        <v>17</v>
      </c>
      <c r="E4003" s="4" t="s">
        <v>1056</v>
      </c>
      <c r="F4003" s="4" t="s">
        <v>32</v>
      </c>
      <c r="G4003" s="4" t="s">
        <v>20</v>
      </c>
      <c r="H4003" s="5">
        <v>-1589.48</v>
      </c>
      <c r="I4003" s="4" t="s">
        <v>21</v>
      </c>
      <c r="J4003" s="5">
        <f t="shared" si="62"/>
        <v>6720.3214399999997</v>
      </c>
      <c r="K4003" s="4" t="s">
        <v>30</v>
      </c>
      <c r="L4003" s="6">
        <v>4.2279999999999998</v>
      </c>
      <c r="M4003" s="6">
        <v>0.23649999999999999</v>
      </c>
      <c r="N4003" s="6">
        <v>4.2031999999999998</v>
      </c>
      <c r="O4003" s="6">
        <v>1</v>
      </c>
      <c r="P4003" s="5">
        <v>39.417664000000002</v>
      </c>
      <c r="Q4003" s="4" t="s">
        <v>1390</v>
      </c>
    </row>
    <row r="4004" spans="1:17" x14ac:dyDescent="0.3">
      <c r="A4004" s="2" t="s">
        <v>1389</v>
      </c>
      <c r="B4004" s="3">
        <v>159999</v>
      </c>
      <c r="C4004" s="3">
        <v>913684</v>
      </c>
      <c r="D4004" s="4" t="s">
        <v>81</v>
      </c>
      <c r="E4004" s="4" t="s">
        <v>726</v>
      </c>
      <c r="F4004" s="4" t="s">
        <v>83</v>
      </c>
      <c r="G4004" s="4" t="s">
        <v>20</v>
      </c>
      <c r="H4004" s="5">
        <v>-500000</v>
      </c>
      <c r="I4004" s="4" t="s">
        <v>21</v>
      </c>
      <c r="J4004" s="5">
        <f t="shared" si="62"/>
        <v>2102550</v>
      </c>
      <c r="K4004" s="4" t="s">
        <v>27</v>
      </c>
      <c r="L4004" s="6">
        <v>4.2050999999999998</v>
      </c>
      <c r="M4004" s="6">
        <v>0.23780000000000001</v>
      </c>
      <c r="N4004" s="6">
        <v>4.2072000000000003</v>
      </c>
      <c r="O4004" s="6">
        <v>1</v>
      </c>
      <c r="P4004" s="5">
        <v>-1025</v>
      </c>
      <c r="Q4004" s="4" t="s">
        <v>1390</v>
      </c>
    </row>
    <row r="4005" spans="1:17" x14ac:dyDescent="0.3">
      <c r="A4005" s="2" t="s">
        <v>1389</v>
      </c>
      <c r="B4005" s="3">
        <v>160000</v>
      </c>
      <c r="C4005" s="3">
        <v>221006</v>
      </c>
      <c r="D4005" s="4" t="s">
        <v>17</v>
      </c>
      <c r="E4005" s="4" t="s">
        <v>1028</v>
      </c>
      <c r="F4005" s="4" t="s">
        <v>19</v>
      </c>
      <c r="G4005" s="4" t="s">
        <v>20</v>
      </c>
      <c r="H4005" s="5">
        <v>6000</v>
      </c>
      <c r="I4005" s="4" t="s">
        <v>21</v>
      </c>
      <c r="J4005" s="5">
        <f t="shared" si="62"/>
        <v>-25218</v>
      </c>
      <c r="K4005" s="4" t="s">
        <v>30</v>
      </c>
      <c r="L4005" s="6">
        <v>4.2030000000000003</v>
      </c>
      <c r="M4005" s="6">
        <v>0.2379</v>
      </c>
      <c r="N4005" s="6">
        <v>4.2031999999999998</v>
      </c>
      <c r="O4005" s="6">
        <v>1</v>
      </c>
      <c r="P4005" s="5">
        <v>1.2000000000007276</v>
      </c>
      <c r="Q4005" s="4" t="s">
        <v>1390</v>
      </c>
    </row>
    <row r="4006" spans="1:17" x14ac:dyDescent="0.3">
      <c r="A4006" s="2" t="s">
        <v>1389</v>
      </c>
      <c r="B4006" s="3">
        <v>160001</v>
      </c>
      <c r="C4006" s="3">
        <v>221007</v>
      </c>
      <c r="D4006" s="4" t="s">
        <v>17</v>
      </c>
      <c r="E4006" s="4" t="s">
        <v>951</v>
      </c>
      <c r="F4006" s="4" t="s">
        <v>32</v>
      </c>
      <c r="G4006" s="4" t="s">
        <v>20</v>
      </c>
      <c r="H4006" s="5">
        <v>-23600</v>
      </c>
      <c r="I4006" s="4" t="s">
        <v>21</v>
      </c>
      <c r="J4006" s="5">
        <f t="shared" si="62"/>
        <v>99306.440000000017</v>
      </c>
      <c r="K4006" s="4" t="s">
        <v>30</v>
      </c>
      <c r="L4006" s="6">
        <v>4.2079000000000004</v>
      </c>
      <c r="M4006" s="6">
        <v>0.23760000000000001</v>
      </c>
      <c r="N4006" s="6">
        <v>4.2031999999999998</v>
      </c>
      <c r="O4006" s="6">
        <v>1</v>
      </c>
      <c r="P4006" s="5">
        <v>101.48</v>
      </c>
      <c r="Q4006" s="4" t="s">
        <v>1390</v>
      </c>
    </row>
    <row r="4007" spans="1:17" x14ac:dyDescent="0.3">
      <c r="A4007" s="2" t="s">
        <v>1389</v>
      </c>
      <c r="B4007" s="3">
        <v>160003</v>
      </c>
      <c r="C4007" s="3">
        <v>913707</v>
      </c>
      <c r="D4007" s="4" t="s">
        <v>81</v>
      </c>
      <c r="E4007" s="4" t="s">
        <v>739</v>
      </c>
      <c r="F4007" s="4" t="s">
        <v>83</v>
      </c>
      <c r="G4007" s="4" t="s">
        <v>20</v>
      </c>
      <c r="H4007" s="5">
        <v>-100000</v>
      </c>
      <c r="I4007" s="4" t="s">
        <v>91</v>
      </c>
      <c r="J4007" s="5">
        <f t="shared" si="62"/>
        <v>86820</v>
      </c>
      <c r="K4007" s="4" t="s">
        <v>27</v>
      </c>
      <c r="L4007" s="6">
        <v>0.86819999999999997</v>
      </c>
      <c r="M4007" s="6">
        <v>1.1518999999999999</v>
      </c>
      <c r="N4007" s="6">
        <v>4.2072000000000003</v>
      </c>
      <c r="O4007" s="6">
        <v>4.8574000000000002</v>
      </c>
      <c r="P4007" s="5">
        <v>980.03840000000002</v>
      </c>
      <c r="Q4007" s="4" t="s">
        <v>1391</v>
      </c>
    </row>
    <row r="4008" spans="1:17" x14ac:dyDescent="0.3">
      <c r="A4008" s="2" t="s">
        <v>1389</v>
      </c>
      <c r="B4008" s="3">
        <v>160004</v>
      </c>
      <c r="C4008" s="3">
        <v>913708</v>
      </c>
      <c r="D4008" s="4" t="s">
        <v>81</v>
      </c>
      <c r="E4008" s="4" t="s">
        <v>732</v>
      </c>
      <c r="F4008" s="4" t="s">
        <v>87</v>
      </c>
      <c r="G4008" s="4" t="s">
        <v>20</v>
      </c>
      <c r="H4008" s="5">
        <v>500000</v>
      </c>
      <c r="I4008" s="4" t="s">
        <v>21</v>
      </c>
      <c r="J4008" s="5">
        <f t="shared" si="62"/>
        <v>-2102600</v>
      </c>
      <c r="K4008" s="4" t="s">
        <v>27</v>
      </c>
      <c r="L4008" s="6">
        <v>4.2051999999999996</v>
      </c>
      <c r="M4008" s="6">
        <v>0.23780000000000001</v>
      </c>
      <c r="N4008" s="6">
        <v>4.2072000000000003</v>
      </c>
      <c r="O4008" s="6">
        <v>1</v>
      </c>
      <c r="P4008" s="5">
        <v>1010</v>
      </c>
      <c r="Q4008" s="4" t="s">
        <v>1394</v>
      </c>
    </row>
    <row r="4009" spans="1:17" x14ac:dyDescent="0.3">
      <c r="A4009" s="2" t="s">
        <v>1389</v>
      </c>
      <c r="B4009" s="3">
        <v>160005</v>
      </c>
      <c r="C4009" s="3">
        <v>913709</v>
      </c>
      <c r="D4009" s="4" t="s">
        <v>81</v>
      </c>
      <c r="E4009" s="4" t="s">
        <v>732</v>
      </c>
      <c r="F4009" s="4" t="s">
        <v>87</v>
      </c>
      <c r="G4009" s="4" t="s">
        <v>20</v>
      </c>
      <c r="H4009" s="5">
        <v>500000</v>
      </c>
      <c r="I4009" s="4" t="s">
        <v>21</v>
      </c>
      <c r="J4009" s="5">
        <f t="shared" si="62"/>
        <v>-2102200</v>
      </c>
      <c r="K4009" s="4" t="s">
        <v>27</v>
      </c>
      <c r="L4009" s="6">
        <v>4.2043999999999997</v>
      </c>
      <c r="M4009" s="6">
        <v>0.23780000000000001</v>
      </c>
      <c r="N4009" s="6">
        <v>4.2072000000000003</v>
      </c>
      <c r="O4009" s="6">
        <v>1</v>
      </c>
      <c r="P4009" s="5">
        <v>1390</v>
      </c>
      <c r="Q4009" s="4" t="s">
        <v>1394</v>
      </c>
    </row>
    <row r="4010" spans="1:17" x14ac:dyDescent="0.3">
      <c r="A4010" s="2" t="s">
        <v>1389</v>
      </c>
      <c r="B4010" s="3">
        <v>160006</v>
      </c>
      <c r="C4010" s="3">
        <v>913710</v>
      </c>
      <c r="D4010" s="4" t="s">
        <v>81</v>
      </c>
      <c r="E4010" s="4" t="s">
        <v>733</v>
      </c>
      <c r="F4010" s="4" t="s">
        <v>87</v>
      </c>
      <c r="G4010" s="4" t="s">
        <v>20</v>
      </c>
      <c r="H4010" s="5">
        <v>500000</v>
      </c>
      <c r="I4010" s="4" t="s">
        <v>21</v>
      </c>
      <c r="J4010" s="5">
        <f t="shared" si="62"/>
        <v>-2101750</v>
      </c>
      <c r="K4010" s="4" t="s">
        <v>27</v>
      </c>
      <c r="L4010" s="6">
        <v>4.2035</v>
      </c>
      <c r="M4010" s="6">
        <v>0.2379</v>
      </c>
      <c r="N4010" s="6">
        <v>4.2072000000000003</v>
      </c>
      <c r="O4010" s="6">
        <v>1</v>
      </c>
      <c r="P4010" s="5">
        <v>1840</v>
      </c>
      <c r="Q4010" s="4" t="s">
        <v>1391</v>
      </c>
    </row>
    <row r="4011" spans="1:17" x14ac:dyDescent="0.3">
      <c r="A4011" s="2" t="s">
        <v>1389</v>
      </c>
      <c r="B4011" s="3">
        <v>160007</v>
      </c>
      <c r="C4011" s="3">
        <v>221012</v>
      </c>
      <c r="D4011" s="4" t="s">
        <v>17</v>
      </c>
      <c r="E4011" s="4" t="s">
        <v>879</v>
      </c>
      <c r="F4011" s="4" t="s">
        <v>32</v>
      </c>
      <c r="G4011" s="4" t="s">
        <v>20</v>
      </c>
      <c r="H4011" s="5">
        <v>-250000</v>
      </c>
      <c r="I4011" s="4" t="s">
        <v>21</v>
      </c>
      <c r="J4011" s="5">
        <f t="shared" si="62"/>
        <v>1076250</v>
      </c>
      <c r="K4011" s="4" t="s">
        <v>30</v>
      </c>
      <c r="L4011" s="6">
        <v>4.3049999999999997</v>
      </c>
      <c r="M4011" s="6">
        <v>0.23230000000000001</v>
      </c>
      <c r="N4011" s="6">
        <v>4.2031999999999998</v>
      </c>
      <c r="O4011" s="6">
        <v>1</v>
      </c>
      <c r="P4011" s="5">
        <v>25450</v>
      </c>
      <c r="Q4011" s="4" t="s">
        <v>1390</v>
      </c>
    </row>
    <row r="4012" spans="1:17" x14ac:dyDescent="0.3">
      <c r="A4012" s="2" t="s">
        <v>1389</v>
      </c>
      <c r="B4012" s="3">
        <v>160009</v>
      </c>
      <c r="C4012" s="3">
        <v>913717</v>
      </c>
      <c r="D4012" s="4" t="s">
        <v>81</v>
      </c>
      <c r="E4012" s="4" t="s">
        <v>1155</v>
      </c>
      <c r="F4012" s="4" t="s">
        <v>83</v>
      </c>
      <c r="G4012" s="4" t="s">
        <v>20</v>
      </c>
      <c r="H4012" s="5">
        <v>-55000</v>
      </c>
      <c r="I4012" s="4" t="s">
        <v>74</v>
      </c>
      <c r="J4012" s="5">
        <f t="shared" si="62"/>
        <v>632830</v>
      </c>
      <c r="K4012" s="4" t="s">
        <v>27</v>
      </c>
      <c r="L4012" s="6">
        <v>11.506</v>
      </c>
      <c r="M4012" s="6">
        <v>8.6900000000000005E-2</v>
      </c>
      <c r="N4012" s="6">
        <v>4.2072000000000003</v>
      </c>
      <c r="O4012" s="6">
        <v>0.3674</v>
      </c>
      <c r="P4012" s="5">
        <v>1105.742</v>
      </c>
      <c r="Q4012" s="4" t="s">
        <v>1390</v>
      </c>
    </row>
    <row r="4013" spans="1:17" x14ac:dyDescent="0.3">
      <c r="A4013" s="2" t="s">
        <v>1389</v>
      </c>
      <c r="B4013" s="3">
        <v>160010</v>
      </c>
      <c r="C4013" s="3">
        <v>913719</v>
      </c>
      <c r="D4013" s="4" t="s">
        <v>81</v>
      </c>
      <c r="E4013" s="4" t="s">
        <v>734</v>
      </c>
      <c r="F4013" s="4" t="s">
        <v>87</v>
      </c>
      <c r="G4013" s="4" t="s">
        <v>20</v>
      </c>
      <c r="H4013" s="5">
        <v>500000</v>
      </c>
      <c r="I4013" s="4" t="s">
        <v>21</v>
      </c>
      <c r="J4013" s="5">
        <f t="shared" si="62"/>
        <v>-2101650</v>
      </c>
      <c r="K4013" s="4" t="s">
        <v>27</v>
      </c>
      <c r="L4013" s="6">
        <v>4.2032999999999996</v>
      </c>
      <c r="M4013" s="6">
        <v>0.2379</v>
      </c>
      <c r="N4013" s="6">
        <v>4.2072000000000003</v>
      </c>
      <c r="O4013" s="6">
        <v>1</v>
      </c>
      <c r="P4013" s="5">
        <v>1950</v>
      </c>
      <c r="Q4013" s="4" t="s">
        <v>1393</v>
      </c>
    </row>
    <row r="4014" spans="1:17" x14ac:dyDescent="0.3">
      <c r="A4014" s="2" t="s">
        <v>1389</v>
      </c>
      <c r="B4014" s="3">
        <v>160011</v>
      </c>
      <c r="C4014" s="3">
        <v>221017</v>
      </c>
      <c r="D4014" s="4" t="s">
        <v>17</v>
      </c>
      <c r="E4014" s="4" t="s">
        <v>790</v>
      </c>
      <c r="F4014" s="4" t="s">
        <v>32</v>
      </c>
      <c r="G4014" s="4" t="s">
        <v>20</v>
      </c>
      <c r="H4014" s="5">
        <v>-233012.56</v>
      </c>
      <c r="I4014" s="4" t="s">
        <v>21</v>
      </c>
      <c r="J4014" s="5">
        <f t="shared" si="62"/>
        <v>982613.96551999985</v>
      </c>
      <c r="K4014" s="4" t="s">
        <v>30</v>
      </c>
      <c r="L4014" s="6">
        <v>4.2169999999999996</v>
      </c>
      <c r="M4014" s="6">
        <v>0.23710000000000001</v>
      </c>
      <c r="N4014" s="6">
        <v>4.2031999999999998</v>
      </c>
      <c r="O4014" s="6">
        <v>1</v>
      </c>
      <c r="P4014" s="5">
        <v>3215.577808</v>
      </c>
      <c r="Q4014" s="4" t="s">
        <v>1390</v>
      </c>
    </row>
    <row r="4015" spans="1:17" x14ac:dyDescent="0.3">
      <c r="A4015" s="2" t="s">
        <v>1389</v>
      </c>
      <c r="B4015" s="3">
        <v>160012</v>
      </c>
      <c r="C4015" s="3">
        <v>221023</v>
      </c>
      <c r="D4015" s="4" t="s">
        <v>17</v>
      </c>
      <c r="E4015" s="4" t="s">
        <v>1021</v>
      </c>
      <c r="F4015" s="4" t="s">
        <v>32</v>
      </c>
      <c r="G4015" s="4" t="s">
        <v>20</v>
      </c>
      <c r="H4015" s="5">
        <v>-18000</v>
      </c>
      <c r="I4015" s="4" t="s">
        <v>21</v>
      </c>
      <c r="J4015" s="5">
        <f t="shared" si="62"/>
        <v>77544</v>
      </c>
      <c r="K4015" s="4" t="s">
        <v>30</v>
      </c>
      <c r="L4015" s="6">
        <v>4.3079999999999998</v>
      </c>
      <c r="M4015" s="6">
        <v>0.2321</v>
      </c>
      <c r="N4015" s="6">
        <v>4.2031999999999998</v>
      </c>
      <c r="O4015" s="6">
        <v>1</v>
      </c>
      <c r="P4015" s="5">
        <v>1886.4</v>
      </c>
      <c r="Q4015" s="4" t="s">
        <v>1390</v>
      </c>
    </row>
    <row r="4016" spans="1:17" x14ac:dyDescent="0.3">
      <c r="A4016" s="2" t="s">
        <v>1389</v>
      </c>
      <c r="B4016" s="3">
        <v>160014</v>
      </c>
      <c r="C4016" s="3">
        <v>221024</v>
      </c>
      <c r="D4016" s="4" t="s">
        <v>17</v>
      </c>
      <c r="E4016" s="4" t="s">
        <v>786</v>
      </c>
      <c r="F4016" s="4" t="s">
        <v>19</v>
      </c>
      <c r="G4016" s="4" t="s">
        <v>20</v>
      </c>
      <c r="H4016" s="5">
        <v>45000</v>
      </c>
      <c r="I4016" s="4" t="s">
        <v>21</v>
      </c>
      <c r="J4016" s="5">
        <f t="shared" si="62"/>
        <v>-189175.5</v>
      </c>
      <c r="K4016" s="4" t="s">
        <v>30</v>
      </c>
      <c r="L4016" s="6">
        <v>4.2039</v>
      </c>
      <c r="M4016" s="6">
        <v>0.2379</v>
      </c>
      <c r="N4016" s="6">
        <v>4.2031999999999998</v>
      </c>
      <c r="O4016" s="6">
        <v>1</v>
      </c>
      <c r="P4016" s="5">
        <v>-31.5</v>
      </c>
      <c r="Q4016" s="4" t="s">
        <v>1390</v>
      </c>
    </row>
    <row r="4017" spans="1:17" x14ac:dyDescent="0.3">
      <c r="A4017" s="2" t="s">
        <v>1389</v>
      </c>
      <c r="B4017" s="3">
        <v>160016</v>
      </c>
      <c r="C4017" s="3">
        <v>913790</v>
      </c>
      <c r="D4017" s="4" t="s">
        <v>81</v>
      </c>
      <c r="E4017" s="4" t="s">
        <v>732</v>
      </c>
      <c r="F4017" s="4" t="s">
        <v>83</v>
      </c>
      <c r="G4017" s="4" t="s">
        <v>20</v>
      </c>
      <c r="H4017" s="5">
        <v>-500000</v>
      </c>
      <c r="I4017" s="4" t="s">
        <v>21</v>
      </c>
      <c r="J4017" s="5">
        <f t="shared" si="62"/>
        <v>2103050</v>
      </c>
      <c r="K4017" s="4" t="s">
        <v>27</v>
      </c>
      <c r="L4017" s="6">
        <v>4.2061000000000002</v>
      </c>
      <c r="M4017" s="6">
        <v>0.23769999999999999</v>
      </c>
      <c r="N4017" s="6">
        <v>4.2072000000000003</v>
      </c>
      <c r="O4017" s="6">
        <v>1</v>
      </c>
      <c r="P4017" s="5">
        <v>-550</v>
      </c>
      <c r="Q4017" s="4" t="s">
        <v>1394</v>
      </c>
    </row>
    <row r="4018" spans="1:17" x14ac:dyDescent="0.3">
      <c r="A4018" s="2" t="s">
        <v>1389</v>
      </c>
      <c r="B4018" s="3">
        <v>160021</v>
      </c>
      <c r="C4018" s="3">
        <v>221026</v>
      </c>
      <c r="D4018" s="4" t="s">
        <v>17</v>
      </c>
      <c r="E4018" s="4" t="s">
        <v>1138</v>
      </c>
      <c r="F4018" s="4" t="s">
        <v>19</v>
      </c>
      <c r="G4018" s="4" t="s">
        <v>20</v>
      </c>
      <c r="H4018" s="5">
        <v>78187</v>
      </c>
      <c r="I4018" s="4" t="s">
        <v>34</v>
      </c>
      <c r="J4018" s="5">
        <f t="shared" si="62"/>
        <v>-93488.195900000006</v>
      </c>
      <c r="K4018" s="4" t="s">
        <v>30</v>
      </c>
      <c r="L4018" s="6">
        <v>1.1957</v>
      </c>
      <c r="M4018" s="6">
        <v>0.83630000000000004</v>
      </c>
      <c r="N4018" s="6">
        <v>4.2031999999999998</v>
      </c>
      <c r="O4018" s="6">
        <v>3.5354000000000001</v>
      </c>
      <c r="P4018" s="5">
        <v>-1882.5693848600495</v>
      </c>
      <c r="Q4018" s="4" t="s">
        <v>1390</v>
      </c>
    </row>
    <row r="4019" spans="1:17" x14ac:dyDescent="0.3">
      <c r="A4019" s="2" t="s">
        <v>1389</v>
      </c>
      <c r="B4019" s="3">
        <v>160023</v>
      </c>
      <c r="C4019" s="3">
        <v>221029</v>
      </c>
      <c r="D4019" s="4" t="s">
        <v>17</v>
      </c>
      <c r="E4019" s="4" t="s">
        <v>1066</v>
      </c>
      <c r="F4019" s="4" t="s">
        <v>32</v>
      </c>
      <c r="G4019" s="4" t="s">
        <v>20</v>
      </c>
      <c r="H4019" s="5">
        <v>-12000</v>
      </c>
      <c r="I4019" s="4" t="s">
        <v>21</v>
      </c>
      <c r="J4019" s="5">
        <f t="shared" si="62"/>
        <v>50525.999999999993</v>
      </c>
      <c r="K4019" s="4" t="s">
        <v>30</v>
      </c>
      <c r="L4019" s="6">
        <v>4.2104999999999997</v>
      </c>
      <c r="M4019" s="6">
        <v>0.23749999999999999</v>
      </c>
      <c r="N4019" s="6">
        <v>4.2031999999999998</v>
      </c>
      <c r="O4019" s="6">
        <v>1</v>
      </c>
      <c r="P4019" s="5">
        <v>87.6</v>
      </c>
      <c r="Q4019" s="4" t="s">
        <v>1390</v>
      </c>
    </row>
    <row r="4020" spans="1:17" x14ac:dyDescent="0.3">
      <c r="A4020" s="2" t="s">
        <v>1389</v>
      </c>
      <c r="B4020" s="3">
        <v>160025</v>
      </c>
      <c r="C4020" s="3">
        <v>913834</v>
      </c>
      <c r="D4020" s="4" t="s">
        <v>81</v>
      </c>
      <c r="E4020" s="4" t="s">
        <v>733</v>
      </c>
      <c r="F4020" s="4" t="s">
        <v>83</v>
      </c>
      <c r="G4020" s="4" t="s">
        <v>20</v>
      </c>
      <c r="H4020" s="5">
        <v>-500000</v>
      </c>
      <c r="I4020" s="4" t="s">
        <v>21</v>
      </c>
      <c r="J4020" s="5">
        <f t="shared" si="62"/>
        <v>2103300</v>
      </c>
      <c r="K4020" s="4" t="s">
        <v>27</v>
      </c>
      <c r="L4020" s="6">
        <v>4.2065999999999999</v>
      </c>
      <c r="M4020" s="6">
        <v>0.23769999999999999</v>
      </c>
      <c r="N4020" s="6">
        <v>4.2072000000000003</v>
      </c>
      <c r="O4020" s="6">
        <v>1</v>
      </c>
      <c r="P4020" s="5">
        <v>-295</v>
      </c>
      <c r="Q4020" s="4" t="s">
        <v>1391</v>
      </c>
    </row>
    <row r="4021" spans="1:17" x14ac:dyDescent="0.3">
      <c r="A4021" s="2" t="s">
        <v>1389</v>
      </c>
      <c r="B4021" s="3">
        <v>160026</v>
      </c>
      <c r="C4021" s="3">
        <v>913839</v>
      </c>
      <c r="D4021" s="4" t="s">
        <v>81</v>
      </c>
      <c r="E4021" s="4" t="s">
        <v>734</v>
      </c>
      <c r="F4021" s="4" t="s">
        <v>83</v>
      </c>
      <c r="G4021" s="4" t="s">
        <v>20</v>
      </c>
      <c r="H4021" s="5">
        <v>-100000</v>
      </c>
      <c r="I4021" s="4" t="s">
        <v>34</v>
      </c>
      <c r="J4021" s="5">
        <f t="shared" si="62"/>
        <v>119760</v>
      </c>
      <c r="K4021" s="4" t="s">
        <v>27</v>
      </c>
      <c r="L4021" s="6">
        <v>1.1976</v>
      </c>
      <c r="M4021" s="6">
        <v>0.83499999999999996</v>
      </c>
      <c r="N4021" s="6">
        <v>4.2072000000000003</v>
      </c>
      <c r="O4021" s="6">
        <v>3.5188999999999999</v>
      </c>
      <c r="P4021" s="5">
        <v>689.38840000000005</v>
      </c>
      <c r="Q4021" s="4" t="s">
        <v>1393</v>
      </c>
    </row>
    <row r="4022" spans="1:17" x14ac:dyDescent="0.3">
      <c r="A4022" s="2" t="s">
        <v>1389</v>
      </c>
      <c r="B4022" s="3">
        <v>160027</v>
      </c>
      <c r="C4022" s="3">
        <v>913842</v>
      </c>
      <c r="D4022" s="4" t="s">
        <v>81</v>
      </c>
      <c r="E4022" s="4" t="s">
        <v>734</v>
      </c>
      <c r="F4022" s="4" t="s">
        <v>83</v>
      </c>
      <c r="G4022" s="4" t="s">
        <v>20</v>
      </c>
      <c r="H4022" s="5">
        <v>-400000</v>
      </c>
      <c r="I4022" s="4" t="s">
        <v>34</v>
      </c>
      <c r="J4022" s="5">
        <f t="shared" si="62"/>
        <v>479040</v>
      </c>
      <c r="K4022" s="4" t="s">
        <v>27</v>
      </c>
      <c r="L4022" s="6">
        <v>1.1976</v>
      </c>
      <c r="M4022" s="6">
        <v>0.83499999999999996</v>
      </c>
      <c r="N4022" s="6">
        <v>4.2072000000000003</v>
      </c>
      <c r="O4022" s="6">
        <v>3.5188999999999999</v>
      </c>
      <c r="P4022" s="5">
        <v>2799.7804000000001</v>
      </c>
      <c r="Q4022" s="4" t="s">
        <v>1393</v>
      </c>
    </row>
    <row r="4023" spans="1:17" x14ac:dyDescent="0.3">
      <c r="A4023" s="2" t="s">
        <v>1389</v>
      </c>
      <c r="B4023" s="3">
        <v>160028</v>
      </c>
      <c r="C4023" s="3">
        <v>913880</v>
      </c>
      <c r="D4023" s="4" t="s">
        <v>81</v>
      </c>
      <c r="E4023" s="4" t="s">
        <v>735</v>
      </c>
      <c r="F4023" s="4" t="s">
        <v>87</v>
      </c>
      <c r="G4023" s="4" t="s">
        <v>20</v>
      </c>
      <c r="H4023" s="5">
        <v>100000</v>
      </c>
      <c r="I4023" s="4" t="s">
        <v>84</v>
      </c>
      <c r="J4023" s="5">
        <f t="shared" si="62"/>
        <v>-1057810</v>
      </c>
      <c r="K4023" s="4" t="s">
        <v>27</v>
      </c>
      <c r="L4023" s="6">
        <v>10.578099999999999</v>
      </c>
      <c r="M4023" s="6">
        <v>9.4500000000000001E-2</v>
      </c>
      <c r="N4023" s="6">
        <v>4.2072000000000003</v>
      </c>
      <c r="O4023" s="6">
        <v>0.39760000000000001</v>
      </c>
      <c r="P4023" s="5">
        <v>134.744</v>
      </c>
      <c r="Q4023" s="4" t="s">
        <v>1394</v>
      </c>
    </row>
    <row r="4024" spans="1:17" x14ac:dyDescent="0.3">
      <c r="A4024" s="2" t="s">
        <v>1389</v>
      </c>
      <c r="B4024" s="3">
        <v>160029</v>
      </c>
      <c r="C4024" s="3">
        <v>913891</v>
      </c>
      <c r="D4024" s="4" t="s">
        <v>81</v>
      </c>
      <c r="E4024" s="4" t="s">
        <v>733</v>
      </c>
      <c r="F4024" s="4" t="s">
        <v>83</v>
      </c>
      <c r="G4024" s="4" t="s">
        <v>20</v>
      </c>
      <c r="H4024" s="5">
        <v>-150000</v>
      </c>
      <c r="I4024" s="4" t="s">
        <v>21</v>
      </c>
      <c r="J4024" s="5">
        <f t="shared" si="62"/>
        <v>630930</v>
      </c>
      <c r="K4024" s="4" t="s">
        <v>27</v>
      </c>
      <c r="L4024" s="6">
        <v>4.2061999999999999</v>
      </c>
      <c r="M4024" s="6">
        <v>0.23769999999999999</v>
      </c>
      <c r="N4024" s="6">
        <v>4.2072000000000003</v>
      </c>
      <c r="O4024" s="6">
        <v>1</v>
      </c>
      <c r="P4024" s="5">
        <v>-145.5</v>
      </c>
      <c r="Q4024" s="4" t="s">
        <v>1391</v>
      </c>
    </row>
    <row r="4025" spans="1:17" x14ac:dyDescent="0.3">
      <c r="A4025" s="2" t="s">
        <v>1389</v>
      </c>
      <c r="B4025" s="3">
        <v>160031</v>
      </c>
      <c r="C4025" s="3">
        <v>221033</v>
      </c>
      <c r="D4025" s="4" t="s">
        <v>17</v>
      </c>
      <c r="E4025" s="4" t="s">
        <v>1175</v>
      </c>
      <c r="F4025" s="4" t="s">
        <v>32</v>
      </c>
      <c r="G4025" s="4" t="s">
        <v>20</v>
      </c>
      <c r="H4025" s="5">
        <v>-4754.66</v>
      </c>
      <c r="I4025" s="4" t="s">
        <v>21</v>
      </c>
      <c r="J4025" s="5">
        <f t="shared" si="62"/>
        <v>20016.643134000002</v>
      </c>
      <c r="K4025" s="4" t="s">
        <v>30</v>
      </c>
      <c r="L4025" s="6">
        <v>4.2099000000000002</v>
      </c>
      <c r="M4025" s="6">
        <v>0.23749999999999999</v>
      </c>
      <c r="N4025" s="6">
        <v>4.2031999999999998</v>
      </c>
      <c r="O4025" s="6">
        <v>1</v>
      </c>
      <c r="P4025" s="5">
        <v>15.213088000000001</v>
      </c>
      <c r="Q4025" s="4" t="s">
        <v>1390</v>
      </c>
    </row>
    <row r="4026" spans="1:17" x14ac:dyDescent="0.3">
      <c r="A4026" s="2" t="s">
        <v>1389</v>
      </c>
      <c r="B4026" s="3">
        <v>160055</v>
      </c>
      <c r="C4026" s="3">
        <v>221041</v>
      </c>
      <c r="D4026" s="4" t="s">
        <v>17</v>
      </c>
      <c r="E4026" s="4" t="s">
        <v>1213</v>
      </c>
      <c r="F4026" s="4" t="s">
        <v>19</v>
      </c>
      <c r="G4026" s="4" t="s">
        <v>20</v>
      </c>
      <c r="H4026" s="5">
        <v>150000</v>
      </c>
      <c r="I4026" s="4" t="s">
        <v>21</v>
      </c>
      <c r="J4026" s="5">
        <f t="shared" si="62"/>
        <v>-630450</v>
      </c>
      <c r="K4026" s="4" t="s">
        <v>30</v>
      </c>
      <c r="L4026" s="6">
        <v>4.2030000000000003</v>
      </c>
      <c r="M4026" s="6">
        <v>0.2379</v>
      </c>
      <c r="N4026" s="6">
        <v>4.2031999999999998</v>
      </c>
      <c r="O4026" s="6">
        <v>1</v>
      </c>
      <c r="P4026" s="5">
        <v>30</v>
      </c>
      <c r="Q4026" s="4" t="s">
        <v>1390</v>
      </c>
    </row>
    <row r="4027" spans="1:17" x14ac:dyDescent="0.3">
      <c r="A4027" s="2" t="s">
        <v>1389</v>
      </c>
      <c r="B4027" s="3">
        <v>160071</v>
      </c>
      <c r="C4027" s="3">
        <v>913956</v>
      </c>
      <c r="D4027" s="4" t="s">
        <v>81</v>
      </c>
      <c r="E4027" s="4" t="s">
        <v>732</v>
      </c>
      <c r="F4027" s="4" t="s">
        <v>83</v>
      </c>
      <c r="G4027" s="4" t="s">
        <v>20</v>
      </c>
      <c r="H4027" s="5">
        <v>-500000</v>
      </c>
      <c r="I4027" s="4" t="s">
        <v>21</v>
      </c>
      <c r="J4027" s="5">
        <f t="shared" si="62"/>
        <v>2102300</v>
      </c>
      <c r="K4027" s="4" t="s">
        <v>27</v>
      </c>
      <c r="L4027" s="6">
        <v>4.2046000000000001</v>
      </c>
      <c r="M4027" s="6">
        <v>0.23780000000000001</v>
      </c>
      <c r="N4027" s="6">
        <v>4.2072000000000003</v>
      </c>
      <c r="O4027" s="6">
        <v>1</v>
      </c>
      <c r="P4027" s="5">
        <v>-1300</v>
      </c>
      <c r="Q4027" s="4" t="s">
        <v>1394</v>
      </c>
    </row>
    <row r="4028" spans="1:17" x14ac:dyDescent="0.3">
      <c r="A4028" s="2" t="s">
        <v>1389</v>
      </c>
      <c r="B4028" s="3">
        <v>160072</v>
      </c>
      <c r="C4028" s="3">
        <v>221042</v>
      </c>
      <c r="D4028" s="4" t="s">
        <v>17</v>
      </c>
      <c r="E4028" s="4" t="s">
        <v>936</v>
      </c>
      <c r="F4028" s="4" t="s">
        <v>32</v>
      </c>
      <c r="G4028" s="4" t="s">
        <v>34</v>
      </c>
      <c r="H4028" s="5">
        <v>-100000</v>
      </c>
      <c r="I4028" s="4" t="s">
        <v>21</v>
      </c>
      <c r="J4028" s="5">
        <f t="shared" si="62"/>
        <v>352300</v>
      </c>
      <c r="K4028" s="4" t="s">
        <v>30</v>
      </c>
      <c r="L4028" s="6">
        <v>3.5230000000000001</v>
      </c>
      <c r="M4028" s="6">
        <v>0.2838</v>
      </c>
      <c r="N4028" s="6">
        <v>3.5354000000000001</v>
      </c>
      <c r="O4028" s="6">
        <v>1</v>
      </c>
      <c r="P4028" s="5">
        <v>-1240</v>
      </c>
      <c r="Q4028" s="4" t="s">
        <v>1390</v>
      </c>
    </row>
    <row r="4029" spans="1:17" x14ac:dyDescent="0.3">
      <c r="A4029" s="2" t="s">
        <v>1389</v>
      </c>
      <c r="B4029" s="3">
        <v>160102</v>
      </c>
      <c r="C4029" s="3">
        <v>221048</v>
      </c>
      <c r="D4029" s="4" t="s">
        <v>17</v>
      </c>
      <c r="E4029" s="4" t="s">
        <v>983</v>
      </c>
      <c r="F4029" s="4" t="s">
        <v>19</v>
      </c>
      <c r="G4029" s="4" t="s">
        <v>20</v>
      </c>
      <c r="H4029" s="5">
        <v>5000</v>
      </c>
      <c r="I4029" s="4" t="s">
        <v>21</v>
      </c>
      <c r="J4029" s="5">
        <f t="shared" si="62"/>
        <v>-20962.5</v>
      </c>
      <c r="K4029" s="4" t="s">
        <v>30</v>
      </c>
      <c r="L4029" s="6">
        <v>4.1924999999999999</v>
      </c>
      <c r="M4029" s="6">
        <v>0.23849999999999999</v>
      </c>
      <c r="N4029" s="6">
        <v>4.2031999999999998</v>
      </c>
      <c r="O4029" s="6">
        <v>1</v>
      </c>
      <c r="P4029" s="5">
        <v>53.5</v>
      </c>
      <c r="Q4029" s="4" t="s">
        <v>1390</v>
      </c>
    </row>
    <row r="4030" spans="1:17" x14ac:dyDescent="0.3">
      <c r="A4030" s="2" t="s">
        <v>1389</v>
      </c>
      <c r="B4030" s="3">
        <v>160112</v>
      </c>
      <c r="C4030" s="3">
        <v>914030</v>
      </c>
      <c r="D4030" s="4" t="s">
        <v>81</v>
      </c>
      <c r="E4030" s="4" t="s">
        <v>739</v>
      </c>
      <c r="F4030" s="4" t="s">
        <v>83</v>
      </c>
      <c r="G4030" s="4" t="s">
        <v>20</v>
      </c>
      <c r="H4030" s="5">
        <v>-101406.68</v>
      </c>
      <c r="I4030" s="4" t="s">
        <v>21</v>
      </c>
      <c r="J4030" s="5">
        <f t="shared" si="62"/>
        <v>426486.07407600002</v>
      </c>
      <c r="K4030" s="4" t="s">
        <v>27</v>
      </c>
      <c r="L4030" s="6">
        <v>4.2057000000000002</v>
      </c>
      <c r="M4030" s="6">
        <v>0.23780000000000001</v>
      </c>
      <c r="N4030" s="6">
        <v>4.2072000000000003</v>
      </c>
      <c r="O4030" s="6">
        <v>1</v>
      </c>
      <c r="P4030" s="5">
        <v>-156.164096</v>
      </c>
      <c r="Q4030" s="4" t="s">
        <v>1391</v>
      </c>
    </row>
    <row r="4031" spans="1:17" x14ac:dyDescent="0.3">
      <c r="A4031" s="2" t="s">
        <v>1389</v>
      </c>
      <c r="B4031" s="3">
        <v>160113</v>
      </c>
      <c r="C4031" s="3">
        <v>914031</v>
      </c>
      <c r="D4031" s="4" t="s">
        <v>81</v>
      </c>
      <c r="E4031" s="4" t="s">
        <v>734</v>
      </c>
      <c r="F4031" s="4" t="s">
        <v>83</v>
      </c>
      <c r="G4031" s="4" t="s">
        <v>20</v>
      </c>
      <c r="H4031" s="5">
        <v>-472.04</v>
      </c>
      <c r="I4031" s="4" t="s">
        <v>21</v>
      </c>
      <c r="J4031" s="5">
        <f t="shared" si="62"/>
        <v>1985.1170160000001</v>
      </c>
      <c r="K4031" s="4" t="s">
        <v>27</v>
      </c>
      <c r="L4031" s="6">
        <v>4.2054</v>
      </c>
      <c r="M4031" s="6">
        <v>0.23780000000000001</v>
      </c>
      <c r="N4031" s="6">
        <v>4.2072000000000003</v>
      </c>
      <c r="O4031" s="6">
        <v>1</v>
      </c>
      <c r="P4031" s="5">
        <v>-0.82668799999999998</v>
      </c>
      <c r="Q4031" s="4" t="s">
        <v>1393</v>
      </c>
    </row>
    <row r="4032" spans="1:17" x14ac:dyDescent="0.3">
      <c r="A4032" s="2" t="s">
        <v>1389</v>
      </c>
      <c r="B4032" s="3">
        <v>160114</v>
      </c>
      <c r="C4032" s="3">
        <v>914032</v>
      </c>
      <c r="D4032" s="4" t="s">
        <v>81</v>
      </c>
      <c r="E4032" s="4" t="s">
        <v>735</v>
      </c>
      <c r="F4032" s="4" t="s">
        <v>83</v>
      </c>
      <c r="G4032" s="4" t="s">
        <v>93</v>
      </c>
      <c r="H4032" s="5">
        <v>-2079.89</v>
      </c>
      <c r="I4032" s="4" t="s">
        <v>21</v>
      </c>
      <c r="J4032" s="5">
        <f t="shared" si="62"/>
        <v>9519.6565300000002</v>
      </c>
      <c r="K4032" s="4" t="s">
        <v>27</v>
      </c>
      <c r="L4032" s="6">
        <v>4.577</v>
      </c>
      <c r="M4032" s="6">
        <v>0.2185</v>
      </c>
      <c r="N4032" s="6">
        <v>4.5830000000000002</v>
      </c>
      <c r="O4032" s="6">
        <v>1</v>
      </c>
      <c r="P4032" s="5">
        <v>-12.47587</v>
      </c>
      <c r="Q4032" s="4" t="s">
        <v>1394</v>
      </c>
    </row>
    <row r="4033" spans="1:17" x14ac:dyDescent="0.3">
      <c r="A4033" s="2" t="s">
        <v>1389</v>
      </c>
      <c r="B4033" s="3">
        <v>160115</v>
      </c>
      <c r="C4033" s="3">
        <v>914034</v>
      </c>
      <c r="D4033" s="4" t="s">
        <v>81</v>
      </c>
      <c r="E4033" s="4" t="s">
        <v>735</v>
      </c>
      <c r="F4033" s="4" t="s">
        <v>83</v>
      </c>
      <c r="G4033" s="4" t="s">
        <v>91</v>
      </c>
      <c r="H4033" s="5">
        <v>-126663.76</v>
      </c>
      <c r="I4033" s="4" t="s">
        <v>21</v>
      </c>
      <c r="J4033" s="5">
        <f t="shared" si="62"/>
        <v>614990.55392799992</v>
      </c>
      <c r="K4033" s="4" t="s">
        <v>27</v>
      </c>
      <c r="L4033" s="6">
        <v>4.8552999999999997</v>
      </c>
      <c r="M4033" s="6">
        <v>0.20599999999999999</v>
      </c>
      <c r="N4033" s="6">
        <v>4.8574000000000002</v>
      </c>
      <c r="O4033" s="6">
        <v>1</v>
      </c>
      <c r="P4033" s="5">
        <v>-265.99782399999998</v>
      </c>
      <c r="Q4033" s="4" t="s">
        <v>1394</v>
      </c>
    </row>
    <row r="4034" spans="1:17" x14ac:dyDescent="0.3">
      <c r="A4034" s="2" t="s">
        <v>1389</v>
      </c>
      <c r="B4034" s="3">
        <v>160116</v>
      </c>
      <c r="C4034" s="3">
        <v>914035</v>
      </c>
      <c r="D4034" s="4" t="s">
        <v>81</v>
      </c>
      <c r="E4034" s="4" t="s">
        <v>739</v>
      </c>
      <c r="F4034" s="4" t="s">
        <v>83</v>
      </c>
      <c r="G4034" s="4" t="s">
        <v>34</v>
      </c>
      <c r="H4034" s="5">
        <v>-225.24</v>
      </c>
      <c r="I4034" s="4" t="s">
        <v>21</v>
      </c>
      <c r="J4034" s="5">
        <f t="shared" si="62"/>
        <v>793.18266000000006</v>
      </c>
      <c r="K4034" s="4" t="s">
        <v>27</v>
      </c>
      <c r="L4034" s="6">
        <v>3.5215000000000001</v>
      </c>
      <c r="M4034" s="6">
        <v>0.28399999999999997</v>
      </c>
      <c r="N4034" s="6">
        <v>3.5188999999999999</v>
      </c>
      <c r="O4034" s="6">
        <v>1</v>
      </c>
      <c r="P4034" s="5">
        <v>0.59296400000000005</v>
      </c>
      <c r="Q4034" s="4" t="s">
        <v>1391</v>
      </c>
    </row>
    <row r="4035" spans="1:17" x14ac:dyDescent="0.3">
      <c r="A4035" s="2" t="s">
        <v>1389</v>
      </c>
      <c r="B4035" s="3">
        <v>160117</v>
      </c>
      <c r="C4035" s="3">
        <v>914040</v>
      </c>
      <c r="D4035" s="4" t="s">
        <v>81</v>
      </c>
      <c r="E4035" s="4" t="s">
        <v>743</v>
      </c>
      <c r="F4035" s="4" t="s">
        <v>83</v>
      </c>
      <c r="G4035" s="4" t="s">
        <v>20</v>
      </c>
      <c r="H4035" s="5">
        <v>-103188.33</v>
      </c>
      <c r="I4035" s="4" t="s">
        <v>21</v>
      </c>
      <c r="J4035" s="5">
        <f t="shared" si="62"/>
        <v>433855.33348500007</v>
      </c>
      <c r="K4035" s="4" t="s">
        <v>27</v>
      </c>
      <c r="L4035" s="6">
        <v>4.2045000000000003</v>
      </c>
      <c r="M4035" s="6">
        <v>0.23780000000000001</v>
      </c>
      <c r="N4035" s="6">
        <v>4.2072000000000003</v>
      </c>
      <c r="O4035" s="6">
        <v>1</v>
      </c>
      <c r="P4035" s="5">
        <v>-280.67197599999997</v>
      </c>
      <c r="Q4035" s="4" t="s">
        <v>1395</v>
      </c>
    </row>
    <row r="4036" spans="1:17" x14ac:dyDescent="0.3">
      <c r="A4036" s="2" t="s">
        <v>1389</v>
      </c>
      <c r="B4036" s="3">
        <v>160118</v>
      </c>
      <c r="C4036" s="3">
        <v>914042</v>
      </c>
      <c r="D4036" s="4" t="s">
        <v>81</v>
      </c>
      <c r="E4036" s="4" t="s">
        <v>734</v>
      </c>
      <c r="F4036" s="4" t="s">
        <v>87</v>
      </c>
      <c r="G4036" s="4" t="s">
        <v>34</v>
      </c>
      <c r="H4036" s="5">
        <v>105374.19</v>
      </c>
      <c r="I4036" s="4" t="s">
        <v>21</v>
      </c>
      <c r="J4036" s="5">
        <f t="shared" ref="J4036:J4099" si="63">-H4036*L4036</f>
        <v>-371064.67266599997</v>
      </c>
      <c r="K4036" s="4" t="s">
        <v>27</v>
      </c>
      <c r="L4036" s="6">
        <v>3.5213999999999999</v>
      </c>
      <c r="M4036" s="6">
        <v>0.28399999999999997</v>
      </c>
      <c r="N4036" s="6">
        <v>3.5188999999999999</v>
      </c>
      <c r="O4036" s="6">
        <v>1</v>
      </c>
      <c r="P4036" s="5">
        <v>-265.54280899999998</v>
      </c>
      <c r="Q4036" s="4" t="s">
        <v>1393</v>
      </c>
    </row>
    <row r="4037" spans="1:17" x14ac:dyDescent="0.3">
      <c r="A4037" s="2" t="s">
        <v>1389</v>
      </c>
      <c r="B4037" s="3">
        <v>160119</v>
      </c>
      <c r="C4037" s="3">
        <v>914043</v>
      </c>
      <c r="D4037" s="4" t="s">
        <v>81</v>
      </c>
      <c r="E4037" s="4" t="s">
        <v>743</v>
      </c>
      <c r="F4037" s="4" t="s">
        <v>83</v>
      </c>
      <c r="G4037" s="4" t="s">
        <v>93</v>
      </c>
      <c r="H4037" s="5">
        <v>-10963.65</v>
      </c>
      <c r="I4037" s="4" t="s">
        <v>21</v>
      </c>
      <c r="J4037" s="5">
        <f t="shared" si="63"/>
        <v>50140.060544999993</v>
      </c>
      <c r="K4037" s="4" t="s">
        <v>27</v>
      </c>
      <c r="L4037" s="6">
        <v>4.5732999999999997</v>
      </c>
      <c r="M4037" s="6">
        <v>0.21870000000000001</v>
      </c>
      <c r="N4037" s="6">
        <v>4.5830000000000002</v>
      </c>
      <c r="O4037" s="6">
        <v>1</v>
      </c>
      <c r="P4037" s="5">
        <v>-105.79795</v>
      </c>
      <c r="Q4037" s="4" t="s">
        <v>1395</v>
      </c>
    </row>
    <row r="4038" spans="1:17" x14ac:dyDescent="0.3">
      <c r="A4038" s="2" t="s">
        <v>1389</v>
      </c>
      <c r="B4038" s="3">
        <v>160120</v>
      </c>
      <c r="C4038" s="3">
        <v>914044</v>
      </c>
      <c r="D4038" s="4" t="s">
        <v>81</v>
      </c>
      <c r="E4038" s="4" t="s">
        <v>743</v>
      </c>
      <c r="F4038" s="4" t="s">
        <v>83</v>
      </c>
      <c r="G4038" s="4" t="s">
        <v>91</v>
      </c>
      <c r="H4038" s="5">
        <v>-15752.27</v>
      </c>
      <c r="I4038" s="4" t="s">
        <v>21</v>
      </c>
      <c r="J4038" s="5">
        <f t="shared" si="63"/>
        <v>76493.023119999998</v>
      </c>
      <c r="K4038" s="4" t="s">
        <v>27</v>
      </c>
      <c r="L4038" s="6">
        <v>4.8559999999999999</v>
      </c>
      <c r="M4038" s="6">
        <v>0.2059</v>
      </c>
      <c r="N4038" s="6">
        <v>4.8574000000000002</v>
      </c>
      <c r="O4038" s="6">
        <v>1</v>
      </c>
      <c r="P4038" s="5">
        <v>-22.366298</v>
      </c>
      <c r="Q4038" s="4" t="s">
        <v>1395</v>
      </c>
    </row>
    <row r="4039" spans="1:17" x14ac:dyDescent="0.3">
      <c r="A4039" s="2" t="s">
        <v>1389</v>
      </c>
      <c r="B4039" s="3">
        <v>160121</v>
      </c>
      <c r="C4039" s="3">
        <v>914045</v>
      </c>
      <c r="D4039" s="4" t="s">
        <v>81</v>
      </c>
      <c r="E4039" s="4" t="s">
        <v>743</v>
      </c>
      <c r="F4039" s="4" t="s">
        <v>83</v>
      </c>
      <c r="G4039" s="4" t="s">
        <v>20</v>
      </c>
      <c r="H4039" s="5">
        <v>-177.09</v>
      </c>
      <c r="I4039" s="4" t="s">
        <v>21</v>
      </c>
      <c r="J4039" s="5">
        <f t="shared" si="63"/>
        <v>744.46865100000002</v>
      </c>
      <c r="K4039" s="4" t="s">
        <v>27</v>
      </c>
      <c r="L4039" s="6">
        <v>4.2039</v>
      </c>
      <c r="M4039" s="6">
        <v>0.2379</v>
      </c>
      <c r="N4039" s="6">
        <v>4.2072000000000003</v>
      </c>
      <c r="O4039" s="6">
        <v>1</v>
      </c>
      <c r="P4039" s="5">
        <v>-0.59304800000000002</v>
      </c>
      <c r="Q4039" s="4" t="s">
        <v>1395</v>
      </c>
    </row>
    <row r="4040" spans="1:17" x14ac:dyDescent="0.3">
      <c r="A4040" s="2" t="s">
        <v>1389</v>
      </c>
      <c r="B4040" s="3">
        <v>160126</v>
      </c>
      <c r="C4040" s="3">
        <v>221049</v>
      </c>
      <c r="D4040" s="4" t="s">
        <v>17</v>
      </c>
      <c r="E4040" s="4" t="s">
        <v>735</v>
      </c>
      <c r="F4040" s="4" t="s">
        <v>32</v>
      </c>
      <c r="G4040" s="4" t="s">
        <v>20</v>
      </c>
      <c r="H4040" s="5">
        <v>-30000</v>
      </c>
      <c r="I4040" s="4" t="s">
        <v>21</v>
      </c>
      <c r="J4040" s="5">
        <f t="shared" si="63"/>
        <v>126098.99999999999</v>
      </c>
      <c r="K4040" s="4" t="s">
        <v>55</v>
      </c>
      <c r="L4040" s="6">
        <v>4.2032999999999996</v>
      </c>
      <c r="M4040" s="6">
        <v>0.2379</v>
      </c>
      <c r="N4040" s="6">
        <v>4.2008999999999999</v>
      </c>
      <c r="O4040" s="6">
        <v>1</v>
      </c>
      <c r="P4040" s="5">
        <v>39.72</v>
      </c>
      <c r="Q4040" s="4" t="s">
        <v>1394</v>
      </c>
    </row>
    <row r="4041" spans="1:17" x14ac:dyDescent="0.3">
      <c r="A4041" s="2" t="s">
        <v>1389</v>
      </c>
      <c r="B4041" s="3">
        <v>160131</v>
      </c>
      <c r="C4041" s="3">
        <v>221051</v>
      </c>
      <c r="D4041" s="4" t="s">
        <v>17</v>
      </c>
      <c r="E4041" s="4" t="s">
        <v>727</v>
      </c>
      <c r="F4041" s="4" t="s">
        <v>32</v>
      </c>
      <c r="G4041" s="4" t="s">
        <v>20</v>
      </c>
      <c r="H4041" s="5">
        <v>-52500</v>
      </c>
      <c r="I4041" s="4" t="s">
        <v>21</v>
      </c>
      <c r="J4041" s="5">
        <f t="shared" si="63"/>
        <v>220730.99999999997</v>
      </c>
      <c r="K4041" s="4" t="s">
        <v>55</v>
      </c>
      <c r="L4041" s="6">
        <v>4.2043999999999997</v>
      </c>
      <c r="M4041" s="6">
        <v>0.23780000000000001</v>
      </c>
      <c r="N4041" s="6">
        <v>4.2008999999999999</v>
      </c>
      <c r="O4041" s="6">
        <v>1</v>
      </c>
      <c r="P4041" s="5">
        <v>134.03</v>
      </c>
      <c r="Q4041" s="4" t="s">
        <v>1397</v>
      </c>
    </row>
    <row r="4042" spans="1:17" x14ac:dyDescent="0.3">
      <c r="A4042" s="2" t="s">
        <v>1389</v>
      </c>
      <c r="B4042" s="3">
        <v>160132</v>
      </c>
      <c r="C4042" s="3">
        <v>221054</v>
      </c>
      <c r="D4042" s="4" t="s">
        <v>17</v>
      </c>
      <c r="E4042" s="4" t="s">
        <v>727</v>
      </c>
      <c r="F4042" s="4" t="s">
        <v>32</v>
      </c>
      <c r="G4042" s="4" t="s">
        <v>20</v>
      </c>
      <c r="H4042" s="5">
        <v>-5800</v>
      </c>
      <c r="I4042" s="4" t="s">
        <v>21</v>
      </c>
      <c r="J4042" s="5">
        <f t="shared" si="63"/>
        <v>24383.780000000002</v>
      </c>
      <c r="K4042" s="4" t="s">
        <v>55</v>
      </c>
      <c r="L4042" s="6">
        <v>4.2041000000000004</v>
      </c>
      <c r="M4042" s="6">
        <v>0.2379</v>
      </c>
      <c r="N4042" s="6">
        <v>4.2008999999999999</v>
      </c>
      <c r="O4042" s="6">
        <v>1</v>
      </c>
      <c r="P4042" s="5">
        <v>13.07</v>
      </c>
      <c r="Q4042" s="4" t="s">
        <v>1397</v>
      </c>
    </row>
    <row r="4043" spans="1:17" x14ac:dyDescent="0.3">
      <c r="A4043" s="2" t="s">
        <v>1389</v>
      </c>
      <c r="B4043" s="3">
        <v>160133</v>
      </c>
      <c r="C4043" s="3">
        <v>221055</v>
      </c>
      <c r="D4043" s="4" t="s">
        <v>17</v>
      </c>
      <c r="E4043" s="4" t="s">
        <v>734</v>
      </c>
      <c r="F4043" s="4" t="s">
        <v>19</v>
      </c>
      <c r="G4043" s="4" t="s">
        <v>20</v>
      </c>
      <c r="H4043" s="5">
        <v>6250</v>
      </c>
      <c r="I4043" s="4" t="s">
        <v>21</v>
      </c>
      <c r="J4043" s="5">
        <f t="shared" si="63"/>
        <v>-26278.75</v>
      </c>
      <c r="K4043" s="4" t="s">
        <v>55</v>
      </c>
      <c r="L4043" s="6">
        <v>4.2046000000000001</v>
      </c>
      <c r="M4043" s="6">
        <v>0.23780000000000001</v>
      </c>
      <c r="N4043" s="6">
        <v>4.2008999999999999</v>
      </c>
      <c r="O4043" s="6">
        <v>1</v>
      </c>
      <c r="P4043" s="5">
        <v>-23.125</v>
      </c>
      <c r="Q4043" s="4" t="s">
        <v>1393</v>
      </c>
    </row>
    <row r="4044" spans="1:17" x14ac:dyDescent="0.3">
      <c r="A4044" s="2" t="s">
        <v>1389</v>
      </c>
      <c r="B4044" s="3">
        <v>160145</v>
      </c>
      <c r="C4044" s="3">
        <v>221068</v>
      </c>
      <c r="D4044" s="4" t="s">
        <v>17</v>
      </c>
      <c r="E4044" s="4" t="s">
        <v>735</v>
      </c>
      <c r="F4044" s="4" t="s">
        <v>32</v>
      </c>
      <c r="G4044" s="4" t="s">
        <v>20</v>
      </c>
      <c r="H4044" s="5">
        <v>-1000</v>
      </c>
      <c r="I4044" s="4" t="s">
        <v>21</v>
      </c>
      <c r="J4044" s="5">
        <f t="shared" si="63"/>
        <v>4203.2</v>
      </c>
      <c r="K4044" s="4" t="s">
        <v>55</v>
      </c>
      <c r="L4044" s="6">
        <v>4.2031999999999998</v>
      </c>
      <c r="M4044" s="6">
        <v>0.2379</v>
      </c>
      <c r="N4044" s="6">
        <v>4.2008999999999999</v>
      </c>
      <c r="O4044" s="6">
        <v>1</v>
      </c>
      <c r="P4044" s="5">
        <v>1.22</v>
      </c>
      <c r="Q4044" s="4" t="s">
        <v>1394</v>
      </c>
    </row>
    <row r="4045" spans="1:17" x14ac:dyDescent="0.3">
      <c r="A4045" s="2" t="s">
        <v>1389</v>
      </c>
      <c r="B4045" s="3">
        <v>160150</v>
      </c>
      <c r="C4045" s="3">
        <v>221069</v>
      </c>
      <c r="D4045" s="4" t="s">
        <v>17</v>
      </c>
      <c r="E4045" s="4" t="s">
        <v>735</v>
      </c>
      <c r="F4045" s="4" t="s">
        <v>32</v>
      </c>
      <c r="G4045" s="4" t="s">
        <v>20</v>
      </c>
      <c r="H4045" s="5">
        <v>-10000</v>
      </c>
      <c r="I4045" s="4" t="s">
        <v>21</v>
      </c>
      <c r="J4045" s="5">
        <f t="shared" si="63"/>
        <v>42015</v>
      </c>
      <c r="K4045" s="4" t="s">
        <v>55</v>
      </c>
      <c r="L4045" s="6">
        <v>4.2015000000000002</v>
      </c>
      <c r="M4045" s="6">
        <v>0.23799999999999999</v>
      </c>
      <c r="N4045" s="6">
        <v>4.2008999999999999</v>
      </c>
      <c r="O4045" s="6">
        <v>1</v>
      </c>
      <c r="P4045" s="5">
        <v>-4.74</v>
      </c>
      <c r="Q4045" s="4" t="s">
        <v>1394</v>
      </c>
    </row>
    <row r="4046" spans="1:17" x14ac:dyDescent="0.3">
      <c r="A4046" s="2" t="s">
        <v>1389</v>
      </c>
      <c r="B4046" s="3">
        <v>160151</v>
      </c>
      <c r="C4046" s="3">
        <v>221072</v>
      </c>
      <c r="D4046" s="4" t="s">
        <v>17</v>
      </c>
      <c r="E4046" s="4" t="s">
        <v>739</v>
      </c>
      <c r="F4046" s="4" t="s">
        <v>32</v>
      </c>
      <c r="G4046" s="4" t="s">
        <v>20</v>
      </c>
      <c r="H4046" s="5">
        <v>-9000</v>
      </c>
      <c r="I4046" s="4" t="s">
        <v>21</v>
      </c>
      <c r="J4046" s="5">
        <f t="shared" si="63"/>
        <v>37822.5</v>
      </c>
      <c r="K4046" s="4" t="s">
        <v>55</v>
      </c>
      <c r="L4046" s="6">
        <v>4.2024999999999997</v>
      </c>
      <c r="M4046" s="6">
        <v>0.23799999999999999</v>
      </c>
      <c r="N4046" s="6">
        <v>4.2008999999999999</v>
      </c>
      <c r="O4046" s="6">
        <v>1</v>
      </c>
      <c r="P4046" s="5">
        <v>6.79</v>
      </c>
      <c r="Q4046" s="4" t="s">
        <v>1391</v>
      </c>
    </row>
    <row r="4047" spans="1:17" x14ac:dyDescent="0.3">
      <c r="A4047" s="2" t="s">
        <v>1389</v>
      </c>
      <c r="B4047" s="3">
        <v>160153</v>
      </c>
      <c r="C4047" s="3">
        <v>221084</v>
      </c>
      <c r="D4047" s="4" t="s">
        <v>17</v>
      </c>
      <c r="E4047" s="4" t="s">
        <v>951</v>
      </c>
      <c r="F4047" s="4" t="s">
        <v>32</v>
      </c>
      <c r="G4047" s="4" t="s">
        <v>20</v>
      </c>
      <c r="H4047" s="5">
        <v>-23000</v>
      </c>
      <c r="I4047" s="4" t="s">
        <v>21</v>
      </c>
      <c r="J4047" s="5">
        <f t="shared" si="63"/>
        <v>96680.5</v>
      </c>
      <c r="K4047" s="4" t="s">
        <v>55</v>
      </c>
      <c r="L4047" s="6">
        <v>4.2035</v>
      </c>
      <c r="M4047" s="6">
        <v>0.2379</v>
      </c>
      <c r="N4047" s="6">
        <v>4.2008999999999999</v>
      </c>
      <c r="O4047" s="6">
        <v>1</v>
      </c>
      <c r="P4047" s="5">
        <v>39.1</v>
      </c>
      <c r="Q4047" s="4" t="s">
        <v>1390</v>
      </c>
    </row>
    <row r="4048" spans="1:17" x14ac:dyDescent="0.3">
      <c r="A4048" s="2" t="s">
        <v>1389</v>
      </c>
      <c r="B4048" s="3">
        <v>160155</v>
      </c>
      <c r="C4048" s="3">
        <v>221086</v>
      </c>
      <c r="D4048" s="4" t="s">
        <v>17</v>
      </c>
      <c r="E4048" s="4" t="s">
        <v>864</v>
      </c>
      <c r="F4048" s="4" t="s">
        <v>32</v>
      </c>
      <c r="G4048" s="4" t="s">
        <v>20</v>
      </c>
      <c r="H4048" s="5">
        <v>-19000</v>
      </c>
      <c r="I4048" s="4" t="s">
        <v>21</v>
      </c>
      <c r="J4048" s="5">
        <f t="shared" si="63"/>
        <v>80045.100000000006</v>
      </c>
      <c r="K4048" s="4" t="s">
        <v>55</v>
      </c>
      <c r="L4048" s="6">
        <v>4.2129000000000003</v>
      </c>
      <c r="M4048" s="6">
        <v>0.2374</v>
      </c>
      <c r="N4048" s="6">
        <v>4.2008999999999999</v>
      </c>
      <c r="O4048" s="6">
        <v>1</v>
      </c>
      <c r="P4048" s="5">
        <v>210.9</v>
      </c>
      <c r="Q4048" s="4" t="s">
        <v>1390</v>
      </c>
    </row>
    <row r="4049" spans="1:17" x14ac:dyDescent="0.3">
      <c r="A4049" s="2" t="s">
        <v>1389</v>
      </c>
      <c r="B4049" s="3">
        <v>160157</v>
      </c>
      <c r="C4049" s="3">
        <v>221098</v>
      </c>
      <c r="D4049" s="4" t="s">
        <v>17</v>
      </c>
      <c r="E4049" s="4" t="s">
        <v>1155</v>
      </c>
      <c r="F4049" s="4" t="s">
        <v>32</v>
      </c>
      <c r="G4049" s="4" t="s">
        <v>20</v>
      </c>
      <c r="H4049" s="5">
        <v>-100000</v>
      </c>
      <c r="I4049" s="4" t="s">
        <v>74</v>
      </c>
      <c r="J4049" s="5">
        <f t="shared" si="63"/>
        <v>1145310</v>
      </c>
      <c r="K4049" s="4" t="s">
        <v>27</v>
      </c>
      <c r="L4049" s="6">
        <v>11.453099999999999</v>
      </c>
      <c r="M4049" s="6">
        <v>8.7300000000000003E-2</v>
      </c>
      <c r="N4049" s="6">
        <v>4.2072000000000003</v>
      </c>
      <c r="O4049" s="6">
        <v>0.3674</v>
      </c>
      <c r="P4049" s="5">
        <v>0.76200000000000001</v>
      </c>
      <c r="Q4049" s="4" t="s">
        <v>1390</v>
      </c>
    </row>
    <row r="4050" spans="1:17" x14ac:dyDescent="0.3">
      <c r="A4050" s="2" t="s">
        <v>1389</v>
      </c>
      <c r="B4050" s="3">
        <v>160160</v>
      </c>
      <c r="C4050" s="3">
        <v>221104</v>
      </c>
      <c r="D4050" s="4" t="s">
        <v>17</v>
      </c>
      <c r="E4050" s="4" t="s">
        <v>893</v>
      </c>
      <c r="F4050" s="4" t="s">
        <v>19</v>
      </c>
      <c r="G4050" s="4" t="s">
        <v>20</v>
      </c>
      <c r="H4050" s="5">
        <v>11000</v>
      </c>
      <c r="I4050" s="4" t="s">
        <v>21</v>
      </c>
      <c r="J4050" s="5">
        <f t="shared" si="63"/>
        <v>-46007.5</v>
      </c>
      <c r="K4050" s="4" t="s">
        <v>55</v>
      </c>
      <c r="L4050" s="6">
        <v>4.1825000000000001</v>
      </c>
      <c r="M4050" s="6">
        <v>0.23910000000000001</v>
      </c>
      <c r="N4050" s="6">
        <v>4.2008999999999999</v>
      </c>
      <c r="O4050" s="6">
        <v>1</v>
      </c>
      <c r="P4050" s="5">
        <v>202.40000000000146</v>
      </c>
      <c r="Q4050" s="4" t="s">
        <v>1390</v>
      </c>
    </row>
    <row r="4051" spans="1:17" x14ac:dyDescent="0.3">
      <c r="A4051" s="2" t="s">
        <v>1389</v>
      </c>
      <c r="B4051" s="3">
        <v>160161</v>
      </c>
      <c r="C4051" s="3">
        <v>221109</v>
      </c>
      <c r="D4051" s="4" t="s">
        <v>17</v>
      </c>
      <c r="E4051" s="4" t="s">
        <v>1224</v>
      </c>
      <c r="F4051" s="4" t="s">
        <v>32</v>
      </c>
      <c r="G4051" s="4" t="s">
        <v>20</v>
      </c>
      <c r="H4051" s="5">
        <v>-10000</v>
      </c>
      <c r="I4051" s="4" t="s">
        <v>21</v>
      </c>
      <c r="J4051" s="5">
        <f t="shared" si="63"/>
        <v>42032</v>
      </c>
      <c r="K4051" s="4" t="s">
        <v>55</v>
      </c>
      <c r="L4051" s="6">
        <v>4.2031999999999998</v>
      </c>
      <c r="M4051" s="6">
        <v>0.2379</v>
      </c>
      <c r="N4051" s="6">
        <v>4.2008999999999999</v>
      </c>
      <c r="O4051" s="6">
        <v>1</v>
      </c>
      <c r="P4051" s="5">
        <v>14</v>
      </c>
      <c r="Q4051" s="4" t="s">
        <v>1390</v>
      </c>
    </row>
    <row r="4052" spans="1:17" x14ac:dyDescent="0.3">
      <c r="A4052" s="2" t="s">
        <v>1389</v>
      </c>
      <c r="B4052" s="3">
        <v>160163</v>
      </c>
      <c r="C4052" s="3">
        <v>221114</v>
      </c>
      <c r="D4052" s="4" t="s">
        <v>17</v>
      </c>
      <c r="E4052" s="4" t="s">
        <v>757</v>
      </c>
      <c r="F4052" s="4" t="s">
        <v>19</v>
      </c>
      <c r="G4052" s="4" t="s">
        <v>20</v>
      </c>
      <c r="H4052" s="5">
        <v>12000</v>
      </c>
      <c r="I4052" s="4" t="s">
        <v>21</v>
      </c>
      <c r="J4052" s="5">
        <f t="shared" si="63"/>
        <v>-50208</v>
      </c>
      <c r="K4052" s="4" t="s">
        <v>55</v>
      </c>
      <c r="L4052" s="6">
        <v>4.1840000000000002</v>
      </c>
      <c r="M4052" s="6">
        <v>0.23899999999999999</v>
      </c>
      <c r="N4052" s="6">
        <v>4.2008999999999999</v>
      </c>
      <c r="O4052" s="6">
        <v>1</v>
      </c>
      <c r="P4052" s="5">
        <v>202.79999999999563</v>
      </c>
      <c r="Q4052" s="4" t="s">
        <v>1390</v>
      </c>
    </row>
    <row r="4053" spans="1:17" x14ac:dyDescent="0.3">
      <c r="A4053" s="2" t="s">
        <v>1389</v>
      </c>
      <c r="B4053" s="3">
        <v>160164</v>
      </c>
      <c r="C4053" s="3">
        <v>221115</v>
      </c>
      <c r="D4053" s="4" t="s">
        <v>17</v>
      </c>
      <c r="E4053" s="4" t="s">
        <v>969</v>
      </c>
      <c r="F4053" s="4" t="s">
        <v>32</v>
      </c>
      <c r="G4053" s="4" t="s">
        <v>34</v>
      </c>
      <c r="H4053" s="5">
        <v>-120000</v>
      </c>
      <c r="I4053" s="4" t="s">
        <v>21</v>
      </c>
      <c r="J4053" s="5">
        <f t="shared" si="63"/>
        <v>422820</v>
      </c>
      <c r="K4053" s="4" t="s">
        <v>55</v>
      </c>
      <c r="L4053" s="6">
        <v>3.5234999999999999</v>
      </c>
      <c r="M4053" s="6">
        <v>0.2838</v>
      </c>
      <c r="N4053" s="6">
        <v>3.5045000000000002</v>
      </c>
      <c r="O4053" s="6">
        <v>1</v>
      </c>
      <c r="P4053" s="5">
        <v>2220</v>
      </c>
      <c r="Q4053" s="4" t="s">
        <v>1390</v>
      </c>
    </row>
    <row r="4054" spans="1:17" x14ac:dyDescent="0.3">
      <c r="A4054" s="2" t="s">
        <v>1389</v>
      </c>
      <c r="B4054" s="3">
        <v>160165</v>
      </c>
      <c r="C4054" s="3">
        <v>221116</v>
      </c>
      <c r="D4054" s="4" t="s">
        <v>17</v>
      </c>
      <c r="E4054" s="4" t="s">
        <v>1106</v>
      </c>
      <c r="F4054" s="4" t="s">
        <v>32</v>
      </c>
      <c r="G4054" s="4" t="s">
        <v>34</v>
      </c>
      <c r="H4054" s="5">
        <v>-80000</v>
      </c>
      <c r="I4054" s="4" t="s">
        <v>21</v>
      </c>
      <c r="J4054" s="5">
        <f t="shared" si="63"/>
        <v>281880</v>
      </c>
      <c r="K4054" s="4" t="s">
        <v>55</v>
      </c>
      <c r="L4054" s="6">
        <v>3.5234999999999999</v>
      </c>
      <c r="M4054" s="6">
        <v>0.2838</v>
      </c>
      <c r="N4054" s="6">
        <v>3.5045000000000002</v>
      </c>
      <c r="O4054" s="6">
        <v>1</v>
      </c>
      <c r="P4054" s="5">
        <v>1480</v>
      </c>
      <c r="Q4054" s="4" t="s">
        <v>1390</v>
      </c>
    </row>
    <row r="4055" spans="1:17" x14ac:dyDescent="0.3">
      <c r="A4055" s="2" t="s">
        <v>1389</v>
      </c>
      <c r="B4055" s="3">
        <v>160166</v>
      </c>
      <c r="C4055" s="3">
        <v>221119</v>
      </c>
      <c r="D4055" s="4" t="s">
        <v>17</v>
      </c>
      <c r="E4055" s="4" t="s">
        <v>748</v>
      </c>
      <c r="F4055" s="4" t="s">
        <v>19</v>
      </c>
      <c r="G4055" s="4" t="s">
        <v>20</v>
      </c>
      <c r="H4055" s="5">
        <v>15000</v>
      </c>
      <c r="I4055" s="4" t="s">
        <v>21</v>
      </c>
      <c r="J4055" s="5">
        <f t="shared" si="63"/>
        <v>-62931</v>
      </c>
      <c r="K4055" s="4" t="s">
        <v>55</v>
      </c>
      <c r="L4055" s="6">
        <v>4.1954000000000002</v>
      </c>
      <c r="M4055" s="6">
        <v>0.2384</v>
      </c>
      <c r="N4055" s="6">
        <v>4.2008999999999999</v>
      </c>
      <c r="O4055" s="6">
        <v>1</v>
      </c>
      <c r="P4055" s="5">
        <v>82.5</v>
      </c>
      <c r="Q4055" s="4" t="s">
        <v>1390</v>
      </c>
    </row>
    <row r="4056" spans="1:17" x14ac:dyDescent="0.3">
      <c r="A4056" s="2" t="s">
        <v>1389</v>
      </c>
      <c r="B4056" s="3">
        <v>160167</v>
      </c>
      <c r="C4056" s="3">
        <v>221130</v>
      </c>
      <c r="D4056" s="4" t="s">
        <v>17</v>
      </c>
      <c r="E4056" s="4" t="s">
        <v>1242</v>
      </c>
      <c r="F4056" s="4" t="s">
        <v>32</v>
      </c>
      <c r="G4056" s="4" t="s">
        <v>20</v>
      </c>
      <c r="H4056" s="5">
        <v>-58651.3</v>
      </c>
      <c r="I4056" s="4" t="s">
        <v>21</v>
      </c>
      <c r="J4056" s="5">
        <f t="shared" si="63"/>
        <v>247097.92690000002</v>
      </c>
      <c r="K4056" s="4" t="s">
        <v>55</v>
      </c>
      <c r="L4056" s="6">
        <v>4.2130000000000001</v>
      </c>
      <c r="M4056" s="6">
        <v>0.2374</v>
      </c>
      <c r="N4056" s="6">
        <v>4.2008999999999999</v>
      </c>
      <c r="O4056" s="6">
        <v>1</v>
      </c>
      <c r="P4056" s="5">
        <v>140.75382999999999</v>
      </c>
      <c r="Q4056" s="4" t="s">
        <v>1390</v>
      </c>
    </row>
    <row r="4057" spans="1:17" x14ac:dyDescent="0.3">
      <c r="A4057" s="2" t="s">
        <v>1389</v>
      </c>
      <c r="B4057" s="3">
        <v>160170</v>
      </c>
      <c r="C4057" s="3">
        <v>221135</v>
      </c>
      <c r="D4057" s="4" t="s">
        <v>17</v>
      </c>
      <c r="E4057" s="4" t="s">
        <v>865</v>
      </c>
      <c r="F4057" s="4" t="s">
        <v>19</v>
      </c>
      <c r="G4057" s="4" t="s">
        <v>20</v>
      </c>
      <c r="H4057" s="5">
        <v>400000</v>
      </c>
      <c r="I4057" s="4" t="s">
        <v>21</v>
      </c>
      <c r="J4057" s="5">
        <f t="shared" si="63"/>
        <v>-1669600.0000000002</v>
      </c>
      <c r="K4057" s="4" t="s">
        <v>55</v>
      </c>
      <c r="L4057" s="6">
        <v>4.1740000000000004</v>
      </c>
      <c r="M4057" s="6">
        <v>0.23960000000000001</v>
      </c>
      <c r="N4057" s="6">
        <v>4.2008999999999999</v>
      </c>
      <c r="O4057" s="6">
        <v>1</v>
      </c>
      <c r="P4057" s="5">
        <v>10759.999999999767</v>
      </c>
      <c r="Q4057" s="4" t="s">
        <v>1390</v>
      </c>
    </row>
    <row r="4058" spans="1:17" x14ac:dyDescent="0.3">
      <c r="A4058" s="2" t="s">
        <v>1389</v>
      </c>
      <c r="B4058" s="3">
        <v>160171</v>
      </c>
      <c r="C4058" s="3">
        <v>221136</v>
      </c>
      <c r="D4058" s="4" t="s">
        <v>17</v>
      </c>
      <c r="E4058" s="4" t="s">
        <v>972</v>
      </c>
      <c r="F4058" s="4" t="s">
        <v>19</v>
      </c>
      <c r="G4058" s="4" t="s">
        <v>84</v>
      </c>
      <c r="H4058" s="5">
        <v>253000</v>
      </c>
      <c r="I4058" s="4" t="s">
        <v>21</v>
      </c>
      <c r="J4058" s="5">
        <f t="shared" si="63"/>
        <v>-99682</v>
      </c>
      <c r="K4058" s="4" t="s">
        <v>55</v>
      </c>
      <c r="L4058" s="6">
        <v>0.39400000000000002</v>
      </c>
      <c r="M4058" s="6">
        <v>2.5381</v>
      </c>
      <c r="N4058" s="6">
        <v>0.3977</v>
      </c>
      <c r="O4058" s="6">
        <v>1</v>
      </c>
      <c r="P4058" s="5">
        <v>936.10000000000582</v>
      </c>
      <c r="Q4058" s="4" t="s">
        <v>1390</v>
      </c>
    </row>
    <row r="4059" spans="1:17" x14ac:dyDescent="0.3">
      <c r="A4059" s="2" t="s">
        <v>1389</v>
      </c>
      <c r="B4059" s="3">
        <v>160174</v>
      </c>
      <c r="C4059" s="3">
        <v>221145</v>
      </c>
      <c r="D4059" s="4" t="s">
        <v>17</v>
      </c>
      <c r="E4059" s="4" t="s">
        <v>1190</v>
      </c>
      <c r="F4059" s="4" t="s">
        <v>32</v>
      </c>
      <c r="G4059" s="4" t="s">
        <v>20</v>
      </c>
      <c r="H4059" s="5">
        <v>-5000</v>
      </c>
      <c r="I4059" s="4" t="s">
        <v>21</v>
      </c>
      <c r="J4059" s="5">
        <f t="shared" si="63"/>
        <v>21052</v>
      </c>
      <c r="K4059" s="4" t="s">
        <v>55</v>
      </c>
      <c r="L4059" s="6">
        <v>4.2103999999999999</v>
      </c>
      <c r="M4059" s="6">
        <v>0.23749999999999999</v>
      </c>
      <c r="N4059" s="6">
        <v>4.2008999999999999</v>
      </c>
      <c r="O4059" s="6">
        <v>1</v>
      </c>
      <c r="P4059" s="5">
        <v>43</v>
      </c>
      <c r="Q4059" s="4" t="s">
        <v>1390</v>
      </c>
    </row>
    <row r="4060" spans="1:17" x14ac:dyDescent="0.3">
      <c r="A4060" s="2" t="s">
        <v>1389</v>
      </c>
      <c r="B4060" s="3">
        <v>160176</v>
      </c>
      <c r="C4060" s="3">
        <v>221148</v>
      </c>
      <c r="D4060" s="4" t="s">
        <v>17</v>
      </c>
      <c r="E4060" s="4" t="s">
        <v>1237</v>
      </c>
      <c r="F4060" s="4" t="s">
        <v>32</v>
      </c>
      <c r="G4060" s="4" t="s">
        <v>89</v>
      </c>
      <c r="H4060" s="5">
        <v>-550000</v>
      </c>
      <c r="I4060" s="4" t="s">
        <v>21</v>
      </c>
      <c r="J4060" s="5">
        <f t="shared" si="63"/>
        <v>310585</v>
      </c>
      <c r="K4060" s="4" t="s">
        <v>55</v>
      </c>
      <c r="L4060" s="6">
        <v>0.56469999999999998</v>
      </c>
      <c r="M4060" s="6">
        <v>1.7708999999999999</v>
      </c>
      <c r="N4060" s="6">
        <v>0.56259999999999999</v>
      </c>
      <c r="O4060" s="6">
        <v>1</v>
      </c>
      <c r="P4060" s="5">
        <v>1650</v>
      </c>
      <c r="Q4060" s="4" t="s">
        <v>1390</v>
      </c>
    </row>
    <row r="4061" spans="1:17" x14ac:dyDescent="0.3">
      <c r="A4061" s="2" t="s">
        <v>1389</v>
      </c>
      <c r="B4061" s="3">
        <v>160177</v>
      </c>
      <c r="C4061" s="3">
        <v>221149</v>
      </c>
      <c r="D4061" s="4" t="s">
        <v>17</v>
      </c>
      <c r="E4061" s="4" t="s">
        <v>1224</v>
      </c>
      <c r="F4061" s="4" t="s">
        <v>32</v>
      </c>
      <c r="G4061" s="4" t="s">
        <v>20</v>
      </c>
      <c r="H4061" s="5">
        <v>-10000</v>
      </c>
      <c r="I4061" s="4" t="s">
        <v>21</v>
      </c>
      <c r="J4061" s="5">
        <f t="shared" si="63"/>
        <v>42098.000000000007</v>
      </c>
      <c r="K4061" s="4" t="s">
        <v>55</v>
      </c>
      <c r="L4061" s="6">
        <v>4.2098000000000004</v>
      </c>
      <c r="M4061" s="6">
        <v>0.23749999999999999</v>
      </c>
      <c r="N4061" s="6">
        <v>4.2008999999999999</v>
      </c>
      <c r="O4061" s="6">
        <v>1</v>
      </c>
      <c r="P4061" s="5">
        <v>80</v>
      </c>
      <c r="Q4061" s="4" t="s">
        <v>1390</v>
      </c>
    </row>
    <row r="4062" spans="1:17" x14ac:dyDescent="0.3">
      <c r="A4062" s="2" t="s">
        <v>1389</v>
      </c>
      <c r="B4062" s="3">
        <v>160181</v>
      </c>
      <c r="C4062" s="3">
        <v>221151</v>
      </c>
      <c r="D4062" s="4" t="s">
        <v>17</v>
      </c>
      <c r="E4062" s="4" t="s">
        <v>1142</v>
      </c>
      <c r="F4062" s="4" t="s">
        <v>19</v>
      </c>
      <c r="G4062" s="4" t="s">
        <v>20</v>
      </c>
      <c r="H4062" s="5">
        <v>15000</v>
      </c>
      <c r="I4062" s="4" t="s">
        <v>21</v>
      </c>
      <c r="J4062" s="5">
        <f t="shared" si="63"/>
        <v>-62944.5</v>
      </c>
      <c r="K4062" s="4" t="s">
        <v>55</v>
      </c>
      <c r="L4062" s="6">
        <v>4.1962999999999999</v>
      </c>
      <c r="M4062" s="6">
        <v>0.23830000000000001</v>
      </c>
      <c r="N4062" s="6">
        <v>4.2008999999999999</v>
      </c>
      <c r="O4062" s="6">
        <v>1</v>
      </c>
      <c r="P4062" s="5">
        <v>69</v>
      </c>
      <c r="Q4062" s="4" t="s">
        <v>1390</v>
      </c>
    </row>
    <row r="4063" spans="1:17" x14ac:dyDescent="0.3">
      <c r="A4063" s="2" t="s">
        <v>1389</v>
      </c>
      <c r="B4063" s="3">
        <v>160182</v>
      </c>
      <c r="C4063" s="3">
        <v>221154</v>
      </c>
      <c r="D4063" s="4" t="s">
        <v>17</v>
      </c>
      <c r="E4063" s="4" t="s">
        <v>1336</v>
      </c>
      <c r="F4063" s="4" t="s">
        <v>32</v>
      </c>
      <c r="G4063" s="4" t="s">
        <v>20</v>
      </c>
      <c r="H4063" s="5">
        <v>-20000</v>
      </c>
      <c r="I4063" s="4" t="s">
        <v>21</v>
      </c>
      <c r="J4063" s="5">
        <f t="shared" si="63"/>
        <v>84220</v>
      </c>
      <c r="K4063" s="4" t="s">
        <v>55</v>
      </c>
      <c r="L4063" s="6">
        <v>4.2110000000000003</v>
      </c>
      <c r="M4063" s="6">
        <v>0.23749999999999999</v>
      </c>
      <c r="N4063" s="6">
        <v>4.2008999999999999</v>
      </c>
      <c r="O4063" s="6">
        <v>1</v>
      </c>
      <c r="P4063" s="5">
        <v>202</v>
      </c>
      <c r="Q4063" s="4" t="s">
        <v>1390</v>
      </c>
    </row>
    <row r="4064" spans="1:17" x14ac:dyDescent="0.3">
      <c r="A4064" s="2" t="s">
        <v>1389</v>
      </c>
      <c r="B4064" s="3">
        <v>160188</v>
      </c>
      <c r="C4064" s="3">
        <v>221160</v>
      </c>
      <c r="D4064" s="4" t="s">
        <v>17</v>
      </c>
      <c r="E4064" s="4" t="s">
        <v>987</v>
      </c>
      <c r="F4064" s="4" t="s">
        <v>19</v>
      </c>
      <c r="G4064" s="4" t="s">
        <v>20</v>
      </c>
      <c r="H4064" s="5">
        <v>10000</v>
      </c>
      <c r="I4064" s="4" t="s">
        <v>21</v>
      </c>
      <c r="J4064" s="5">
        <f t="shared" si="63"/>
        <v>-42040</v>
      </c>
      <c r="K4064" s="4" t="s">
        <v>55</v>
      </c>
      <c r="L4064" s="6">
        <v>4.2039999999999997</v>
      </c>
      <c r="M4064" s="6">
        <v>0.2379</v>
      </c>
      <c r="N4064" s="6">
        <v>4.2008999999999999</v>
      </c>
      <c r="O4064" s="6">
        <v>1</v>
      </c>
      <c r="P4064" s="5">
        <v>-31</v>
      </c>
      <c r="Q4064" s="4" t="s">
        <v>1390</v>
      </c>
    </row>
    <row r="4065" spans="1:17" x14ac:dyDescent="0.3">
      <c r="A4065" s="2" t="s">
        <v>1389</v>
      </c>
      <c r="B4065" s="3">
        <v>160191</v>
      </c>
      <c r="C4065" s="3">
        <v>221164</v>
      </c>
      <c r="D4065" s="4" t="s">
        <v>17</v>
      </c>
      <c r="E4065" s="4" t="s">
        <v>1366</v>
      </c>
      <c r="F4065" s="4" t="s">
        <v>32</v>
      </c>
      <c r="G4065" s="4" t="s">
        <v>93</v>
      </c>
      <c r="H4065" s="5">
        <v>-10000</v>
      </c>
      <c r="I4065" s="4" t="s">
        <v>21</v>
      </c>
      <c r="J4065" s="5">
        <f t="shared" si="63"/>
        <v>46152</v>
      </c>
      <c r="K4065" s="4" t="s">
        <v>55</v>
      </c>
      <c r="L4065" s="6">
        <v>4.6151999999999997</v>
      </c>
      <c r="M4065" s="6">
        <v>0.2167</v>
      </c>
      <c r="N4065" s="6">
        <v>4.5683999999999996</v>
      </c>
      <c r="O4065" s="6">
        <v>1</v>
      </c>
      <c r="P4065" s="5">
        <v>448</v>
      </c>
      <c r="Q4065" s="4" t="s">
        <v>1390</v>
      </c>
    </row>
    <row r="4066" spans="1:17" x14ac:dyDescent="0.3">
      <c r="A4066" s="2" t="s">
        <v>1389</v>
      </c>
      <c r="B4066" s="3">
        <v>160195</v>
      </c>
      <c r="C4066" s="3">
        <v>221174</v>
      </c>
      <c r="D4066" s="4" t="s">
        <v>17</v>
      </c>
      <c r="E4066" s="4" t="s">
        <v>920</v>
      </c>
      <c r="F4066" s="4" t="s">
        <v>32</v>
      </c>
      <c r="G4066" s="4" t="s">
        <v>20</v>
      </c>
      <c r="H4066" s="5">
        <v>-4699.3999999999996</v>
      </c>
      <c r="I4066" s="4" t="s">
        <v>21</v>
      </c>
      <c r="J4066" s="5">
        <f t="shared" si="63"/>
        <v>19784.943939999997</v>
      </c>
      <c r="K4066" s="4" t="s">
        <v>55</v>
      </c>
      <c r="L4066" s="6">
        <v>4.2100999999999997</v>
      </c>
      <c r="M4066" s="6">
        <v>0.23749999999999999</v>
      </c>
      <c r="N4066" s="6">
        <v>4.2008999999999999</v>
      </c>
      <c r="O4066" s="6">
        <v>1</v>
      </c>
      <c r="P4066" s="5">
        <v>39.000540000000001</v>
      </c>
      <c r="Q4066" s="4" t="s">
        <v>1390</v>
      </c>
    </row>
    <row r="4067" spans="1:17" x14ac:dyDescent="0.3">
      <c r="A4067" s="2" t="s">
        <v>1389</v>
      </c>
      <c r="B4067" s="3">
        <v>160196</v>
      </c>
      <c r="C4067" s="3">
        <v>221181</v>
      </c>
      <c r="D4067" s="4" t="s">
        <v>17</v>
      </c>
      <c r="E4067" s="4" t="s">
        <v>982</v>
      </c>
      <c r="F4067" s="4" t="s">
        <v>19</v>
      </c>
      <c r="G4067" s="4" t="s">
        <v>20</v>
      </c>
      <c r="H4067" s="5">
        <v>100000</v>
      </c>
      <c r="I4067" s="4" t="s">
        <v>21</v>
      </c>
      <c r="J4067" s="5">
        <f t="shared" si="63"/>
        <v>-418170</v>
      </c>
      <c r="K4067" s="4" t="s">
        <v>55</v>
      </c>
      <c r="L4067" s="6">
        <v>4.1817000000000002</v>
      </c>
      <c r="M4067" s="6">
        <v>0.23910000000000001</v>
      </c>
      <c r="N4067" s="6">
        <v>4.2008999999999999</v>
      </c>
      <c r="O4067" s="6">
        <v>1</v>
      </c>
      <c r="P4067" s="5">
        <v>1920</v>
      </c>
      <c r="Q4067" s="4" t="s">
        <v>1390</v>
      </c>
    </row>
    <row r="4068" spans="1:17" x14ac:dyDescent="0.3">
      <c r="A4068" s="2" t="s">
        <v>1389</v>
      </c>
      <c r="B4068" s="3">
        <v>160198</v>
      </c>
      <c r="C4068" s="3">
        <v>221188</v>
      </c>
      <c r="D4068" s="4" t="s">
        <v>17</v>
      </c>
      <c r="E4068" s="4" t="s">
        <v>783</v>
      </c>
      <c r="F4068" s="4" t="s">
        <v>19</v>
      </c>
      <c r="G4068" s="4" t="s">
        <v>34</v>
      </c>
      <c r="H4068" s="5">
        <v>50000</v>
      </c>
      <c r="I4068" s="4" t="s">
        <v>21</v>
      </c>
      <c r="J4068" s="5">
        <f t="shared" si="63"/>
        <v>-175735</v>
      </c>
      <c r="K4068" s="4" t="s">
        <v>27</v>
      </c>
      <c r="L4068" s="6">
        <v>3.5146999999999999</v>
      </c>
      <c r="M4068" s="6">
        <v>0.28449999999999998</v>
      </c>
      <c r="N4068" s="6">
        <v>3.5188999999999999</v>
      </c>
      <c r="O4068" s="6">
        <v>1</v>
      </c>
      <c r="P4068" s="5">
        <v>210</v>
      </c>
      <c r="Q4068" s="4" t="s">
        <v>1390</v>
      </c>
    </row>
    <row r="4069" spans="1:17" x14ac:dyDescent="0.3">
      <c r="A4069" s="2" t="s">
        <v>1389</v>
      </c>
      <c r="B4069" s="3">
        <v>160200</v>
      </c>
      <c r="C4069" s="3">
        <v>221191</v>
      </c>
      <c r="D4069" s="4" t="s">
        <v>17</v>
      </c>
      <c r="E4069" s="4" t="s">
        <v>872</v>
      </c>
      <c r="F4069" s="4" t="s">
        <v>32</v>
      </c>
      <c r="G4069" s="4" t="s">
        <v>20</v>
      </c>
      <c r="H4069" s="5">
        <v>-4000</v>
      </c>
      <c r="I4069" s="4" t="s">
        <v>21</v>
      </c>
      <c r="J4069" s="5">
        <f t="shared" si="63"/>
        <v>16875.599999999999</v>
      </c>
      <c r="K4069" s="4" t="s">
        <v>55</v>
      </c>
      <c r="L4069" s="6">
        <v>4.2188999999999997</v>
      </c>
      <c r="M4069" s="6">
        <v>0.23699999999999999</v>
      </c>
      <c r="N4069" s="6">
        <v>4.2008999999999999</v>
      </c>
      <c r="O4069" s="6">
        <v>1</v>
      </c>
      <c r="P4069" s="5">
        <v>68.400000000000006</v>
      </c>
      <c r="Q4069" s="4" t="s">
        <v>1390</v>
      </c>
    </row>
    <row r="4070" spans="1:17" x14ac:dyDescent="0.3">
      <c r="A4070" s="2" t="s">
        <v>1389</v>
      </c>
      <c r="B4070" s="3">
        <v>160201</v>
      </c>
      <c r="C4070" s="3">
        <v>221196</v>
      </c>
      <c r="D4070" s="4" t="s">
        <v>17</v>
      </c>
      <c r="E4070" s="4" t="s">
        <v>783</v>
      </c>
      <c r="F4070" s="4" t="s">
        <v>32</v>
      </c>
      <c r="G4070" s="4" t="s">
        <v>20</v>
      </c>
      <c r="H4070" s="5">
        <v>-2000000</v>
      </c>
      <c r="I4070" s="4" t="s">
        <v>21</v>
      </c>
      <c r="J4070" s="5">
        <f t="shared" si="63"/>
        <v>8417400</v>
      </c>
      <c r="K4070" s="4" t="s">
        <v>27</v>
      </c>
      <c r="L4070" s="6">
        <v>4.2087000000000003</v>
      </c>
      <c r="M4070" s="6">
        <v>0.23760000000000001</v>
      </c>
      <c r="N4070" s="6">
        <v>4.2072000000000003</v>
      </c>
      <c r="O4070" s="6">
        <v>1</v>
      </c>
      <c r="P4070" s="5">
        <v>1600</v>
      </c>
      <c r="Q4070" s="4" t="s">
        <v>1390</v>
      </c>
    </row>
    <row r="4071" spans="1:17" x14ac:dyDescent="0.3">
      <c r="A4071" s="2" t="s">
        <v>1389</v>
      </c>
      <c r="B4071" s="3">
        <v>160202</v>
      </c>
      <c r="C4071" s="3">
        <v>221197</v>
      </c>
      <c r="D4071" s="4" t="s">
        <v>17</v>
      </c>
      <c r="E4071" s="4" t="s">
        <v>1270</v>
      </c>
      <c r="F4071" s="4" t="s">
        <v>19</v>
      </c>
      <c r="G4071" s="4" t="s">
        <v>20</v>
      </c>
      <c r="H4071" s="5">
        <v>5000</v>
      </c>
      <c r="I4071" s="4" t="s">
        <v>21</v>
      </c>
      <c r="J4071" s="5">
        <f t="shared" si="63"/>
        <v>-20980.500000000004</v>
      </c>
      <c r="K4071" s="4" t="s">
        <v>55</v>
      </c>
      <c r="L4071" s="6">
        <v>4.1961000000000004</v>
      </c>
      <c r="M4071" s="6">
        <v>0.23830000000000001</v>
      </c>
      <c r="N4071" s="6">
        <v>4.2008999999999999</v>
      </c>
      <c r="O4071" s="6">
        <v>1</v>
      </c>
      <c r="P4071" s="5">
        <v>23.999999999996362</v>
      </c>
      <c r="Q4071" s="4" t="s">
        <v>1390</v>
      </c>
    </row>
    <row r="4072" spans="1:17" x14ac:dyDescent="0.3">
      <c r="A4072" s="2" t="s">
        <v>1389</v>
      </c>
      <c r="B4072" s="3">
        <v>160207</v>
      </c>
      <c r="C4072" s="3">
        <v>221203</v>
      </c>
      <c r="D4072" s="4" t="s">
        <v>17</v>
      </c>
      <c r="E4072" s="4" t="s">
        <v>938</v>
      </c>
      <c r="F4072" s="4" t="s">
        <v>32</v>
      </c>
      <c r="G4072" s="4" t="s">
        <v>20</v>
      </c>
      <c r="H4072" s="5">
        <v>-30500</v>
      </c>
      <c r="I4072" s="4" t="s">
        <v>21</v>
      </c>
      <c r="J4072" s="5">
        <f t="shared" si="63"/>
        <v>128429.4</v>
      </c>
      <c r="K4072" s="4" t="s">
        <v>55</v>
      </c>
      <c r="L4072" s="6">
        <v>4.2107999999999999</v>
      </c>
      <c r="M4072" s="6">
        <v>0.23749999999999999</v>
      </c>
      <c r="N4072" s="6">
        <v>4.2008999999999999</v>
      </c>
      <c r="O4072" s="6">
        <v>1</v>
      </c>
      <c r="P4072" s="5">
        <v>301.95</v>
      </c>
      <c r="Q4072" s="4" t="s">
        <v>1390</v>
      </c>
    </row>
    <row r="4073" spans="1:17" x14ac:dyDescent="0.3">
      <c r="A4073" s="2" t="s">
        <v>1389</v>
      </c>
      <c r="B4073" s="3">
        <v>160208</v>
      </c>
      <c r="C4073" s="3">
        <v>221205</v>
      </c>
      <c r="D4073" s="4" t="s">
        <v>17</v>
      </c>
      <c r="E4073" s="4" t="s">
        <v>1364</v>
      </c>
      <c r="F4073" s="4" t="s">
        <v>19</v>
      </c>
      <c r="G4073" s="4" t="s">
        <v>20</v>
      </c>
      <c r="H4073" s="5">
        <v>155000</v>
      </c>
      <c r="I4073" s="4" t="s">
        <v>21</v>
      </c>
      <c r="J4073" s="5">
        <f t="shared" si="63"/>
        <v>-650225</v>
      </c>
      <c r="K4073" s="4" t="s">
        <v>55</v>
      </c>
      <c r="L4073" s="6">
        <v>4.1950000000000003</v>
      </c>
      <c r="M4073" s="6">
        <v>0.2384</v>
      </c>
      <c r="N4073" s="6">
        <v>4.2008999999999999</v>
      </c>
      <c r="O4073" s="6">
        <v>1</v>
      </c>
      <c r="P4073" s="5">
        <v>914.5</v>
      </c>
      <c r="Q4073" s="4" t="s">
        <v>1390</v>
      </c>
    </row>
    <row r="4074" spans="1:17" x14ac:dyDescent="0.3">
      <c r="A4074" s="2" t="s">
        <v>1389</v>
      </c>
      <c r="B4074" s="3">
        <v>160209</v>
      </c>
      <c r="C4074" s="3">
        <v>221209</v>
      </c>
      <c r="D4074" s="4" t="s">
        <v>17</v>
      </c>
      <c r="E4074" s="4" t="s">
        <v>950</v>
      </c>
      <c r="F4074" s="4" t="s">
        <v>32</v>
      </c>
      <c r="G4074" s="4" t="s">
        <v>34</v>
      </c>
      <c r="H4074" s="5">
        <v>-15000</v>
      </c>
      <c r="I4074" s="4" t="s">
        <v>21</v>
      </c>
      <c r="J4074" s="5">
        <f t="shared" si="63"/>
        <v>52860</v>
      </c>
      <c r="K4074" s="4" t="s">
        <v>55</v>
      </c>
      <c r="L4074" s="6">
        <v>3.524</v>
      </c>
      <c r="M4074" s="6">
        <v>0.2838</v>
      </c>
      <c r="N4074" s="6">
        <v>3.5045000000000002</v>
      </c>
      <c r="O4074" s="6">
        <v>1</v>
      </c>
      <c r="P4074" s="5">
        <v>292.5</v>
      </c>
      <c r="Q4074" s="4" t="s">
        <v>1390</v>
      </c>
    </row>
    <row r="4075" spans="1:17" x14ac:dyDescent="0.3">
      <c r="A4075" s="2" t="s">
        <v>1389</v>
      </c>
      <c r="B4075" s="3">
        <v>160210</v>
      </c>
      <c r="C4075" s="3">
        <v>221210</v>
      </c>
      <c r="D4075" s="4" t="s">
        <v>17</v>
      </c>
      <c r="E4075" s="4" t="s">
        <v>1322</v>
      </c>
      <c r="F4075" s="4" t="s">
        <v>32</v>
      </c>
      <c r="G4075" s="4" t="s">
        <v>20</v>
      </c>
      <c r="H4075" s="5">
        <v>-50000</v>
      </c>
      <c r="I4075" s="4" t="s">
        <v>21</v>
      </c>
      <c r="J4075" s="5">
        <f t="shared" si="63"/>
        <v>210425</v>
      </c>
      <c r="K4075" s="4" t="s">
        <v>55</v>
      </c>
      <c r="L4075" s="6">
        <v>4.2084999999999999</v>
      </c>
      <c r="M4075" s="6">
        <v>0.23760000000000001</v>
      </c>
      <c r="N4075" s="6">
        <v>4.2008999999999999</v>
      </c>
      <c r="O4075" s="6">
        <v>1</v>
      </c>
      <c r="P4075" s="5">
        <v>380</v>
      </c>
      <c r="Q4075" s="4" t="s">
        <v>1390</v>
      </c>
    </row>
    <row r="4076" spans="1:17" x14ac:dyDescent="0.3">
      <c r="A4076" s="2" t="s">
        <v>1389</v>
      </c>
      <c r="B4076" s="3">
        <v>160213</v>
      </c>
      <c r="C4076" s="3">
        <v>221216</v>
      </c>
      <c r="D4076" s="4" t="s">
        <v>17</v>
      </c>
      <c r="E4076" s="4" t="s">
        <v>1194</v>
      </c>
      <c r="F4076" s="4" t="s">
        <v>19</v>
      </c>
      <c r="G4076" s="4" t="s">
        <v>20</v>
      </c>
      <c r="H4076" s="5">
        <v>100000</v>
      </c>
      <c r="I4076" s="4" t="s">
        <v>21</v>
      </c>
      <c r="J4076" s="5">
        <f t="shared" si="63"/>
        <v>-420150</v>
      </c>
      <c r="K4076" s="4" t="s">
        <v>55</v>
      </c>
      <c r="L4076" s="6">
        <v>4.2015000000000002</v>
      </c>
      <c r="M4076" s="6">
        <v>0.23799999999999999</v>
      </c>
      <c r="N4076" s="6">
        <v>4.2008999999999999</v>
      </c>
      <c r="O4076" s="6">
        <v>1</v>
      </c>
      <c r="P4076" s="5">
        <v>-60</v>
      </c>
      <c r="Q4076" s="4" t="s">
        <v>1390</v>
      </c>
    </row>
    <row r="4077" spans="1:17" x14ac:dyDescent="0.3">
      <c r="A4077" s="2" t="s">
        <v>1389</v>
      </c>
      <c r="B4077" s="3">
        <v>160214</v>
      </c>
      <c r="C4077" s="3">
        <v>221217</v>
      </c>
      <c r="D4077" s="4" t="s">
        <v>17</v>
      </c>
      <c r="E4077" s="4" t="s">
        <v>1222</v>
      </c>
      <c r="F4077" s="4" t="s">
        <v>19</v>
      </c>
      <c r="G4077" s="4" t="s">
        <v>20</v>
      </c>
      <c r="H4077" s="5">
        <v>19000</v>
      </c>
      <c r="I4077" s="4" t="s">
        <v>21</v>
      </c>
      <c r="J4077" s="5">
        <f t="shared" si="63"/>
        <v>-79648</v>
      </c>
      <c r="K4077" s="4" t="s">
        <v>55</v>
      </c>
      <c r="L4077" s="6">
        <v>4.1920000000000002</v>
      </c>
      <c r="M4077" s="6">
        <v>0.23849999999999999</v>
      </c>
      <c r="N4077" s="6">
        <v>4.2008999999999999</v>
      </c>
      <c r="O4077" s="6">
        <v>1</v>
      </c>
      <c r="P4077" s="5">
        <v>169.09999999999127</v>
      </c>
      <c r="Q4077" s="4" t="s">
        <v>1390</v>
      </c>
    </row>
    <row r="4078" spans="1:17" x14ac:dyDescent="0.3">
      <c r="A4078" s="2" t="s">
        <v>1389</v>
      </c>
      <c r="B4078" s="3">
        <v>160215</v>
      </c>
      <c r="C4078" s="3">
        <v>221218</v>
      </c>
      <c r="D4078" s="4" t="s">
        <v>17</v>
      </c>
      <c r="E4078" s="4" t="s">
        <v>1387</v>
      </c>
      <c r="F4078" s="4" t="s">
        <v>19</v>
      </c>
      <c r="G4078" s="4" t="s">
        <v>20</v>
      </c>
      <c r="H4078" s="5">
        <v>7891.96</v>
      </c>
      <c r="I4078" s="4" t="s">
        <v>21</v>
      </c>
      <c r="J4078" s="5">
        <f t="shared" si="63"/>
        <v>-32905.527220000004</v>
      </c>
      <c r="K4078" s="4" t="s">
        <v>55</v>
      </c>
      <c r="L4078" s="6">
        <v>4.1695000000000002</v>
      </c>
      <c r="M4078" s="6">
        <v>0.23980000000000001</v>
      </c>
      <c r="N4078" s="6">
        <v>4.2008999999999999</v>
      </c>
      <c r="O4078" s="6">
        <v>1</v>
      </c>
      <c r="P4078" s="5">
        <v>247.80754399999569</v>
      </c>
      <c r="Q4078" s="4" t="s">
        <v>1390</v>
      </c>
    </row>
    <row r="4079" spans="1:17" x14ac:dyDescent="0.3">
      <c r="A4079" s="2" t="s">
        <v>1389</v>
      </c>
      <c r="B4079" s="3">
        <v>160216</v>
      </c>
      <c r="C4079" s="3">
        <v>221219</v>
      </c>
      <c r="D4079" s="4" t="s">
        <v>17</v>
      </c>
      <c r="E4079" s="4" t="s">
        <v>1387</v>
      </c>
      <c r="F4079" s="4" t="s">
        <v>19</v>
      </c>
      <c r="G4079" s="4" t="s">
        <v>20</v>
      </c>
      <c r="H4079" s="5">
        <v>6005.13</v>
      </c>
      <c r="I4079" s="4" t="s">
        <v>21</v>
      </c>
      <c r="J4079" s="5">
        <f t="shared" si="63"/>
        <v>-25038.389535000002</v>
      </c>
      <c r="K4079" s="4" t="s">
        <v>55</v>
      </c>
      <c r="L4079" s="6">
        <v>4.1695000000000002</v>
      </c>
      <c r="M4079" s="6">
        <v>0.23980000000000001</v>
      </c>
      <c r="N4079" s="6">
        <v>4.2008999999999999</v>
      </c>
      <c r="O4079" s="6">
        <v>1</v>
      </c>
      <c r="P4079" s="5">
        <v>188.56108199999653</v>
      </c>
      <c r="Q4079" s="4" t="s">
        <v>1390</v>
      </c>
    </row>
    <row r="4080" spans="1:17" x14ac:dyDescent="0.3">
      <c r="A4080" s="2" t="s">
        <v>1389</v>
      </c>
      <c r="B4080" s="3">
        <v>160217</v>
      </c>
      <c r="C4080" s="3">
        <v>221220</v>
      </c>
      <c r="D4080" s="4" t="s">
        <v>17</v>
      </c>
      <c r="E4080" s="4" t="s">
        <v>1284</v>
      </c>
      <c r="F4080" s="4" t="s">
        <v>19</v>
      </c>
      <c r="G4080" s="4" t="s">
        <v>20</v>
      </c>
      <c r="H4080" s="5">
        <v>1066000</v>
      </c>
      <c r="I4080" s="4" t="s">
        <v>21</v>
      </c>
      <c r="J4080" s="5">
        <f t="shared" si="63"/>
        <v>-4475814.1999999993</v>
      </c>
      <c r="K4080" s="4" t="s">
        <v>55</v>
      </c>
      <c r="L4080" s="6">
        <v>4.1986999999999997</v>
      </c>
      <c r="M4080" s="6">
        <v>0.2382</v>
      </c>
      <c r="N4080" s="6">
        <v>4.2008999999999999</v>
      </c>
      <c r="O4080" s="6">
        <v>1</v>
      </c>
      <c r="P4080" s="5">
        <v>2345.2000000001863</v>
      </c>
      <c r="Q4080" s="4" t="s">
        <v>1390</v>
      </c>
    </row>
    <row r="4081" spans="1:17" x14ac:dyDescent="0.3">
      <c r="A4081" s="2" t="s">
        <v>1389</v>
      </c>
      <c r="B4081" s="3">
        <v>160218</v>
      </c>
      <c r="C4081" s="3">
        <v>221221</v>
      </c>
      <c r="D4081" s="4" t="s">
        <v>17</v>
      </c>
      <c r="E4081" s="4" t="s">
        <v>1387</v>
      </c>
      <c r="F4081" s="4" t="s">
        <v>19</v>
      </c>
      <c r="G4081" s="4" t="s">
        <v>20</v>
      </c>
      <c r="H4081" s="5">
        <v>4777.71</v>
      </c>
      <c r="I4081" s="4" t="s">
        <v>21</v>
      </c>
      <c r="J4081" s="5">
        <f t="shared" si="63"/>
        <v>-19920.661845000002</v>
      </c>
      <c r="K4081" s="4" t="s">
        <v>55</v>
      </c>
      <c r="L4081" s="6">
        <v>4.1695000000000002</v>
      </c>
      <c r="M4081" s="6">
        <v>0.23980000000000001</v>
      </c>
      <c r="N4081" s="6">
        <v>4.2008999999999999</v>
      </c>
      <c r="O4081" s="6">
        <v>1</v>
      </c>
      <c r="P4081" s="5">
        <v>150.02009399999588</v>
      </c>
      <c r="Q4081" s="4" t="s">
        <v>1390</v>
      </c>
    </row>
    <row r="4082" spans="1:17" x14ac:dyDescent="0.3">
      <c r="A4082" s="2" t="s">
        <v>1389</v>
      </c>
      <c r="B4082" s="3">
        <v>160219</v>
      </c>
      <c r="C4082" s="3">
        <v>221223</v>
      </c>
      <c r="D4082" s="4" t="s">
        <v>17</v>
      </c>
      <c r="E4082" s="4" t="s">
        <v>1387</v>
      </c>
      <c r="F4082" s="4" t="s">
        <v>19</v>
      </c>
      <c r="G4082" s="4" t="s">
        <v>20</v>
      </c>
      <c r="H4082" s="5">
        <v>3981.25</v>
      </c>
      <c r="I4082" s="4" t="s">
        <v>21</v>
      </c>
      <c r="J4082" s="5">
        <f t="shared" si="63"/>
        <v>-16599.821875000001</v>
      </c>
      <c r="K4082" s="4" t="s">
        <v>55</v>
      </c>
      <c r="L4082" s="6">
        <v>4.1695000000000002</v>
      </c>
      <c r="M4082" s="6">
        <v>0.23980000000000001</v>
      </c>
      <c r="N4082" s="6">
        <v>4.2008999999999999</v>
      </c>
      <c r="O4082" s="6">
        <v>1</v>
      </c>
      <c r="P4082" s="5">
        <v>125.01124999999956</v>
      </c>
      <c r="Q4082" s="4" t="s">
        <v>1390</v>
      </c>
    </row>
    <row r="4083" spans="1:17" x14ac:dyDescent="0.3">
      <c r="A4083" s="2" t="s">
        <v>1389</v>
      </c>
      <c r="B4083" s="3">
        <v>160220</v>
      </c>
      <c r="C4083" s="3">
        <v>221224</v>
      </c>
      <c r="D4083" s="4" t="s">
        <v>17</v>
      </c>
      <c r="E4083" s="4" t="s">
        <v>1387</v>
      </c>
      <c r="F4083" s="4" t="s">
        <v>19</v>
      </c>
      <c r="G4083" s="4" t="s">
        <v>20</v>
      </c>
      <c r="H4083" s="5">
        <v>3259.67</v>
      </c>
      <c r="I4083" s="4" t="s">
        <v>21</v>
      </c>
      <c r="J4083" s="5">
        <f t="shared" si="63"/>
        <v>-13591.194065000002</v>
      </c>
      <c r="K4083" s="4" t="s">
        <v>55</v>
      </c>
      <c r="L4083" s="6">
        <v>4.1695000000000002</v>
      </c>
      <c r="M4083" s="6">
        <v>0.23980000000000001</v>
      </c>
      <c r="N4083" s="6">
        <v>4.2008999999999999</v>
      </c>
      <c r="O4083" s="6">
        <v>1</v>
      </c>
      <c r="P4083" s="5">
        <v>102.35363799999868</v>
      </c>
      <c r="Q4083" s="4" t="s">
        <v>1390</v>
      </c>
    </row>
    <row r="4084" spans="1:17" x14ac:dyDescent="0.3">
      <c r="A4084" s="2" t="s">
        <v>1389</v>
      </c>
      <c r="B4084" s="3">
        <v>160221</v>
      </c>
      <c r="C4084" s="3">
        <v>221225</v>
      </c>
      <c r="D4084" s="4" t="s">
        <v>17</v>
      </c>
      <c r="E4084" s="4" t="s">
        <v>1387</v>
      </c>
      <c r="F4084" s="4" t="s">
        <v>19</v>
      </c>
      <c r="G4084" s="4" t="s">
        <v>20</v>
      </c>
      <c r="H4084" s="5">
        <v>3065.38</v>
      </c>
      <c r="I4084" s="4" t="s">
        <v>21</v>
      </c>
      <c r="J4084" s="5">
        <f t="shared" si="63"/>
        <v>-12781.101910000001</v>
      </c>
      <c r="K4084" s="4" t="s">
        <v>55</v>
      </c>
      <c r="L4084" s="6">
        <v>4.1695000000000002</v>
      </c>
      <c r="M4084" s="6">
        <v>0.23980000000000001</v>
      </c>
      <c r="N4084" s="6">
        <v>4.2008999999999999</v>
      </c>
      <c r="O4084" s="6">
        <v>1</v>
      </c>
      <c r="P4084" s="5">
        <v>96.252931999999419</v>
      </c>
      <c r="Q4084" s="4" t="s">
        <v>1390</v>
      </c>
    </row>
    <row r="4085" spans="1:17" x14ac:dyDescent="0.3">
      <c r="A4085" s="2" t="s">
        <v>1389</v>
      </c>
      <c r="B4085" s="3">
        <v>160222</v>
      </c>
      <c r="C4085" s="3">
        <v>221226</v>
      </c>
      <c r="D4085" s="4" t="s">
        <v>17</v>
      </c>
      <c r="E4085" s="4" t="s">
        <v>1387</v>
      </c>
      <c r="F4085" s="4" t="s">
        <v>19</v>
      </c>
      <c r="G4085" s="4" t="s">
        <v>20</v>
      </c>
      <c r="H4085" s="5">
        <v>1073.31</v>
      </c>
      <c r="I4085" s="4" t="s">
        <v>21</v>
      </c>
      <c r="J4085" s="5">
        <f t="shared" si="63"/>
        <v>-4475.1660449999999</v>
      </c>
      <c r="K4085" s="4" t="s">
        <v>55</v>
      </c>
      <c r="L4085" s="6">
        <v>4.1695000000000002</v>
      </c>
      <c r="M4085" s="6">
        <v>0.23980000000000001</v>
      </c>
      <c r="N4085" s="6">
        <v>4.2008999999999999</v>
      </c>
      <c r="O4085" s="6">
        <v>1</v>
      </c>
      <c r="P4085" s="5">
        <v>33.70193399999971</v>
      </c>
      <c r="Q4085" s="4" t="s">
        <v>1390</v>
      </c>
    </row>
    <row r="4086" spans="1:17" x14ac:dyDescent="0.3">
      <c r="A4086" s="2" t="s">
        <v>1389</v>
      </c>
      <c r="B4086" s="3">
        <v>160223</v>
      </c>
      <c r="C4086" s="3">
        <v>221231</v>
      </c>
      <c r="D4086" s="4" t="s">
        <v>17</v>
      </c>
      <c r="E4086" s="4" t="s">
        <v>921</v>
      </c>
      <c r="F4086" s="4" t="s">
        <v>19</v>
      </c>
      <c r="G4086" s="4" t="s">
        <v>20</v>
      </c>
      <c r="H4086" s="5">
        <v>140000</v>
      </c>
      <c r="I4086" s="4" t="s">
        <v>21</v>
      </c>
      <c r="J4086" s="5">
        <f t="shared" si="63"/>
        <v>-587846</v>
      </c>
      <c r="K4086" s="4" t="s">
        <v>55</v>
      </c>
      <c r="L4086" s="6">
        <v>4.1989000000000001</v>
      </c>
      <c r="M4086" s="6">
        <v>0.2382</v>
      </c>
      <c r="N4086" s="6">
        <v>4.2008999999999999</v>
      </c>
      <c r="O4086" s="6">
        <v>1</v>
      </c>
      <c r="P4086" s="5">
        <v>280</v>
      </c>
      <c r="Q4086" s="4" t="s">
        <v>1390</v>
      </c>
    </row>
    <row r="4087" spans="1:17" x14ac:dyDescent="0.3">
      <c r="A4087" s="2" t="s">
        <v>1389</v>
      </c>
      <c r="B4087" s="3">
        <v>160224</v>
      </c>
      <c r="C4087" s="3">
        <v>221233</v>
      </c>
      <c r="D4087" s="4" t="s">
        <v>17</v>
      </c>
      <c r="E4087" s="4" t="s">
        <v>873</v>
      </c>
      <c r="F4087" s="4" t="s">
        <v>19</v>
      </c>
      <c r="G4087" s="4" t="s">
        <v>34</v>
      </c>
      <c r="H4087" s="5">
        <v>8000</v>
      </c>
      <c r="I4087" s="4" t="s">
        <v>21</v>
      </c>
      <c r="J4087" s="5">
        <f t="shared" si="63"/>
        <v>-28004</v>
      </c>
      <c r="K4087" s="4" t="s">
        <v>55</v>
      </c>
      <c r="L4087" s="6">
        <v>3.5005000000000002</v>
      </c>
      <c r="M4087" s="6">
        <v>0.28570000000000001</v>
      </c>
      <c r="N4087" s="6">
        <v>3.5045000000000002</v>
      </c>
      <c r="O4087" s="6">
        <v>1</v>
      </c>
      <c r="P4087" s="5">
        <v>32</v>
      </c>
      <c r="Q4087" s="4" t="s">
        <v>1390</v>
      </c>
    </row>
    <row r="4088" spans="1:17" x14ac:dyDescent="0.3">
      <c r="A4088" s="2" t="s">
        <v>1389</v>
      </c>
      <c r="B4088" s="3">
        <v>160225</v>
      </c>
      <c r="C4088" s="3">
        <v>221235</v>
      </c>
      <c r="D4088" s="4" t="s">
        <v>17</v>
      </c>
      <c r="E4088" s="4" t="s">
        <v>879</v>
      </c>
      <c r="F4088" s="4" t="s">
        <v>32</v>
      </c>
      <c r="G4088" s="4" t="s">
        <v>20</v>
      </c>
      <c r="H4088" s="5">
        <v>-300000</v>
      </c>
      <c r="I4088" s="4" t="s">
        <v>21</v>
      </c>
      <c r="J4088" s="5">
        <f t="shared" si="63"/>
        <v>1293060</v>
      </c>
      <c r="K4088" s="4" t="s">
        <v>55</v>
      </c>
      <c r="L4088" s="6">
        <v>4.3102</v>
      </c>
      <c r="M4088" s="6">
        <v>0.23200000000000001</v>
      </c>
      <c r="N4088" s="6">
        <v>4.2008999999999999</v>
      </c>
      <c r="O4088" s="6">
        <v>1</v>
      </c>
      <c r="P4088" s="5">
        <v>32730</v>
      </c>
      <c r="Q4088" s="4" t="s">
        <v>1390</v>
      </c>
    </row>
    <row r="4089" spans="1:17" x14ac:dyDescent="0.3">
      <c r="A4089" s="2" t="s">
        <v>1389</v>
      </c>
      <c r="B4089" s="3">
        <v>160226</v>
      </c>
      <c r="C4089" s="3">
        <v>221237</v>
      </c>
      <c r="D4089" s="4" t="s">
        <v>17</v>
      </c>
      <c r="E4089" s="4" t="s">
        <v>1192</v>
      </c>
      <c r="F4089" s="4" t="s">
        <v>19</v>
      </c>
      <c r="G4089" s="4" t="s">
        <v>20</v>
      </c>
      <c r="H4089" s="5">
        <v>150000</v>
      </c>
      <c r="I4089" s="4" t="s">
        <v>21</v>
      </c>
      <c r="J4089" s="5">
        <f t="shared" si="63"/>
        <v>-630735</v>
      </c>
      <c r="K4089" s="4" t="s">
        <v>55</v>
      </c>
      <c r="L4089" s="6">
        <v>4.2049000000000003</v>
      </c>
      <c r="M4089" s="6">
        <v>0.23780000000000001</v>
      </c>
      <c r="N4089" s="6">
        <v>4.2008999999999999</v>
      </c>
      <c r="O4089" s="6">
        <v>1</v>
      </c>
      <c r="P4089" s="5">
        <v>-600</v>
      </c>
      <c r="Q4089" s="4" t="s">
        <v>1390</v>
      </c>
    </row>
    <row r="4090" spans="1:17" x14ac:dyDescent="0.3">
      <c r="A4090" s="2" t="s">
        <v>1389</v>
      </c>
      <c r="B4090" s="3">
        <v>160228</v>
      </c>
      <c r="C4090" s="3">
        <v>221240</v>
      </c>
      <c r="D4090" s="4" t="s">
        <v>17</v>
      </c>
      <c r="E4090" s="4" t="s">
        <v>1255</v>
      </c>
      <c r="F4090" s="4" t="s">
        <v>19</v>
      </c>
      <c r="G4090" s="4" t="s">
        <v>20</v>
      </c>
      <c r="H4090" s="5">
        <v>800000</v>
      </c>
      <c r="I4090" s="4" t="s">
        <v>21</v>
      </c>
      <c r="J4090" s="5">
        <f t="shared" si="63"/>
        <v>-3361600</v>
      </c>
      <c r="K4090" s="4" t="s">
        <v>55</v>
      </c>
      <c r="L4090" s="6">
        <v>4.202</v>
      </c>
      <c r="M4090" s="6">
        <v>0.23799999999999999</v>
      </c>
      <c r="N4090" s="6">
        <v>4.2008999999999999</v>
      </c>
      <c r="O4090" s="6">
        <v>1</v>
      </c>
      <c r="P4090" s="5">
        <v>-880</v>
      </c>
      <c r="Q4090" s="4" t="s">
        <v>1390</v>
      </c>
    </row>
    <row r="4091" spans="1:17" x14ac:dyDescent="0.3">
      <c r="A4091" s="2" t="s">
        <v>1389</v>
      </c>
      <c r="B4091" s="3">
        <v>160229</v>
      </c>
      <c r="C4091" s="3">
        <v>221241</v>
      </c>
      <c r="D4091" s="4" t="s">
        <v>17</v>
      </c>
      <c r="E4091" s="4" t="s">
        <v>746</v>
      </c>
      <c r="F4091" s="4" t="s">
        <v>32</v>
      </c>
      <c r="G4091" s="4" t="s">
        <v>20</v>
      </c>
      <c r="H4091" s="5">
        <v>-400000</v>
      </c>
      <c r="I4091" s="4" t="s">
        <v>21</v>
      </c>
      <c r="J4091" s="5">
        <f t="shared" si="63"/>
        <v>1684760</v>
      </c>
      <c r="K4091" s="4" t="s">
        <v>55</v>
      </c>
      <c r="L4091" s="6">
        <v>4.2119</v>
      </c>
      <c r="M4091" s="6">
        <v>0.2374</v>
      </c>
      <c r="N4091" s="6">
        <v>4.2008999999999999</v>
      </c>
      <c r="O4091" s="6">
        <v>1</v>
      </c>
      <c r="P4091" s="5">
        <v>4040</v>
      </c>
      <c r="Q4091" s="4" t="s">
        <v>1390</v>
      </c>
    </row>
    <row r="4092" spans="1:17" x14ac:dyDescent="0.3">
      <c r="A4092" s="2" t="s">
        <v>1389</v>
      </c>
      <c r="B4092" s="3">
        <v>160230</v>
      </c>
      <c r="C4092" s="3">
        <v>221242</v>
      </c>
      <c r="D4092" s="4" t="s">
        <v>17</v>
      </c>
      <c r="E4092" s="4" t="s">
        <v>1081</v>
      </c>
      <c r="F4092" s="4" t="s">
        <v>32</v>
      </c>
      <c r="G4092" s="4" t="s">
        <v>20</v>
      </c>
      <c r="H4092" s="5">
        <v>-60000</v>
      </c>
      <c r="I4092" s="4" t="s">
        <v>21</v>
      </c>
      <c r="J4092" s="5">
        <f t="shared" si="63"/>
        <v>252480</v>
      </c>
      <c r="K4092" s="4" t="s">
        <v>55</v>
      </c>
      <c r="L4092" s="6">
        <v>4.2080000000000002</v>
      </c>
      <c r="M4092" s="6">
        <v>0.23760000000000001</v>
      </c>
      <c r="N4092" s="6">
        <v>4.2008999999999999</v>
      </c>
      <c r="O4092" s="6">
        <v>1</v>
      </c>
      <c r="P4092" s="5">
        <v>426</v>
      </c>
      <c r="Q4092" s="4" t="s">
        <v>1390</v>
      </c>
    </row>
    <row r="4093" spans="1:17" x14ac:dyDescent="0.3">
      <c r="A4093" s="2" t="s">
        <v>1389</v>
      </c>
      <c r="B4093" s="3">
        <v>160231</v>
      </c>
      <c r="C4093" s="3">
        <v>221245</v>
      </c>
      <c r="D4093" s="4" t="s">
        <v>17</v>
      </c>
      <c r="E4093" s="4" t="s">
        <v>1233</v>
      </c>
      <c r="F4093" s="4" t="s">
        <v>32</v>
      </c>
      <c r="G4093" s="4" t="s">
        <v>34</v>
      </c>
      <c r="H4093" s="5">
        <v>-16000</v>
      </c>
      <c r="I4093" s="4" t="s">
        <v>21</v>
      </c>
      <c r="J4093" s="5">
        <f t="shared" si="63"/>
        <v>56326.400000000001</v>
      </c>
      <c r="K4093" s="4" t="s">
        <v>55</v>
      </c>
      <c r="L4093" s="6">
        <v>3.5204</v>
      </c>
      <c r="M4093" s="6">
        <v>0.28410000000000002</v>
      </c>
      <c r="N4093" s="6">
        <v>3.5045000000000002</v>
      </c>
      <c r="O4093" s="6">
        <v>1</v>
      </c>
      <c r="P4093" s="5">
        <v>254.4</v>
      </c>
      <c r="Q4093" s="4" t="s">
        <v>1390</v>
      </c>
    </row>
    <row r="4094" spans="1:17" x14ac:dyDescent="0.3">
      <c r="A4094" s="2" t="s">
        <v>1389</v>
      </c>
      <c r="B4094" s="3">
        <v>160233</v>
      </c>
      <c r="C4094" s="3">
        <v>221248</v>
      </c>
      <c r="D4094" s="4" t="s">
        <v>17</v>
      </c>
      <c r="E4094" s="4" t="s">
        <v>922</v>
      </c>
      <c r="F4094" s="4" t="s">
        <v>32</v>
      </c>
      <c r="G4094" s="4" t="s">
        <v>20</v>
      </c>
      <c r="H4094" s="5">
        <v>-155905.92000000001</v>
      </c>
      <c r="I4094" s="4" t="s">
        <v>21</v>
      </c>
      <c r="J4094" s="5">
        <f t="shared" si="63"/>
        <v>657455.26463999995</v>
      </c>
      <c r="K4094" s="4" t="s">
        <v>55</v>
      </c>
      <c r="L4094" s="6">
        <v>4.2169999999999996</v>
      </c>
      <c r="M4094" s="6">
        <v>0.23710000000000001</v>
      </c>
      <c r="N4094" s="6">
        <v>4.2008999999999999</v>
      </c>
      <c r="O4094" s="6">
        <v>1</v>
      </c>
      <c r="P4094" s="5">
        <v>654.82067199999995</v>
      </c>
      <c r="Q4094" s="4" t="s">
        <v>1390</v>
      </c>
    </row>
    <row r="4095" spans="1:17" x14ac:dyDescent="0.3">
      <c r="A4095" s="2" t="s">
        <v>1389</v>
      </c>
      <c r="B4095" s="3">
        <v>160236</v>
      </c>
      <c r="C4095" s="3">
        <v>221251</v>
      </c>
      <c r="D4095" s="4" t="s">
        <v>17</v>
      </c>
      <c r="E4095" s="4" t="s">
        <v>1154</v>
      </c>
      <c r="F4095" s="4" t="s">
        <v>32</v>
      </c>
      <c r="G4095" s="4" t="s">
        <v>20</v>
      </c>
      <c r="H4095" s="5">
        <v>-54200</v>
      </c>
      <c r="I4095" s="4" t="s">
        <v>21</v>
      </c>
      <c r="J4095" s="5">
        <f t="shared" si="63"/>
        <v>227921.83999999997</v>
      </c>
      <c r="K4095" s="4" t="s">
        <v>55</v>
      </c>
      <c r="L4095" s="6">
        <v>4.2051999999999996</v>
      </c>
      <c r="M4095" s="6">
        <v>0.23780000000000001</v>
      </c>
      <c r="N4095" s="6">
        <v>4.2008999999999999</v>
      </c>
      <c r="O4095" s="6">
        <v>1</v>
      </c>
      <c r="P4095" s="5">
        <v>184.28</v>
      </c>
      <c r="Q4095" s="4" t="s">
        <v>1390</v>
      </c>
    </row>
    <row r="4096" spans="1:17" x14ac:dyDescent="0.3">
      <c r="A4096" s="2" t="s">
        <v>1389</v>
      </c>
      <c r="B4096" s="3">
        <v>160237</v>
      </c>
      <c r="C4096" s="3">
        <v>221253</v>
      </c>
      <c r="D4096" s="4" t="s">
        <v>17</v>
      </c>
      <c r="E4096" s="4" t="s">
        <v>852</v>
      </c>
      <c r="F4096" s="4" t="s">
        <v>19</v>
      </c>
      <c r="G4096" s="4" t="s">
        <v>20</v>
      </c>
      <c r="H4096" s="5">
        <v>300000</v>
      </c>
      <c r="I4096" s="4" t="s">
        <v>21</v>
      </c>
      <c r="J4096" s="5">
        <f t="shared" si="63"/>
        <v>-1260600</v>
      </c>
      <c r="K4096" s="4" t="s">
        <v>55</v>
      </c>
      <c r="L4096" s="6">
        <v>4.202</v>
      </c>
      <c r="M4096" s="6">
        <v>0.23799999999999999</v>
      </c>
      <c r="N4096" s="6">
        <v>4.2008999999999999</v>
      </c>
      <c r="O4096" s="6">
        <v>1</v>
      </c>
      <c r="P4096" s="5">
        <v>-330</v>
      </c>
      <c r="Q4096" s="4" t="s">
        <v>1390</v>
      </c>
    </row>
    <row r="4097" spans="1:17" x14ac:dyDescent="0.3">
      <c r="A4097" s="2" t="s">
        <v>1389</v>
      </c>
      <c r="B4097" s="3">
        <v>160238</v>
      </c>
      <c r="C4097" s="3">
        <v>221258</v>
      </c>
      <c r="D4097" s="4" t="s">
        <v>17</v>
      </c>
      <c r="E4097" s="4" t="s">
        <v>1000</v>
      </c>
      <c r="F4097" s="4" t="s">
        <v>32</v>
      </c>
      <c r="G4097" s="4" t="s">
        <v>20</v>
      </c>
      <c r="H4097" s="5">
        <v>-100000</v>
      </c>
      <c r="I4097" s="4" t="s">
        <v>21</v>
      </c>
      <c r="J4097" s="5">
        <f t="shared" si="63"/>
        <v>421600</v>
      </c>
      <c r="K4097" s="4" t="s">
        <v>55</v>
      </c>
      <c r="L4097" s="6">
        <v>4.2160000000000002</v>
      </c>
      <c r="M4097" s="6">
        <v>0.23719999999999999</v>
      </c>
      <c r="N4097" s="6">
        <v>4.2008999999999999</v>
      </c>
      <c r="O4097" s="6">
        <v>1</v>
      </c>
      <c r="P4097" s="5">
        <v>1510</v>
      </c>
      <c r="Q4097" s="4" t="s">
        <v>1390</v>
      </c>
    </row>
    <row r="4098" spans="1:17" x14ac:dyDescent="0.3">
      <c r="A4098" s="2" t="s">
        <v>1389</v>
      </c>
      <c r="B4098" s="3">
        <v>160248</v>
      </c>
      <c r="C4098" s="3">
        <v>221259</v>
      </c>
      <c r="D4098" s="4" t="s">
        <v>17</v>
      </c>
      <c r="E4098" s="4" t="s">
        <v>1042</v>
      </c>
      <c r="F4098" s="4" t="s">
        <v>19</v>
      </c>
      <c r="G4098" s="4" t="s">
        <v>20</v>
      </c>
      <c r="H4098" s="5">
        <v>200505.63</v>
      </c>
      <c r="I4098" s="4" t="s">
        <v>21</v>
      </c>
      <c r="J4098" s="5">
        <f t="shared" si="63"/>
        <v>-841582.28079900006</v>
      </c>
      <c r="K4098" s="4" t="s">
        <v>55</v>
      </c>
      <c r="L4098" s="6">
        <v>4.1973000000000003</v>
      </c>
      <c r="M4098" s="6">
        <v>0.2382</v>
      </c>
      <c r="N4098" s="6">
        <v>4.2008999999999999</v>
      </c>
      <c r="O4098" s="6">
        <v>1</v>
      </c>
      <c r="P4098" s="5">
        <v>721.82026799989399</v>
      </c>
      <c r="Q4098" s="4" t="s">
        <v>1390</v>
      </c>
    </row>
    <row r="4099" spans="1:17" x14ac:dyDescent="0.3">
      <c r="A4099" s="2" t="s">
        <v>1389</v>
      </c>
      <c r="B4099" s="3">
        <v>160250</v>
      </c>
      <c r="C4099" s="3">
        <v>221263</v>
      </c>
      <c r="D4099" s="4" t="s">
        <v>17</v>
      </c>
      <c r="E4099" s="4" t="s">
        <v>994</v>
      </c>
      <c r="F4099" s="4" t="s">
        <v>19</v>
      </c>
      <c r="G4099" s="4" t="s">
        <v>20</v>
      </c>
      <c r="H4099" s="5">
        <v>5000</v>
      </c>
      <c r="I4099" s="4" t="s">
        <v>21</v>
      </c>
      <c r="J4099" s="5">
        <f t="shared" si="63"/>
        <v>-20910.000000000004</v>
      </c>
      <c r="K4099" s="4" t="s">
        <v>55</v>
      </c>
      <c r="L4099" s="6">
        <v>4.1820000000000004</v>
      </c>
      <c r="M4099" s="6">
        <v>0.23910000000000001</v>
      </c>
      <c r="N4099" s="6">
        <v>4.2008999999999999</v>
      </c>
      <c r="O4099" s="6">
        <v>1</v>
      </c>
      <c r="P4099" s="5">
        <v>94.499999999996362</v>
      </c>
      <c r="Q4099" s="4" t="s">
        <v>1390</v>
      </c>
    </row>
    <row r="4100" spans="1:17" x14ac:dyDescent="0.3">
      <c r="A4100" s="2" t="s">
        <v>1389</v>
      </c>
      <c r="B4100" s="3">
        <v>160254</v>
      </c>
      <c r="C4100" s="3">
        <v>221268</v>
      </c>
      <c r="D4100" s="4" t="s">
        <v>17</v>
      </c>
      <c r="E4100" s="4" t="s">
        <v>909</v>
      </c>
      <c r="F4100" s="4" t="s">
        <v>19</v>
      </c>
      <c r="G4100" s="4" t="s">
        <v>20</v>
      </c>
      <c r="H4100" s="5">
        <v>480000</v>
      </c>
      <c r="I4100" s="4" t="s">
        <v>21</v>
      </c>
      <c r="J4100" s="5">
        <f t="shared" ref="J4100:J4163" si="64">-H4100*L4100</f>
        <v>-2015952.0000000002</v>
      </c>
      <c r="K4100" s="4" t="s">
        <v>55</v>
      </c>
      <c r="L4100" s="6">
        <v>4.1999000000000004</v>
      </c>
      <c r="M4100" s="6">
        <v>0.23810000000000001</v>
      </c>
      <c r="N4100" s="6">
        <v>4.2008999999999999</v>
      </c>
      <c r="O4100" s="6">
        <v>1</v>
      </c>
      <c r="P4100" s="5">
        <v>479.99999999976717</v>
      </c>
      <c r="Q4100" s="4" t="s">
        <v>1390</v>
      </c>
    </row>
    <row r="4101" spans="1:17" x14ac:dyDescent="0.3">
      <c r="A4101" s="2" t="s">
        <v>1389</v>
      </c>
      <c r="B4101" s="3">
        <v>160255</v>
      </c>
      <c r="C4101" s="3">
        <v>221270</v>
      </c>
      <c r="D4101" s="4" t="s">
        <v>17</v>
      </c>
      <c r="E4101" s="4" t="s">
        <v>973</v>
      </c>
      <c r="F4101" s="4" t="s">
        <v>32</v>
      </c>
      <c r="G4101" s="4" t="s">
        <v>20</v>
      </c>
      <c r="H4101" s="5">
        <v>-40000</v>
      </c>
      <c r="I4101" s="4" t="s">
        <v>21</v>
      </c>
      <c r="J4101" s="5">
        <f t="shared" si="64"/>
        <v>168516</v>
      </c>
      <c r="K4101" s="4" t="s">
        <v>55</v>
      </c>
      <c r="L4101" s="6">
        <v>4.2129000000000003</v>
      </c>
      <c r="M4101" s="6">
        <v>0.2374</v>
      </c>
      <c r="N4101" s="6">
        <v>4.2008999999999999</v>
      </c>
      <c r="O4101" s="6">
        <v>1</v>
      </c>
      <c r="P4101" s="5">
        <v>444</v>
      </c>
      <c r="Q4101" s="4" t="s">
        <v>1390</v>
      </c>
    </row>
    <row r="4102" spans="1:17" x14ac:dyDescent="0.3">
      <c r="A4102" s="2" t="s">
        <v>1389</v>
      </c>
      <c r="B4102" s="3">
        <v>160258</v>
      </c>
      <c r="C4102" s="3">
        <v>221271</v>
      </c>
      <c r="D4102" s="4" t="s">
        <v>17</v>
      </c>
      <c r="E4102" s="4" t="s">
        <v>1180</v>
      </c>
      <c r="F4102" s="4" t="s">
        <v>19</v>
      </c>
      <c r="G4102" s="4" t="s">
        <v>20</v>
      </c>
      <c r="H4102" s="5">
        <v>158100</v>
      </c>
      <c r="I4102" s="4" t="s">
        <v>21</v>
      </c>
      <c r="J4102" s="5">
        <f t="shared" si="64"/>
        <v>-663545.69999999995</v>
      </c>
      <c r="K4102" s="4" t="s">
        <v>55</v>
      </c>
      <c r="L4102" s="6">
        <v>4.1970000000000001</v>
      </c>
      <c r="M4102" s="6">
        <v>0.23830000000000001</v>
      </c>
      <c r="N4102" s="6">
        <v>4.2008999999999999</v>
      </c>
      <c r="O4102" s="6">
        <v>1</v>
      </c>
      <c r="P4102" s="5">
        <v>616.5899999999674</v>
      </c>
      <c r="Q4102" s="4" t="s">
        <v>1390</v>
      </c>
    </row>
    <row r="4103" spans="1:17" x14ac:dyDescent="0.3">
      <c r="A4103" s="2" t="s">
        <v>1389</v>
      </c>
      <c r="B4103" s="3">
        <v>160262</v>
      </c>
      <c r="C4103" s="3">
        <v>221279</v>
      </c>
      <c r="D4103" s="4" t="s">
        <v>17</v>
      </c>
      <c r="E4103" s="4" t="s">
        <v>819</v>
      </c>
      <c r="F4103" s="4" t="s">
        <v>32</v>
      </c>
      <c r="G4103" s="4" t="s">
        <v>20</v>
      </c>
      <c r="H4103" s="5">
        <v>-65000</v>
      </c>
      <c r="I4103" s="4" t="s">
        <v>21</v>
      </c>
      <c r="J4103" s="5">
        <f t="shared" si="64"/>
        <v>273585</v>
      </c>
      <c r="K4103" s="4" t="s">
        <v>55</v>
      </c>
      <c r="L4103" s="6">
        <v>4.2089999999999996</v>
      </c>
      <c r="M4103" s="6">
        <v>0.23760000000000001</v>
      </c>
      <c r="N4103" s="6">
        <v>4.2008999999999999</v>
      </c>
      <c r="O4103" s="6">
        <v>1</v>
      </c>
      <c r="P4103" s="5">
        <v>526.5</v>
      </c>
      <c r="Q4103" s="4" t="s">
        <v>1390</v>
      </c>
    </row>
    <row r="4104" spans="1:17" x14ac:dyDescent="0.3">
      <c r="A4104" s="2" t="s">
        <v>1389</v>
      </c>
      <c r="B4104" s="3">
        <v>160272</v>
      </c>
      <c r="C4104" s="3">
        <v>221289</v>
      </c>
      <c r="D4104" s="4" t="s">
        <v>17</v>
      </c>
      <c r="E4104" s="4" t="s">
        <v>1155</v>
      </c>
      <c r="F4104" s="4" t="s">
        <v>32</v>
      </c>
      <c r="G4104" s="4" t="s">
        <v>20</v>
      </c>
      <c r="H4104" s="5">
        <v>-60000</v>
      </c>
      <c r="I4104" s="4" t="s">
        <v>74</v>
      </c>
      <c r="J4104" s="5">
        <f t="shared" si="64"/>
        <v>685350</v>
      </c>
      <c r="K4104" s="4" t="s">
        <v>27</v>
      </c>
      <c r="L4104" s="6">
        <v>11.422499999999999</v>
      </c>
      <c r="M4104" s="6">
        <v>8.7499999999999994E-2</v>
      </c>
      <c r="N4104" s="6">
        <v>4.2072000000000003</v>
      </c>
      <c r="O4104" s="6">
        <v>0.3674</v>
      </c>
      <c r="P4104" s="5">
        <v>-671.88480000000004</v>
      </c>
      <c r="Q4104" s="4" t="s">
        <v>1390</v>
      </c>
    </row>
    <row r="4105" spans="1:17" x14ac:dyDescent="0.3">
      <c r="A4105" s="2" t="s">
        <v>1389</v>
      </c>
      <c r="B4105" s="3">
        <v>160275</v>
      </c>
      <c r="C4105" s="3">
        <v>221292</v>
      </c>
      <c r="D4105" s="4" t="s">
        <v>17</v>
      </c>
      <c r="E4105" s="4" t="s">
        <v>1033</v>
      </c>
      <c r="F4105" s="4" t="s">
        <v>19</v>
      </c>
      <c r="G4105" s="4" t="s">
        <v>20</v>
      </c>
      <c r="H4105" s="5">
        <v>130000</v>
      </c>
      <c r="I4105" s="4" t="s">
        <v>21</v>
      </c>
      <c r="J4105" s="5">
        <f t="shared" si="64"/>
        <v>-546130</v>
      </c>
      <c r="K4105" s="4" t="s">
        <v>55</v>
      </c>
      <c r="L4105" s="6">
        <v>4.2009999999999996</v>
      </c>
      <c r="M4105" s="6">
        <v>0.23799999999999999</v>
      </c>
      <c r="N4105" s="6">
        <v>4.2008999999999999</v>
      </c>
      <c r="O4105" s="6">
        <v>1</v>
      </c>
      <c r="P4105" s="5">
        <v>-13</v>
      </c>
      <c r="Q4105" s="4" t="s">
        <v>1390</v>
      </c>
    </row>
    <row r="4106" spans="1:17" x14ac:dyDescent="0.3">
      <c r="A4106" s="2" t="s">
        <v>1389</v>
      </c>
      <c r="B4106" s="3">
        <v>160277</v>
      </c>
      <c r="C4106" s="3">
        <v>221297</v>
      </c>
      <c r="D4106" s="4" t="s">
        <v>17</v>
      </c>
      <c r="E4106" s="4" t="s">
        <v>794</v>
      </c>
      <c r="F4106" s="4" t="s">
        <v>19</v>
      </c>
      <c r="G4106" s="4" t="s">
        <v>20</v>
      </c>
      <c r="H4106" s="5">
        <v>30000</v>
      </c>
      <c r="I4106" s="4" t="s">
        <v>21</v>
      </c>
      <c r="J4106" s="5">
        <f t="shared" si="64"/>
        <v>-126000</v>
      </c>
      <c r="K4106" s="4" t="s">
        <v>55</v>
      </c>
      <c r="L4106" s="6">
        <v>4.2</v>
      </c>
      <c r="M4106" s="6">
        <v>0.23810000000000001</v>
      </c>
      <c r="N4106" s="6">
        <v>4.2008999999999999</v>
      </c>
      <c r="O4106" s="6">
        <v>1</v>
      </c>
      <c r="P4106" s="5">
        <v>27</v>
      </c>
      <c r="Q4106" s="4" t="s">
        <v>1390</v>
      </c>
    </row>
    <row r="4107" spans="1:17" x14ac:dyDescent="0.3">
      <c r="A4107" s="2" t="s">
        <v>1389</v>
      </c>
      <c r="B4107" s="3">
        <v>160279</v>
      </c>
      <c r="C4107" s="3">
        <v>221298</v>
      </c>
      <c r="D4107" s="4" t="s">
        <v>17</v>
      </c>
      <c r="E4107" s="4" t="s">
        <v>1256</v>
      </c>
      <c r="F4107" s="4" t="s">
        <v>19</v>
      </c>
      <c r="G4107" s="4" t="s">
        <v>20</v>
      </c>
      <c r="H4107" s="5">
        <v>250000</v>
      </c>
      <c r="I4107" s="4" t="s">
        <v>21</v>
      </c>
      <c r="J4107" s="5">
        <f t="shared" si="64"/>
        <v>-1037750</v>
      </c>
      <c r="K4107" s="4" t="s">
        <v>55</v>
      </c>
      <c r="L4107" s="6">
        <v>4.1509999999999998</v>
      </c>
      <c r="M4107" s="6">
        <v>0.2409</v>
      </c>
      <c r="N4107" s="6">
        <v>4.2008999999999999</v>
      </c>
      <c r="O4107" s="6">
        <v>1</v>
      </c>
      <c r="P4107" s="5">
        <v>12475</v>
      </c>
      <c r="Q4107" s="4" t="s">
        <v>1390</v>
      </c>
    </row>
    <row r="4108" spans="1:17" x14ac:dyDescent="0.3">
      <c r="A4108" s="2" t="s">
        <v>1389</v>
      </c>
      <c r="B4108" s="3">
        <v>160282</v>
      </c>
      <c r="C4108" s="3">
        <v>221300</v>
      </c>
      <c r="D4108" s="4" t="s">
        <v>17</v>
      </c>
      <c r="E4108" s="4" t="s">
        <v>1155</v>
      </c>
      <c r="F4108" s="4" t="s">
        <v>32</v>
      </c>
      <c r="G4108" s="4" t="s">
        <v>20</v>
      </c>
      <c r="H4108" s="5">
        <v>-50000</v>
      </c>
      <c r="I4108" s="4" t="s">
        <v>74</v>
      </c>
      <c r="J4108" s="5">
        <f t="shared" si="64"/>
        <v>570600</v>
      </c>
      <c r="K4108" s="4" t="s">
        <v>27</v>
      </c>
      <c r="L4108" s="6">
        <v>11.412000000000001</v>
      </c>
      <c r="M4108" s="6">
        <v>8.7599999999999997E-2</v>
      </c>
      <c r="N4108" s="6">
        <v>4.2072000000000003</v>
      </c>
      <c r="O4108" s="6">
        <v>0.3674</v>
      </c>
      <c r="P4108" s="5">
        <v>-754.62599999999998</v>
      </c>
      <c r="Q4108" s="4" t="s">
        <v>1390</v>
      </c>
    </row>
    <row r="4109" spans="1:17" x14ac:dyDescent="0.3">
      <c r="A4109" s="2" t="s">
        <v>1389</v>
      </c>
      <c r="B4109" s="3">
        <v>160285</v>
      </c>
      <c r="C4109" s="3">
        <v>221304</v>
      </c>
      <c r="D4109" s="4" t="s">
        <v>17</v>
      </c>
      <c r="E4109" s="4" t="s">
        <v>1143</v>
      </c>
      <c r="F4109" s="4" t="s">
        <v>32</v>
      </c>
      <c r="G4109" s="4" t="s">
        <v>20</v>
      </c>
      <c r="H4109" s="5">
        <v>-20000</v>
      </c>
      <c r="I4109" s="4" t="s">
        <v>21</v>
      </c>
      <c r="J4109" s="5">
        <f t="shared" si="64"/>
        <v>84238</v>
      </c>
      <c r="K4109" s="4" t="s">
        <v>55</v>
      </c>
      <c r="L4109" s="6">
        <v>4.2119</v>
      </c>
      <c r="M4109" s="6">
        <v>0.2374</v>
      </c>
      <c r="N4109" s="6">
        <v>4.2008999999999999</v>
      </c>
      <c r="O4109" s="6">
        <v>1</v>
      </c>
      <c r="P4109" s="5">
        <v>202</v>
      </c>
      <c r="Q4109" s="4" t="s">
        <v>1390</v>
      </c>
    </row>
    <row r="4110" spans="1:17" x14ac:dyDescent="0.3">
      <c r="A4110" s="2" t="s">
        <v>1389</v>
      </c>
      <c r="B4110" s="3">
        <v>160286</v>
      </c>
      <c r="C4110" s="3">
        <v>221306</v>
      </c>
      <c r="D4110" s="4" t="s">
        <v>17</v>
      </c>
      <c r="E4110" s="4" t="s">
        <v>1143</v>
      </c>
      <c r="F4110" s="4" t="s">
        <v>32</v>
      </c>
      <c r="G4110" s="4" t="s">
        <v>20</v>
      </c>
      <c r="H4110" s="5">
        <v>-10000</v>
      </c>
      <c r="I4110" s="4" t="s">
        <v>21</v>
      </c>
      <c r="J4110" s="5">
        <f t="shared" si="64"/>
        <v>42114</v>
      </c>
      <c r="K4110" s="4" t="s">
        <v>55</v>
      </c>
      <c r="L4110" s="6">
        <v>4.2114000000000003</v>
      </c>
      <c r="M4110" s="6">
        <v>0.23749999999999999</v>
      </c>
      <c r="N4110" s="6">
        <v>4.2008999999999999</v>
      </c>
      <c r="O4110" s="6">
        <v>1</v>
      </c>
      <c r="P4110" s="5">
        <v>96</v>
      </c>
      <c r="Q4110" s="4" t="s">
        <v>1390</v>
      </c>
    </row>
    <row r="4111" spans="1:17" x14ac:dyDescent="0.3">
      <c r="A4111" s="2" t="s">
        <v>1389</v>
      </c>
      <c r="B4111" s="3">
        <v>160287</v>
      </c>
      <c r="C4111" s="3">
        <v>221307</v>
      </c>
      <c r="D4111" s="4" t="s">
        <v>17</v>
      </c>
      <c r="E4111" s="4" t="s">
        <v>1052</v>
      </c>
      <c r="F4111" s="4" t="s">
        <v>19</v>
      </c>
      <c r="G4111" s="4" t="s">
        <v>20</v>
      </c>
      <c r="H4111" s="5">
        <v>150000</v>
      </c>
      <c r="I4111" s="4" t="s">
        <v>21</v>
      </c>
      <c r="J4111" s="5">
        <f t="shared" si="64"/>
        <v>-630330</v>
      </c>
      <c r="K4111" s="4" t="s">
        <v>55</v>
      </c>
      <c r="L4111" s="6">
        <v>4.2022000000000004</v>
      </c>
      <c r="M4111" s="6">
        <v>0.23799999999999999</v>
      </c>
      <c r="N4111" s="6">
        <v>4.2008999999999999</v>
      </c>
      <c r="O4111" s="6">
        <v>1</v>
      </c>
      <c r="P4111" s="5">
        <v>-195</v>
      </c>
      <c r="Q4111" s="4" t="s">
        <v>1390</v>
      </c>
    </row>
    <row r="4112" spans="1:17" x14ac:dyDescent="0.3">
      <c r="A4112" s="2" t="s">
        <v>1389</v>
      </c>
      <c r="B4112" s="3">
        <v>160288</v>
      </c>
      <c r="C4112" s="3">
        <v>221309</v>
      </c>
      <c r="D4112" s="4" t="s">
        <v>17</v>
      </c>
      <c r="E4112" s="4" t="s">
        <v>1042</v>
      </c>
      <c r="F4112" s="4" t="s">
        <v>19</v>
      </c>
      <c r="G4112" s="4" t="s">
        <v>20</v>
      </c>
      <c r="H4112" s="5">
        <v>89281.31</v>
      </c>
      <c r="I4112" s="4" t="s">
        <v>21</v>
      </c>
      <c r="J4112" s="5">
        <f t="shared" si="64"/>
        <v>-374919.005083</v>
      </c>
      <c r="K4112" s="4" t="s">
        <v>55</v>
      </c>
      <c r="L4112" s="6">
        <v>4.1993</v>
      </c>
      <c r="M4112" s="6">
        <v>0.23810000000000001</v>
      </c>
      <c r="N4112" s="6">
        <v>4.2008999999999999</v>
      </c>
      <c r="O4112" s="6">
        <v>1</v>
      </c>
      <c r="P4112" s="5">
        <v>142.85009600000922</v>
      </c>
      <c r="Q4112" s="4" t="s">
        <v>1390</v>
      </c>
    </row>
    <row r="4113" spans="1:17" x14ac:dyDescent="0.3">
      <c r="A4113" s="2" t="s">
        <v>1389</v>
      </c>
      <c r="B4113" s="3">
        <v>160293</v>
      </c>
      <c r="C4113" s="3">
        <v>221315</v>
      </c>
      <c r="D4113" s="4" t="s">
        <v>17</v>
      </c>
      <c r="E4113" s="4" t="s">
        <v>1188</v>
      </c>
      <c r="F4113" s="4" t="s">
        <v>19</v>
      </c>
      <c r="G4113" s="4" t="s">
        <v>20</v>
      </c>
      <c r="H4113" s="5">
        <v>20000</v>
      </c>
      <c r="I4113" s="4" t="s">
        <v>21</v>
      </c>
      <c r="J4113" s="5">
        <f t="shared" si="64"/>
        <v>-84024</v>
      </c>
      <c r="K4113" s="4" t="s">
        <v>55</v>
      </c>
      <c r="L4113" s="6">
        <v>4.2012</v>
      </c>
      <c r="M4113" s="6">
        <v>0.23799999999999999</v>
      </c>
      <c r="N4113" s="6">
        <v>4.2008999999999999</v>
      </c>
      <c r="O4113" s="6">
        <v>1</v>
      </c>
      <c r="P4113" s="5">
        <v>-6</v>
      </c>
      <c r="Q4113" s="4" t="s">
        <v>1390</v>
      </c>
    </row>
    <row r="4114" spans="1:17" x14ac:dyDescent="0.3">
      <c r="A4114" s="2" t="s">
        <v>1389</v>
      </c>
      <c r="B4114" s="3">
        <v>160299</v>
      </c>
      <c r="C4114" s="3">
        <v>221317</v>
      </c>
      <c r="D4114" s="4" t="s">
        <v>17</v>
      </c>
      <c r="E4114" s="4" t="s">
        <v>1138</v>
      </c>
      <c r="F4114" s="4" t="s">
        <v>19</v>
      </c>
      <c r="G4114" s="4" t="s">
        <v>20</v>
      </c>
      <c r="H4114" s="5">
        <v>24400</v>
      </c>
      <c r="I4114" s="4" t="s">
        <v>34</v>
      </c>
      <c r="J4114" s="5">
        <f t="shared" si="64"/>
        <v>-29153.120000000003</v>
      </c>
      <c r="K4114" s="4" t="s">
        <v>55</v>
      </c>
      <c r="L4114" s="6">
        <v>1.1948000000000001</v>
      </c>
      <c r="M4114" s="6">
        <v>0.83699999999999997</v>
      </c>
      <c r="N4114" s="6">
        <v>4.2008999999999999</v>
      </c>
      <c r="O4114" s="6">
        <v>3.5045000000000002</v>
      </c>
      <c r="P4114" s="5">
        <v>334.85095999998157</v>
      </c>
      <c r="Q4114" s="4" t="s">
        <v>1390</v>
      </c>
    </row>
    <row r="4115" spans="1:17" x14ac:dyDescent="0.3">
      <c r="A4115" s="2" t="s">
        <v>1389</v>
      </c>
      <c r="B4115" s="3">
        <v>160303</v>
      </c>
      <c r="C4115" s="3">
        <v>221339</v>
      </c>
      <c r="D4115" s="4" t="s">
        <v>17</v>
      </c>
      <c r="E4115" s="4" t="s">
        <v>1089</v>
      </c>
      <c r="F4115" s="4" t="s">
        <v>19</v>
      </c>
      <c r="G4115" s="4" t="s">
        <v>20</v>
      </c>
      <c r="H4115" s="5">
        <v>40000</v>
      </c>
      <c r="I4115" s="4" t="s">
        <v>21</v>
      </c>
      <c r="J4115" s="5">
        <f t="shared" si="64"/>
        <v>-167600.00000000003</v>
      </c>
      <c r="K4115" s="4" t="s">
        <v>55</v>
      </c>
      <c r="L4115" s="6">
        <v>4.1900000000000004</v>
      </c>
      <c r="M4115" s="6">
        <v>0.2387</v>
      </c>
      <c r="N4115" s="6">
        <v>4.2008999999999999</v>
      </c>
      <c r="O4115" s="6">
        <v>1</v>
      </c>
      <c r="P4115" s="5">
        <v>435.9999999999709</v>
      </c>
      <c r="Q4115" s="4" t="s">
        <v>1390</v>
      </c>
    </row>
    <row r="4116" spans="1:17" x14ac:dyDescent="0.3">
      <c r="A4116" s="2" t="s">
        <v>1389</v>
      </c>
      <c r="B4116" s="3">
        <v>160317</v>
      </c>
      <c r="C4116" s="3">
        <v>221350</v>
      </c>
      <c r="D4116" s="4" t="s">
        <v>17</v>
      </c>
      <c r="E4116" s="4" t="s">
        <v>987</v>
      </c>
      <c r="F4116" s="4" t="s">
        <v>19</v>
      </c>
      <c r="G4116" s="4" t="s">
        <v>20</v>
      </c>
      <c r="H4116" s="5">
        <v>2000</v>
      </c>
      <c r="I4116" s="4" t="s">
        <v>21</v>
      </c>
      <c r="J4116" s="5">
        <f t="shared" si="64"/>
        <v>-8407.4000000000015</v>
      </c>
      <c r="K4116" s="4" t="s">
        <v>55</v>
      </c>
      <c r="L4116" s="6">
        <v>4.2037000000000004</v>
      </c>
      <c r="M4116" s="6">
        <v>0.2379</v>
      </c>
      <c r="N4116" s="6">
        <v>4.2008999999999999</v>
      </c>
      <c r="O4116" s="6">
        <v>1</v>
      </c>
      <c r="P4116" s="5">
        <v>-5.6000000000021828</v>
      </c>
      <c r="Q4116" s="4" t="s">
        <v>1390</v>
      </c>
    </row>
    <row r="4117" spans="1:17" x14ac:dyDescent="0.3">
      <c r="A4117" s="2" t="s">
        <v>1389</v>
      </c>
      <c r="B4117" s="3">
        <v>160318</v>
      </c>
      <c r="C4117" s="3">
        <v>221352</v>
      </c>
      <c r="D4117" s="4" t="s">
        <v>17</v>
      </c>
      <c r="E4117" s="4" t="s">
        <v>853</v>
      </c>
      <c r="F4117" s="4" t="s">
        <v>19</v>
      </c>
      <c r="G4117" s="4" t="s">
        <v>20</v>
      </c>
      <c r="H4117" s="5">
        <v>2377.1</v>
      </c>
      <c r="I4117" s="4" t="s">
        <v>21</v>
      </c>
      <c r="J4117" s="5">
        <f t="shared" si="64"/>
        <v>-9956.4833500000004</v>
      </c>
      <c r="K4117" s="4" t="s">
        <v>55</v>
      </c>
      <c r="L4117" s="6">
        <v>4.1885000000000003</v>
      </c>
      <c r="M4117" s="6">
        <v>0.2387</v>
      </c>
      <c r="N4117" s="6">
        <v>4.2008999999999999</v>
      </c>
      <c r="O4117" s="6">
        <v>1</v>
      </c>
      <c r="P4117" s="5">
        <v>29.476039999999557</v>
      </c>
      <c r="Q4117" s="4" t="s">
        <v>1390</v>
      </c>
    </row>
    <row r="4118" spans="1:17" x14ac:dyDescent="0.3">
      <c r="A4118" s="2" t="s">
        <v>1389</v>
      </c>
      <c r="B4118" s="3">
        <v>160319</v>
      </c>
      <c r="C4118" s="3">
        <v>221354</v>
      </c>
      <c r="D4118" s="4" t="s">
        <v>17</v>
      </c>
      <c r="E4118" s="4" t="s">
        <v>1213</v>
      </c>
      <c r="F4118" s="4" t="s">
        <v>19</v>
      </c>
      <c r="G4118" s="4" t="s">
        <v>20</v>
      </c>
      <c r="H4118" s="5">
        <v>150000</v>
      </c>
      <c r="I4118" s="4" t="s">
        <v>21</v>
      </c>
      <c r="J4118" s="5">
        <f t="shared" si="64"/>
        <v>-630750</v>
      </c>
      <c r="K4118" s="4" t="s">
        <v>55</v>
      </c>
      <c r="L4118" s="6">
        <v>4.2050000000000001</v>
      </c>
      <c r="M4118" s="6">
        <v>0.23780000000000001</v>
      </c>
      <c r="N4118" s="6">
        <v>4.2008999999999999</v>
      </c>
      <c r="O4118" s="6">
        <v>1</v>
      </c>
      <c r="P4118" s="5">
        <v>-615</v>
      </c>
      <c r="Q4118" s="4" t="s">
        <v>1390</v>
      </c>
    </row>
    <row r="4119" spans="1:17" x14ac:dyDescent="0.3">
      <c r="A4119" s="2" t="s">
        <v>1389</v>
      </c>
      <c r="B4119" s="3">
        <v>160323</v>
      </c>
      <c r="C4119" s="3">
        <v>221362</v>
      </c>
      <c r="D4119" s="4" t="s">
        <v>17</v>
      </c>
      <c r="E4119" s="4" t="s">
        <v>965</v>
      </c>
      <c r="F4119" s="4" t="s">
        <v>32</v>
      </c>
      <c r="G4119" s="4" t="s">
        <v>20</v>
      </c>
      <c r="H4119" s="5">
        <v>-47467.6</v>
      </c>
      <c r="I4119" s="4" t="s">
        <v>21</v>
      </c>
      <c r="J4119" s="5">
        <f t="shared" si="64"/>
        <v>201447.74763999999</v>
      </c>
      <c r="K4119" s="4" t="s">
        <v>55</v>
      </c>
      <c r="L4119" s="6">
        <v>4.2439</v>
      </c>
      <c r="M4119" s="6">
        <v>0.2356</v>
      </c>
      <c r="N4119" s="6">
        <v>4.2008999999999999</v>
      </c>
      <c r="O4119" s="6">
        <v>1</v>
      </c>
      <c r="P4119" s="5">
        <v>593.35915999999997</v>
      </c>
      <c r="Q4119" s="4" t="s">
        <v>1390</v>
      </c>
    </row>
    <row r="4120" spans="1:17" x14ac:dyDescent="0.3">
      <c r="A4120" s="2" t="s">
        <v>1389</v>
      </c>
      <c r="B4120" s="3">
        <v>160324</v>
      </c>
      <c r="C4120" s="3">
        <v>221363</v>
      </c>
      <c r="D4120" s="4" t="s">
        <v>17</v>
      </c>
      <c r="E4120" s="4" t="s">
        <v>1277</v>
      </c>
      <c r="F4120" s="4" t="s">
        <v>19</v>
      </c>
      <c r="G4120" s="4" t="s">
        <v>20</v>
      </c>
      <c r="H4120" s="5">
        <v>40000</v>
      </c>
      <c r="I4120" s="4" t="s">
        <v>21</v>
      </c>
      <c r="J4120" s="5">
        <f t="shared" si="64"/>
        <v>-168436</v>
      </c>
      <c r="K4120" s="4" t="s">
        <v>55</v>
      </c>
      <c r="L4120" s="6">
        <v>4.2108999999999996</v>
      </c>
      <c r="M4120" s="6">
        <v>0.23749999999999999</v>
      </c>
      <c r="N4120" s="6">
        <v>4.2008999999999999</v>
      </c>
      <c r="O4120" s="6">
        <v>1</v>
      </c>
      <c r="P4120" s="5">
        <v>-400</v>
      </c>
      <c r="Q4120" s="4" t="s">
        <v>1390</v>
      </c>
    </row>
    <row r="4121" spans="1:17" x14ac:dyDescent="0.3">
      <c r="A4121" s="2" t="s">
        <v>1389</v>
      </c>
      <c r="B4121" s="3">
        <v>160346</v>
      </c>
      <c r="C4121" s="3">
        <v>221371</v>
      </c>
      <c r="D4121" s="4" t="s">
        <v>17</v>
      </c>
      <c r="E4121" s="4" t="s">
        <v>1250</v>
      </c>
      <c r="F4121" s="4" t="s">
        <v>32</v>
      </c>
      <c r="G4121" s="4" t="s">
        <v>34</v>
      </c>
      <c r="H4121" s="5">
        <v>-63000</v>
      </c>
      <c r="I4121" s="4" t="s">
        <v>21</v>
      </c>
      <c r="J4121" s="5">
        <f t="shared" si="64"/>
        <v>222894</v>
      </c>
      <c r="K4121" s="4" t="s">
        <v>55</v>
      </c>
      <c r="L4121" s="6">
        <v>3.5379999999999998</v>
      </c>
      <c r="M4121" s="6">
        <v>0.28260000000000002</v>
      </c>
      <c r="N4121" s="6">
        <v>3.5045000000000002</v>
      </c>
      <c r="O4121" s="6">
        <v>1</v>
      </c>
      <c r="P4121" s="5">
        <v>2110.5</v>
      </c>
      <c r="Q4121" s="4" t="s">
        <v>1390</v>
      </c>
    </row>
    <row r="4122" spans="1:17" x14ac:dyDescent="0.3">
      <c r="A4122" s="2" t="s">
        <v>1389</v>
      </c>
      <c r="B4122" s="3">
        <v>160347</v>
      </c>
      <c r="C4122" s="3">
        <v>221372</v>
      </c>
      <c r="D4122" s="4" t="s">
        <v>17</v>
      </c>
      <c r="E4122" s="4" t="s">
        <v>862</v>
      </c>
      <c r="F4122" s="4" t="s">
        <v>19</v>
      </c>
      <c r="G4122" s="4" t="s">
        <v>20</v>
      </c>
      <c r="H4122" s="5">
        <v>220000</v>
      </c>
      <c r="I4122" s="4" t="s">
        <v>21</v>
      </c>
      <c r="J4122" s="5">
        <f t="shared" si="64"/>
        <v>-926640</v>
      </c>
      <c r="K4122" s="4" t="s">
        <v>27</v>
      </c>
      <c r="L4122" s="6">
        <v>4.2119999999999997</v>
      </c>
      <c r="M4122" s="6">
        <v>0.2374</v>
      </c>
      <c r="N4122" s="6">
        <v>4.2072000000000003</v>
      </c>
      <c r="O4122" s="6">
        <v>1</v>
      </c>
      <c r="P4122" s="5">
        <v>-1055.9999999998836</v>
      </c>
      <c r="Q4122" s="4" t="s">
        <v>1390</v>
      </c>
    </row>
    <row r="4123" spans="1:17" x14ac:dyDescent="0.3">
      <c r="A4123" s="2" t="s">
        <v>1389</v>
      </c>
      <c r="B4123" s="3">
        <v>160349</v>
      </c>
      <c r="C4123" s="3">
        <v>221375</v>
      </c>
      <c r="D4123" s="4" t="s">
        <v>17</v>
      </c>
      <c r="E4123" s="4" t="s">
        <v>1221</v>
      </c>
      <c r="F4123" s="4" t="s">
        <v>19</v>
      </c>
      <c r="G4123" s="4" t="s">
        <v>34</v>
      </c>
      <c r="H4123" s="5">
        <v>100000</v>
      </c>
      <c r="I4123" s="4" t="s">
        <v>21</v>
      </c>
      <c r="J4123" s="5">
        <f t="shared" si="64"/>
        <v>-353000</v>
      </c>
      <c r="K4123" s="4" t="s">
        <v>55</v>
      </c>
      <c r="L4123" s="6">
        <v>3.53</v>
      </c>
      <c r="M4123" s="6">
        <v>0.2833</v>
      </c>
      <c r="N4123" s="6">
        <v>3.5045000000000002</v>
      </c>
      <c r="O4123" s="6">
        <v>1</v>
      </c>
      <c r="P4123" s="5">
        <v>-2550</v>
      </c>
      <c r="Q4123" s="4" t="s">
        <v>1390</v>
      </c>
    </row>
    <row r="4124" spans="1:17" x14ac:dyDescent="0.3">
      <c r="A4124" s="2" t="s">
        <v>1389</v>
      </c>
      <c r="B4124" s="3">
        <v>160370</v>
      </c>
      <c r="C4124" s="3">
        <v>221376</v>
      </c>
      <c r="D4124" s="4" t="s">
        <v>17</v>
      </c>
      <c r="E4124" s="4" t="s">
        <v>743</v>
      </c>
      <c r="F4124" s="4" t="s">
        <v>32</v>
      </c>
      <c r="G4124" s="4" t="s">
        <v>20</v>
      </c>
      <c r="H4124" s="5">
        <v>-4800</v>
      </c>
      <c r="I4124" s="4" t="s">
        <v>21</v>
      </c>
      <c r="J4124" s="5">
        <f t="shared" si="64"/>
        <v>20191.68</v>
      </c>
      <c r="K4124" s="4" t="s">
        <v>27</v>
      </c>
      <c r="L4124" s="6">
        <v>4.2065999999999999</v>
      </c>
      <c r="M4124" s="6">
        <v>0.23769999999999999</v>
      </c>
      <c r="N4124" s="6">
        <v>4.2072000000000003</v>
      </c>
      <c r="O4124" s="6">
        <v>1</v>
      </c>
      <c r="P4124" s="5">
        <v>-7.93</v>
      </c>
      <c r="Q4124" s="4" t="s">
        <v>1395</v>
      </c>
    </row>
    <row r="4125" spans="1:17" x14ac:dyDescent="0.3">
      <c r="A4125" s="2" t="s">
        <v>1389</v>
      </c>
      <c r="B4125" s="3">
        <v>160371</v>
      </c>
      <c r="C4125" s="3">
        <v>221378</v>
      </c>
      <c r="D4125" s="4" t="s">
        <v>17</v>
      </c>
      <c r="E4125" s="4" t="s">
        <v>727</v>
      </c>
      <c r="F4125" s="4" t="s">
        <v>32</v>
      </c>
      <c r="G4125" s="4" t="s">
        <v>20</v>
      </c>
      <c r="H4125" s="5">
        <v>-5000</v>
      </c>
      <c r="I4125" s="4" t="s">
        <v>21</v>
      </c>
      <c r="J4125" s="5">
        <f t="shared" si="64"/>
        <v>21037.499999999996</v>
      </c>
      <c r="K4125" s="4" t="s">
        <v>27</v>
      </c>
      <c r="L4125" s="6">
        <v>4.2074999999999996</v>
      </c>
      <c r="M4125" s="6">
        <v>0.23769999999999999</v>
      </c>
      <c r="N4125" s="6">
        <v>4.2072000000000003</v>
      </c>
      <c r="O4125" s="6">
        <v>1</v>
      </c>
      <c r="P4125" s="5">
        <v>-4.1100000000000003</v>
      </c>
      <c r="Q4125" s="4" t="s">
        <v>1397</v>
      </c>
    </row>
    <row r="4126" spans="1:17" x14ac:dyDescent="0.3">
      <c r="A4126" s="2" t="s">
        <v>1389</v>
      </c>
      <c r="B4126" s="3">
        <v>160372</v>
      </c>
      <c r="C4126" s="3">
        <v>221381</v>
      </c>
      <c r="D4126" s="4" t="s">
        <v>17</v>
      </c>
      <c r="E4126" s="4" t="s">
        <v>727</v>
      </c>
      <c r="F4126" s="4" t="s">
        <v>19</v>
      </c>
      <c r="G4126" s="4" t="s">
        <v>20</v>
      </c>
      <c r="H4126" s="5">
        <v>6000</v>
      </c>
      <c r="I4126" s="4" t="s">
        <v>21</v>
      </c>
      <c r="J4126" s="5">
        <f t="shared" si="64"/>
        <v>-25258.199999999997</v>
      </c>
      <c r="K4126" s="4" t="s">
        <v>27</v>
      </c>
      <c r="L4126" s="6">
        <v>4.2096999999999998</v>
      </c>
      <c r="M4126" s="6">
        <v>0.23749999999999999</v>
      </c>
      <c r="N4126" s="6">
        <v>4.2072000000000003</v>
      </c>
      <c r="O4126" s="6">
        <v>1</v>
      </c>
      <c r="P4126" s="5">
        <v>-14.999999999996362</v>
      </c>
      <c r="Q4126" s="4" t="s">
        <v>1397</v>
      </c>
    </row>
    <row r="4127" spans="1:17" x14ac:dyDescent="0.3">
      <c r="A4127" s="2" t="s">
        <v>1389</v>
      </c>
      <c r="B4127" s="3">
        <v>160374</v>
      </c>
      <c r="C4127" s="3">
        <v>221383</v>
      </c>
      <c r="D4127" s="4" t="s">
        <v>17</v>
      </c>
      <c r="E4127" s="4" t="s">
        <v>734</v>
      </c>
      <c r="F4127" s="4" t="s">
        <v>32</v>
      </c>
      <c r="G4127" s="4" t="s">
        <v>20</v>
      </c>
      <c r="H4127" s="5">
        <v>-5000</v>
      </c>
      <c r="I4127" s="4" t="s">
        <v>21</v>
      </c>
      <c r="J4127" s="5">
        <f t="shared" si="64"/>
        <v>21053</v>
      </c>
      <c r="K4127" s="4" t="s">
        <v>27</v>
      </c>
      <c r="L4127" s="6">
        <v>4.2106000000000003</v>
      </c>
      <c r="M4127" s="6">
        <v>0.23749999999999999</v>
      </c>
      <c r="N4127" s="6">
        <v>4.2072000000000003</v>
      </c>
      <c r="O4127" s="6">
        <v>1</v>
      </c>
      <c r="P4127" s="5">
        <v>12.17</v>
      </c>
      <c r="Q4127" s="4" t="s">
        <v>1393</v>
      </c>
    </row>
    <row r="4128" spans="1:17" x14ac:dyDescent="0.3">
      <c r="A4128" s="2" t="s">
        <v>1389</v>
      </c>
      <c r="B4128" s="3">
        <v>160375</v>
      </c>
      <c r="C4128" s="3">
        <v>221385</v>
      </c>
      <c r="D4128" s="4" t="s">
        <v>17</v>
      </c>
      <c r="E4128" s="4" t="s">
        <v>730</v>
      </c>
      <c r="F4128" s="4" t="s">
        <v>32</v>
      </c>
      <c r="G4128" s="4" t="s">
        <v>20</v>
      </c>
      <c r="H4128" s="5">
        <v>-8449</v>
      </c>
      <c r="I4128" s="4" t="s">
        <v>34</v>
      </c>
      <c r="J4128" s="5">
        <f t="shared" si="64"/>
        <v>10075.432499999999</v>
      </c>
      <c r="K4128" s="4" t="s">
        <v>27</v>
      </c>
      <c r="L4128" s="6">
        <v>1.1924999999999999</v>
      </c>
      <c r="M4128" s="6">
        <v>0.83850000000000002</v>
      </c>
      <c r="N4128" s="6">
        <v>4.2072000000000003</v>
      </c>
      <c r="O4128" s="6">
        <v>3.5188999999999999</v>
      </c>
      <c r="P4128" s="5">
        <v>-98.113924999999995</v>
      </c>
      <c r="Q4128" s="4" t="s">
        <v>1396</v>
      </c>
    </row>
    <row r="4129" spans="1:17" x14ac:dyDescent="0.3">
      <c r="A4129" s="2" t="s">
        <v>1389</v>
      </c>
      <c r="B4129" s="3">
        <v>160376</v>
      </c>
      <c r="C4129" s="3">
        <v>221386</v>
      </c>
      <c r="D4129" s="4" t="s">
        <v>17</v>
      </c>
      <c r="E4129" s="4" t="s">
        <v>734</v>
      </c>
      <c r="F4129" s="4" t="s">
        <v>32</v>
      </c>
      <c r="G4129" s="4" t="s">
        <v>20</v>
      </c>
      <c r="H4129" s="5">
        <v>-2000</v>
      </c>
      <c r="I4129" s="4" t="s">
        <v>21</v>
      </c>
      <c r="J4129" s="5">
        <f t="shared" si="64"/>
        <v>8422</v>
      </c>
      <c r="K4129" s="4" t="s">
        <v>27</v>
      </c>
      <c r="L4129" s="6">
        <v>4.2110000000000003</v>
      </c>
      <c r="M4129" s="6">
        <v>0.23749999999999999</v>
      </c>
      <c r="N4129" s="6">
        <v>4.2072000000000003</v>
      </c>
      <c r="O4129" s="6">
        <v>1</v>
      </c>
      <c r="P4129" s="5">
        <v>5.61</v>
      </c>
      <c r="Q4129" s="4" t="s">
        <v>1393</v>
      </c>
    </row>
    <row r="4130" spans="1:17" x14ac:dyDescent="0.3">
      <c r="A4130" s="2" t="s">
        <v>1389</v>
      </c>
      <c r="B4130" s="3">
        <v>160377</v>
      </c>
      <c r="C4130" s="3">
        <v>221388</v>
      </c>
      <c r="D4130" s="4" t="s">
        <v>17</v>
      </c>
      <c r="E4130" s="4" t="s">
        <v>727</v>
      </c>
      <c r="F4130" s="4" t="s">
        <v>19</v>
      </c>
      <c r="G4130" s="4" t="s">
        <v>20</v>
      </c>
      <c r="H4130" s="5">
        <v>9500</v>
      </c>
      <c r="I4130" s="4" t="s">
        <v>21</v>
      </c>
      <c r="J4130" s="5">
        <f t="shared" si="64"/>
        <v>-40014</v>
      </c>
      <c r="K4130" s="4" t="s">
        <v>27</v>
      </c>
      <c r="L4130" s="6">
        <v>4.2119999999999997</v>
      </c>
      <c r="M4130" s="6">
        <v>0.2374</v>
      </c>
      <c r="N4130" s="6">
        <v>4.2072000000000003</v>
      </c>
      <c r="O4130" s="6">
        <v>1</v>
      </c>
      <c r="P4130" s="5">
        <v>-45.599999999998545</v>
      </c>
      <c r="Q4130" s="4" t="s">
        <v>1397</v>
      </c>
    </row>
    <row r="4131" spans="1:17" x14ac:dyDescent="0.3">
      <c r="A4131" s="2" t="s">
        <v>1389</v>
      </c>
      <c r="B4131" s="3">
        <v>160378</v>
      </c>
      <c r="C4131" s="3">
        <v>221390</v>
      </c>
      <c r="D4131" s="4" t="s">
        <v>17</v>
      </c>
      <c r="E4131" s="4" t="s">
        <v>734</v>
      </c>
      <c r="F4131" s="4" t="s">
        <v>32</v>
      </c>
      <c r="G4131" s="4" t="s">
        <v>20</v>
      </c>
      <c r="H4131" s="5">
        <v>-2000</v>
      </c>
      <c r="I4131" s="4" t="s">
        <v>21</v>
      </c>
      <c r="J4131" s="5">
        <f t="shared" si="64"/>
        <v>8422</v>
      </c>
      <c r="K4131" s="4" t="s">
        <v>27</v>
      </c>
      <c r="L4131" s="6">
        <v>4.2110000000000003</v>
      </c>
      <c r="M4131" s="6">
        <v>0.23749999999999999</v>
      </c>
      <c r="N4131" s="6">
        <v>4.2072000000000003</v>
      </c>
      <c r="O4131" s="6">
        <v>1</v>
      </c>
      <c r="P4131" s="5">
        <v>5.51</v>
      </c>
      <c r="Q4131" s="4" t="s">
        <v>1393</v>
      </c>
    </row>
    <row r="4132" spans="1:17" x14ac:dyDescent="0.3">
      <c r="A4132" s="2" t="s">
        <v>1389</v>
      </c>
      <c r="B4132" s="3">
        <v>160379</v>
      </c>
      <c r="C4132" s="3">
        <v>221392</v>
      </c>
      <c r="D4132" s="4" t="s">
        <v>17</v>
      </c>
      <c r="E4132" s="4" t="s">
        <v>1188</v>
      </c>
      <c r="F4132" s="4" t="s">
        <v>19</v>
      </c>
      <c r="G4132" s="4" t="s">
        <v>20</v>
      </c>
      <c r="H4132" s="5">
        <v>20000</v>
      </c>
      <c r="I4132" s="4" t="s">
        <v>21</v>
      </c>
      <c r="J4132" s="5">
        <f t="shared" si="64"/>
        <v>-84124</v>
      </c>
      <c r="K4132" s="4" t="s">
        <v>27</v>
      </c>
      <c r="L4132" s="6">
        <v>4.2061999999999999</v>
      </c>
      <c r="M4132" s="6">
        <v>0.23769999999999999</v>
      </c>
      <c r="N4132" s="6">
        <v>4.2072000000000003</v>
      </c>
      <c r="O4132" s="6">
        <v>1</v>
      </c>
      <c r="P4132" s="5">
        <v>20</v>
      </c>
      <c r="Q4132" s="4" t="s">
        <v>1390</v>
      </c>
    </row>
    <row r="4133" spans="1:17" x14ac:dyDescent="0.3">
      <c r="A4133" s="2" t="s">
        <v>1389</v>
      </c>
      <c r="B4133" s="3">
        <v>160380</v>
      </c>
      <c r="C4133" s="3">
        <v>221393</v>
      </c>
      <c r="D4133" s="4" t="s">
        <v>17</v>
      </c>
      <c r="E4133" s="4" t="s">
        <v>734</v>
      </c>
      <c r="F4133" s="4" t="s">
        <v>32</v>
      </c>
      <c r="G4133" s="4" t="s">
        <v>20</v>
      </c>
      <c r="H4133" s="5">
        <v>-20000</v>
      </c>
      <c r="I4133" s="4" t="s">
        <v>21</v>
      </c>
      <c r="J4133" s="5">
        <f t="shared" si="64"/>
        <v>84244</v>
      </c>
      <c r="K4133" s="4" t="s">
        <v>27</v>
      </c>
      <c r="L4133" s="6">
        <v>4.2122000000000002</v>
      </c>
      <c r="M4133" s="6">
        <v>0.2374</v>
      </c>
      <c r="N4133" s="6">
        <v>4.2072000000000003</v>
      </c>
      <c r="O4133" s="6">
        <v>1</v>
      </c>
      <c r="P4133" s="5">
        <v>80.260000000000005</v>
      </c>
      <c r="Q4133" s="4" t="s">
        <v>1393</v>
      </c>
    </row>
    <row r="4134" spans="1:17" x14ac:dyDescent="0.3">
      <c r="A4134" s="2" t="s">
        <v>1389</v>
      </c>
      <c r="B4134" s="3">
        <v>160385</v>
      </c>
      <c r="C4134" s="3">
        <v>221394</v>
      </c>
      <c r="D4134" s="4" t="s">
        <v>17</v>
      </c>
      <c r="E4134" s="4" t="s">
        <v>735</v>
      </c>
      <c r="F4134" s="4" t="s">
        <v>32</v>
      </c>
      <c r="G4134" s="4" t="s">
        <v>20</v>
      </c>
      <c r="H4134" s="5">
        <v>-3000</v>
      </c>
      <c r="I4134" s="4" t="s">
        <v>21</v>
      </c>
      <c r="J4134" s="5">
        <f t="shared" si="64"/>
        <v>12639</v>
      </c>
      <c r="K4134" s="4" t="s">
        <v>27</v>
      </c>
      <c r="L4134" s="6">
        <v>4.2130000000000001</v>
      </c>
      <c r="M4134" s="6">
        <v>0.2374</v>
      </c>
      <c r="N4134" s="6">
        <v>4.2072000000000003</v>
      </c>
      <c r="O4134" s="6">
        <v>1</v>
      </c>
      <c r="P4134" s="5">
        <v>13.91</v>
      </c>
      <c r="Q4134" s="4" t="s">
        <v>1394</v>
      </c>
    </row>
    <row r="4135" spans="1:17" x14ac:dyDescent="0.3">
      <c r="A4135" s="2" t="s">
        <v>1389</v>
      </c>
      <c r="B4135" s="3">
        <v>160386</v>
      </c>
      <c r="C4135" s="3">
        <v>221396</v>
      </c>
      <c r="D4135" s="4" t="s">
        <v>17</v>
      </c>
      <c r="E4135" s="4" t="s">
        <v>1272</v>
      </c>
      <c r="F4135" s="4" t="s">
        <v>32</v>
      </c>
      <c r="G4135" s="4" t="s">
        <v>34</v>
      </c>
      <c r="H4135" s="5">
        <v>-25000</v>
      </c>
      <c r="I4135" s="4" t="s">
        <v>21</v>
      </c>
      <c r="J4135" s="5">
        <f t="shared" si="64"/>
        <v>88422.5</v>
      </c>
      <c r="K4135" s="4" t="s">
        <v>27</v>
      </c>
      <c r="L4135" s="6">
        <v>3.5369000000000002</v>
      </c>
      <c r="M4135" s="6">
        <v>0.28270000000000001</v>
      </c>
      <c r="N4135" s="6">
        <v>3.5188999999999999</v>
      </c>
      <c r="O4135" s="6">
        <v>1</v>
      </c>
      <c r="P4135" s="5">
        <v>450</v>
      </c>
      <c r="Q4135" s="4" t="s">
        <v>1390</v>
      </c>
    </row>
    <row r="4136" spans="1:17" x14ac:dyDescent="0.3">
      <c r="A4136" s="2" t="s">
        <v>1389</v>
      </c>
      <c r="B4136" s="3">
        <v>160387</v>
      </c>
      <c r="C4136" s="3">
        <v>221397</v>
      </c>
      <c r="D4136" s="4" t="s">
        <v>17</v>
      </c>
      <c r="E4136" s="4" t="s">
        <v>727</v>
      </c>
      <c r="F4136" s="4" t="s">
        <v>19</v>
      </c>
      <c r="G4136" s="4" t="s">
        <v>34</v>
      </c>
      <c r="H4136" s="5">
        <v>25000</v>
      </c>
      <c r="I4136" s="4" t="s">
        <v>21</v>
      </c>
      <c r="J4136" s="5">
        <f t="shared" si="64"/>
        <v>-88295</v>
      </c>
      <c r="K4136" s="4" t="s">
        <v>27</v>
      </c>
      <c r="L4136" s="6">
        <v>3.5318000000000001</v>
      </c>
      <c r="M4136" s="6">
        <v>0.28310000000000002</v>
      </c>
      <c r="N4136" s="6">
        <v>3.5188999999999999</v>
      </c>
      <c r="O4136" s="6">
        <v>1</v>
      </c>
      <c r="P4136" s="5">
        <v>-322.5</v>
      </c>
      <c r="Q4136" s="4" t="s">
        <v>1397</v>
      </c>
    </row>
    <row r="4137" spans="1:17" x14ac:dyDescent="0.3">
      <c r="A4137" s="2" t="s">
        <v>1389</v>
      </c>
      <c r="B4137" s="3">
        <v>160388</v>
      </c>
      <c r="C4137" s="3">
        <v>221398</v>
      </c>
      <c r="D4137" s="4" t="s">
        <v>17</v>
      </c>
      <c r="E4137" s="4" t="s">
        <v>735</v>
      </c>
      <c r="F4137" s="4" t="s">
        <v>19</v>
      </c>
      <c r="G4137" s="4" t="s">
        <v>20</v>
      </c>
      <c r="H4137" s="5">
        <v>237394.36</v>
      </c>
      <c r="I4137" s="4" t="s">
        <v>21</v>
      </c>
      <c r="J4137" s="5">
        <f t="shared" si="64"/>
        <v>-1000000.0020639999</v>
      </c>
      <c r="K4137" s="4" t="s">
        <v>27</v>
      </c>
      <c r="L4137" s="6">
        <v>4.2123999999999997</v>
      </c>
      <c r="M4137" s="6">
        <v>0.2374</v>
      </c>
      <c r="N4137" s="6">
        <v>4.2072000000000003</v>
      </c>
      <c r="O4137" s="6">
        <v>1</v>
      </c>
      <c r="P4137" s="5">
        <v>-1234.4506719998317</v>
      </c>
      <c r="Q4137" s="4" t="s">
        <v>1394</v>
      </c>
    </row>
    <row r="4138" spans="1:17" x14ac:dyDescent="0.3">
      <c r="A4138" s="2" t="s">
        <v>1389</v>
      </c>
      <c r="B4138" s="3">
        <v>160389</v>
      </c>
      <c r="C4138" s="3">
        <v>221401</v>
      </c>
      <c r="D4138" s="4" t="s">
        <v>17</v>
      </c>
      <c r="E4138" s="4" t="s">
        <v>735</v>
      </c>
      <c r="F4138" s="4" t="s">
        <v>19</v>
      </c>
      <c r="G4138" s="4" t="s">
        <v>20</v>
      </c>
      <c r="H4138" s="5">
        <v>47478.87</v>
      </c>
      <c r="I4138" s="4" t="s">
        <v>21</v>
      </c>
      <c r="J4138" s="5">
        <f t="shared" si="64"/>
        <v>-199999.99198799999</v>
      </c>
      <c r="K4138" s="4" t="s">
        <v>27</v>
      </c>
      <c r="L4138" s="6">
        <v>4.2123999999999997</v>
      </c>
      <c r="M4138" s="6">
        <v>0.2374</v>
      </c>
      <c r="N4138" s="6">
        <v>4.2072000000000003</v>
      </c>
      <c r="O4138" s="6">
        <v>1</v>
      </c>
      <c r="P4138" s="5">
        <v>-246.89012399996864</v>
      </c>
      <c r="Q4138" s="4" t="s">
        <v>1394</v>
      </c>
    </row>
    <row r="4139" spans="1:17" x14ac:dyDescent="0.3">
      <c r="A4139" s="2" t="s">
        <v>1389</v>
      </c>
      <c r="B4139" s="3">
        <v>160391</v>
      </c>
      <c r="C4139" s="3">
        <v>221409</v>
      </c>
      <c r="D4139" s="4" t="s">
        <v>17</v>
      </c>
      <c r="E4139" s="4" t="s">
        <v>920</v>
      </c>
      <c r="F4139" s="4" t="s">
        <v>32</v>
      </c>
      <c r="G4139" s="4" t="s">
        <v>34</v>
      </c>
      <c r="H4139" s="5">
        <v>-16178</v>
      </c>
      <c r="I4139" s="4" t="s">
        <v>21</v>
      </c>
      <c r="J4139" s="5">
        <f t="shared" si="64"/>
        <v>57156.873999999996</v>
      </c>
      <c r="K4139" s="4" t="s">
        <v>27</v>
      </c>
      <c r="L4139" s="6">
        <v>3.5329999999999999</v>
      </c>
      <c r="M4139" s="6">
        <v>0.28299999999999997</v>
      </c>
      <c r="N4139" s="6">
        <v>3.5188999999999999</v>
      </c>
      <c r="O4139" s="6">
        <v>1</v>
      </c>
      <c r="P4139" s="5">
        <v>228.10579999999999</v>
      </c>
      <c r="Q4139" s="4" t="s">
        <v>1390</v>
      </c>
    </row>
    <row r="4140" spans="1:17" x14ac:dyDescent="0.3">
      <c r="A4140" s="2" t="s">
        <v>1389</v>
      </c>
      <c r="B4140" s="3">
        <v>160410</v>
      </c>
      <c r="C4140" s="3">
        <v>221415</v>
      </c>
      <c r="D4140" s="4" t="s">
        <v>17</v>
      </c>
      <c r="E4140" s="4" t="s">
        <v>977</v>
      </c>
      <c r="F4140" s="4" t="s">
        <v>19</v>
      </c>
      <c r="G4140" s="4" t="s">
        <v>20</v>
      </c>
      <c r="H4140" s="5">
        <v>100000</v>
      </c>
      <c r="I4140" s="4" t="s">
        <v>21</v>
      </c>
      <c r="J4140" s="5">
        <f t="shared" si="64"/>
        <v>-420200</v>
      </c>
      <c r="K4140" s="4" t="s">
        <v>27</v>
      </c>
      <c r="L4140" s="6">
        <v>4.202</v>
      </c>
      <c r="M4140" s="6">
        <v>0.23799999999999999</v>
      </c>
      <c r="N4140" s="6">
        <v>4.2072000000000003</v>
      </c>
      <c r="O4140" s="6">
        <v>1</v>
      </c>
      <c r="P4140" s="5">
        <v>520</v>
      </c>
      <c r="Q4140" s="4" t="s">
        <v>1390</v>
      </c>
    </row>
    <row r="4141" spans="1:17" x14ac:dyDescent="0.3">
      <c r="A4141" s="2" t="s">
        <v>1389</v>
      </c>
      <c r="B4141" s="3">
        <v>160411</v>
      </c>
      <c r="C4141" s="3">
        <v>221416</v>
      </c>
      <c r="D4141" s="4" t="s">
        <v>17</v>
      </c>
      <c r="E4141" s="4" t="s">
        <v>1139</v>
      </c>
      <c r="F4141" s="4" t="s">
        <v>19</v>
      </c>
      <c r="G4141" s="4" t="s">
        <v>20</v>
      </c>
      <c r="H4141" s="5">
        <v>32000</v>
      </c>
      <c r="I4141" s="4" t="s">
        <v>21</v>
      </c>
      <c r="J4141" s="5">
        <f t="shared" si="64"/>
        <v>-134332.79999999999</v>
      </c>
      <c r="K4141" s="4" t="s">
        <v>27</v>
      </c>
      <c r="L4141" s="6">
        <v>4.1978999999999997</v>
      </c>
      <c r="M4141" s="6">
        <v>0.2382</v>
      </c>
      <c r="N4141" s="6">
        <v>4.2072000000000003</v>
      </c>
      <c r="O4141" s="6">
        <v>1</v>
      </c>
      <c r="P4141" s="5">
        <v>297.60000000003492</v>
      </c>
      <c r="Q4141" s="4" t="s">
        <v>1390</v>
      </c>
    </row>
    <row r="4142" spans="1:17" x14ac:dyDescent="0.3">
      <c r="A4142" s="2" t="s">
        <v>1389</v>
      </c>
      <c r="B4142" s="3">
        <v>160412</v>
      </c>
      <c r="C4142" s="3">
        <v>221417</v>
      </c>
      <c r="D4142" s="4" t="s">
        <v>17</v>
      </c>
      <c r="E4142" s="4" t="s">
        <v>1139</v>
      </c>
      <c r="F4142" s="4" t="s">
        <v>19</v>
      </c>
      <c r="G4142" s="4" t="s">
        <v>34</v>
      </c>
      <c r="H4142" s="5">
        <v>24000</v>
      </c>
      <c r="I4142" s="4" t="s">
        <v>21</v>
      </c>
      <c r="J4142" s="5">
        <f t="shared" si="64"/>
        <v>-84314.400000000009</v>
      </c>
      <c r="K4142" s="4" t="s">
        <v>27</v>
      </c>
      <c r="L4142" s="6">
        <v>3.5131000000000001</v>
      </c>
      <c r="M4142" s="6">
        <v>0.28460000000000002</v>
      </c>
      <c r="N4142" s="6">
        <v>3.5188999999999999</v>
      </c>
      <c r="O4142" s="6">
        <v>1</v>
      </c>
      <c r="P4142" s="5">
        <v>139.19999999998254</v>
      </c>
      <c r="Q4142" s="4" t="s">
        <v>1390</v>
      </c>
    </row>
    <row r="4143" spans="1:17" x14ac:dyDescent="0.3">
      <c r="A4143" s="2" t="s">
        <v>1389</v>
      </c>
      <c r="B4143" s="3">
        <v>160413</v>
      </c>
      <c r="C4143" s="3">
        <v>221418</v>
      </c>
      <c r="D4143" s="4" t="s">
        <v>17</v>
      </c>
      <c r="E4143" s="4" t="s">
        <v>1261</v>
      </c>
      <c r="F4143" s="4" t="s">
        <v>19</v>
      </c>
      <c r="G4143" s="4" t="s">
        <v>20</v>
      </c>
      <c r="H4143" s="5">
        <v>73400</v>
      </c>
      <c r="I4143" s="4" t="s">
        <v>21</v>
      </c>
      <c r="J4143" s="5">
        <f t="shared" si="64"/>
        <v>-308492.86</v>
      </c>
      <c r="K4143" s="4" t="s">
        <v>27</v>
      </c>
      <c r="L4143" s="6">
        <v>4.2028999999999996</v>
      </c>
      <c r="M4143" s="6">
        <v>0.2379</v>
      </c>
      <c r="N4143" s="6">
        <v>4.2072000000000003</v>
      </c>
      <c r="O4143" s="6">
        <v>1</v>
      </c>
      <c r="P4143" s="5">
        <v>315.62000000005355</v>
      </c>
      <c r="Q4143" s="4" t="s">
        <v>1390</v>
      </c>
    </row>
    <row r="4144" spans="1:17" x14ac:dyDescent="0.3">
      <c r="A4144" s="2" t="s">
        <v>1389</v>
      </c>
      <c r="B4144" s="3">
        <v>160414</v>
      </c>
      <c r="C4144" s="3">
        <v>221419</v>
      </c>
      <c r="D4144" s="4" t="s">
        <v>17</v>
      </c>
      <c r="E4144" s="4" t="s">
        <v>1139</v>
      </c>
      <c r="F4144" s="4" t="s">
        <v>19</v>
      </c>
      <c r="G4144" s="4" t="s">
        <v>453</v>
      </c>
      <c r="H4144" s="5">
        <v>78000</v>
      </c>
      <c r="I4144" s="4" t="s">
        <v>21</v>
      </c>
      <c r="J4144" s="5">
        <f t="shared" si="64"/>
        <v>-202683</v>
      </c>
      <c r="K4144" s="4" t="s">
        <v>27</v>
      </c>
      <c r="L4144" s="6">
        <v>2.5985</v>
      </c>
      <c r="M4144" s="6">
        <v>0.38479999999999998</v>
      </c>
      <c r="N4144" s="6">
        <v>2.6002000000000001</v>
      </c>
      <c r="O4144" s="6">
        <v>1</v>
      </c>
      <c r="P4144" s="5">
        <v>132.60000000000582</v>
      </c>
      <c r="Q4144" s="4" t="s">
        <v>1390</v>
      </c>
    </row>
    <row r="4145" spans="1:17" x14ac:dyDescent="0.3">
      <c r="A4145" s="2" t="s">
        <v>1389</v>
      </c>
      <c r="B4145" s="3">
        <v>160415</v>
      </c>
      <c r="C4145" s="3">
        <v>221422</v>
      </c>
      <c r="D4145" s="4" t="s">
        <v>17</v>
      </c>
      <c r="E4145" s="4" t="s">
        <v>1019</v>
      </c>
      <c r="F4145" s="4" t="s">
        <v>32</v>
      </c>
      <c r="G4145" s="4" t="s">
        <v>20</v>
      </c>
      <c r="H4145" s="5">
        <v>-100000</v>
      </c>
      <c r="I4145" s="4" t="s">
        <v>21</v>
      </c>
      <c r="J4145" s="5">
        <f t="shared" si="64"/>
        <v>422090.00000000006</v>
      </c>
      <c r="K4145" s="4" t="s">
        <v>27</v>
      </c>
      <c r="L4145" s="6">
        <v>4.2209000000000003</v>
      </c>
      <c r="M4145" s="6">
        <v>0.2369</v>
      </c>
      <c r="N4145" s="6">
        <v>4.2072000000000003</v>
      </c>
      <c r="O4145" s="6">
        <v>1</v>
      </c>
      <c r="P4145" s="5">
        <v>1280</v>
      </c>
      <c r="Q4145" s="4" t="s">
        <v>1390</v>
      </c>
    </row>
    <row r="4146" spans="1:17" x14ac:dyDescent="0.3">
      <c r="A4146" s="2" t="s">
        <v>1389</v>
      </c>
      <c r="B4146" s="3">
        <v>160419</v>
      </c>
      <c r="C4146" s="3">
        <v>221428</v>
      </c>
      <c r="D4146" s="4" t="s">
        <v>17</v>
      </c>
      <c r="E4146" s="4" t="s">
        <v>974</v>
      </c>
      <c r="F4146" s="4" t="s">
        <v>32</v>
      </c>
      <c r="G4146" s="4" t="s">
        <v>91</v>
      </c>
      <c r="H4146" s="5">
        <v>-5500</v>
      </c>
      <c r="I4146" s="4" t="s">
        <v>21</v>
      </c>
      <c r="J4146" s="5">
        <f t="shared" si="64"/>
        <v>26801.5</v>
      </c>
      <c r="K4146" s="4" t="s">
        <v>27</v>
      </c>
      <c r="L4146" s="6">
        <v>4.8730000000000002</v>
      </c>
      <c r="M4146" s="6">
        <v>0.20519999999999999</v>
      </c>
      <c r="N4146" s="6">
        <v>4.8574000000000002</v>
      </c>
      <c r="O4146" s="6">
        <v>1</v>
      </c>
      <c r="P4146" s="5">
        <v>85.8</v>
      </c>
      <c r="Q4146" s="4" t="s">
        <v>1390</v>
      </c>
    </row>
    <row r="4147" spans="1:17" x14ac:dyDescent="0.3">
      <c r="A4147" s="2" t="s">
        <v>1389</v>
      </c>
      <c r="B4147" s="3">
        <v>160427</v>
      </c>
      <c r="C4147" s="3">
        <v>221433</v>
      </c>
      <c r="D4147" s="4" t="s">
        <v>17</v>
      </c>
      <c r="E4147" s="4" t="s">
        <v>854</v>
      </c>
      <c r="F4147" s="4" t="s">
        <v>32</v>
      </c>
      <c r="G4147" s="4" t="s">
        <v>20</v>
      </c>
      <c r="H4147" s="5">
        <v>-2300000</v>
      </c>
      <c r="I4147" s="4" t="s">
        <v>21</v>
      </c>
      <c r="J4147" s="5">
        <f t="shared" si="64"/>
        <v>9690820</v>
      </c>
      <c r="K4147" s="4" t="s">
        <v>27</v>
      </c>
      <c r="L4147" s="6">
        <v>4.2134</v>
      </c>
      <c r="M4147" s="6">
        <v>0.23730000000000001</v>
      </c>
      <c r="N4147" s="6">
        <v>4.2072000000000003</v>
      </c>
      <c r="O4147" s="6">
        <v>1</v>
      </c>
      <c r="P4147" s="5">
        <v>12190</v>
      </c>
      <c r="Q4147" s="4" t="s">
        <v>1390</v>
      </c>
    </row>
    <row r="4148" spans="1:17" x14ac:dyDescent="0.3">
      <c r="A4148" s="2" t="s">
        <v>1389</v>
      </c>
      <c r="B4148" s="3">
        <v>160429</v>
      </c>
      <c r="C4148" s="3">
        <v>221445</v>
      </c>
      <c r="D4148" s="4" t="s">
        <v>17</v>
      </c>
      <c r="E4148" s="4" t="s">
        <v>960</v>
      </c>
      <c r="F4148" s="4" t="s">
        <v>19</v>
      </c>
      <c r="G4148" s="4" t="s">
        <v>20</v>
      </c>
      <c r="H4148" s="5">
        <v>40000</v>
      </c>
      <c r="I4148" s="4" t="s">
        <v>21</v>
      </c>
      <c r="J4148" s="5">
        <f t="shared" si="64"/>
        <v>-168240.00000000003</v>
      </c>
      <c r="K4148" s="4" t="s">
        <v>27</v>
      </c>
      <c r="L4148" s="6">
        <v>4.2060000000000004</v>
      </c>
      <c r="M4148" s="6">
        <v>0.23780000000000001</v>
      </c>
      <c r="N4148" s="6">
        <v>4.2072000000000003</v>
      </c>
      <c r="O4148" s="6">
        <v>1</v>
      </c>
      <c r="P4148" s="5">
        <v>47.999999999970896</v>
      </c>
      <c r="Q4148" s="4" t="s">
        <v>1390</v>
      </c>
    </row>
    <row r="4149" spans="1:17" x14ac:dyDescent="0.3">
      <c r="A4149" s="2" t="s">
        <v>1389</v>
      </c>
      <c r="B4149" s="3">
        <v>160430</v>
      </c>
      <c r="C4149" s="3">
        <v>221447</v>
      </c>
      <c r="D4149" s="4" t="s">
        <v>17</v>
      </c>
      <c r="E4149" s="4" t="s">
        <v>838</v>
      </c>
      <c r="F4149" s="4" t="s">
        <v>32</v>
      </c>
      <c r="G4149" s="4" t="s">
        <v>20</v>
      </c>
      <c r="H4149" s="5">
        <v>-22200</v>
      </c>
      <c r="I4149" s="4" t="s">
        <v>21</v>
      </c>
      <c r="J4149" s="5">
        <f t="shared" si="64"/>
        <v>93790.56</v>
      </c>
      <c r="K4149" s="4" t="s">
        <v>27</v>
      </c>
      <c r="L4149" s="6">
        <v>4.2248000000000001</v>
      </c>
      <c r="M4149" s="6">
        <v>0.23669999999999999</v>
      </c>
      <c r="N4149" s="6">
        <v>4.2072000000000003</v>
      </c>
      <c r="O4149" s="6">
        <v>1</v>
      </c>
      <c r="P4149" s="5">
        <v>372.96</v>
      </c>
      <c r="Q4149" s="4" t="s">
        <v>1390</v>
      </c>
    </row>
    <row r="4150" spans="1:17" x14ac:dyDescent="0.3">
      <c r="A4150" s="2" t="s">
        <v>1389</v>
      </c>
      <c r="B4150" s="3">
        <v>160431</v>
      </c>
      <c r="C4150" s="3">
        <v>221452</v>
      </c>
      <c r="D4150" s="4" t="s">
        <v>17</v>
      </c>
      <c r="E4150" s="4" t="s">
        <v>1054</v>
      </c>
      <c r="F4150" s="4" t="s">
        <v>32</v>
      </c>
      <c r="G4150" s="4" t="s">
        <v>20</v>
      </c>
      <c r="H4150" s="5">
        <v>-100000</v>
      </c>
      <c r="I4150" s="4" t="s">
        <v>21</v>
      </c>
      <c r="J4150" s="5">
        <f t="shared" si="64"/>
        <v>421450</v>
      </c>
      <c r="K4150" s="4" t="s">
        <v>27</v>
      </c>
      <c r="L4150" s="6">
        <v>4.2145000000000001</v>
      </c>
      <c r="M4150" s="6">
        <v>0.23730000000000001</v>
      </c>
      <c r="N4150" s="6">
        <v>4.2072000000000003</v>
      </c>
      <c r="O4150" s="6">
        <v>1</v>
      </c>
      <c r="P4150" s="5">
        <v>730</v>
      </c>
      <c r="Q4150" s="4" t="s">
        <v>1390</v>
      </c>
    </row>
    <row r="4151" spans="1:17" x14ac:dyDescent="0.3">
      <c r="A4151" s="2" t="s">
        <v>1389</v>
      </c>
      <c r="B4151" s="3">
        <v>160432</v>
      </c>
      <c r="C4151" s="3">
        <v>221453</v>
      </c>
      <c r="D4151" s="4" t="s">
        <v>17</v>
      </c>
      <c r="E4151" s="4" t="s">
        <v>1273</v>
      </c>
      <c r="F4151" s="4" t="s">
        <v>19</v>
      </c>
      <c r="G4151" s="4" t="s">
        <v>20</v>
      </c>
      <c r="H4151" s="5">
        <v>7000</v>
      </c>
      <c r="I4151" s="4" t="s">
        <v>21</v>
      </c>
      <c r="J4151" s="5">
        <f t="shared" si="64"/>
        <v>-29406.3</v>
      </c>
      <c r="K4151" s="4" t="s">
        <v>27</v>
      </c>
      <c r="L4151" s="6">
        <v>4.2008999999999999</v>
      </c>
      <c r="M4151" s="6">
        <v>0.23799999999999999</v>
      </c>
      <c r="N4151" s="6">
        <v>4.2072000000000003</v>
      </c>
      <c r="O4151" s="6">
        <v>1</v>
      </c>
      <c r="P4151" s="5">
        <v>44.100000000002183</v>
      </c>
      <c r="Q4151" s="4" t="s">
        <v>1390</v>
      </c>
    </row>
    <row r="4152" spans="1:17" x14ac:dyDescent="0.3">
      <c r="A4152" s="2" t="s">
        <v>1389</v>
      </c>
      <c r="B4152" s="3">
        <v>160433</v>
      </c>
      <c r="C4152" s="3">
        <v>221456</v>
      </c>
      <c r="D4152" s="4" t="s">
        <v>17</v>
      </c>
      <c r="E4152" s="4" t="s">
        <v>763</v>
      </c>
      <c r="F4152" s="4" t="s">
        <v>19</v>
      </c>
      <c r="G4152" s="4" t="s">
        <v>20</v>
      </c>
      <c r="H4152" s="5">
        <v>10000</v>
      </c>
      <c r="I4152" s="4" t="s">
        <v>21</v>
      </c>
      <c r="J4152" s="5">
        <f t="shared" si="64"/>
        <v>-41989</v>
      </c>
      <c r="K4152" s="4" t="s">
        <v>27</v>
      </c>
      <c r="L4152" s="6">
        <v>4.1989000000000001</v>
      </c>
      <c r="M4152" s="6">
        <v>0.2382</v>
      </c>
      <c r="N4152" s="6">
        <v>4.2072000000000003</v>
      </c>
      <c r="O4152" s="6">
        <v>1</v>
      </c>
      <c r="P4152" s="5">
        <v>83</v>
      </c>
      <c r="Q4152" s="4" t="s">
        <v>1390</v>
      </c>
    </row>
    <row r="4153" spans="1:17" x14ac:dyDescent="0.3">
      <c r="A4153" s="2" t="s">
        <v>1389</v>
      </c>
      <c r="B4153" s="3">
        <v>160434</v>
      </c>
      <c r="C4153" s="3">
        <v>221458</v>
      </c>
      <c r="D4153" s="4" t="s">
        <v>17</v>
      </c>
      <c r="E4153" s="4" t="s">
        <v>1372</v>
      </c>
      <c r="F4153" s="4" t="s">
        <v>19</v>
      </c>
      <c r="G4153" s="4" t="s">
        <v>20</v>
      </c>
      <c r="H4153" s="5">
        <v>53000</v>
      </c>
      <c r="I4153" s="4" t="s">
        <v>21</v>
      </c>
      <c r="J4153" s="5">
        <f t="shared" si="64"/>
        <v>-222652.99999999997</v>
      </c>
      <c r="K4153" s="4" t="s">
        <v>27</v>
      </c>
      <c r="L4153" s="6">
        <v>4.2009999999999996</v>
      </c>
      <c r="M4153" s="6">
        <v>0.23799999999999999</v>
      </c>
      <c r="N4153" s="6">
        <v>4.2072000000000003</v>
      </c>
      <c r="O4153" s="6">
        <v>1</v>
      </c>
      <c r="P4153" s="5">
        <v>328.60000000003492</v>
      </c>
      <c r="Q4153" s="4" t="s">
        <v>1390</v>
      </c>
    </row>
    <row r="4154" spans="1:17" x14ac:dyDescent="0.3">
      <c r="A4154" s="2" t="s">
        <v>1389</v>
      </c>
      <c r="B4154" s="3">
        <v>160435</v>
      </c>
      <c r="C4154" s="3">
        <v>221459</v>
      </c>
      <c r="D4154" s="4" t="s">
        <v>17</v>
      </c>
      <c r="E4154" s="4" t="s">
        <v>1067</v>
      </c>
      <c r="F4154" s="4" t="s">
        <v>19</v>
      </c>
      <c r="G4154" s="4" t="s">
        <v>20</v>
      </c>
      <c r="H4154" s="5">
        <v>12200</v>
      </c>
      <c r="I4154" s="4" t="s">
        <v>21</v>
      </c>
      <c r="J4154" s="5">
        <f t="shared" si="64"/>
        <v>-51276.600000000006</v>
      </c>
      <c r="K4154" s="4" t="s">
        <v>27</v>
      </c>
      <c r="L4154" s="6">
        <v>4.2030000000000003</v>
      </c>
      <c r="M4154" s="6">
        <v>0.2379</v>
      </c>
      <c r="N4154" s="6">
        <v>4.2072000000000003</v>
      </c>
      <c r="O4154" s="6">
        <v>1</v>
      </c>
      <c r="P4154" s="5">
        <v>51.239999999997963</v>
      </c>
      <c r="Q4154" s="4" t="s">
        <v>1390</v>
      </c>
    </row>
    <row r="4155" spans="1:17" x14ac:dyDescent="0.3">
      <c r="A4155" s="2" t="s">
        <v>1389</v>
      </c>
      <c r="B4155" s="3">
        <v>160437</v>
      </c>
      <c r="C4155" s="3">
        <v>221460</v>
      </c>
      <c r="D4155" s="4" t="s">
        <v>17</v>
      </c>
      <c r="E4155" s="4" t="s">
        <v>1239</v>
      </c>
      <c r="F4155" s="4" t="s">
        <v>32</v>
      </c>
      <c r="G4155" s="4" t="s">
        <v>20</v>
      </c>
      <c r="H4155" s="5">
        <v>-140000</v>
      </c>
      <c r="I4155" s="4" t="s">
        <v>21</v>
      </c>
      <c r="J4155" s="5">
        <f t="shared" si="64"/>
        <v>601300</v>
      </c>
      <c r="K4155" s="4" t="s">
        <v>27</v>
      </c>
      <c r="L4155" s="6">
        <v>4.2949999999999999</v>
      </c>
      <c r="M4155" s="6">
        <v>0.23280000000000001</v>
      </c>
      <c r="N4155" s="6">
        <v>4.2072000000000003</v>
      </c>
      <c r="O4155" s="6">
        <v>1</v>
      </c>
      <c r="P4155" s="5">
        <v>12292</v>
      </c>
      <c r="Q4155" s="4" t="s">
        <v>1390</v>
      </c>
    </row>
    <row r="4156" spans="1:17" x14ac:dyDescent="0.3">
      <c r="A4156" s="2" t="s">
        <v>1389</v>
      </c>
      <c r="B4156" s="3">
        <v>160438</v>
      </c>
      <c r="C4156" s="3">
        <v>221461</v>
      </c>
      <c r="D4156" s="4" t="s">
        <v>17</v>
      </c>
      <c r="E4156" s="4" t="s">
        <v>1224</v>
      </c>
      <c r="F4156" s="4" t="s">
        <v>32</v>
      </c>
      <c r="G4156" s="4" t="s">
        <v>20</v>
      </c>
      <c r="H4156" s="5">
        <v>-10000</v>
      </c>
      <c r="I4156" s="4" t="s">
        <v>21</v>
      </c>
      <c r="J4156" s="5">
        <f t="shared" si="64"/>
        <v>42138</v>
      </c>
      <c r="K4156" s="4" t="s">
        <v>27</v>
      </c>
      <c r="L4156" s="6">
        <v>4.2138</v>
      </c>
      <c r="M4156" s="6">
        <v>0.23730000000000001</v>
      </c>
      <c r="N4156" s="6">
        <v>4.2072000000000003</v>
      </c>
      <c r="O4156" s="6">
        <v>1</v>
      </c>
      <c r="P4156" s="5">
        <v>57</v>
      </c>
      <c r="Q4156" s="4" t="s">
        <v>1390</v>
      </c>
    </row>
    <row r="4157" spans="1:17" x14ac:dyDescent="0.3">
      <c r="A4157" s="2" t="s">
        <v>1389</v>
      </c>
      <c r="B4157" s="3">
        <v>160439</v>
      </c>
      <c r="C4157" s="3">
        <v>221463</v>
      </c>
      <c r="D4157" s="4" t="s">
        <v>17</v>
      </c>
      <c r="E4157" s="4" t="s">
        <v>1132</v>
      </c>
      <c r="F4157" s="4" t="s">
        <v>19</v>
      </c>
      <c r="G4157" s="4" t="s">
        <v>20</v>
      </c>
      <c r="H4157" s="5">
        <v>20000</v>
      </c>
      <c r="I4157" s="4" t="s">
        <v>21</v>
      </c>
      <c r="J4157" s="5">
        <f t="shared" si="64"/>
        <v>-84128</v>
      </c>
      <c r="K4157" s="4" t="s">
        <v>27</v>
      </c>
      <c r="L4157" s="6">
        <v>4.2064000000000004</v>
      </c>
      <c r="M4157" s="6">
        <v>0.23769999999999999</v>
      </c>
      <c r="N4157" s="6">
        <v>4.2072000000000003</v>
      </c>
      <c r="O4157" s="6">
        <v>1</v>
      </c>
      <c r="P4157" s="5">
        <v>16</v>
      </c>
      <c r="Q4157" s="4" t="s">
        <v>1390</v>
      </c>
    </row>
    <row r="4158" spans="1:17" x14ac:dyDescent="0.3">
      <c r="A4158" s="2" t="s">
        <v>1389</v>
      </c>
      <c r="B4158" s="3">
        <v>160440</v>
      </c>
      <c r="C4158" s="3">
        <v>221464</v>
      </c>
      <c r="D4158" s="4" t="s">
        <v>17</v>
      </c>
      <c r="E4158" s="4" t="s">
        <v>1014</v>
      </c>
      <c r="F4158" s="4" t="s">
        <v>19</v>
      </c>
      <c r="G4158" s="4" t="s">
        <v>20</v>
      </c>
      <c r="H4158" s="5">
        <v>25000</v>
      </c>
      <c r="I4158" s="4" t="s">
        <v>21</v>
      </c>
      <c r="J4158" s="5">
        <f t="shared" si="64"/>
        <v>-105085</v>
      </c>
      <c r="K4158" s="4" t="s">
        <v>27</v>
      </c>
      <c r="L4158" s="6">
        <v>4.2034000000000002</v>
      </c>
      <c r="M4158" s="6">
        <v>0.2379</v>
      </c>
      <c r="N4158" s="6">
        <v>4.2072000000000003</v>
      </c>
      <c r="O4158" s="6">
        <v>1</v>
      </c>
      <c r="P4158" s="5">
        <v>95</v>
      </c>
      <c r="Q4158" s="4" t="s">
        <v>1390</v>
      </c>
    </row>
    <row r="4159" spans="1:17" x14ac:dyDescent="0.3">
      <c r="A4159" s="2" t="s">
        <v>1389</v>
      </c>
      <c r="B4159" s="3">
        <v>160448</v>
      </c>
      <c r="C4159" s="3">
        <v>221475</v>
      </c>
      <c r="D4159" s="4" t="s">
        <v>17</v>
      </c>
      <c r="E4159" s="4" t="s">
        <v>1130</v>
      </c>
      <c r="F4159" s="4" t="s">
        <v>32</v>
      </c>
      <c r="G4159" s="4" t="s">
        <v>34</v>
      </c>
      <c r="H4159" s="5">
        <v>-289850</v>
      </c>
      <c r="I4159" s="4" t="s">
        <v>21</v>
      </c>
      <c r="J4159" s="5">
        <f t="shared" si="64"/>
        <v>1027518.25</v>
      </c>
      <c r="K4159" s="4" t="s">
        <v>27</v>
      </c>
      <c r="L4159" s="6">
        <v>3.5449999999999999</v>
      </c>
      <c r="M4159" s="6">
        <v>0.28210000000000002</v>
      </c>
      <c r="N4159" s="6">
        <v>3.5188999999999999</v>
      </c>
      <c r="O4159" s="6">
        <v>1</v>
      </c>
      <c r="P4159" s="5">
        <v>7565.085</v>
      </c>
      <c r="Q4159" s="4" t="s">
        <v>1390</v>
      </c>
    </row>
    <row r="4160" spans="1:17" x14ac:dyDescent="0.3">
      <c r="A4160" s="2" t="s">
        <v>1389</v>
      </c>
      <c r="B4160" s="3">
        <v>160449</v>
      </c>
      <c r="C4160" s="3">
        <v>221477</v>
      </c>
      <c r="D4160" s="4" t="s">
        <v>17</v>
      </c>
      <c r="E4160" s="4" t="s">
        <v>1130</v>
      </c>
      <c r="F4160" s="4" t="s">
        <v>19</v>
      </c>
      <c r="G4160" s="4" t="s">
        <v>20</v>
      </c>
      <c r="H4160" s="5">
        <v>385000</v>
      </c>
      <c r="I4160" s="4" t="s">
        <v>34</v>
      </c>
      <c r="J4160" s="5">
        <f t="shared" si="64"/>
        <v>-458150</v>
      </c>
      <c r="K4160" s="4" t="s">
        <v>27</v>
      </c>
      <c r="L4160" s="6">
        <v>1.19</v>
      </c>
      <c r="M4160" s="6">
        <v>0.84030000000000005</v>
      </c>
      <c r="N4160" s="6">
        <v>4.2072000000000003</v>
      </c>
      <c r="O4160" s="6">
        <v>3.5188999999999999</v>
      </c>
      <c r="P4160" s="5">
        <v>7587.9650000000838</v>
      </c>
      <c r="Q4160" s="4" t="s">
        <v>1390</v>
      </c>
    </row>
    <row r="4161" spans="1:17" x14ac:dyDescent="0.3">
      <c r="A4161" s="2" t="s">
        <v>1389</v>
      </c>
      <c r="B4161" s="3">
        <v>160452</v>
      </c>
      <c r="C4161" s="3">
        <v>221481</v>
      </c>
      <c r="D4161" s="4" t="s">
        <v>17</v>
      </c>
      <c r="E4161" s="4" t="s">
        <v>1073</v>
      </c>
      <c r="F4161" s="4" t="s">
        <v>19</v>
      </c>
      <c r="G4161" s="4" t="s">
        <v>20</v>
      </c>
      <c r="H4161" s="5">
        <v>50000</v>
      </c>
      <c r="I4161" s="4" t="s">
        <v>21</v>
      </c>
      <c r="J4161" s="5">
        <f t="shared" si="64"/>
        <v>-209500.00000000003</v>
      </c>
      <c r="K4161" s="4" t="s">
        <v>27</v>
      </c>
      <c r="L4161" s="6">
        <v>4.1900000000000004</v>
      </c>
      <c r="M4161" s="6">
        <v>0.2387</v>
      </c>
      <c r="N4161" s="6">
        <v>4.2072000000000003</v>
      </c>
      <c r="O4161" s="6">
        <v>1</v>
      </c>
      <c r="P4161" s="5">
        <v>859.9999999999709</v>
      </c>
      <c r="Q4161" s="4" t="s">
        <v>1390</v>
      </c>
    </row>
    <row r="4162" spans="1:17" x14ac:dyDescent="0.3">
      <c r="A4162" s="2" t="s">
        <v>1389</v>
      </c>
      <c r="B4162" s="3">
        <v>160453</v>
      </c>
      <c r="C4162" s="3">
        <v>221491</v>
      </c>
      <c r="D4162" s="4" t="s">
        <v>17</v>
      </c>
      <c r="E4162" s="4" t="s">
        <v>1029</v>
      </c>
      <c r="F4162" s="4" t="s">
        <v>19</v>
      </c>
      <c r="G4162" s="4" t="s">
        <v>20</v>
      </c>
      <c r="H4162" s="5">
        <v>300000</v>
      </c>
      <c r="I4162" s="4" t="s">
        <v>21</v>
      </c>
      <c r="J4162" s="5">
        <f t="shared" si="64"/>
        <v>-1260600</v>
      </c>
      <c r="K4162" s="4" t="s">
        <v>27</v>
      </c>
      <c r="L4162" s="6">
        <v>4.202</v>
      </c>
      <c r="M4162" s="6">
        <v>0.23799999999999999</v>
      </c>
      <c r="N4162" s="6">
        <v>4.2072000000000003</v>
      </c>
      <c r="O4162" s="6">
        <v>1</v>
      </c>
      <c r="P4162" s="5">
        <v>1560</v>
      </c>
      <c r="Q4162" s="4" t="s">
        <v>1390</v>
      </c>
    </row>
    <row r="4163" spans="1:17" x14ac:dyDescent="0.3">
      <c r="A4163" s="2" t="s">
        <v>1389</v>
      </c>
      <c r="B4163" s="3">
        <v>160454</v>
      </c>
      <c r="C4163" s="3">
        <v>221492</v>
      </c>
      <c r="D4163" s="4" t="s">
        <v>17</v>
      </c>
      <c r="E4163" s="4" t="s">
        <v>1042</v>
      </c>
      <c r="F4163" s="4" t="s">
        <v>19</v>
      </c>
      <c r="G4163" s="4" t="s">
        <v>20</v>
      </c>
      <c r="H4163" s="5">
        <v>152932</v>
      </c>
      <c r="I4163" s="4" t="s">
        <v>21</v>
      </c>
      <c r="J4163" s="5">
        <f t="shared" si="64"/>
        <v>-643186.11239999998</v>
      </c>
      <c r="K4163" s="4" t="s">
        <v>27</v>
      </c>
      <c r="L4163" s="6">
        <v>4.2057000000000002</v>
      </c>
      <c r="M4163" s="6">
        <v>0.23780000000000001</v>
      </c>
      <c r="N4163" s="6">
        <v>4.2072000000000003</v>
      </c>
      <c r="O4163" s="6">
        <v>1</v>
      </c>
      <c r="P4163" s="5">
        <v>229.3980000000447</v>
      </c>
      <c r="Q4163" s="4" t="s">
        <v>1390</v>
      </c>
    </row>
    <row r="4164" spans="1:17" x14ac:dyDescent="0.3">
      <c r="A4164" s="2" t="s">
        <v>1389</v>
      </c>
      <c r="B4164" s="3">
        <v>160455</v>
      </c>
      <c r="C4164" s="3">
        <v>221495</v>
      </c>
      <c r="D4164" s="4" t="s">
        <v>17</v>
      </c>
      <c r="E4164" s="4" t="s">
        <v>1133</v>
      </c>
      <c r="F4164" s="4" t="s">
        <v>19</v>
      </c>
      <c r="G4164" s="4" t="s">
        <v>20</v>
      </c>
      <c r="H4164" s="5">
        <v>30000</v>
      </c>
      <c r="I4164" s="4" t="s">
        <v>21</v>
      </c>
      <c r="J4164" s="5">
        <f t="shared" ref="J4164:J4209" si="65">-H4164*L4164</f>
        <v>-126105</v>
      </c>
      <c r="K4164" s="4" t="s">
        <v>27</v>
      </c>
      <c r="L4164" s="6">
        <v>4.2035</v>
      </c>
      <c r="M4164" s="6">
        <v>0.2379</v>
      </c>
      <c r="N4164" s="6">
        <v>4.2072000000000003</v>
      </c>
      <c r="O4164" s="6">
        <v>1</v>
      </c>
      <c r="P4164" s="5">
        <v>111.00000000001455</v>
      </c>
      <c r="Q4164" s="4" t="s">
        <v>1390</v>
      </c>
    </row>
    <row r="4165" spans="1:17" x14ac:dyDescent="0.3">
      <c r="A4165" s="2" t="s">
        <v>1389</v>
      </c>
      <c r="B4165" s="3">
        <v>160461</v>
      </c>
      <c r="C4165" s="3">
        <v>221503</v>
      </c>
      <c r="D4165" s="4" t="s">
        <v>17</v>
      </c>
      <c r="E4165" s="4" t="s">
        <v>1006</v>
      </c>
      <c r="F4165" s="4" t="s">
        <v>32</v>
      </c>
      <c r="G4165" s="4" t="s">
        <v>20</v>
      </c>
      <c r="H4165" s="5">
        <v>-30000</v>
      </c>
      <c r="I4165" s="4" t="s">
        <v>21</v>
      </c>
      <c r="J4165" s="5">
        <f t="shared" si="65"/>
        <v>126495</v>
      </c>
      <c r="K4165" s="4" t="s">
        <v>27</v>
      </c>
      <c r="L4165" s="6">
        <v>4.2164999999999999</v>
      </c>
      <c r="M4165" s="6">
        <v>0.23719999999999999</v>
      </c>
      <c r="N4165" s="6">
        <v>4.2072000000000003</v>
      </c>
      <c r="O4165" s="6">
        <v>1</v>
      </c>
      <c r="P4165" s="5">
        <v>279</v>
      </c>
      <c r="Q4165" s="4" t="s">
        <v>1390</v>
      </c>
    </row>
    <row r="4166" spans="1:17" x14ac:dyDescent="0.3">
      <c r="A4166" s="2" t="s">
        <v>1389</v>
      </c>
      <c r="B4166" s="3">
        <v>160471</v>
      </c>
      <c r="C4166" s="3">
        <v>221513</v>
      </c>
      <c r="D4166" s="4" t="s">
        <v>17</v>
      </c>
      <c r="E4166" s="4" t="s">
        <v>1138</v>
      </c>
      <c r="F4166" s="4" t="s">
        <v>19</v>
      </c>
      <c r="G4166" s="4" t="s">
        <v>20</v>
      </c>
      <c r="H4166" s="5">
        <v>4450</v>
      </c>
      <c r="I4166" s="4" t="s">
        <v>34</v>
      </c>
      <c r="J4166" s="5">
        <f t="shared" si="65"/>
        <v>-5296.835</v>
      </c>
      <c r="K4166" s="4" t="s">
        <v>27</v>
      </c>
      <c r="L4166" s="6">
        <v>1.1902999999999999</v>
      </c>
      <c r="M4166" s="6">
        <v>0.84009999999999996</v>
      </c>
      <c r="N4166" s="6">
        <v>4.2072000000000003</v>
      </c>
      <c r="O4166" s="6">
        <v>3.5188999999999999</v>
      </c>
      <c r="P4166" s="5">
        <v>83.00731850000011</v>
      </c>
      <c r="Q4166" s="4" t="s">
        <v>1390</v>
      </c>
    </row>
    <row r="4167" spans="1:17" x14ac:dyDescent="0.3">
      <c r="A4167" s="2" t="s">
        <v>1389</v>
      </c>
      <c r="B4167" s="3">
        <v>160472</v>
      </c>
      <c r="C4167" s="3">
        <v>221521</v>
      </c>
      <c r="D4167" s="4" t="s">
        <v>17</v>
      </c>
      <c r="E4167" s="4" t="s">
        <v>1218</v>
      </c>
      <c r="F4167" s="4" t="s">
        <v>19</v>
      </c>
      <c r="G4167" s="4" t="s">
        <v>20</v>
      </c>
      <c r="H4167" s="5">
        <v>15000</v>
      </c>
      <c r="I4167" s="4" t="s">
        <v>21</v>
      </c>
      <c r="J4167" s="5">
        <f t="shared" si="65"/>
        <v>-63046.5</v>
      </c>
      <c r="K4167" s="4" t="s">
        <v>27</v>
      </c>
      <c r="L4167" s="6">
        <v>4.2031000000000001</v>
      </c>
      <c r="M4167" s="6">
        <v>0.2379</v>
      </c>
      <c r="N4167" s="6">
        <v>4.2072000000000003</v>
      </c>
      <c r="O4167" s="6">
        <v>1</v>
      </c>
      <c r="P4167" s="5">
        <v>61.500000000007276</v>
      </c>
      <c r="Q4167" s="4" t="s">
        <v>1390</v>
      </c>
    </row>
    <row r="4168" spans="1:17" x14ac:dyDescent="0.3">
      <c r="A4168" s="2" t="s">
        <v>1389</v>
      </c>
      <c r="B4168" s="3">
        <v>160473</v>
      </c>
      <c r="C4168" s="3">
        <v>221528</v>
      </c>
      <c r="D4168" s="4" t="s">
        <v>17</v>
      </c>
      <c r="E4168" s="4" t="s">
        <v>797</v>
      </c>
      <c r="F4168" s="4" t="s">
        <v>32</v>
      </c>
      <c r="G4168" s="4" t="s">
        <v>20</v>
      </c>
      <c r="H4168" s="5">
        <v>-10000</v>
      </c>
      <c r="I4168" s="4" t="s">
        <v>21</v>
      </c>
      <c r="J4168" s="5">
        <f t="shared" si="65"/>
        <v>42249</v>
      </c>
      <c r="K4168" s="4" t="s">
        <v>27</v>
      </c>
      <c r="L4168" s="6">
        <v>4.2248999999999999</v>
      </c>
      <c r="M4168" s="6">
        <v>0.23669999999999999</v>
      </c>
      <c r="N4168" s="6">
        <v>4.2072000000000003</v>
      </c>
      <c r="O4168" s="6">
        <v>1</v>
      </c>
      <c r="P4168" s="5">
        <v>168</v>
      </c>
      <c r="Q4168" s="4" t="s">
        <v>1390</v>
      </c>
    </row>
    <row r="4169" spans="1:17" x14ac:dyDescent="0.3">
      <c r="A4169" s="2" t="s">
        <v>1389</v>
      </c>
      <c r="B4169" s="3">
        <v>160474</v>
      </c>
      <c r="C4169" s="3">
        <v>221530</v>
      </c>
      <c r="D4169" s="4" t="s">
        <v>17</v>
      </c>
      <c r="E4169" s="4" t="s">
        <v>1042</v>
      </c>
      <c r="F4169" s="4" t="s">
        <v>19</v>
      </c>
      <c r="G4169" s="4" t="s">
        <v>20</v>
      </c>
      <c r="H4169" s="5">
        <v>72326</v>
      </c>
      <c r="I4169" s="4" t="s">
        <v>21</v>
      </c>
      <c r="J4169" s="5">
        <f t="shared" si="65"/>
        <v>-304101.8996</v>
      </c>
      <c r="K4169" s="4" t="s">
        <v>27</v>
      </c>
      <c r="L4169" s="6">
        <v>4.2046000000000001</v>
      </c>
      <c r="M4169" s="6">
        <v>0.23780000000000001</v>
      </c>
      <c r="N4169" s="6">
        <v>4.2072000000000003</v>
      </c>
      <c r="O4169" s="6">
        <v>1</v>
      </c>
      <c r="P4169" s="5">
        <v>188.04759999999078</v>
      </c>
      <c r="Q4169" s="4" t="s">
        <v>1390</v>
      </c>
    </row>
    <row r="4170" spans="1:17" x14ac:dyDescent="0.3">
      <c r="A4170" s="2" t="s">
        <v>1389</v>
      </c>
      <c r="B4170" s="3">
        <v>160478</v>
      </c>
      <c r="C4170" s="3">
        <v>221535</v>
      </c>
      <c r="D4170" s="4" t="s">
        <v>17</v>
      </c>
      <c r="E4170" s="4" t="s">
        <v>1150</v>
      </c>
      <c r="F4170" s="4" t="s">
        <v>19</v>
      </c>
      <c r="G4170" s="4" t="s">
        <v>91</v>
      </c>
      <c r="H4170" s="5">
        <v>147379.88</v>
      </c>
      <c r="I4170" s="4" t="s">
        <v>21</v>
      </c>
      <c r="J4170" s="5">
        <f t="shared" si="65"/>
        <v>-715234.55764000001</v>
      </c>
      <c r="K4170" s="4" t="s">
        <v>27</v>
      </c>
      <c r="L4170" s="6">
        <v>4.8529999999999998</v>
      </c>
      <c r="M4170" s="6">
        <v>0.20610000000000001</v>
      </c>
      <c r="N4170" s="6">
        <v>4.8574000000000002</v>
      </c>
      <c r="O4170" s="6">
        <v>1</v>
      </c>
      <c r="P4170" s="5">
        <v>648.47147200000472</v>
      </c>
      <c r="Q4170" s="4" t="s">
        <v>1391</v>
      </c>
    </row>
    <row r="4171" spans="1:17" x14ac:dyDescent="0.3">
      <c r="A4171" s="2" t="s">
        <v>1389</v>
      </c>
      <c r="B4171" s="3">
        <v>160479</v>
      </c>
      <c r="C4171" s="3">
        <v>221536</v>
      </c>
      <c r="D4171" s="4" t="s">
        <v>17</v>
      </c>
      <c r="E4171" s="4" t="s">
        <v>1261</v>
      </c>
      <c r="F4171" s="4" t="s">
        <v>19</v>
      </c>
      <c r="G4171" s="4" t="s">
        <v>20</v>
      </c>
      <c r="H4171" s="5">
        <v>179000</v>
      </c>
      <c r="I4171" s="4" t="s">
        <v>21</v>
      </c>
      <c r="J4171" s="5">
        <f t="shared" si="65"/>
        <v>-752158</v>
      </c>
      <c r="K4171" s="4" t="s">
        <v>27</v>
      </c>
      <c r="L4171" s="6">
        <v>4.202</v>
      </c>
      <c r="M4171" s="6">
        <v>0.23799999999999999</v>
      </c>
      <c r="N4171" s="6">
        <v>4.2072000000000003</v>
      </c>
      <c r="O4171" s="6">
        <v>1</v>
      </c>
      <c r="P4171" s="5">
        <v>930.80000000004657</v>
      </c>
      <c r="Q4171" s="4" t="s">
        <v>1390</v>
      </c>
    </row>
    <row r="4172" spans="1:17" x14ac:dyDescent="0.3">
      <c r="A4172" s="2" t="s">
        <v>1389</v>
      </c>
      <c r="B4172" s="3">
        <v>160480</v>
      </c>
      <c r="C4172" s="3">
        <v>221544</v>
      </c>
      <c r="D4172" s="4" t="s">
        <v>17</v>
      </c>
      <c r="E4172" s="4" t="s">
        <v>1088</v>
      </c>
      <c r="F4172" s="4" t="s">
        <v>19</v>
      </c>
      <c r="G4172" s="4" t="s">
        <v>20</v>
      </c>
      <c r="H4172" s="5">
        <v>100000</v>
      </c>
      <c r="I4172" s="4" t="s">
        <v>21</v>
      </c>
      <c r="J4172" s="5">
        <f t="shared" si="65"/>
        <v>-419299.99999999994</v>
      </c>
      <c r="K4172" s="4" t="s">
        <v>27</v>
      </c>
      <c r="L4172" s="6">
        <v>4.1929999999999996</v>
      </c>
      <c r="M4172" s="6">
        <v>0.23849999999999999</v>
      </c>
      <c r="N4172" s="6">
        <v>4.2072000000000003</v>
      </c>
      <c r="O4172" s="6">
        <v>1</v>
      </c>
      <c r="P4172" s="5">
        <v>1420.0000000000582</v>
      </c>
      <c r="Q4172" s="4" t="s">
        <v>1390</v>
      </c>
    </row>
    <row r="4173" spans="1:17" x14ac:dyDescent="0.3">
      <c r="A4173" s="2" t="s">
        <v>1389</v>
      </c>
      <c r="B4173" s="3">
        <v>160487</v>
      </c>
      <c r="C4173" s="3">
        <v>221555</v>
      </c>
      <c r="D4173" s="4" t="s">
        <v>17</v>
      </c>
      <c r="E4173" s="4" t="s">
        <v>748</v>
      </c>
      <c r="F4173" s="4" t="s">
        <v>19</v>
      </c>
      <c r="G4173" s="4" t="s">
        <v>20</v>
      </c>
      <c r="H4173" s="5">
        <v>28000</v>
      </c>
      <c r="I4173" s="4" t="s">
        <v>21</v>
      </c>
      <c r="J4173" s="5">
        <f t="shared" si="65"/>
        <v>-117667.2</v>
      </c>
      <c r="K4173" s="4" t="s">
        <v>27</v>
      </c>
      <c r="L4173" s="6">
        <v>4.2023999999999999</v>
      </c>
      <c r="M4173" s="6">
        <v>0.23799999999999999</v>
      </c>
      <c r="N4173" s="6">
        <v>4.2072000000000003</v>
      </c>
      <c r="O4173" s="6">
        <v>1</v>
      </c>
      <c r="P4173" s="5">
        <v>134.40000000000873</v>
      </c>
      <c r="Q4173" s="4" t="s">
        <v>1390</v>
      </c>
    </row>
    <row r="4174" spans="1:17" x14ac:dyDescent="0.3">
      <c r="A4174" s="2" t="s">
        <v>1389</v>
      </c>
      <c r="B4174" s="3">
        <v>160493</v>
      </c>
      <c r="C4174" s="3">
        <v>221563</v>
      </c>
      <c r="D4174" s="4" t="s">
        <v>17</v>
      </c>
      <c r="E4174" s="4" t="s">
        <v>869</v>
      </c>
      <c r="F4174" s="4" t="s">
        <v>32</v>
      </c>
      <c r="G4174" s="4" t="s">
        <v>20</v>
      </c>
      <c r="H4174" s="5">
        <v>-32000</v>
      </c>
      <c r="I4174" s="4" t="s">
        <v>21</v>
      </c>
      <c r="J4174" s="5">
        <f t="shared" si="65"/>
        <v>134841.60000000001</v>
      </c>
      <c r="K4174" s="4" t="s">
        <v>27</v>
      </c>
      <c r="L4174" s="6">
        <v>4.2138</v>
      </c>
      <c r="M4174" s="6">
        <v>0.23730000000000001</v>
      </c>
      <c r="N4174" s="6">
        <v>4.2072000000000003</v>
      </c>
      <c r="O4174" s="6">
        <v>1</v>
      </c>
      <c r="P4174" s="5">
        <v>211.2</v>
      </c>
      <c r="Q4174" s="4" t="s">
        <v>1390</v>
      </c>
    </row>
    <row r="4175" spans="1:17" x14ac:dyDescent="0.3">
      <c r="A4175" s="2" t="s">
        <v>1389</v>
      </c>
      <c r="B4175" s="3">
        <v>160496</v>
      </c>
      <c r="C4175" s="3">
        <v>221567</v>
      </c>
      <c r="D4175" s="4" t="s">
        <v>17</v>
      </c>
      <c r="E4175" s="4" t="s">
        <v>1140</v>
      </c>
      <c r="F4175" s="4" t="s">
        <v>19</v>
      </c>
      <c r="G4175" s="4" t="s">
        <v>20</v>
      </c>
      <c r="H4175" s="5">
        <v>2700000</v>
      </c>
      <c r="I4175" s="4" t="s">
        <v>21</v>
      </c>
      <c r="J4175" s="5">
        <f t="shared" si="65"/>
        <v>-11367000</v>
      </c>
      <c r="K4175" s="4" t="s">
        <v>27</v>
      </c>
      <c r="L4175" s="6">
        <v>4.21</v>
      </c>
      <c r="M4175" s="6">
        <v>0.23749999999999999</v>
      </c>
      <c r="N4175" s="6">
        <v>4.2072000000000003</v>
      </c>
      <c r="O4175" s="6">
        <v>1</v>
      </c>
      <c r="P4175" s="5">
        <v>-7560</v>
      </c>
      <c r="Q4175" s="4" t="s">
        <v>1390</v>
      </c>
    </row>
    <row r="4176" spans="1:17" x14ac:dyDescent="0.3">
      <c r="A4176" s="2" t="s">
        <v>1389</v>
      </c>
      <c r="B4176" s="3">
        <v>160497</v>
      </c>
      <c r="C4176" s="3">
        <v>221568</v>
      </c>
      <c r="D4176" s="4" t="s">
        <v>17</v>
      </c>
      <c r="E4176" s="4" t="s">
        <v>1319</v>
      </c>
      <c r="F4176" s="4" t="s">
        <v>19</v>
      </c>
      <c r="G4176" s="4" t="s">
        <v>20</v>
      </c>
      <c r="H4176" s="5">
        <v>1500000</v>
      </c>
      <c r="I4176" s="4" t="s">
        <v>21</v>
      </c>
      <c r="J4176" s="5">
        <f t="shared" si="65"/>
        <v>-6315000</v>
      </c>
      <c r="K4176" s="4" t="s">
        <v>27</v>
      </c>
      <c r="L4176" s="6">
        <v>4.21</v>
      </c>
      <c r="M4176" s="6">
        <v>0.23749999999999999</v>
      </c>
      <c r="N4176" s="6">
        <v>4.2072000000000003</v>
      </c>
      <c r="O4176" s="6">
        <v>1</v>
      </c>
      <c r="P4176" s="5">
        <v>-4200</v>
      </c>
      <c r="Q4176" s="4" t="s">
        <v>1390</v>
      </c>
    </row>
    <row r="4177" spans="1:17" x14ac:dyDescent="0.3">
      <c r="A4177" s="2" t="s">
        <v>1389</v>
      </c>
      <c r="B4177" s="3">
        <v>160500</v>
      </c>
      <c r="C4177" s="3">
        <v>221570</v>
      </c>
      <c r="D4177" s="4" t="s">
        <v>17</v>
      </c>
      <c r="E4177" s="4" t="s">
        <v>1263</v>
      </c>
      <c r="F4177" s="4" t="s">
        <v>32</v>
      </c>
      <c r="G4177" s="4" t="s">
        <v>20</v>
      </c>
      <c r="H4177" s="5">
        <v>-30100</v>
      </c>
      <c r="I4177" s="4" t="s">
        <v>21</v>
      </c>
      <c r="J4177" s="5">
        <f t="shared" si="65"/>
        <v>127142.40000000001</v>
      </c>
      <c r="K4177" s="4" t="s">
        <v>27</v>
      </c>
      <c r="L4177" s="6">
        <v>4.2240000000000002</v>
      </c>
      <c r="M4177" s="6">
        <v>0.23669999999999999</v>
      </c>
      <c r="N4177" s="6">
        <v>4.2072000000000003</v>
      </c>
      <c r="O4177" s="6">
        <v>1</v>
      </c>
      <c r="P4177" s="5">
        <v>505.68</v>
      </c>
      <c r="Q4177" s="4" t="s">
        <v>1390</v>
      </c>
    </row>
    <row r="4178" spans="1:17" x14ac:dyDescent="0.3">
      <c r="A4178" s="2" t="s">
        <v>1389</v>
      </c>
      <c r="B4178" s="3">
        <v>160501</v>
      </c>
      <c r="C4178" s="3">
        <v>221571</v>
      </c>
      <c r="D4178" s="4" t="s">
        <v>17</v>
      </c>
      <c r="E4178" s="4" t="s">
        <v>755</v>
      </c>
      <c r="F4178" s="4" t="s">
        <v>19</v>
      </c>
      <c r="G4178" s="4" t="s">
        <v>20</v>
      </c>
      <c r="H4178" s="5">
        <v>15000</v>
      </c>
      <c r="I4178" s="4" t="s">
        <v>21</v>
      </c>
      <c r="J4178" s="5">
        <f t="shared" si="65"/>
        <v>-63075</v>
      </c>
      <c r="K4178" s="4" t="s">
        <v>27</v>
      </c>
      <c r="L4178" s="6">
        <v>4.2050000000000001</v>
      </c>
      <c r="M4178" s="6">
        <v>0.23780000000000001</v>
      </c>
      <c r="N4178" s="6">
        <v>4.2072000000000003</v>
      </c>
      <c r="O4178" s="6">
        <v>1</v>
      </c>
      <c r="P4178" s="5">
        <v>33.000000000007276</v>
      </c>
      <c r="Q4178" s="4" t="s">
        <v>1390</v>
      </c>
    </row>
    <row r="4179" spans="1:17" x14ac:dyDescent="0.3">
      <c r="A4179" s="2" t="s">
        <v>1389</v>
      </c>
      <c r="B4179" s="3">
        <v>160502</v>
      </c>
      <c r="C4179" s="3">
        <v>221572</v>
      </c>
      <c r="D4179" s="4" t="s">
        <v>17</v>
      </c>
      <c r="E4179" s="4" t="s">
        <v>1365</v>
      </c>
      <c r="F4179" s="4" t="s">
        <v>19</v>
      </c>
      <c r="G4179" s="4" t="s">
        <v>20</v>
      </c>
      <c r="H4179" s="5">
        <v>10000</v>
      </c>
      <c r="I4179" s="4" t="s">
        <v>21</v>
      </c>
      <c r="J4179" s="5">
        <f t="shared" si="65"/>
        <v>-41910.999999999993</v>
      </c>
      <c r="K4179" s="4" t="s">
        <v>27</v>
      </c>
      <c r="L4179" s="6">
        <v>4.1910999999999996</v>
      </c>
      <c r="M4179" s="6">
        <v>0.23860000000000001</v>
      </c>
      <c r="N4179" s="6">
        <v>4.2072000000000003</v>
      </c>
      <c r="O4179" s="6">
        <v>1</v>
      </c>
      <c r="P4179" s="5">
        <v>161.00000000000728</v>
      </c>
      <c r="Q4179" s="4" t="s">
        <v>1390</v>
      </c>
    </row>
    <row r="4180" spans="1:17" x14ac:dyDescent="0.3">
      <c r="A4180" s="2" t="s">
        <v>1389</v>
      </c>
      <c r="B4180" s="3">
        <v>160503</v>
      </c>
      <c r="C4180" s="3">
        <v>221578</v>
      </c>
      <c r="D4180" s="4" t="s">
        <v>17</v>
      </c>
      <c r="E4180" s="4" t="s">
        <v>1050</v>
      </c>
      <c r="F4180" s="4" t="s">
        <v>32</v>
      </c>
      <c r="G4180" s="4" t="s">
        <v>34</v>
      </c>
      <c r="H4180" s="5">
        <v>-65000</v>
      </c>
      <c r="I4180" s="4" t="s">
        <v>21</v>
      </c>
      <c r="J4180" s="5">
        <f t="shared" si="65"/>
        <v>229281</v>
      </c>
      <c r="K4180" s="4" t="s">
        <v>27</v>
      </c>
      <c r="L4180" s="6">
        <v>3.5274000000000001</v>
      </c>
      <c r="M4180" s="6">
        <v>0.28349999999999997</v>
      </c>
      <c r="N4180" s="6">
        <v>3.5188999999999999</v>
      </c>
      <c r="O4180" s="6">
        <v>1</v>
      </c>
      <c r="P4180" s="5">
        <v>546</v>
      </c>
      <c r="Q4180" s="4" t="s">
        <v>1390</v>
      </c>
    </row>
    <row r="4181" spans="1:17" x14ac:dyDescent="0.3">
      <c r="A4181" s="2" t="s">
        <v>1389</v>
      </c>
      <c r="B4181" s="3">
        <v>160517</v>
      </c>
      <c r="C4181" s="3">
        <v>221589</v>
      </c>
      <c r="D4181" s="4" t="s">
        <v>17</v>
      </c>
      <c r="E4181" s="4" t="s">
        <v>1049</v>
      </c>
      <c r="F4181" s="4" t="s">
        <v>19</v>
      </c>
      <c r="G4181" s="4" t="s">
        <v>20</v>
      </c>
      <c r="H4181" s="5">
        <v>40000</v>
      </c>
      <c r="I4181" s="4" t="s">
        <v>21</v>
      </c>
      <c r="J4181" s="5">
        <f t="shared" si="65"/>
        <v>-165600</v>
      </c>
      <c r="K4181" s="4" t="s">
        <v>27</v>
      </c>
      <c r="L4181" s="6">
        <v>4.1399999999999997</v>
      </c>
      <c r="M4181" s="6">
        <v>0.24149999999999999</v>
      </c>
      <c r="N4181" s="6">
        <v>4.2072000000000003</v>
      </c>
      <c r="O4181" s="6">
        <v>1</v>
      </c>
      <c r="P4181" s="5">
        <v>2688</v>
      </c>
      <c r="Q4181" s="4" t="s">
        <v>1390</v>
      </c>
    </row>
    <row r="4182" spans="1:17" x14ac:dyDescent="0.3">
      <c r="A4182" s="2" t="s">
        <v>1389</v>
      </c>
      <c r="B4182" s="3">
        <v>160518</v>
      </c>
      <c r="C4182" s="3">
        <v>221593</v>
      </c>
      <c r="D4182" s="4" t="s">
        <v>17</v>
      </c>
      <c r="E4182" s="4" t="s">
        <v>1337</v>
      </c>
      <c r="F4182" s="4" t="s">
        <v>19</v>
      </c>
      <c r="G4182" s="4" t="s">
        <v>20</v>
      </c>
      <c r="H4182" s="5">
        <v>20000</v>
      </c>
      <c r="I4182" s="4" t="s">
        <v>21</v>
      </c>
      <c r="J4182" s="5">
        <f t="shared" si="65"/>
        <v>-84018</v>
      </c>
      <c r="K4182" s="4" t="s">
        <v>27</v>
      </c>
      <c r="L4182" s="6">
        <v>4.2008999999999999</v>
      </c>
      <c r="M4182" s="6">
        <v>0.23799999999999999</v>
      </c>
      <c r="N4182" s="6">
        <v>4.2072000000000003</v>
      </c>
      <c r="O4182" s="6">
        <v>1</v>
      </c>
      <c r="P4182" s="5">
        <v>126</v>
      </c>
      <c r="Q4182" s="4" t="s">
        <v>1390</v>
      </c>
    </row>
    <row r="4183" spans="1:17" x14ac:dyDescent="0.3">
      <c r="A4183" s="2" t="s">
        <v>1389</v>
      </c>
      <c r="B4183" s="3">
        <v>160524</v>
      </c>
      <c r="C4183" s="3">
        <v>221597</v>
      </c>
      <c r="D4183" s="4" t="s">
        <v>17</v>
      </c>
      <c r="E4183" s="4" t="s">
        <v>1180</v>
      </c>
      <c r="F4183" s="4" t="s">
        <v>19</v>
      </c>
      <c r="G4183" s="4" t="s">
        <v>91</v>
      </c>
      <c r="H4183" s="5">
        <v>34572.39</v>
      </c>
      <c r="I4183" s="4" t="s">
        <v>21</v>
      </c>
      <c r="J4183" s="5">
        <f t="shared" si="65"/>
        <v>-167503.22954999999</v>
      </c>
      <c r="K4183" s="4" t="s">
        <v>27</v>
      </c>
      <c r="L4183" s="6">
        <v>4.8449999999999998</v>
      </c>
      <c r="M4183" s="6">
        <v>0.2064</v>
      </c>
      <c r="N4183" s="6">
        <v>4.8574000000000002</v>
      </c>
      <c r="O4183" s="6">
        <v>1</v>
      </c>
      <c r="P4183" s="5">
        <v>428.69763600002625</v>
      </c>
      <c r="Q4183" s="4" t="s">
        <v>1390</v>
      </c>
    </row>
    <row r="4184" spans="1:17" x14ac:dyDescent="0.3">
      <c r="A4184" s="2" t="s">
        <v>1389</v>
      </c>
      <c r="B4184" s="3">
        <v>160527</v>
      </c>
      <c r="C4184" s="3">
        <v>221602</v>
      </c>
      <c r="D4184" s="4" t="s">
        <v>17</v>
      </c>
      <c r="E4184" s="4" t="s">
        <v>1099</v>
      </c>
      <c r="F4184" s="4" t="s">
        <v>19</v>
      </c>
      <c r="G4184" s="4" t="s">
        <v>20</v>
      </c>
      <c r="H4184" s="5">
        <v>12000</v>
      </c>
      <c r="I4184" s="4" t="s">
        <v>21</v>
      </c>
      <c r="J4184" s="5">
        <f t="shared" si="65"/>
        <v>-50307.600000000006</v>
      </c>
      <c r="K4184" s="4" t="s">
        <v>27</v>
      </c>
      <c r="L4184" s="6">
        <v>4.1923000000000004</v>
      </c>
      <c r="M4184" s="6">
        <v>0.23849999999999999</v>
      </c>
      <c r="N4184" s="6">
        <v>4.2072000000000003</v>
      </c>
      <c r="O4184" s="6">
        <v>1</v>
      </c>
      <c r="P4184" s="5">
        <v>178.79999999999563</v>
      </c>
      <c r="Q4184" s="4" t="s">
        <v>1390</v>
      </c>
    </row>
    <row r="4185" spans="1:17" x14ac:dyDescent="0.3">
      <c r="A4185" s="2" t="s">
        <v>1389</v>
      </c>
      <c r="B4185" s="3">
        <v>160532</v>
      </c>
      <c r="C4185" s="3">
        <v>221607</v>
      </c>
      <c r="D4185" s="4" t="s">
        <v>17</v>
      </c>
      <c r="E4185" s="4" t="s">
        <v>934</v>
      </c>
      <c r="F4185" s="4" t="s">
        <v>19</v>
      </c>
      <c r="G4185" s="4" t="s">
        <v>20</v>
      </c>
      <c r="H4185" s="5">
        <v>270000</v>
      </c>
      <c r="I4185" s="4" t="s">
        <v>21</v>
      </c>
      <c r="J4185" s="5">
        <f t="shared" si="65"/>
        <v>-1132623</v>
      </c>
      <c r="K4185" s="4" t="s">
        <v>27</v>
      </c>
      <c r="L4185" s="6">
        <v>4.1948999999999996</v>
      </c>
      <c r="M4185" s="6">
        <v>0.2384</v>
      </c>
      <c r="N4185" s="6">
        <v>4.2072000000000003</v>
      </c>
      <c r="O4185" s="6">
        <v>1</v>
      </c>
      <c r="P4185" s="5">
        <v>3321</v>
      </c>
      <c r="Q4185" s="4" t="s">
        <v>1390</v>
      </c>
    </row>
    <row r="4186" spans="1:17" x14ac:dyDescent="0.3">
      <c r="A4186" s="2" t="s">
        <v>1389</v>
      </c>
      <c r="B4186" s="3">
        <v>160533</v>
      </c>
      <c r="C4186" s="3">
        <v>221611</v>
      </c>
      <c r="D4186" s="4" t="s">
        <v>17</v>
      </c>
      <c r="E4186" s="4" t="s">
        <v>1155</v>
      </c>
      <c r="F4186" s="4" t="s">
        <v>32</v>
      </c>
      <c r="G4186" s="4" t="s">
        <v>20</v>
      </c>
      <c r="H4186" s="5">
        <v>-50000</v>
      </c>
      <c r="I4186" s="4" t="s">
        <v>74</v>
      </c>
      <c r="J4186" s="5">
        <f t="shared" si="65"/>
        <v>569520</v>
      </c>
      <c r="K4186" s="4" t="s">
        <v>27</v>
      </c>
      <c r="L4186" s="6">
        <v>11.3904</v>
      </c>
      <c r="M4186" s="6">
        <v>8.7800000000000003E-2</v>
      </c>
      <c r="N4186" s="6">
        <v>4.2072000000000003</v>
      </c>
      <c r="O4186" s="6">
        <v>0.3674</v>
      </c>
      <c r="P4186" s="5">
        <v>-1158.7660000000001</v>
      </c>
      <c r="Q4186" s="4" t="s">
        <v>1390</v>
      </c>
    </row>
    <row r="4187" spans="1:17" x14ac:dyDescent="0.3">
      <c r="A4187" s="2" t="s">
        <v>1389</v>
      </c>
      <c r="B4187" s="3">
        <v>160536</v>
      </c>
      <c r="C4187" s="3">
        <v>221613</v>
      </c>
      <c r="D4187" s="4" t="s">
        <v>17</v>
      </c>
      <c r="E4187" s="4" t="s">
        <v>893</v>
      </c>
      <c r="F4187" s="4" t="s">
        <v>19</v>
      </c>
      <c r="G4187" s="4" t="s">
        <v>20</v>
      </c>
      <c r="H4187" s="5">
        <v>7000</v>
      </c>
      <c r="I4187" s="4" t="s">
        <v>21</v>
      </c>
      <c r="J4187" s="5">
        <f t="shared" si="65"/>
        <v>-29330.000000000004</v>
      </c>
      <c r="K4187" s="4" t="s">
        <v>27</v>
      </c>
      <c r="L4187" s="6">
        <v>4.1900000000000004</v>
      </c>
      <c r="M4187" s="6">
        <v>0.2387</v>
      </c>
      <c r="N4187" s="6">
        <v>4.2072000000000003</v>
      </c>
      <c r="O4187" s="6">
        <v>1</v>
      </c>
      <c r="P4187" s="5">
        <v>120.39999999999782</v>
      </c>
      <c r="Q4187" s="4" t="s">
        <v>1390</v>
      </c>
    </row>
    <row r="4188" spans="1:17" x14ac:dyDescent="0.3">
      <c r="A4188" s="2" t="s">
        <v>1389</v>
      </c>
      <c r="B4188" s="3">
        <v>160540</v>
      </c>
      <c r="C4188" s="3">
        <v>221618</v>
      </c>
      <c r="D4188" s="4" t="s">
        <v>17</v>
      </c>
      <c r="E4188" s="4" t="s">
        <v>1155</v>
      </c>
      <c r="F4188" s="4" t="s">
        <v>32</v>
      </c>
      <c r="G4188" s="4" t="s">
        <v>20</v>
      </c>
      <c r="H4188" s="5">
        <v>-40000</v>
      </c>
      <c r="I4188" s="4" t="s">
        <v>74</v>
      </c>
      <c r="J4188" s="5">
        <f t="shared" si="65"/>
        <v>455508</v>
      </c>
      <c r="K4188" s="4" t="s">
        <v>27</v>
      </c>
      <c r="L4188" s="6">
        <v>11.387700000000001</v>
      </c>
      <c r="M4188" s="6">
        <v>8.7800000000000003E-2</v>
      </c>
      <c r="N4188" s="6">
        <v>4.2072000000000003</v>
      </c>
      <c r="O4188" s="6">
        <v>0.3674</v>
      </c>
      <c r="P4188" s="5">
        <v>-966.69200000000001</v>
      </c>
      <c r="Q4188" s="4" t="s">
        <v>1390</v>
      </c>
    </row>
    <row r="4189" spans="1:17" x14ac:dyDescent="0.3">
      <c r="A4189" s="2" t="s">
        <v>1389</v>
      </c>
      <c r="B4189" s="3">
        <v>160543</v>
      </c>
      <c r="C4189" s="3">
        <v>221620</v>
      </c>
      <c r="D4189" s="4" t="s">
        <v>17</v>
      </c>
      <c r="E4189" s="4" t="s">
        <v>1303</v>
      </c>
      <c r="F4189" s="4" t="s">
        <v>32</v>
      </c>
      <c r="G4189" s="4" t="s">
        <v>34</v>
      </c>
      <c r="H4189" s="5">
        <v>-200000</v>
      </c>
      <c r="I4189" s="4" t="s">
        <v>21</v>
      </c>
      <c r="J4189" s="5">
        <f t="shared" si="65"/>
        <v>707200</v>
      </c>
      <c r="K4189" s="4" t="s">
        <v>27</v>
      </c>
      <c r="L4189" s="6">
        <v>3.536</v>
      </c>
      <c r="M4189" s="6">
        <v>0.2828</v>
      </c>
      <c r="N4189" s="6">
        <v>3.5188999999999999</v>
      </c>
      <c r="O4189" s="6">
        <v>1</v>
      </c>
      <c r="P4189" s="5">
        <v>3420</v>
      </c>
      <c r="Q4189" s="4" t="s">
        <v>1390</v>
      </c>
    </row>
    <row r="4190" spans="1:17" x14ac:dyDescent="0.3">
      <c r="A4190" s="2" t="s">
        <v>1389</v>
      </c>
      <c r="B4190" s="3">
        <v>160549</v>
      </c>
      <c r="C4190" s="3">
        <v>221623</v>
      </c>
      <c r="D4190" s="4" t="s">
        <v>17</v>
      </c>
      <c r="E4190" s="4" t="s">
        <v>1055</v>
      </c>
      <c r="F4190" s="4" t="s">
        <v>19</v>
      </c>
      <c r="G4190" s="4" t="s">
        <v>20</v>
      </c>
      <c r="H4190" s="5">
        <v>7360</v>
      </c>
      <c r="I4190" s="4" t="s">
        <v>21</v>
      </c>
      <c r="J4190" s="5">
        <f t="shared" si="65"/>
        <v>-30883.296000000002</v>
      </c>
      <c r="K4190" s="4" t="s">
        <v>27</v>
      </c>
      <c r="L4190" s="6">
        <v>4.1961000000000004</v>
      </c>
      <c r="M4190" s="6">
        <v>0.23830000000000001</v>
      </c>
      <c r="N4190" s="6">
        <v>4.2072000000000003</v>
      </c>
      <c r="O4190" s="6">
        <v>1</v>
      </c>
      <c r="P4190" s="5">
        <v>81.695999999999913</v>
      </c>
      <c r="Q4190" s="4" t="s">
        <v>1390</v>
      </c>
    </row>
    <row r="4191" spans="1:17" x14ac:dyDescent="0.3">
      <c r="A4191" s="2" t="s">
        <v>1389</v>
      </c>
      <c r="B4191" s="3">
        <v>160550</v>
      </c>
      <c r="C4191" s="3">
        <v>221624</v>
      </c>
      <c r="D4191" s="4" t="s">
        <v>17</v>
      </c>
      <c r="E4191" s="4" t="s">
        <v>803</v>
      </c>
      <c r="F4191" s="4" t="s">
        <v>19</v>
      </c>
      <c r="G4191" s="4" t="s">
        <v>20</v>
      </c>
      <c r="H4191" s="5">
        <v>10000</v>
      </c>
      <c r="I4191" s="4" t="s">
        <v>21</v>
      </c>
      <c r="J4191" s="5">
        <f t="shared" si="65"/>
        <v>-41750</v>
      </c>
      <c r="K4191" s="4" t="s">
        <v>27</v>
      </c>
      <c r="L4191" s="6">
        <v>4.1749999999999998</v>
      </c>
      <c r="M4191" s="6">
        <v>0.23949999999999999</v>
      </c>
      <c r="N4191" s="6">
        <v>4.2072000000000003</v>
      </c>
      <c r="O4191" s="6">
        <v>1</v>
      </c>
      <c r="P4191" s="5">
        <v>322</v>
      </c>
      <c r="Q4191" s="4" t="s">
        <v>1390</v>
      </c>
    </row>
    <row r="4192" spans="1:17" x14ac:dyDescent="0.3">
      <c r="A4192" s="2" t="s">
        <v>1389</v>
      </c>
      <c r="B4192" s="3">
        <v>160551</v>
      </c>
      <c r="C4192" s="3">
        <v>221627</v>
      </c>
      <c r="D4192" s="4" t="s">
        <v>17</v>
      </c>
      <c r="E4192" s="4" t="s">
        <v>757</v>
      </c>
      <c r="F4192" s="4" t="s">
        <v>19</v>
      </c>
      <c r="G4192" s="4" t="s">
        <v>20</v>
      </c>
      <c r="H4192" s="5">
        <v>10000</v>
      </c>
      <c r="I4192" s="4" t="s">
        <v>21</v>
      </c>
      <c r="J4192" s="5">
        <f t="shared" si="65"/>
        <v>-41900.000000000007</v>
      </c>
      <c r="K4192" s="4" t="s">
        <v>27</v>
      </c>
      <c r="L4192" s="6">
        <v>4.1900000000000004</v>
      </c>
      <c r="M4192" s="6">
        <v>0.2387</v>
      </c>
      <c r="N4192" s="6">
        <v>4.2072000000000003</v>
      </c>
      <c r="O4192" s="6">
        <v>1</v>
      </c>
      <c r="P4192" s="5">
        <v>171.99999999999272</v>
      </c>
      <c r="Q4192" s="4" t="s">
        <v>1390</v>
      </c>
    </row>
    <row r="4193" spans="1:17" x14ac:dyDescent="0.3">
      <c r="A4193" s="2" t="s">
        <v>1389</v>
      </c>
      <c r="B4193" s="3">
        <v>160552</v>
      </c>
      <c r="C4193" s="3">
        <v>221638</v>
      </c>
      <c r="D4193" s="4" t="s">
        <v>17</v>
      </c>
      <c r="E4193" s="4" t="s">
        <v>1057</v>
      </c>
      <c r="F4193" s="4" t="s">
        <v>19</v>
      </c>
      <c r="G4193" s="4" t="s">
        <v>20</v>
      </c>
      <c r="H4193" s="5">
        <v>30000</v>
      </c>
      <c r="I4193" s="4" t="s">
        <v>21</v>
      </c>
      <c r="J4193" s="5">
        <f t="shared" si="65"/>
        <v>-126155.99999999999</v>
      </c>
      <c r="K4193" s="4" t="s">
        <v>27</v>
      </c>
      <c r="L4193" s="6">
        <v>4.2051999999999996</v>
      </c>
      <c r="M4193" s="6">
        <v>0.23780000000000001</v>
      </c>
      <c r="N4193" s="6">
        <v>4.2072000000000003</v>
      </c>
      <c r="O4193" s="6">
        <v>1</v>
      </c>
      <c r="P4193" s="5">
        <v>60.000000000029104</v>
      </c>
      <c r="Q4193" s="4" t="s">
        <v>1390</v>
      </c>
    </row>
    <row r="4194" spans="1:17" x14ac:dyDescent="0.3">
      <c r="A4194" s="2" t="s">
        <v>1389</v>
      </c>
      <c r="B4194" s="3">
        <v>160553</v>
      </c>
      <c r="C4194" s="3">
        <v>221639</v>
      </c>
      <c r="D4194" s="4" t="s">
        <v>17</v>
      </c>
      <c r="E4194" s="4" t="s">
        <v>999</v>
      </c>
      <c r="F4194" s="4" t="s">
        <v>19</v>
      </c>
      <c r="G4194" s="4" t="s">
        <v>20</v>
      </c>
      <c r="H4194" s="5">
        <v>12200</v>
      </c>
      <c r="I4194" s="4" t="s">
        <v>34</v>
      </c>
      <c r="J4194" s="5">
        <f t="shared" si="65"/>
        <v>-14496.039999999999</v>
      </c>
      <c r="K4194" s="4" t="s">
        <v>27</v>
      </c>
      <c r="L4194" s="6">
        <v>1.1881999999999999</v>
      </c>
      <c r="M4194" s="6">
        <v>0.84160000000000001</v>
      </c>
      <c r="N4194" s="6">
        <v>4.2072000000000003</v>
      </c>
      <c r="O4194" s="6">
        <v>3.5188999999999999</v>
      </c>
      <c r="P4194" s="5">
        <v>317.72484400001122</v>
      </c>
      <c r="Q4194" s="4" t="s">
        <v>1390</v>
      </c>
    </row>
    <row r="4195" spans="1:17" x14ac:dyDescent="0.3">
      <c r="A4195" s="2" t="s">
        <v>1389</v>
      </c>
      <c r="B4195" s="3">
        <v>160556</v>
      </c>
      <c r="C4195" s="3">
        <v>221645</v>
      </c>
      <c r="D4195" s="4" t="s">
        <v>17</v>
      </c>
      <c r="E4195" s="4" t="s">
        <v>991</v>
      </c>
      <c r="F4195" s="4" t="s">
        <v>32</v>
      </c>
      <c r="G4195" s="4" t="s">
        <v>20</v>
      </c>
      <c r="H4195" s="5">
        <v>-200000</v>
      </c>
      <c r="I4195" s="4" t="s">
        <v>21</v>
      </c>
      <c r="J4195" s="5">
        <f t="shared" si="65"/>
        <v>843180.00000000012</v>
      </c>
      <c r="K4195" s="4" t="s">
        <v>27</v>
      </c>
      <c r="L4195" s="6">
        <v>4.2159000000000004</v>
      </c>
      <c r="M4195" s="6">
        <v>0.23719999999999999</v>
      </c>
      <c r="N4195" s="6">
        <v>4.2072000000000003</v>
      </c>
      <c r="O4195" s="6">
        <v>1</v>
      </c>
      <c r="P4195" s="5">
        <v>1560</v>
      </c>
      <c r="Q4195" s="4" t="s">
        <v>1390</v>
      </c>
    </row>
    <row r="4196" spans="1:17" x14ac:dyDescent="0.3">
      <c r="A4196" s="2" t="s">
        <v>1389</v>
      </c>
      <c r="B4196" s="3">
        <v>160557</v>
      </c>
      <c r="C4196" s="3">
        <v>221646</v>
      </c>
      <c r="D4196" s="4" t="s">
        <v>17</v>
      </c>
      <c r="E4196" s="4" t="s">
        <v>1138</v>
      </c>
      <c r="F4196" s="4" t="s">
        <v>19</v>
      </c>
      <c r="G4196" s="4" t="s">
        <v>20</v>
      </c>
      <c r="H4196" s="5">
        <v>32500</v>
      </c>
      <c r="I4196" s="4" t="s">
        <v>34</v>
      </c>
      <c r="J4196" s="5">
        <f t="shared" si="65"/>
        <v>-38717.25</v>
      </c>
      <c r="K4196" s="4" t="s">
        <v>27</v>
      </c>
      <c r="L4196" s="6">
        <v>1.1913</v>
      </c>
      <c r="M4196" s="6">
        <v>0.83940000000000003</v>
      </c>
      <c r="N4196" s="6">
        <v>4.2072000000000003</v>
      </c>
      <c r="O4196" s="6">
        <v>3.5188999999999999</v>
      </c>
      <c r="P4196" s="5">
        <v>491.86897499999031</v>
      </c>
      <c r="Q4196" s="4" t="s">
        <v>1390</v>
      </c>
    </row>
    <row r="4197" spans="1:17" x14ac:dyDescent="0.3">
      <c r="A4197" s="2" t="s">
        <v>1389</v>
      </c>
      <c r="B4197" s="3">
        <v>160558</v>
      </c>
      <c r="C4197" s="3">
        <v>221650</v>
      </c>
      <c r="D4197" s="4" t="s">
        <v>17</v>
      </c>
      <c r="E4197" s="4" t="s">
        <v>1196</v>
      </c>
      <c r="F4197" s="4" t="s">
        <v>32</v>
      </c>
      <c r="G4197" s="4" t="s">
        <v>20</v>
      </c>
      <c r="H4197" s="5">
        <v>-180666.85</v>
      </c>
      <c r="I4197" s="4" t="s">
        <v>21</v>
      </c>
      <c r="J4197" s="5">
        <f t="shared" si="65"/>
        <v>761601.10617499996</v>
      </c>
      <c r="K4197" s="4" t="s">
        <v>27</v>
      </c>
      <c r="L4197" s="6">
        <v>4.2154999999999996</v>
      </c>
      <c r="M4197" s="6">
        <v>0.23719999999999999</v>
      </c>
      <c r="N4197" s="6">
        <v>4.2072000000000003</v>
      </c>
      <c r="O4197" s="6">
        <v>1</v>
      </c>
      <c r="P4197" s="5">
        <v>1499.5386800000001</v>
      </c>
      <c r="Q4197" s="4" t="s">
        <v>1390</v>
      </c>
    </row>
    <row r="4198" spans="1:17" x14ac:dyDescent="0.3">
      <c r="A4198" s="2" t="s">
        <v>1389</v>
      </c>
      <c r="B4198" s="3">
        <v>160559</v>
      </c>
      <c r="C4198" s="3">
        <v>221653</v>
      </c>
      <c r="D4198" s="4" t="s">
        <v>17</v>
      </c>
      <c r="E4198" s="4" t="s">
        <v>1207</v>
      </c>
      <c r="F4198" s="4" t="s">
        <v>32</v>
      </c>
      <c r="G4198" s="4" t="s">
        <v>20</v>
      </c>
      <c r="H4198" s="5">
        <v>-100000</v>
      </c>
      <c r="I4198" s="4" t="s">
        <v>21</v>
      </c>
      <c r="J4198" s="5">
        <f t="shared" si="65"/>
        <v>420899.99999999994</v>
      </c>
      <c r="K4198" s="4" t="s">
        <v>27</v>
      </c>
      <c r="L4198" s="6">
        <v>4.2089999999999996</v>
      </c>
      <c r="M4198" s="6">
        <v>0.23760000000000001</v>
      </c>
      <c r="N4198" s="6">
        <v>4.2072000000000003</v>
      </c>
      <c r="O4198" s="6">
        <v>1</v>
      </c>
      <c r="P4198" s="5">
        <v>180</v>
      </c>
      <c r="Q4198" s="4" t="s">
        <v>1390</v>
      </c>
    </row>
    <row r="4199" spans="1:17" x14ac:dyDescent="0.3">
      <c r="A4199" s="2" t="s">
        <v>1389</v>
      </c>
      <c r="B4199" s="3">
        <v>160564</v>
      </c>
      <c r="C4199" s="3">
        <v>221661</v>
      </c>
      <c r="D4199" s="4" t="s">
        <v>17</v>
      </c>
      <c r="E4199" s="4" t="s">
        <v>1081</v>
      </c>
      <c r="F4199" s="4" t="s">
        <v>32</v>
      </c>
      <c r="G4199" s="4" t="s">
        <v>20</v>
      </c>
      <c r="H4199" s="5">
        <v>-60000</v>
      </c>
      <c r="I4199" s="4" t="s">
        <v>21</v>
      </c>
      <c r="J4199" s="5">
        <f t="shared" si="65"/>
        <v>252648</v>
      </c>
      <c r="K4199" s="4" t="s">
        <v>27</v>
      </c>
      <c r="L4199" s="6">
        <v>4.2107999999999999</v>
      </c>
      <c r="M4199" s="6">
        <v>0.23749999999999999</v>
      </c>
      <c r="N4199" s="6">
        <v>4.2072000000000003</v>
      </c>
      <c r="O4199" s="6">
        <v>1</v>
      </c>
      <c r="P4199" s="5">
        <v>168</v>
      </c>
      <c r="Q4199" s="4" t="s">
        <v>1390</v>
      </c>
    </row>
    <row r="4200" spans="1:17" x14ac:dyDescent="0.3">
      <c r="A4200" s="2" t="s">
        <v>1389</v>
      </c>
      <c r="B4200" s="3">
        <v>160569</v>
      </c>
      <c r="C4200" s="3">
        <v>221670</v>
      </c>
      <c r="D4200" s="4" t="s">
        <v>17</v>
      </c>
      <c r="E4200" s="4" t="s">
        <v>1042</v>
      </c>
      <c r="F4200" s="4" t="s">
        <v>19</v>
      </c>
      <c r="G4200" s="4" t="s">
        <v>20</v>
      </c>
      <c r="H4200" s="5">
        <v>173506.33</v>
      </c>
      <c r="I4200" s="4" t="s">
        <v>21</v>
      </c>
      <c r="J4200" s="5">
        <f t="shared" si="65"/>
        <v>-729281.80625599995</v>
      </c>
      <c r="K4200" s="4" t="s">
        <v>27</v>
      </c>
      <c r="L4200" s="6">
        <v>4.2031999999999998</v>
      </c>
      <c r="M4200" s="6">
        <v>0.2379</v>
      </c>
      <c r="N4200" s="6">
        <v>4.2072000000000003</v>
      </c>
      <c r="O4200" s="6">
        <v>1</v>
      </c>
      <c r="P4200" s="5">
        <v>694.0253200000152</v>
      </c>
      <c r="Q4200" s="4" t="s">
        <v>1390</v>
      </c>
    </row>
    <row r="4201" spans="1:17" x14ac:dyDescent="0.3">
      <c r="A4201" s="2" t="s">
        <v>1389</v>
      </c>
      <c r="B4201" s="3">
        <v>160576</v>
      </c>
      <c r="C4201" s="3">
        <v>221678</v>
      </c>
      <c r="D4201" s="4" t="s">
        <v>17</v>
      </c>
      <c r="E4201" s="4" t="s">
        <v>1182</v>
      </c>
      <c r="F4201" s="4" t="s">
        <v>19</v>
      </c>
      <c r="G4201" s="4" t="s">
        <v>20</v>
      </c>
      <c r="H4201" s="5">
        <v>120000</v>
      </c>
      <c r="I4201" s="4" t="s">
        <v>21</v>
      </c>
      <c r="J4201" s="5">
        <f t="shared" si="65"/>
        <v>-501588</v>
      </c>
      <c r="K4201" s="4" t="s">
        <v>27</v>
      </c>
      <c r="L4201" s="6">
        <v>4.1798999999999999</v>
      </c>
      <c r="M4201" s="6">
        <v>0.2392</v>
      </c>
      <c r="N4201" s="6">
        <v>4.2072000000000003</v>
      </c>
      <c r="O4201" s="6">
        <v>1</v>
      </c>
      <c r="P4201" s="5">
        <v>3276.0000000000582</v>
      </c>
      <c r="Q4201" s="4" t="s">
        <v>1390</v>
      </c>
    </row>
    <row r="4202" spans="1:17" x14ac:dyDescent="0.3">
      <c r="A4202" s="2" t="s">
        <v>1389</v>
      </c>
      <c r="B4202" s="3">
        <v>160578</v>
      </c>
      <c r="C4202" s="3">
        <v>221679</v>
      </c>
      <c r="D4202" s="4" t="s">
        <v>17</v>
      </c>
      <c r="E4202" s="4" t="s">
        <v>1159</v>
      </c>
      <c r="F4202" s="4" t="s">
        <v>32</v>
      </c>
      <c r="G4202" s="4" t="s">
        <v>20</v>
      </c>
      <c r="H4202" s="5">
        <v>-276000</v>
      </c>
      <c r="I4202" s="4" t="s">
        <v>21</v>
      </c>
      <c r="J4202" s="5">
        <f t="shared" si="65"/>
        <v>1163312.4000000001</v>
      </c>
      <c r="K4202" s="4" t="s">
        <v>27</v>
      </c>
      <c r="L4202" s="6">
        <v>4.2149000000000001</v>
      </c>
      <c r="M4202" s="6">
        <v>0.23730000000000001</v>
      </c>
      <c r="N4202" s="6">
        <v>4.2072000000000003</v>
      </c>
      <c r="O4202" s="6">
        <v>1</v>
      </c>
      <c r="P4202" s="5">
        <v>1876.8</v>
      </c>
      <c r="Q4202" s="4" t="s">
        <v>1390</v>
      </c>
    </row>
    <row r="4203" spans="1:17" x14ac:dyDescent="0.3">
      <c r="A4203" s="2" t="s">
        <v>1389</v>
      </c>
      <c r="B4203" s="3">
        <v>160584</v>
      </c>
      <c r="C4203" s="3">
        <v>221680</v>
      </c>
      <c r="D4203" s="4" t="s">
        <v>17</v>
      </c>
      <c r="E4203" s="4" t="s">
        <v>1284</v>
      </c>
      <c r="F4203" s="4" t="s">
        <v>19</v>
      </c>
      <c r="G4203" s="4" t="s">
        <v>20</v>
      </c>
      <c r="H4203" s="5">
        <v>228000</v>
      </c>
      <c r="I4203" s="4" t="s">
        <v>21</v>
      </c>
      <c r="J4203" s="5">
        <f t="shared" si="65"/>
        <v>-957554.39999999991</v>
      </c>
      <c r="K4203" s="4" t="s">
        <v>27</v>
      </c>
      <c r="L4203" s="6">
        <v>4.1997999999999998</v>
      </c>
      <c r="M4203" s="6">
        <v>0.23810000000000001</v>
      </c>
      <c r="N4203" s="6">
        <v>4.2072000000000003</v>
      </c>
      <c r="O4203" s="6">
        <v>1</v>
      </c>
      <c r="P4203" s="5">
        <v>1687.2000000001863</v>
      </c>
      <c r="Q4203" s="4" t="s">
        <v>1390</v>
      </c>
    </row>
    <row r="4204" spans="1:17" x14ac:dyDescent="0.3">
      <c r="A4204" s="2" t="s">
        <v>1389</v>
      </c>
      <c r="B4204" s="3">
        <v>160588</v>
      </c>
      <c r="C4204" s="3">
        <v>221684</v>
      </c>
      <c r="D4204" s="4" t="s">
        <v>17</v>
      </c>
      <c r="E4204" s="4" t="s">
        <v>790</v>
      </c>
      <c r="F4204" s="4" t="s">
        <v>32</v>
      </c>
      <c r="G4204" s="4" t="s">
        <v>20</v>
      </c>
      <c r="H4204" s="5">
        <v>-235824</v>
      </c>
      <c r="I4204" s="4" t="s">
        <v>21</v>
      </c>
      <c r="J4204" s="5">
        <f t="shared" si="65"/>
        <v>996120.576</v>
      </c>
      <c r="K4204" s="4" t="s">
        <v>27</v>
      </c>
      <c r="L4204" s="6">
        <v>4.2240000000000002</v>
      </c>
      <c r="M4204" s="6">
        <v>0.23669999999999999</v>
      </c>
      <c r="N4204" s="6">
        <v>4.2072000000000003</v>
      </c>
      <c r="O4204" s="6">
        <v>1</v>
      </c>
      <c r="P4204" s="5">
        <v>3961.8472000000002</v>
      </c>
      <c r="Q4204" s="4" t="s">
        <v>1390</v>
      </c>
    </row>
    <row r="4205" spans="1:17" x14ac:dyDescent="0.3">
      <c r="A4205" s="2" t="s">
        <v>1389</v>
      </c>
      <c r="B4205" s="3">
        <v>160604</v>
      </c>
      <c r="C4205" s="3">
        <v>221707</v>
      </c>
      <c r="D4205" s="4" t="s">
        <v>17</v>
      </c>
      <c r="E4205" s="4" t="s">
        <v>1377</v>
      </c>
      <c r="F4205" s="4" t="s">
        <v>19</v>
      </c>
      <c r="G4205" s="4" t="s">
        <v>93</v>
      </c>
      <c r="H4205" s="5">
        <v>200000</v>
      </c>
      <c r="I4205" s="4" t="s">
        <v>21</v>
      </c>
      <c r="J4205" s="5">
        <f t="shared" si="65"/>
        <v>-916799.99999999988</v>
      </c>
      <c r="K4205" s="4" t="s">
        <v>27</v>
      </c>
      <c r="L4205" s="6">
        <v>4.5839999999999996</v>
      </c>
      <c r="M4205" s="6">
        <v>0.21820000000000001</v>
      </c>
      <c r="N4205" s="6">
        <v>4.5830000000000002</v>
      </c>
      <c r="O4205" s="6">
        <v>1</v>
      </c>
      <c r="P4205" s="5">
        <v>-199.99999999988358</v>
      </c>
      <c r="Q4205" s="4" t="s">
        <v>1390</v>
      </c>
    </row>
    <row r="4206" spans="1:17" x14ac:dyDescent="0.3">
      <c r="A4206" s="2" t="s">
        <v>1389</v>
      </c>
      <c r="B4206" s="3">
        <v>160607</v>
      </c>
      <c r="C4206" s="3">
        <v>221709</v>
      </c>
      <c r="D4206" s="4" t="s">
        <v>17</v>
      </c>
      <c r="E4206" s="4" t="s">
        <v>1280</v>
      </c>
      <c r="F4206" s="4" t="s">
        <v>19</v>
      </c>
      <c r="G4206" s="4" t="s">
        <v>20</v>
      </c>
      <c r="H4206" s="5">
        <v>100000</v>
      </c>
      <c r="I4206" s="4" t="s">
        <v>34</v>
      </c>
      <c r="J4206" s="5">
        <f t="shared" si="65"/>
        <v>-118829.99999999999</v>
      </c>
      <c r="K4206" s="4" t="s">
        <v>27</v>
      </c>
      <c r="L4206" s="6">
        <v>1.1882999999999999</v>
      </c>
      <c r="M4206" s="6">
        <v>0.84150000000000003</v>
      </c>
      <c r="N4206" s="6">
        <v>4.2072000000000003</v>
      </c>
      <c r="O4206" s="6">
        <v>3.5188999999999999</v>
      </c>
      <c r="P4206" s="5">
        <v>2569.1130000000703</v>
      </c>
      <c r="Q4206" s="4" t="s">
        <v>1390</v>
      </c>
    </row>
    <row r="4207" spans="1:17" x14ac:dyDescent="0.3">
      <c r="A4207" s="2" t="s">
        <v>1389</v>
      </c>
      <c r="B4207" s="3">
        <v>160612</v>
      </c>
      <c r="C4207" s="3">
        <v>221713</v>
      </c>
      <c r="D4207" s="4" t="s">
        <v>17</v>
      </c>
      <c r="E4207" s="4" t="s">
        <v>940</v>
      </c>
      <c r="F4207" s="4" t="s">
        <v>32</v>
      </c>
      <c r="G4207" s="4" t="s">
        <v>20</v>
      </c>
      <c r="H4207" s="5">
        <v>-1000</v>
      </c>
      <c r="I4207" s="4" t="s">
        <v>21</v>
      </c>
      <c r="J4207" s="5">
        <f t="shared" si="65"/>
        <v>4211.8999999999996</v>
      </c>
      <c r="K4207" s="4" t="s">
        <v>27</v>
      </c>
      <c r="L4207" s="6">
        <v>4.2119</v>
      </c>
      <c r="M4207" s="6">
        <v>0.2374</v>
      </c>
      <c r="N4207" s="6">
        <v>4.2072000000000003</v>
      </c>
      <c r="O4207" s="6">
        <v>1</v>
      </c>
      <c r="P4207" s="5">
        <v>3.8</v>
      </c>
      <c r="Q4207" s="4" t="s">
        <v>1390</v>
      </c>
    </row>
    <row r="4208" spans="1:17" x14ac:dyDescent="0.3">
      <c r="A4208" s="2" t="s">
        <v>1389</v>
      </c>
      <c r="B4208" s="3">
        <v>160616</v>
      </c>
      <c r="C4208" s="3">
        <v>221718</v>
      </c>
      <c r="D4208" s="4" t="s">
        <v>17</v>
      </c>
      <c r="E4208" s="4" t="s">
        <v>876</v>
      </c>
      <c r="F4208" s="4" t="s">
        <v>19</v>
      </c>
      <c r="G4208" s="4" t="s">
        <v>20</v>
      </c>
      <c r="H4208" s="5">
        <v>2000</v>
      </c>
      <c r="I4208" s="4" t="s">
        <v>21</v>
      </c>
      <c r="J4208" s="5">
        <f t="shared" si="65"/>
        <v>-8384</v>
      </c>
      <c r="K4208" s="4" t="s">
        <v>27</v>
      </c>
      <c r="L4208" s="6">
        <v>4.1920000000000002</v>
      </c>
      <c r="M4208" s="6">
        <v>0.23849999999999999</v>
      </c>
      <c r="N4208" s="6">
        <v>4.2072000000000003</v>
      </c>
      <c r="O4208" s="6">
        <v>1</v>
      </c>
      <c r="P4208" s="5">
        <v>30.400000000001455</v>
      </c>
      <c r="Q4208" s="4" t="s">
        <v>1390</v>
      </c>
    </row>
    <row r="4209" spans="1:17" x14ac:dyDescent="0.3">
      <c r="A4209" s="2" t="s">
        <v>1389</v>
      </c>
      <c r="B4209" s="3">
        <v>160631</v>
      </c>
      <c r="C4209" s="3">
        <v>221720</v>
      </c>
      <c r="D4209" s="4" t="s">
        <v>17</v>
      </c>
      <c r="E4209" s="4" t="s">
        <v>1277</v>
      </c>
      <c r="F4209" s="4" t="s">
        <v>19</v>
      </c>
      <c r="G4209" s="4" t="s">
        <v>20</v>
      </c>
      <c r="H4209" s="5">
        <v>40000</v>
      </c>
      <c r="I4209" s="4" t="s">
        <v>21</v>
      </c>
      <c r="J4209" s="5">
        <f t="shared" si="65"/>
        <v>-168440</v>
      </c>
      <c r="K4209" s="4" t="s">
        <v>27</v>
      </c>
      <c r="L4209" s="6">
        <v>4.2110000000000003</v>
      </c>
      <c r="M4209" s="6">
        <v>0.23749999999999999</v>
      </c>
      <c r="N4209" s="6">
        <v>4.2072000000000003</v>
      </c>
      <c r="O4209" s="6">
        <v>1</v>
      </c>
      <c r="P4209" s="5">
        <v>-152</v>
      </c>
      <c r="Q4209" s="4" t="s">
        <v>1390</v>
      </c>
    </row>
  </sheetData>
  <autoFilter ref="A2:Q4209" xr:uid="{00000000-0001-0000-0000-000000000000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6e3ab04-e609-4bbf-80d0-e25f460254ff}" enabled="1" method="Standard" siteId="{0d320d22-34e3-428a-bd15-6025042276b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Lukasz Olszewski</cp:lastModifiedBy>
  <dcterms:created xsi:type="dcterms:W3CDTF">2026-02-25T10:58:08Z</dcterms:created>
  <dcterms:modified xsi:type="dcterms:W3CDTF">2026-02-26T23:22:48Z</dcterms:modified>
</cp:coreProperties>
</file>